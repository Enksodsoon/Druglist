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423c105ad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a922a7e26044949"/>
    <x:sheet xmlns:r="http://schemas.openxmlformats.org/officeDocument/2006/relationships" name="Quick_Start" sheetId="2" r:id="R04b4127517204bb0"/>
    <x:sheet xmlns:r="http://schemas.openxmlformats.org/officeDocument/2006/relationships" name="Clinic_Defaults" sheetId="3" r:id="R3afb15e28dd4400e"/>
    <x:sheet xmlns:r="http://schemas.openxmlformats.org/officeDocument/2006/relationships" name="Top_50_Defaults" sheetId="4" r:id="Rff9608d60c654482"/>
    <x:sheet xmlns:r="http://schemas.openxmlformats.org/officeDocument/2006/relationships" name="Antibiotic_Rows" sheetId="5" r:id="R8aa146528e5649fd"/>
    <x:sheet xmlns:r="http://schemas.openxmlformats.org/officeDocument/2006/relationships" name="Engine_Test" sheetId="6" r:id="R423d516980944378"/>
    <x:sheet xmlns:r="http://schemas.openxmlformats.org/officeDocument/2006/relationships" name="Complaint_Index" sheetId="7" r:id="Rcab017aebb5d4445"/>
    <x:sheet xmlns:r="http://schemas.openxmlformats.org/officeDocument/2006/relationships" name="Fast_Regimen_Master" sheetId="8" r:id="R5a3470ab9d044ad0"/>
    <x:sheet xmlns:r="http://schemas.openxmlformats.org/officeDocument/2006/relationships" name="Peds_Dose_Shortcuts" sheetId="9" r:id="R872bce4fde9b4534"/>
    <x:sheet xmlns:r="http://schemas.openxmlformats.org/officeDocument/2006/relationships" name="Drug_Master_Lookup" sheetId="10" r:id="R0a6935e720454c75"/>
    <x:sheet xmlns:r="http://schemas.openxmlformats.org/officeDocument/2006/relationships" name="Common_Doctor_Picks" sheetId="11" r:id="Reaa9580aa8f742cc"/>
    <x:sheet xmlns:r="http://schemas.openxmlformats.org/officeDocument/2006/relationships" name="Final approved " sheetId="12" r:id="R51389680a3aa46f9"/>
    <x:sheet xmlns:r="http://schemas.openxmlformats.org/officeDocument/2006/relationships" name="Price_Estimates_Online" sheetId="13" r:id="R8470df50c5b843d1"/>
    <x:sheet xmlns:r="http://schemas.openxmlformats.org/officeDocument/2006/relationships" name="Headache_NeckPain_Options" sheetId="14" r:id="Rff87fea5e76f41da"/>
    <x:sheet xmlns:r="http://schemas.openxmlformats.org/officeDocument/2006/relationships" name="Respiratory Antibiotics" sheetId="15" r:id="Reb9171d546ca4cce"/>
    <x:sheet xmlns:r="http://schemas.openxmlformats.org/officeDocument/2006/relationships" name="General Analgesics" sheetId="16" r:id="R8cae1b7d050b46be"/>
    <x:sheet xmlns:r="http://schemas.openxmlformats.org/officeDocument/2006/relationships" name="Cough &amp; Expectorants" sheetId="17" r:id="R68e2a0ee39da45e5"/>
    <x:sheet xmlns:r="http://schemas.openxmlformats.org/officeDocument/2006/relationships" name="Bronchodilators" sheetId="18" r:id="R5ab054e4925b4190"/>
    <x:sheet xmlns:r="http://schemas.openxmlformats.org/officeDocument/2006/relationships" name="Carminatives" sheetId="19" r:id="Re5ee980ec4e94d6b"/>
    <x:sheet xmlns:r="http://schemas.openxmlformats.org/officeDocument/2006/relationships" name="Antifungals" sheetId="20" r:id="R3e53fb3fde7f4193"/>
    <x:sheet xmlns:r="http://schemas.openxmlformats.org/officeDocument/2006/relationships" name="Antivirals" sheetId="21" r:id="Rf4b5a12a0b764c46"/>
    <x:sheet xmlns:r="http://schemas.openxmlformats.org/officeDocument/2006/relationships" name="Antiparasitics" sheetId="22" r:id="R1054c6f0501b4e5a"/>
    <x:sheet xmlns:r="http://schemas.openxmlformats.org/officeDocument/2006/relationships" name="Adsorbents" sheetId="23" r:id="Rbd2592b31a424566"/>
    <x:sheet xmlns:r="http://schemas.openxmlformats.org/officeDocument/2006/relationships" name="Other Antibiotics" sheetId="24" r:id="Rb4d9ba669e274a75"/>
    <x:sheet xmlns:r="http://schemas.openxmlformats.org/officeDocument/2006/relationships" name="NSAIDs" sheetId="25" r:id="R901eb4dacd794fd3"/>
    <x:sheet xmlns:r="http://schemas.openxmlformats.org/officeDocument/2006/relationships" name="Migraine Drugs" sheetId="26" r:id="Re8616134054846a6"/>
    <x:sheet xmlns:r="http://schemas.openxmlformats.org/officeDocument/2006/relationships" name="Strong Pain Meds" sheetId="27" r:id="Rdaacc984776d4e8a"/>
    <x:sheet xmlns:r="http://schemas.openxmlformats.org/officeDocument/2006/relationships" name="Antispasmodics" sheetId="28" r:id="R4b6c4243f06648a9"/>
    <x:sheet xmlns:r="http://schemas.openxmlformats.org/officeDocument/2006/relationships" name="Muscle Relaxants" sheetId="29" r:id="R2596379c417f47f3"/>
    <x:sheet xmlns:r="http://schemas.openxmlformats.org/officeDocument/2006/relationships" name="UTI Antibiotics" sheetId="30" r:id="Re5f9ae134b704c88"/>
    <x:sheet xmlns:r="http://schemas.openxmlformats.org/officeDocument/2006/relationships" name="ORS-Electrolytes" sheetId="31" r:id="Re069cf649806455c"/>
    <x:sheet xmlns:r="http://schemas.openxmlformats.org/officeDocument/2006/relationships" name="Digestive Aids" sheetId="32" r:id="R824b53b616284ab5"/>
    <x:sheet xmlns:r="http://schemas.openxmlformats.org/officeDocument/2006/relationships" name="Vaginal Antiparasitic" sheetId="33" r:id="Rc8534293b2b34401"/>
    <x:sheet xmlns:r="http://schemas.openxmlformats.org/officeDocument/2006/relationships" name="Normal Saline" sheetId="34" r:id="Rd4b18be53f8b41b6"/>
    <x:sheet xmlns:r="http://schemas.openxmlformats.org/officeDocument/2006/relationships" name="Topical Pain Relief" sheetId="35" r:id="R13ea7fd69841486d"/>
    <x:sheet xmlns:r="http://schemas.openxmlformats.org/officeDocument/2006/relationships" name="Eczema &amp; Anti-itch" sheetId="36" r:id="R01a9deb14e2949f4"/>
    <x:sheet xmlns:r="http://schemas.openxmlformats.org/officeDocument/2006/relationships" name="Artificial Tears" sheetId="37" r:id="R391a4474c44148eb"/>
    <x:sheet xmlns:r="http://schemas.openxmlformats.org/officeDocument/2006/relationships" name="Topical Antibiotics" sheetId="38" r:id="R6c36064d1d2b4d1c"/>
    <x:sheet xmlns:r="http://schemas.openxmlformats.org/officeDocument/2006/relationships" name="Mouthwash" sheetId="39" r:id="R6d1fb85618e14218"/>
    <x:sheet xmlns:r="http://schemas.openxmlformats.org/officeDocument/2006/relationships" name="Wart Treatment" sheetId="40" r:id="Rf06ace9f425843db"/>
    <x:sheet xmlns:r="http://schemas.openxmlformats.org/officeDocument/2006/relationships" name="Dry Skin Creams" sheetId="41" r:id="R5949b48668af429e"/>
    <x:sheet xmlns:r="http://schemas.openxmlformats.org/officeDocument/2006/relationships" name="Final approved" sheetId="42" r:id="R386689a447114730"/>
  </x:sheets>
  <x:definedNames>
    <x:definedName name="_xlnm._FilterDatabase" localSheetId="0" hidden="1">'Index'!$A$1:$C$28</x:definedName>
    <x:definedName name="_xlnm._FilterDatabase" localSheetId="1" hidden="1">'Quick_Start'!$A$1:$D$29</x:definedName>
    <x:definedName name="_xlnm._FilterDatabase" localSheetId="2" hidden="1">'Clinic_Defaults'!$A$1:$M$83</x:definedName>
    <x:definedName name="_xlnm._FilterDatabase" localSheetId="3" hidden="1">'Top_50_Defaults'!$A$1:$L$51</x:definedName>
    <x:definedName name="_xlnm._FilterDatabase" localSheetId="4" hidden="1">'Antibiotic_Rows'!$A$1:$K$27</x:definedName>
    <x:definedName name="_xlnm._FilterDatabase" localSheetId="5" hidden="1">'Engine_Test'!$A$1:$G$42</x:definedName>
    <x:definedName name="_xlnm._FilterDatabase" localSheetId="6" hidden="1">'Complaint_Index'!$A$1:$K$113</x:definedName>
    <x:definedName name="_xlnm._FilterDatabase" localSheetId="7" hidden="1">'Fast_Regimen_Master'!$A$1:$BV$41</x:definedName>
    <x:definedName name="_xlnm._FilterDatabase" localSheetId="8" hidden="1">'Peds_Dose_Shortcuts'!$A$1:$T$4</x:definedName>
    <x:definedName name="_xlnm._FilterDatabase" localSheetId="9" hidden="1">'Drug_Master_Lookup'!$A$1:$AJ$47</x:definedName>
    <x:definedName name="_xlnm._FilterDatabase" localSheetId="10" hidden="1">'Common_Doctor_Picks'!$A$1:$I$54</x:definedName>
    <x:definedName name="_xlnm._FilterDatabase" localSheetId="12" hidden="1">'Price_Estimates_Online'!$A$1:$I$45</x:definedName>
    <x:definedName name="_xlnm._FilterDatabase" localSheetId="13" hidden="1">'Headache_NeckPain_Options'!$A$1:$M$159</x:definedName>
    <x:definedName name="_xlnm._FilterDatabase" localSheetId="14" hidden="1">'Respiratory Antibiotics'!$A$1:$P$24</x:definedName>
    <x:definedName name="_xlnm._FilterDatabase" localSheetId="15" hidden="1">'General Analgesics'!$A$1:$P$46</x:definedName>
    <x:definedName name="_xlnm._FilterDatabase" localSheetId="16" hidden="1">'Cough &amp; Expectorants'!$A$1:$P$46</x:definedName>
    <x:definedName name="_xlnm._FilterDatabase" localSheetId="17" hidden="1">'Bronchodilators'!$A$1:$P$10</x:definedName>
    <x:definedName name="_xlnm._FilterDatabase" localSheetId="18" hidden="1">'Carminatives'!$A$1:$P$19</x:definedName>
    <x:definedName name="_xlnm._FilterDatabase" localSheetId="19" hidden="1">'Antifungals'!$A$1:$P$19</x:definedName>
    <x:definedName name="_xlnm._FilterDatabase" localSheetId="20" hidden="1">'Antivirals'!$A$1:$P$14</x:definedName>
    <x:definedName name="_xlnm._FilterDatabase" localSheetId="21" hidden="1">'Antiparasitics'!$A$1:$P$9</x:definedName>
    <x:definedName name="_xlnm._FilterDatabase" localSheetId="22" hidden="1">'Adsorbents'!$A$1:$P$5</x:definedName>
    <x:definedName name="_xlnm._FilterDatabase" localSheetId="23" hidden="1">'Other Antibiotics'!$A$1:$P$20</x:definedName>
    <x:definedName name="_xlnm._FilterDatabase" localSheetId="24" hidden="1">'NSAIDs'!$A$1:$P$34</x:definedName>
    <x:definedName name="_xlnm._FilterDatabase" localSheetId="25" hidden="1">'Migraine Drugs'!$A$1:$P$6</x:definedName>
    <x:definedName name="_xlnm._FilterDatabase" localSheetId="26" hidden="1">'Strong Pain Meds'!$A$1:$P$2</x:definedName>
    <x:definedName name="_xlnm._FilterDatabase" localSheetId="27" hidden="1">'Antispasmodics'!$A$1:$P$10</x:definedName>
    <x:definedName name="_xlnm._FilterDatabase" localSheetId="28" hidden="1">'Muscle Relaxants'!$A$1:$P$15</x:definedName>
    <x:definedName name="_xlnm._FilterDatabase" localSheetId="29" hidden="1">'UTI Antibiotics'!$A$1:$P$15</x:definedName>
    <x:definedName name="_xlnm._FilterDatabase" localSheetId="30" hidden="1">'ORS-Electrolytes'!$A$1:$P$2</x:definedName>
    <x:definedName name="_xlnm._FilterDatabase" localSheetId="31" hidden="1">'Digestive Aids'!$A$1:$P$6</x:definedName>
    <x:definedName name="_xlnm._FilterDatabase" localSheetId="32" hidden="1">'Vaginal Antiparasitic'!$A$1:$P$3</x:definedName>
    <x:definedName name="_xlnm._FilterDatabase" localSheetId="33" hidden="1">'Normal Saline'!$A$1:$P$9</x:definedName>
    <x:definedName name="_xlnm._FilterDatabase" localSheetId="34" hidden="1">'Topical Pain Relief'!$A$1:$P$42</x:definedName>
    <x:definedName name="_xlnm._FilterDatabase" localSheetId="35" hidden="1">'Eczema &amp; Anti-itch'!$A$1:$P$49</x:definedName>
    <x:definedName name="_xlnm._FilterDatabase" localSheetId="36" hidden="1">'Artificial Tears'!$A$1:$P$24</x:definedName>
    <x:definedName name="_xlnm._FilterDatabase" localSheetId="37" hidden="1">'Topical Antibiotics'!$A$1:$P$6</x:definedName>
    <x:definedName name="_xlnm._FilterDatabase" localSheetId="38" hidden="1">'Mouthwash'!$A$1:$P$11</x:definedName>
    <x:definedName name="_xlnm._FilterDatabase" localSheetId="39" hidden="1">'Wart Treatment'!$A$1:$P$4</x:definedName>
    <x:definedName name="_xlnm._FilterDatabase" localSheetId="40" hidden="1">'Dry Skin Creams'!$A$1:$P$3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203864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Alignment="1">
      <x:alignment horizontal="center" vertical="top"/>
    </x:xf>
    <x:xf numFmtId="0" fontId="2" fillId="3" borderId="2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3" borderId="2" xfId="0" applyAlignment="1">
      <x:alignment vertical="top" wrapText="1"/>
    </x:xf>
    <x:xf numFmtId="0" fontId="2" fillId="2" borderId="2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1" fillId="6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303a791b347e7" /><Relationship Type="http://schemas.openxmlformats.org/officeDocument/2006/relationships/theme" Target="/xl/theme/theme1.xml" Id="R276ccd8ee30f4b4f" /><Relationship Type="http://schemas.openxmlformats.org/officeDocument/2006/relationships/sharedStrings" Target="/xl/sharedStrings.xml" Id="Rb39fa364703a41c6" /><Relationship Type="http://schemas.openxmlformats.org/officeDocument/2006/relationships/worksheet" Target="/xl/worksheets/sheet1.xml" Id="R8a922a7e26044949" /><Relationship Type="http://schemas.openxmlformats.org/officeDocument/2006/relationships/worksheet" Target="/xl/worksheets/sheet2.xml" Id="R04b4127517204bb0" /><Relationship Type="http://schemas.openxmlformats.org/officeDocument/2006/relationships/worksheet" Target="/xl/worksheets/sheet3.xml" Id="R3afb15e28dd4400e" /><Relationship Type="http://schemas.openxmlformats.org/officeDocument/2006/relationships/worksheet" Target="/xl/worksheets/sheet4.xml" Id="Rff9608d60c654482" /><Relationship Type="http://schemas.openxmlformats.org/officeDocument/2006/relationships/worksheet" Target="/xl/worksheets/sheet5.xml" Id="R8aa146528e5649fd" /><Relationship Type="http://schemas.openxmlformats.org/officeDocument/2006/relationships/worksheet" Target="/xl/worksheets/sheet6.xml" Id="R423d516980944378" /><Relationship Type="http://schemas.openxmlformats.org/officeDocument/2006/relationships/worksheet" Target="/xl/worksheets/sheet7.xml" Id="Rcab017aebb5d4445" /><Relationship Type="http://schemas.openxmlformats.org/officeDocument/2006/relationships/worksheet" Target="/xl/worksheets/sheet8.xml" Id="R5a3470ab9d044ad0" /><Relationship Type="http://schemas.openxmlformats.org/officeDocument/2006/relationships/worksheet" Target="/xl/worksheets/sheet9.xml" Id="R872bce4fde9b4534" /><Relationship Type="http://schemas.openxmlformats.org/officeDocument/2006/relationships/worksheet" Target="/xl/worksheets/sheet10.xml" Id="R0a6935e720454c75" /><Relationship Type="http://schemas.openxmlformats.org/officeDocument/2006/relationships/worksheet" Target="/xl/worksheets/sheet11.xml" Id="Reaa9580aa8f742cc" /><Relationship Type="http://schemas.openxmlformats.org/officeDocument/2006/relationships/worksheet" Target="/xl/worksheets/sheet12.xml" Id="R51389680a3aa46f9" /><Relationship Type="http://schemas.openxmlformats.org/officeDocument/2006/relationships/worksheet" Target="/xl/worksheets/sheet13.xml" Id="R8470df50c5b843d1" /><Relationship Type="http://schemas.openxmlformats.org/officeDocument/2006/relationships/worksheet" Target="/xl/worksheets/sheet14.xml" Id="Rff87fea5e76f41da" /><Relationship Type="http://schemas.openxmlformats.org/officeDocument/2006/relationships/worksheet" Target="/xl/worksheets/sheet15.xml" Id="Reb9171d546ca4cce" /><Relationship Type="http://schemas.openxmlformats.org/officeDocument/2006/relationships/worksheet" Target="/xl/worksheets/sheet16.xml" Id="R8cae1b7d050b46be" /><Relationship Type="http://schemas.openxmlformats.org/officeDocument/2006/relationships/worksheet" Target="/xl/worksheets/sheet17.xml" Id="R68e2a0ee39da45e5" /><Relationship Type="http://schemas.openxmlformats.org/officeDocument/2006/relationships/worksheet" Target="/xl/worksheets/sheet18.xml" Id="R5ab054e4925b4190" /><Relationship Type="http://schemas.openxmlformats.org/officeDocument/2006/relationships/worksheet" Target="/xl/worksheets/sheet19.xml" Id="Re5ee980ec4e94d6b" /><Relationship Type="http://schemas.openxmlformats.org/officeDocument/2006/relationships/worksheet" Target="/xl/worksheets/sheet20.xml" Id="R3e53fb3fde7f4193" /><Relationship Type="http://schemas.openxmlformats.org/officeDocument/2006/relationships/worksheet" Target="/xl/worksheets/sheet21.xml" Id="Rf4b5a12a0b764c46" /><Relationship Type="http://schemas.openxmlformats.org/officeDocument/2006/relationships/worksheet" Target="/xl/worksheets/sheet22.xml" Id="R1054c6f0501b4e5a" /><Relationship Type="http://schemas.openxmlformats.org/officeDocument/2006/relationships/worksheet" Target="/xl/worksheets/sheet23.xml" Id="Rbd2592b31a424566" /><Relationship Type="http://schemas.openxmlformats.org/officeDocument/2006/relationships/worksheet" Target="/xl/worksheets/sheet24.xml" Id="Rb4d9ba669e274a75" /><Relationship Type="http://schemas.openxmlformats.org/officeDocument/2006/relationships/worksheet" Target="/xl/worksheets/sheet25.xml" Id="R901eb4dacd794fd3" /><Relationship Type="http://schemas.openxmlformats.org/officeDocument/2006/relationships/worksheet" Target="/xl/worksheets/sheet26.xml" Id="Re8616134054846a6" /><Relationship Type="http://schemas.openxmlformats.org/officeDocument/2006/relationships/worksheet" Target="/xl/worksheets/sheet27.xml" Id="Rdaacc984776d4e8a" /><Relationship Type="http://schemas.openxmlformats.org/officeDocument/2006/relationships/worksheet" Target="/xl/worksheets/sheet28.xml" Id="R4b6c4243f06648a9" /><Relationship Type="http://schemas.openxmlformats.org/officeDocument/2006/relationships/worksheet" Target="/xl/worksheets/sheet29.xml" Id="R2596379c417f47f3" /><Relationship Type="http://schemas.openxmlformats.org/officeDocument/2006/relationships/worksheet" Target="/xl/worksheets/sheet30.xml" Id="Re5f9ae134b704c88" /><Relationship Type="http://schemas.openxmlformats.org/officeDocument/2006/relationships/worksheet" Target="/xl/worksheets/sheet31.xml" Id="Re069cf649806455c" /><Relationship Type="http://schemas.openxmlformats.org/officeDocument/2006/relationships/worksheet" Target="/xl/worksheets/sheet32.xml" Id="R824b53b616284ab5" /><Relationship Type="http://schemas.openxmlformats.org/officeDocument/2006/relationships/worksheet" Target="/xl/worksheets/sheet33.xml" Id="Rc8534293b2b34401" /><Relationship Type="http://schemas.openxmlformats.org/officeDocument/2006/relationships/worksheet" Target="/xl/worksheets/sheet34.xml" Id="Rd4b18be53f8b41b6" /><Relationship Type="http://schemas.openxmlformats.org/officeDocument/2006/relationships/worksheet" Target="/xl/worksheets/sheet35.xml" Id="R13ea7fd69841486d" /><Relationship Type="http://schemas.openxmlformats.org/officeDocument/2006/relationships/worksheet" Target="/xl/worksheets/sheet36.xml" Id="R01a9deb14e2949f4" /><Relationship Type="http://schemas.openxmlformats.org/officeDocument/2006/relationships/worksheet" Target="/xl/worksheets/sheet37.xml" Id="R391a4474c44148eb" /><Relationship Type="http://schemas.openxmlformats.org/officeDocument/2006/relationships/worksheet" Target="/xl/worksheets/sheet38.xml" Id="R6c36064d1d2b4d1c" /><Relationship Type="http://schemas.openxmlformats.org/officeDocument/2006/relationships/worksheet" Target="/xl/worksheets/sheet39.xml" Id="R6d1fb85618e14218" /><Relationship Type="http://schemas.openxmlformats.org/officeDocument/2006/relationships/worksheet" Target="/xl/worksheets/sheet40.xml" Id="Rf06ace9f425843db" /><Relationship Type="http://schemas.openxmlformats.org/officeDocument/2006/relationships/worksheet" Target="/xl/worksheets/sheet41.xml" Id="R5949b48668af429e" /><Relationship Type="http://schemas.openxmlformats.org/officeDocument/2006/relationships/worksheet" Target="/xl/worksheets/sheet42.xml" Id="R386689a4471147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Category</x:t>
        </x:is>
      </x:c>
      <x:c r="B1" s="1" t="inlineStr">
        <x:is>
          <x:t xml:space="preserve">Items Count</x:t>
        </x:is>
      </x:c>
      <x:c r="C1" s="1" t="inlineStr">
        <x:is>
          <x:t xml:space="preserve">Link</x:t>
        </x:is>
      </x:c>
    </x:row>
    <x:row r="2">
      <x:c r="A2" t="inlineStr">
        <x:is>
          <x:t xml:space="preserve">Adsorbents</x:t>
        </x:is>
      </x:c>
      <x:c r="B2" t="n">
        <x:v>4</x:v>
      </x:c>
      <x:c r="C2" t="e">
        <x:f>HYPERLINK("#'Adsorbents'!A1","Adsorbents")</x:f>
      </x:c>
    </x:row>
    <x:row r="3">
      <x:c r="A3" t="inlineStr">
        <x:is>
          <x:t xml:space="preserve">Antifungals</x:t>
        </x:is>
      </x:c>
      <x:c r="B3" t="n">
        <x:v>18</x:v>
      </x:c>
      <x:c r="C3" t="e">
        <x:f>HYPERLINK("#'Antifungals'!A1","Antifungals")</x:f>
      </x:c>
    </x:row>
    <x:row r="4">
      <x:c r="A4" t="inlineStr">
        <x:is>
          <x:t xml:space="preserve">Antiparasitics</x:t>
        </x:is>
      </x:c>
      <x:c r="B4" t="n">
        <x:v>8</x:v>
      </x:c>
      <x:c r="C4" t="e">
        <x:f>HYPERLINK("#'Antiparasitics'!A1","Antiparasitics")</x:f>
      </x:c>
    </x:row>
    <x:row r="5">
      <x:c r="A5" t="inlineStr">
        <x:is>
          <x:t xml:space="preserve">Antispasmodics</x:t>
        </x:is>
      </x:c>
      <x:c r="B5" t="n">
        <x:v>9</x:v>
      </x:c>
      <x:c r="C5" t="e">
        <x:f>HYPERLINK("#'Antispasmodics'!A1","Antispasmodics")</x:f>
      </x:c>
    </x:row>
    <x:row r="6">
      <x:c r="A6" t="inlineStr">
        <x:is>
          <x:t xml:space="preserve">Antivirals</x:t>
        </x:is>
      </x:c>
      <x:c r="B6" t="n">
        <x:v>13</x:v>
      </x:c>
      <x:c r="C6" t="e">
        <x:f>HYPERLINK("#'Antivirals'!A1","Antivirals")</x:f>
      </x:c>
    </x:row>
    <x:row r="7">
      <x:c r="A7" t="inlineStr">
        <x:is>
          <x:t xml:space="preserve">Artificial Tears</x:t>
        </x:is>
      </x:c>
      <x:c r="B7" t="n">
        <x:v>23</x:v>
      </x:c>
      <x:c r="C7" t="e">
        <x:f>HYPERLINK("#'Artificial Tears'!A1","Artificial Tears")</x:f>
      </x:c>
    </x:row>
    <x:row r="8">
      <x:c r="A8" t="inlineStr">
        <x:is>
          <x:t xml:space="preserve">Bronchodilators</x:t>
        </x:is>
      </x:c>
      <x:c r="B8" t="n">
        <x:v>9</x:v>
      </x:c>
      <x:c r="C8" t="e">
        <x:f>HYPERLINK("#'Bronchodilators'!A1","Bronchodilators")</x:f>
      </x:c>
    </x:row>
    <x:row r="9">
      <x:c r="A9" t="inlineStr">
        <x:is>
          <x:t xml:space="preserve">Carminatives</x:t>
        </x:is>
      </x:c>
      <x:c r="B9" t="n">
        <x:v>18</x:v>
      </x:c>
      <x:c r="C9" t="e">
        <x:f>HYPERLINK("#'Carminatives'!A1","Carminatives")</x:f>
      </x:c>
    </x:row>
    <x:row r="10">
      <x:c r="A10" t="inlineStr">
        <x:is>
          <x:t xml:space="preserve">Cough &amp; Expectorants</x:t>
        </x:is>
      </x:c>
      <x:c r="B10" t="n">
        <x:v>45</x:v>
      </x:c>
      <x:c r="C10" t="e">
        <x:f>HYPERLINK("#'Cough &amp; Expectorants'!A1","Cough &amp; Expectorants")</x:f>
      </x:c>
    </x:row>
    <x:row r="11">
      <x:c r="A11" t="inlineStr">
        <x:is>
          <x:t xml:space="preserve">Digestive Aids</x:t>
        </x:is>
      </x:c>
      <x:c r="B11" t="n">
        <x:v>5</x:v>
      </x:c>
      <x:c r="C11" t="e">
        <x:f>HYPERLINK("#'Digestive Aids'!A1","Digestive Aids")</x:f>
      </x:c>
    </x:row>
    <x:row r="12">
      <x:c r="A12" t="inlineStr">
        <x:is>
          <x:t xml:space="preserve">Dry Skin Creams</x:t>
        </x:is>
      </x:c>
      <x:c r="B12" t="n">
        <x:v>2</x:v>
      </x:c>
      <x:c r="C12" t="e">
        <x:f>HYPERLINK("#'Dry Skin Creams'!A1","Dry Skin Creams")</x:f>
      </x:c>
    </x:row>
    <x:row r="13">
      <x:c r="A13" t="inlineStr">
        <x:is>
          <x:t xml:space="preserve">Eczema &amp; Anti-itch</x:t>
        </x:is>
      </x:c>
      <x:c r="B13" t="n">
        <x:v>48</x:v>
      </x:c>
      <x:c r="C13" t="e">
        <x:f>HYPERLINK("#'Eczema &amp; Anti-itch'!A1","Eczema &amp; Anti-itch")</x:f>
      </x:c>
    </x:row>
    <x:row r="14">
      <x:c r="A14" t="inlineStr">
        <x:is>
          <x:t xml:space="preserve">General Analgesics</x:t>
        </x:is>
      </x:c>
      <x:c r="B14" t="n">
        <x:v>45</x:v>
      </x:c>
      <x:c r="C14" t="e">
        <x:f>HYPERLINK("#'General Analgesics'!A1","General Analgesics")</x:f>
      </x:c>
    </x:row>
    <x:row r="15">
      <x:c r="A15" t="inlineStr">
        <x:is>
          <x:t xml:space="preserve">Migraine Drugs</x:t>
        </x:is>
      </x:c>
      <x:c r="B15" t="n">
        <x:v>5</x:v>
      </x:c>
      <x:c r="C15" t="e">
        <x:f>HYPERLINK("#'Migraine Drugs'!A1","Migraine Drugs")</x:f>
      </x:c>
    </x:row>
    <x:row r="16">
      <x:c r="A16" t="inlineStr">
        <x:is>
          <x:t xml:space="preserve">Mouthwash</x:t>
        </x:is>
      </x:c>
      <x:c r="B16" t="n">
        <x:v>10</x:v>
      </x:c>
      <x:c r="C16" t="e">
        <x:f>HYPERLINK("#'Mouthwash'!A1","Mouthwash")</x:f>
      </x:c>
    </x:row>
    <x:row r="17">
      <x:c r="A17" t="inlineStr">
        <x:is>
          <x:t xml:space="preserve">Muscle Relaxants</x:t>
        </x:is>
      </x:c>
      <x:c r="B17" t="n">
        <x:v>14</x:v>
      </x:c>
      <x:c r="C17" t="e">
        <x:f>HYPERLINK("#'Muscle Relaxants'!A1","Muscle Relaxants")</x:f>
      </x:c>
    </x:row>
    <x:row r="18">
      <x:c r="A18" t="inlineStr">
        <x:is>
          <x:t xml:space="preserve">NSAIDs</x:t>
        </x:is>
      </x:c>
      <x:c r="B18" t="n">
        <x:v>33</x:v>
      </x:c>
      <x:c r="C18" t="e">
        <x:f>HYPERLINK("#'NSAIDs'!A1","NSAIDs")</x:f>
      </x:c>
    </x:row>
    <x:row r="19">
      <x:c r="A19" t="inlineStr">
        <x:is>
          <x:t xml:space="preserve">Normal Saline</x:t>
        </x:is>
      </x:c>
      <x:c r="B19" t="n">
        <x:v>8</x:v>
      </x:c>
      <x:c r="C19" t="e">
        <x:f>HYPERLINK("#'Normal Saline'!A1","Normal Saline")</x:f>
      </x:c>
    </x:row>
    <x:row r="20">
      <x:c r="A20" t="inlineStr">
        <x:is>
          <x:t xml:space="preserve">ORS-Electrolytes</x:t>
        </x:is>
      </x:c>
      <x:c r="B20" t="n">
        <x:v>1</x:v>
      </x:c>
      <x:c r="C20" t="e">
        <x:f>HYPERLINK("#'ORS-Electrolytes'!A1","ORS-Electrolytes")</x:f>
      </x:c>
    </x:row>
    <x:row r="21">
      <x:c r="A21" t="inlineStr">
        <x:is>
          <x:t xml:space="preserve">Other Antibiotics</x:t>
        </x:is>
      </x:c>
      <x:c r="B21" t="n">
        <x:v>19</x:v>
      </x:c>
      <x:c r="C21" t="e">
        <x:f>HYPERLINK("#'Other Antibiotics'!A1","Other Antibiotics")</x:f>
      </x:c>
    </x:row>
    <x:row r="22">
      <x:c r="A22" t="inlineStr">
        <x:is>
          <x:t xml:space="preserve">Respiratory Antibiotics</x:t>
        </x:is>
      </x:c>
      <x:c r="B22" t="n">
        <x:v>23</x:v>
      </x:c>
      <x:c r="C22" t="e">
        <x:f>HYPERLINK("#'Respiratory Antibiotics'!A1","Respiratory Antibiotics")</x:f>
      </x:c>
    </x:row>
    <x:row r="23">
      <x:c r="A23" t="inlineStr">
        <x:is>
          <x:t xml:space="preserve">Strong Pain Meds</x:t>
        </x:is>
      </x:c>
      <x:c r="B23" t="n">
        <x:v>1</x:v>
      </x:c>
      <x:c r="C23" t="e">
        <x:f>HYPERLINK("#'Strong Pain Meds'!A1","Strong Pain Meds")</x:f>
      </x:c>
    </x:row>
    <x:row r="24">
      <x:c r="A24" t="inlineStr">
        <x:is>
          <x:t xml:space="preserve">Topical Antibiotics</x:t>
        </x:is>
      </x:c>
      <x:c r="B24" t="n">
        <x:v>5</x:v>
      </x:c>
      <x:c r="C24" t="e">
        <x:f>HYPERLINK("#'Topical Antibiotics'!A1","Topical Antibiotics")</x:f>
      </x:c>
    </x:row>
    <x:row r="25">
      <x:c r="A25" t="inlineStr">
        <x:is>
          <x:t xml:space="preserve">Topical Pain Relief</x:t>
        </x:is>
      </x:c>
      <x:c r="B25" t="n">
        <x:v>41</x:v>
      </x:c>
      <x:c r="C25" t="e">
        <x:f>HYPERLINK("#'Topical Pain Relief'!A1","Topical Pain Relief")</x:f>
      </x:c>
    </x:row>
    <x:row r="26">
      <x:c r="A26" t="inlineStr">
        <x:is>
          <x:t xml:space="preserve">UTI Antibiotics</x:t>
        </x:is>
      </x:c>
      <x:c r="B26" t="n">
        <x:v>14</x:v>
      </x:c>
      <x:c r="C26" t="e">
        <x:f>HYPERLINK("#'UTI Antibiotics'!A1","UTI Antibiotics")</x:f>
      </x:c>
    </x:row>
    <x:row r="27">
      <x:c r="A27" t="inlineStr">
        <x:is>
          <x:t xml:space="preserve">Vaginal Antiparasitic</x:t>
        </x:is>
      </x:c>
      <x:c r="B27" t="n">
        <x:v>2</x:v>
      </x:c>
      <x:c r="C27" t="e">
        <x:f>HYPERLINK("#'Vaginal Antiparasitic'!A1","Vaginal Antiparasitic")</x:f>
      </x:c>
    </x:row>
    <x:row r="28">
      <x:c r="A28" t="inlineStr">
        <x:is>
          <x:t xml:space="preserve">Wart Treatment</x:t>
        </x:is>
      </x:c>
      <x:c r="B28" t="n">
        <x:v>3</x:v>
      </x:c>
      <x:c r="C28" t="e">
        <x:f>HYPERLINK("#'Wart Treatment'!A1","Wart Treatment")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42" customWidth="1"/>
    <x:col min="3" max="3" width="12" customWidth="1"/>
    <x:col min="4" max="4" width="12" customWidth="1"/>
  </x:cols>
  <x:sheetData>
    <x:row r="1" ht="24" customHeight="1">
      <x:c r="A1" s="2" t="inlineStr">
        <x:is>
          <x:t xml:space="preserve">My Doctor Clinic – Fast Prescribing Engine</x:t>
        </x:is>
      </x:c>
      <x:c r="B1" s="3" t="inlineStr">
        <x:is>
          <x:t xml:space="preserve"/>
        </x:is>
      </x:c>
      <x:c r="C1" s="3" t="inlineStr">
        <x:is>
          <x:t xml:space="preserve"/>
        </x:is>
      </x:c>
      <x:c r="D1" s="3" t="inlineStr">
        <x:is>
          <x:t xml:space="preserve"/>
        </x:is>
      </x:c>
    </x:row>
    <x:row r="2">
      <x:c r="A2" s="6" t="inlineStr">
        <x:is>
          <x:t xml:space="preserve">Status</x:t>
        </x:is>
      </x:c>
      <x:c r="B2" s="7" t="inlineStr">
        <x:is>
          <x:t xml:space="preserve">READY TO TEST (v6 top50 + GU/vaginal/derm/dental)</x:t>
        </x:is>
      </x:c>
      <x:c r="C2" s="6" t="inlineStr">
        <x:is>
          <x:t xml:space="preserve"/>
        </x:is>
      </x:c>
      <x:c r="D2" s="6" t="inlineStr">
        <x:is>
          <x:t xml:space="preserve"/>
        </x:is>
      </x:c>
    </x:row>
    <x:row r="3">
      <x:c r="A3" s="6" t="inlineStr">
        <x:is>
          <x:t xml:space="preserve">What this file is</x:t>
        </x:is>
      </x:c>
      <x:c r="B3" s="6" t="inlineStr">
        <x:is>
          <x:t xml:space="preserve">Working engine copy. Original raw source workbook remains unchanged.</x:t>
        </x:is>
      </x:c>
      <x:c r="C3" s="6" t="inlineStr">
        <x:is>
          <x:t xml:space="preserve"/>
        </x:is>
      </x:c>
      <x:c r="D3" s="6" t="inlineStr">
        <x:is>
          <x:t xml:space="preserve"/>
        </x:is>
      </x:c>
    </x:row>
    <x:row r="4">
      <x:c r="A4" s="6" t="inlineStr">
        <x:is>
          <x:t xml:space="preserve">Workflow</x:t>
        </x:is>
      </x:c>
      <x:c r="B4" s="6" t="inlineStr">
        <x:is>
          <x:t xml:space="preserve">1) Short input → 2) Complaint_Index → 3) Disease_Key → 4) Fast_Regimen_Master → 5) Drug_Master_Lookup only if needed</x:t>
        </x:is>
      </x:c>
      <x:c r="C4" s="6" t="inlineStr">
        <x:is>
          <x:t xml:space="preserve"/>
        </x:is>
      </x:c>
      <x:c r="D4" s="6" t="inlineStr">
        <x:is>
          <x:t xml:space="preserve"/>
        </x:is>
      </x:c>
    </x:row>
    <x:row r="5">
      <x:c r="A5" s="6" t="inlineStr">
        <x:is>
          <x:t xml:space="preserve">Pediatric rule</x:t>
        </x:is>
      </x:c>
      <x:c r="B5" s="6" t="inlineStr">
        <x:is>
          <x:t xml:space="preserve">Use Peds_Dose_Shortcuts only for true pediatric/age-weight logic. Current peds content is conservative starter-only.</x:t>
        </x:is>
      </x:c>
      <x:c r="C5" s="6" t="inlineStr">
        <x:is>
          <x:t xml:space="preserve"/>
        </x:is>
      </x:c>
      <x:c r="D5" s="6" t="inlineStr">
        <x:is>
          <x:t xml:space="preserve"/>
        </x:is>
      </x:c>
    </x:row>
    <x:row r="6">
      <x:c r="A6" s="6" t="inlineStr">
        <x:is>
          <x:t xml:space="preserve">Current common disease keys loaded</x:t>
        </x:is>
      </x:c>
      <x:c r="B6" s="6" t="inlineStr">
        <x:is>
          <x:t xml:space="preserve"/>
        </x:is>
      </x:c>
      <x:c r="C6" s="6" t="inlineStr">
        <x:is>
          <x:t xml:space="preserve"/>
        </x:is>
      </x:c>
      <x:c r="D6" s="6" t="inlineStr">
        <x:is>
          <x:t xml:space="preserve"/>
        </x:is>
      </x:c>
    </x:row>
    <x:row r="7">
      <x:c r="A7" s="8" t="inlineStr">
        <x:is>
          <x:t xml:space="preserve">Disease_Key</x:t>
        </x:is>
      </x:c>
      <x:c r="B7" s="6" t="inlineStr">
        <x:is>
          <x:t xml:space="preserve">acute_watery_diarrhea_adult</x:t>
        </x:is>
      </x:c>
      <x:c r="C7" s="6" t="inlineStr">
        <x:is>
          <x:t xml:space="preserve"/>
        </x:is>
      </x:c>
      <x:c r="D7" s="6" t="inlineStr">
        <x:is>
          <x:t xml:space="preserve"/>
        </x:is>
      </x:c>
    </x:row>
    <x:row r="8">
      <x:c r="A8" s="8" t="inlineStr">
        <x:is>
          <x:t xml:space="preserve">Disease_Key</x:t>
        </x:is>
      </x:c>
      <x:c r="B8" s="6" t="inlineStr">
        <x:is>
          <x:t xml:space="preserve">acute_watery_diarrhea_peds</x:t>
        </x:is>
      </x:c>
      <x:c r="C8" s="6" t="inlineStr">
        <x:is>
          <x:t xml:space="preserve"/>
        </x:is>
      </x:c>
      <x:c r="D8" s="6" t="inlineStr">
        <x:is>
          <x:t xml:space="preserve"/>
        </x:is>
      </x:c>
    </x:row>
    <x:row r="9">
      <x:c r="A9" s="8" t="inlineStr">
        <x:is>
          <x:t xml:space="preserve">Disease_Key</x:t>
        </x:is>
      </x:c>
      <x:c r="B9" s="6" t="inlineStr">
        <x:is>
          <x:t xml:space="preserve">allergic_rhinitis_adult</x:t>
        </x:is>
      </x:c>
      <x:c r="C9" s="6" t="inlineStr">
        <x:is>
          <x:t xml:space="preserve"/>
        </x:is>
      </x:c>
      <x:c r="D9" s="6" t="inlineStr">
        <x:is>
          <x:t xml:space="preserve"/>
        </x:is>
      </x:c>
    </x:row>
    <x:row r="10">
      <x:c r="A10" s="8" t="inlineStr">
        <x:is>
          <x:t xml:space="preserve">Disease_Key</x:t>
        </x:is>
      </x:c>
      <x:c r="B10" s="6" t="inlineStr">
        <x:is>
          <x:t xml:space="preserve">dry_eye_adult</x:t>
        </x:is>
      </x:c>
      <x:c r="C10" s="6" t="inlineStr">
        <x:is>
          <x:t xml:space="preserve"/>
        </x:is>
      </x:c>
      <x:c r="D10" s="6" t="inlineStr">
        <x:is>
          <x:t xml:space="preserve"/>
        </x:is>
      </x:c>
    </x:row>
    <x:row r="11">
      <x:c r="A11" s="8" t="inlineStr">
        <x:is>
          <x:t xml:space="preserve">Disease_Key</x:t>
        </x:is>
      </x:c>
      <x:c r="B11" s="6" t="inlineStr">
        <x:is>
          <x:t xml:space="preserve">eye_irritation_adult</x:t>
        </x:is>
      </x:c>
      <x:c r="C11" s="6" t="inlineStr">
        <x:is>
          <x:t xml:space="preserve"/>
        </x:is>
      </x:c>
      <x:c r="D11" s="6" t="inlineStr">
        <x:is>
          <x:t xml:space="preserve"/>
        </x:is>
      </x:c>
    </x:row>
    <x:row r="12">
      <x:c r="A12" s="8" t="inlineStr">
        <x:is>
          <x:t xml:space="preserve">Disease_Key</x:t>
        </x:is>
      </x:c>
      <x:c r="B12" s="6" t="inlineStr">
        <x:is>
          <x:t xml:space="preserve">migraine_adult</x:t>
        </x:is>
      </x:c>
      <x:c r="C12" s="6" t="inlineStr">
        <x:is>
          <x:t xml:space="preserve"/>
        </x:is>
      </x:c>
      <x:c r="D12" s="6" t="inlineStr">
        <x:is>
          <x:t xml:space="preserve"/>
        </x:is>
      </x:c>
    </x:row>
    <x:row r="13">
      <x:c r="A13" s="8" t="inlineStr">
        <x:is>
          <x:t xml:space="preserve">Disease_Key</x:t>
        </x:is>
      </x:c>
      <x:c r="B13" s="6" t="inlineStr">
        <x:is>
          <x:t xml:space="preserve">musculoskeletal_pain_adult</x:t>
        </x:is>
      </x:c>
      <x:c r="C13" s="6" t="inlineStr">
        <x:is>
          <x:t xml:space="preserve"/>
        </x:is>
      </x:c>
      <x:c r="D13" s="6" t="inlineStr">
        <x:is>
          <x:t xml:space="preserve"/>
        </x:is>
      </x:c>
    </x:row>
    <x:row r="14">
      <x:c r="A14" s="8" t="inlineStr">
        <x:is>
          <x:t xml:space="preserve">Disease_Key</x:t>
        </x:is>
      </x:c>
      <x:c r="B14" s="6" t="inlineStr">
        <x:is>
          <x:t xml:space="preserve">oral_ulcer_adult</x:t>
        </x:is>
      </x:c>
      <x:c r="C14" s="6" t="inlineStr">
        <x:is>
          <x:t xml:space="preserve"/>
        </x:is>
      </x:c>
      <x:c r="D14" s="6" t="inlineStr">
        <x:is>
          <x:t xml:space="preserve"/>
        </x:is>
      </x:c>
    </x:row>
    <x:row r="15">
      <x:c r="A15" s="8" t="inlineStr">
        <x:is>
          <x:t xml:space="preserve">Disease_Key</x:t>
        </x:is>
      </x:c>
      <x:c r="B15" s="6" t="inlineStr">
        <x:is>
          <x:t xml:space="preserve">sore_throat_adult</x:t>
        </x:is>
      </x:c>
      <x:c r="C15" s="6" t="inlineStr">
        <x:is>
          <x:t xml:space="preserve"/>
        </x:is>
      </x:c>
      <x:c r="D15" s="6" t="inlineStr">
        <x:is>
          <x:t xml:space="preserve"/>
        </x:is>
      </x:c>
    </x:row>
    <x:row r="16">
      <x:c r="A16" s="8" t="inlineStr">
        <x:is>
          <x:t xml:space="preserve">Disease_Key</x:t>
        </x:is>
      </x:c>
      <x:c r="B16" s="6" t="inlineStr">
        <x:is>
          <x:t xml:space="preserve">uri_diarrhea_adult</x:t>
        </x:is>
      </x:c>
      <x:c r="C16" s="6" t="inlineStr">
        <x:is>
          <x:t xml:space="preserve"/>
        </x:is>
      </x:c>
      <x:c r="D16" s="6" t="inlineStr">
        <x:is>
          <x:t xml:space="preserve"/>
        </x:is>
      </x:c>
    </x:row>
    <x:row r="17">
      <x:c r="A17" s="8" t="inlineStr">
        <x:is>
          <x:t xml:space="preserve">Disease_Key</x:t>
        </x:is>
      </x:c>
      <x:c r="B17" s="6" t="inlineStr">
        <x:is>
          <x:t xml:space="preserve">uri_dry_cough_adult</x:t>
        </x:is>
      </x:c>
      <x:c r="C17" s="6" t="inlineStr">
        <x:is>
          <x:t xml:space="preserve"/>
        </x:is>
      </x:c>
      <x:c r="D17" s="6" t="inlineStr">
        <x:is>
          <x:t xml:space="preserve"/>
        </x:is>
      </x:c>
    </x:row>
    <x:row r="18">
      <x:c r="A18" s="8" t="inlineStr">
        <x:is>
          <x:t xml:space="preserve">Disease_Key</x:t>
        </x:is>
      </x:c>
      <x:c r="B18" s="6" t="inlineStr">
        <x:is>
          <x:t xml:space="preserve">uri_rash_adult</x:t>
        </x:is>
      </x:c>
      <x:c r="C18" s="6" t="inlineStr">
        <x:is>
          <x:t xml:space="preserve"/>
        </x:is>
      </x:c>
      <x:c r="D18" s="6" t="inlineStr">
        <x:is>
          <x:t xml:space="preserve"/>
        </x:is>
      </x:c>
    </x:row>
    <x:row r="19">
      <x:c r="A19" s="8" t="inlineStr">
        <x:is>
          <x:t xml:space="preserve">Disease_Key</x:t>
        </x:is>
      </x:c>
      <x:c r="B19" s="6" t="inlineStr">
        <x:is>
          <x:t xml:space="preserve">uri_wet_cough_adult</x:t>
        </x:is>
      </x:c>
      <x:c r="C19" s="6" t="inlineStr">
        <x:is>
          <x:t xml:space="preserve"/>
        </x:is>
      </x:c>
      <x:c r="D19" s="6" t="inlineStr">
        <x:is>
          <x:t xml:space="preserve"/>
        </x:is>
      </x:c>
    </x:row>
    <x:row r="20">
      <x:c r="A20" s="8" t="inlineStr">
        <x:is>
          <x:t xml:space="preserve">Disease_Key</x:t>
        </x:is>
      </x:c>
      <x:c r="B20" s="6" t="inlineStr">
        <x:is>
          <x:t xml:space="preserve">vertigo_adult</x:t>
        </x:is>
      </x:c>
      <x:c r="C20" s="6" t="inlineStr">
        <x:is>
          <x:t xml:space="preserve"/>
        </x:is>
      </x:c>
      <x:c r="D20" s="6" t="inlineStr">
        <x:is>
          <x:t xml:space="preserve"/>
        </x:is>
      </x:c>
    </x:row>
    <x:row r="21">
      <x:c r="A21" s="6" t="n"/>
      <x:c r="B21" s="6" t="n"/>
      <x:c r="C21" s="6" t="n"/>
      <x:c r="D21" s="6" t="n"/>
    </x:row>
    <x:row r="22">
      <x:c r="A22" s="6" t="inlineStr">
        <x:is>
          <x:t xml:space="preserve">How to use now</x:t>
        </x:is>
      </x:c>
      <x:c r="B22" s="6" t="inlineStr">
        <x:is>
          <x:t xml:space="preserve">Type a short complaint, find it in Complaint_Index, then pull the matching regimen row from Fast_Regimen_Master.</x:t>
        </x:is>
      </x:c>
      <x:c r="C22" s="6" t="inlineStr">
        <x:is>
          <x:t xml:space="preserve"/>
        </x:is>
      </x:c>
      <x:c r="D22" s="6" t="inlineStr">
        <x:is>
          <x:t xml:space="preserve"/>
        </x:is>
      </x:c>
    </x:row>
    <x:row r="23">
      <x:c r="A23" s="6" t="inlineStr">
        <x:is>
          <x:t xml:space="preserve">Example inputs</x:t>
        </x:is>
      </x:c>
      <x:c r="B23" s="6" t="inlineStr">
        <x:is>
          <x:t xml:space="preserve">allergic rhinitis / uri with wet cough / uri with diarrhea / uri with rash / sore throat / dry eye / migraine / vertigo</x:t>
        </x:is>
      </x:c>
      <x:c r="C23" s="6" t="inlineStr">
        <x:is>
          <x:t xml:space="preserve"/>
        </x:is>
      </x:c>
      <x:c r="D23" s="6" t="inlineStr">
        <x:is>
          <x:t xml:space="preserve"/>
        </x:is>
      </x:c>
    </x:row>
    <x:row r="24">
      <x:c r="A24" s="6" t="inlineStr">
        <x:is>
          <x:t xml:space="preserve">Backup rule</x:t>
        </x:is>
      </x:c>
      <x:c r="B24" s="6" t="inlineStr">
        <x:is>
          <x:t xml:space="preserve">If BDS, price, or caution is blank in regimen row, check Drug_Master_Lookup.</x:t>
        </x:is>
      </x:c>
      <x:c r="C24" s="6" t="inlineStr">
        <x:is>
          <x:t xml:space="preserve"/>
        </x:is>
      </x:c>
      <x:c r="D24" s="6" t="inlineStr">
        <x:is>
          <x:t xml:space="preserve"/>
        </x:is>
      </x:c>
    </x:row>
    <x:row r="25">
      <x:c r="A25" s="6" t="inlineStr">
        <x:is>
          <x:t xml:space="preserve">Antibiotic rule</x:t>
        </x:is>
      </x:c>
      <x:c r="B25" s="6" t="inlineStr">
        <x:is>
          <x:t xml:space="preserve">Do not use antibiotics routinely for viral URI, allergic conditions, or simple watery diarrhea.</x:t>
        </x:is>
      </x:c>
      <x:c r="C25" s="6" t="inlineStr">
        <x:is>
          <x:t xml:space="preserve"/>
        </x:is>
      </x:c>
      <x:c r="D25" s="6" t="inlineStr">
        <x:is>
          <x:t xml:space="preserve"/>
        </x:is>
      </x:c>
    </x:row>
    <x:row r="27">
      <x:c r="A27" t="inlineStr">
        <x:is>
          <x:t xml:space="preserve">Expansion update</x:t>
        </x:is>
      </x:c>
      <x:c r="B27" t="inlineStr">
        <x:is>
          <x:t xml:space="preserve">Added top-50 clinic view + GU/vaginal/derm/dental batch on 2026-03-08</x:t>
        </x:is>
      </x:c>
    </x:row>
    <x:row r="28">
      <x:c r="A28" t="inlineStr">
        <x:is>
          <x:t xml:space="preserve">Current row counts</x:t>
        </x:is>
      </x:c>
      <x:c r="B28" t="inlineStr">
        <x:is>
          <x:t xml:space="preserve">Complaint_Index=391; Fast_Regimen_Master=133; Drug_Master_Lookup=79; Engine_Test=134; Top_50_Defaults=50</x:t>
        </x:is>
      </x:c>
    </x:row>
    <x:row r="29">
      <x:c r="A29" t="inlineStr">
        <x:is>
          <x:t xml:space="preserve">Note on antibiotics</x:t>
        </x:is>
      </x:c>
      <x:c r="B29" t="inlineStr">
        <x:is>
          <x:t xml:space="preserve">Bacterial rows were added conservatively and should still be used only when the clinical pattern supports bacterial disease.</x:t>
        </x:is>
      </x:c>
    </x:row>
    <x:row r="30">
      <x:c r="A30" t="inlineStr">
        <x:is>
          <x:t xml:space="preserve">Peds note</x:t>
        </x:is>
      </x:c>
      <x:c r="B30" t="inlineStr">
        <x:is>
          <x:t xml:space="preserve">New pediatric rows are still starter/conservative and rely on label-based shortcuts where full weight-based logic is not yet encoded.</x:t>
        </x:is>
      </x:c>
    </x:row>
    <x:row r="31">
      <x:c r="A31" t="inlineStr">
        <x:is>
          <x:t xml:space="preserve">Clinic helper views</x:t>
        </x:is>
      </x:c>
      <x:c r="B31" t="inlineStr">
        <x:is>
          <x:t xml:space="preserve">Use Clinic_Defaults for daily fast use; use Antibiotic_Rows when you specifically need bacterial/antibiotic rows.</x:t>
        </x:is>
      </x:c>
    </x:row>
    <x:row r="32">
      <x:c r="A32" t="inlineStr">
        <x:is>
          <x:t xml:space="preserve">Clinic note</x:t>
        </x:is>
      </x:c>
      <x:c r="B32" t="inlineStr">
        <x:is>
          <x:t xml:space="preserve">Use Top_50_Defaults for the quickest routine clinic workflow; use Clinic_Defaults or Antibiotic_Rows only when you need broader coverage.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6" customWidth="1"/>
    <x:col min="3" max="3" width="38" customWidth="1"/>
    <x:col min="4" max="4" width="17" customWidth="1"/>
    <x:col min="5" max="5" width="12" customWidth="1"/>
    <x:col min="6" max="6" width="15" customWidth="1"/>
    <x:col min="7" max="7" width="38" customWidth="1"/>
    <x:col min="8" max="8" width="38" customWidth="1"/>
    <x:col min="9" max="9" width="38" customWidth="1"/>
    <x:col min="10" max="10" width="38" customWidth="1"/>
    <x:col min="11" max="11" width="38" customWidth="1"/>
    <x:col min="12" max="12" width="38" customWidth="1"/>
    <x:col min="13" max="13" width="38" customWidth="1"/>
  </x:cols>
  <x:sheetData>
    <x:row r="1">
      <x:c r="A1" s="3" t="inlineStr">
        <x:is>
          <x:t xml:space="preserve">Regimen_ID</x:t>
        </x:is>
      </x:c>
      <x:c r="B1" s="3" t="inlineStr">
        <x:is>
          <x:t xml:space="preserve">Disease_Key</x:t>
        </x:is>
      </x:c>
      <x:c r="C1" s="3" t="inlineStr">
        <x:is>
          <x:t xml:space="preserve">Disease_Name</x:t>
        </x:is>
      </x:c>
      <x:c r="D1" s="3" t="inlineStr">
        <x:is>
          <x:t xml:space="preserve">Complaint_Group</x:t>
        </x:is>
      </x:c>
      <x:c r="E1" s="3" t="inlineStr">
        <x:is>
          <x:t xml:space="preserve">Age_Group</x:t>
        </x:is>
      </x:c>
      <x:c r="F1" s="3" t="inlineStr">
        <x:is>
          <x:t xml:space="preserve">ICD10_Primary</x:t>
        </x:is>
      </x:c>
      <x:c r="G1" s="3" t="inlineStr">
        <x:is>
          <x:t xml:space="preserve">Use_When</x:t>
        </x:is>
      </x:c>
      <x:c r="H1" s="3" t="inlineStr">
        <x:is>
          <x:t xml:space="preserve">RX1</x:t>
        </x:is>
      </x:c>
      <x:c r="I1" s="3" t="inlineStr">
        <x:is>
          <x:t xml:space="preserve">RX2</x:t>
        </x:is>
      </x:c>
      <x:c r="J1" s="3" t="inlineStr">
        <x:is>
          <x:t xml:space="preserve">RX3</x:t>
        </x:is>
      </x:c>
      <x:c r="K1" s="3" t="inlineStr">
        <x:is>
          <x:t xml:space="preserve">RX4</x:t>
        </x:is>
      </x:c>
      <x:c r="L1" s="3" t="inlineStr">
        <x:is>
          <x:t xml:space="preserve">SWAP1</x:t>
        </x:is>
      </x:c>
      <x:c r="M1" s="3" t="inlineStr">
        <x:is>
          <x:t xml:space="preserve">Red_Flags_One_Line</x:t>
        </x:is>
      </x:c>
    </x:row>
    <x:row r="2">
      <x:c r="A2" t="inlineStr">
        <x:is>
          <x:t xml:space="preserve">FRM0001</x:t>
        </x:is>
      </x:c>
      <x:c r="B2" t="inlineStr">
        <x:is>
          <x:t xml:space="preserve">allergic_rhinitis_adult</x:t>
        </x:is>
      </x:c>
      <x:c r="C2" t="inlineStr">
        <x:is>
          <x:t xml:space="preserve">Allergic rhinitis</x:t>
        </x:is>
      </x:c>
      <x:c r="D2" t="inlineStr">
        <x:is>
          <x:t xml:space="preserve">ENT</x:t>
        </x:is>
      </x:c>
      <x:c r="E2" t="inlineStr">
        <x:is>
          <x:t xml:space="preserve">adult</x:t>
        </x:is>
      </x:c>
      <x:c r="F2" t="inlineStr">
        <x:is>
          <x:t xml:space="preserve">J30.9</x:t>
        </x:is>
      </x:c>
      <x:c r="G2" t="inlineStr">
        <x:is>
          <x:t xml:space="preserve">uncomplicated outpatient rhinitis</x:t>
        </x:is>
      </x:c>
      <x:c r="H2" t="inlineStr">
        <x:is>
          <x:t xml:space="preserve">Zyrtec [Cetirizine dihydrochloride 10 mg.]</x:t>
        </x:is>
      </x:c>
      <x:c r="I2" t="inlineStr">
        <x:is>
          <x:t xml:space="preserve">Nasonex 60 doses [Mometasone Furoate Monohydrate (eq. to Mometasone Furoate 50 mcg/dose)+Preservative (Benzalkonium Chloride 0.2 mg/g)]</x:t>
        </x:is>
      </x:c>
      <x:c r="L2" t="inlineStr">
        <x:is>
          <x:t xml:space="preserve">Telfast 180 mg [Fexofenadine HCl 180 mg.]</x:t>
        </x:is>
      </x:c>
      <x:c r="M2" t="inlineStr">
        <x:is>
          <x:t xml:space="preserve">Needs in-person eval today if dyspnea, facial swelling, high fever, or severe sinus pain</x:t>
        </x:is>
      </x:c>
    </x:row>
    <x:row r="3">
      <x:c r="A3" t="inlineStr">
        <x:is>
          <x:t xml:space="preserve">FRM0002</x:t>
        </x:is>
      </x:c>
      <x:c r="B3" t="inlineStr">
        <x:is>
          <x:t xml:space="preserve">uri_wet_cough_adult</x:t>
        </x:is>
      </x:c>
      <x:c r="C3" t="inlineStr">
        <x:is>
          <x:t xml:space="preserve">Acute viral URI with productive cough</x:t>
        </x:is>
      </x:c>
      <x:c r="D3" t="inlineStr">
        <x:is>
          <x:t xml:space="preserve">ENT</x:t>
        </x:is>
      </x:c>
      <x:c r="E3" t="inlineStr">
        <x:is>
          <x:t xml:space="preserve">adult</x:t>
        </x:is>
      </x:c>
      <x:c r="F3" t="inlineStr">
        <x:is>
          <x:t xml:space="preserve">J06.9</x:t>
        </x:is>
      </x:c>
      <x:c r="G3" t="inlineStr">
        <x:is>
          <x:t xml:space="preserve">uncomplicated URI with sputum</x:t>
        </x:is>
      </x:c>
      <x:c r="H3" t="inlineStr">
        <x:is>
          <x:t xml:space="preserve">Tylenol 500 mg strip 10s [Paracetamol 500 mg.]</x:t>
        </x:is>
      </x:c>
      <x:c r="I3" t="inlineStr">
        <x:is>
          <x:t xml:space="preserve">Nasotapp [Brompheniramine Maleate 4 mg.+Phenylephrine HCl 10 mg.]</x:t>
        </x:is>
      </x:c>
      <x:c r="J3" t="inlineStr">
        <x:is>
          <x:t xml:space="preserve">Mucolid [Ambroxol HCl 30 mg.]</x:t>
        </x:is>
      </x:c>
      <x:c r="L3" t="inlineStr">
        <x:is>
          <x:t xml:space="preserve">Nac Long [Acetylcysteine 600 mg.]</x:t>
        </x:is>
      </x:c>
      <x:c r="M3" t="inlineStr">
        <x:is>
          <x:t xml:space="preserve">Avoid routine antibiotics; Needs in-person eval today if dyspnea, chest pain, or persistent high fever</x:t>
        </x:is>
      </x:c>
    </x:row>
    <x:row r="4">
      <x:c r="A4" t="inlineStr">
        <x:is>
          <x:t xml:space="preserve">FRM0003</x:t>
        </x:is>
      </x:c>
      <x:c r="B4" t="inlineStr">
        <x:is>
          <x:t xml:space="preserve">uri_diarrhea_adult</x:t>
        </x:is>
      </x:c>
      <x:c r="C4" t="inlineStr">
        <x:is>
          <x:t xml:space="preserve">Acute viral URI with acute infectious diarrhea</x:t>
        </x:is>
      </x:c>
      <x:c r="D4" t="inlineStr">
        <x:is>
          <x:t xml:space="preserve">Mixed</x:t>
        </x:is>
      </x:c>
      <x:c r="E4" t="inlineStr">
        <x:is>
          <x:t xml:space="preserve">adult</x:t>
        </x:is>
      </x:c>
      <x:c r="F4" t="inlineStr">
        <x:is>
          <x:t xml:space="preserve">J06.9</x:t>
        </x:is>
      </x:c>
      <x:c r="G4" t="inlineStr">
        <x:is>
          <x:t xml:space="preserve">uncomplicated mixed viral syndrome</x:t>
        </x:is>
      </x:c>
      <x:c r="H4" t="inlineStr">
        <x:is>
          <x:t xml:space="preserve">Tylenol 500 mg strip 10s [Paracetamol 500 mg.]</x:t>
        </x:is>
      </x:c>
      <x:c r="I4" t="inlineStr">
        <x:is>
          <x:t xml:space="preserve">Zyrtec [Cetirizine dihydrochloride 10 mg.]</x:t>
        </x:is>
      </x:c>
      <x:c r="J4" t="inlineStr">
        <x:is>
          <x:t xml:space="preserve">Cera ORS รสส้ม [Glucose Anhydrous 3 g.+Sodium Chloride 0.53 g.+Potassium Chloride 0.23 g.+Sodium Citrate Dihydrate 0.44 g.]</x:t>
        </x:is>
      </x:c>
      <x:c r="K4" t="inlineStr">
        <x:is>
          <x:t xml:space="preserve">Bioflor [Lyophilized Saccharomyces boulardii 250 mg.]</x:t>
        </x:is>
      </x:c>
      <x:c r="L4" t="inlineStr">
        <x:is>
          <x:t xml:space="preserve">Dehecta [Dioctahedral Smectite 3 g./20 ml.]</x:t>
        </x:is>
      </x:c>
      <x:c r="M4" t="inlineStr">
        <x:is>
          <x:t xml:space="preserve">Avoid routine antibiotics; Needs in-person eval today if dehydration, bloody stool, dyspnea, or severe abdominal pain</x:t>
        </x:is>
      </x:c>
    </x:row>
    <x:row r="5">
      <x:c r="A5" t="inlineStr">
        <x:is>
          <x:t xml:space="preserve">FRM0004</x:t>
        </x:is>
      </x:c>
      <x:c r="B5" t="inlineStr">
        <x:is>
          <x:t xml:space="preserve">acute_watery_diarrhea_adult</x:t>
        </x:is>
      </x:c>
      <x:c r="C5" t="inlineStr">
        <x:is>
          <x:t xml:space="preserve">Acute infectious diarrhea / viral gastroenteritis</x:t>
        </x:is>
      </x:c>
      <x:c r="D5" t="inlineStr">
        <x:is>
          <x:t xml:space="preserve">GI</x:t>
        </x:is>
      </x:c>
      <x:c r="E5" t="inlineStr">
        <x:is>
          <x:t xml:space="preserve">adult</x:t>
        </x:is>
      </x:c>
      <x:c r="F5" t="inlineStr">
        <x:is>
          <x:t xml:space="preserve">A09</x:t>
        </x:is>
      </x:c>
      <x:c r="G5" t="inlineStr">
        <x:is>
          <x:t xml:space="preserve">simple acute watery diarrhea outpatient case</x:t>
        </x:is>
      </x:c>
      <x:c r="H5" t="inlineStr">
        <x:is>
          <x:t xml:space="preserve">Cera ORS รสส้ม [Glucose Anhydrous 3 g.+Sodium Chloride 0.53 g.+Potassium Chloride 0.23 g.+Sodium Citrate Dihydrate 0.44 g.]</x:t>
        </x:is>
      </x:c>
      <x:c r="I5" t="inlineStr">
        <x:is>
          <x:t xml:space="preserve">Bioflor [Lyophilized Saccharomyces boulardii 250 mg.]</x:t>
        </x:is>
      </x:c>
      <x:c r="L5" t="inlineStr">
        <x:is>
          <x:t xml:space="preserve">Dehecta [Dioctahedral Smectite 3 g./20 ml.]</x:t>
        </x:is>
      </x:c>
      <x:c r="M5" t="inlineStr">
        <x:is>
          <x:t xml:space="preserve">Needs in-person eval today if dehydration, bloody stool, severe abdominal pain, or persistent vomiting</x:t>
        </x:is>
      </x:c>
    </x:row>
    <x:row r="6">
      <x:c r="A6" t="inlineStr">
        <x:is>
          <x:t xml:space="preserve">FRM0005</x:t>
        </x:is>
      </x:c>
      <x:c r="B6" t="inlineStr">
        <x:is>
          <x:t xml:space="preserve">uri_rash_adult</x:t>
        </x:is>
      </x:c>
      <x:c r="C6" t="inlineStr">
        <x:is>
          <x:t xml:space="preserve">Acute viral URI with viral/allergic rash</x:t>
        </x:is>
      </x:c>
      <x:c r="D6" t="inlineStr">
        <x:is>
          <x:t xml:space="preserve">Mixed</x:t>
        </x:is>
      </x:c>
      <x:c r="E6" t="inlineStr">
        <x:is>
          <x:t xml:space="preserve">adult</x:t>
        </x:is>
      </x:c>
      <x:c r="F6" t="inlineStr">
        <x:is>
          <x:t xml:space="preserve">J06.9</x:t>
        </x:is>
      </x:c>
      <x:c r="G6" t="inlineStr">
        <x:is>
          <x:t xml:space="preserve">uncomplicated viral/allergic rash with URI</x:t>
        </x:is>
      </x:c>
      <x:c r="H6" t="inlineStr">
        <x:is>
          <x:t xml:space="preserve">Tylenol 500 mg strip 10s [Paracetamol 500 mg.]</x:t>
        </x:is>
      </x:c>
      <x:c r="I6" t="inlineStr">
        <x:is>
          <x:t xml:space="preserve">Zyrtec [Cetirizine dihydrochloride 10 mg.]</x:t>
        </x:is>
      </x:c>
      <x:c r="J6" t="inlineStr">
        <x:is>
          <x:t xml:space="preserve">Antergan Cream [Hydrocortisone Acetate 5 mg+Mepyramine Maleate 20 mg/1 g]</x:t>
        </x:is>
      </x:c>
      <x:c r="L6" t="inlineStr">
        <x:is>
          <x:t xml:space="preserve">Telfast 180 mg [Fexofenadine HCl 180 mg.]</x:t>
        </x:is>
      </x:c>
      <x:c r="M6" t="inlineStr">
        <x:is>
          <x:t xml:space="preserve">Needs in-person eval today if non-blanching rash, mucosal sores, facial swelling/SOB, or rapidly spreading painful rash</x:t>
        </x:is>
      </x:c>
    </x:row>
    <x:row r="7">
      <x:c r="A7" t="inlineStr">
        <x:is>
          <x:t xml:space="preserve">FRM0006</x:t>
        </x:is>
      </x:c>
      <x:c r="B7" t="inlineStr">
        <x:is>
          <x:t xml:space="preserve">sore_throat_adult</x:t>
        </x:is>
      </x:c>
      <x:c r="C7" t="inlineStr">
        <x:is>
          <x:t xml:space="preserve">Acute sore throat / pharyngeal irritation</x:t>
        </x:is>
      </x:c>
      <x:c r="D7" t="inlineStr">
        <x:is>
          <x:t xml:space="preserve">ENT</x:t>
        </x:is>
      </x:c>
      <x:c r="E7" t="inlineStr">
        <x:is>
          <x:t xml:space="preserve">adult</x:t>
        </x:is>
      </x:c>
      <x:c r="F7" t="inlineStr">
        <x:is>
          <x:t xml:space="preserve">J02.9</x:t>
        </x:is>
      </x:c>
      <x:c r="G7" t="inlineStr">
        <x:is>
          <x:t xml:space="preserve">simple sore throat / irritation outpatient case</x:t>
        </x:is>
      </x:c>
      <x:c r="H7" t="inlineStr">
        <x:is>
          <x:t xml:space="preserve">Tylenol 500 mg strip 10s [Paracetamol 500 mg.]</x:t>
        </x:is>
      </x:c>
      <x:c r="I7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L7" t="inlineStr">
        <x:is>
          <x:t xml:space="preserve">Difflam Forte Spray [Benzydamine Hydrochloride 3 mg.+Ethanol+Saccharin Sodium+Methyl Hydroxybenzoate+Glycerol+PEG-40 Hydrogenated castor oil/ml.]</x:t>
        </x:is>
      </x:c>
      <x:c r="M7" t="inlineStr">
        <x:is>
          <x:t xml:space="preserve">Avoid routine antibiotics; Needs in-person eval today if drooling, muffled voice, dyspnea, or inability to swallow fluids</x:t>
        </x:is>
      </x:c>
    </x:row>
    <x:row r="8">
      <x:c r="A8" t="inlineStr">
        <x:is>
          <x:t xml:space="preserve">FRM0007</x:t>
        </x:is>
      </x:c>
      <x:c r="B8" t="inlineStr">
        <x:is>
          <x:t xml:space="preserve">dry_eye_adult</x:t>
        </x:is>
      </x:c>
      <x:c r="C8" t="inlineStr">
        <x:is>
          <x:t xml:space="preserve">Symptomatic dry eye syndrome</x:t>
        </x:is>
      </x:c>
      <x:c r="D8" t="inlineStr">
        <x:is>
          <x:t xml:space="preserve">Eye</x:t>
        </x:is>
      </x:c>
      <x:c r="E8" t="inlineStr">
        <x:is>
          <x:t xml:space="preserve">adult</x:t>
        </x:is>
      </x:c>
      <x:c r="F8" t="inlineStr">
        <x:is>
          <x:t xml:space="preserve">H04.129</x:t>
        </x:is>
      </x:c>
      <x:c r="G8" t="inlineStr">
        <x:is>
          <x:t xml:space="preserve">primary dry eye / screen-related irritation without red flags</x:t>
        </x:is>
      </x:c>
      <x:c r="H8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L8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M8" t="inlineStr">
        <x:is>
          <x:t xml:space="preserve">Needs in-person eval today if eye pain, photophobia, vision loss, or contact-lens related red eye</x:t>
        </x:is>
      </x:c>
    </x:row>
    <x:row r="9">
      <x:c r="A9" t="inlineStr">
        <x:is>
          <x:t xml:space="preserve">FRM0008</x:t>
        </x:is>
      </x:c>
      <x:c r="B9" t="inlineStr">
        <x:is>
          <x:t xml:space="preserve">acute_watery_diarrhea_peds</x:t>
        </x:is>
      </x:c>
      <x:c r="C9" t="inlineStr">
        <x:is>
          <x:t xml:space="preserve">Acute watery diarrhea (pediatric starter row)</x:t>
        </x:is>
      </x:c>
      <x:c r="D9" t="inlineStr">
        <x:is>
          <x:t xml:space="preserve">GI</x:t>
        </x:is>
      </x:c>
      <x:c r="E9" t="inlineStr">
        <x:is>
          <x:t xml:space="preserve">peds</x:t>
        </x:is>
      </x:c>
      <x:c r="F9" t="inlineStr">
        <x:is>
          <x:t xml:space="preserve">A09</x:t>
        </x:is>
      </x:c>
      <x:c r="G9" t="inlineStr">
        <x:is>
          <x:t xml:space="preserve">starter row uses supportive care and peds sheet</x:t>
        </x:is>
      </x:c>
      <x:c r="H9" t="inlineStr">
        <x:is>
          <x:t xml:space="preserve">Cera ORS รสส้ม [Glucose Anhydrous 3 g.+Sodium Chloride 0.53 g.+Potassium Chloride 0.23 g.+Sodium Citrate Dihydrate 0.44 g.]</x:t>
        </x:is>
      </x:c>
      <x:c r="M9" t="inlineStr">
        <x:is>
          <x:t xml:space="preserve">Needs in-person eval today if lethargy, dehydration, bloody stool, persistent vomiting, or unable to drink</x:t>
        </x:is>
      </x:c>
    </x:row>
    <x:row r="10">
      <x:c r="A10" t="inlineStr">
        <x:is>
          <x:t xml:space="preserve">FRM0009</x:t>
        </x:is>
      </x:c>
      <x:c r="B10" t="inlineStr">
        <x:is>
          <x:t xml:space="preserve">uri_dry_cough_adult</x:t>
        </x:is>
      </x:c>
      <x:c r="C10" t="inlineStr">
        <x:is>
          <x:t xml:space="preserve">Acute viral URI with dry cough</x:t>
        </x:is>
      </x:c>
      <x:c r="D10" t="inlineStr">
        <x:is>
          <x:t xml:space="preserve">ENT</x:t>
        </x:is>
      </x:c>
      <x:c r="E10" t="inlineStr">
        <x:is>
          <x:t xml:space="preserve">adult</x:t>
        </x:is>
      </x:c>
      <x:c r="F10" t="inlineStr">
        <x:is>
          <x:t xml:space="preserve">J06.9</x:t>
        </x:is>
      </x:c>
      <x:c r="G10" t="inlineStr">
        <x:is>
          <x:t xml:space="preserve">uncomplicated dry cough disturbing sleep or activity</x:t>
        </x:is>
      </x:c>
      <x:c r="H10" t="inlineStr">
        <x:is>
          <x:t xml:space="preserve">Tylenol 500 mg strip 10s [Paracetamol 500 mg.]</x:t>
        </x:is>
      </x:c>
      <x:c r="I10" t="inlineStr">
        <x:is>
          <x:t xml:space="preserve">Nasotapp [Brompheniramine Maleate 4 mg.+Phenylephrine HCl 10 mg.]</x:t>
        </x:is>
      </x:c>
      <x:c r="J10" t="inlineStr">
        <x:is>
          <x:t xml:space="preserve">Icolid (ควบคุมจำนวน) [Dextromethorphan HBr 15 mg.]</x:t>
        </x:is>
      </x:c>
      <x:c r="L10" t="inlineStr">
        <x:is>
          <x:t xml:space="preserve">Fartussin (ควบคุมจำนวน) [Dextromethorphan HBr 15 mg.+Glyceryl Guaiacolate 100 mg.+Terpin Hydrate 130 mg.]</x:t>
        </x:is>
      </x:c>
      <x:c r="M10" t="inlineStr">
        <x:is>
          <x:t xml:space="preserve">Avoid routine antibiotics; Needs in-person eval today if dyspnea, chest pain, or persistent high fever</x:t>
        </x:is>
      </x:c>
    </x:row>
    <x:row r="11">
      <x:c r="A11" t="inlineStr">
        <x:is>
          <x:t xml:space="preserve">FRM0010</x:t>
        </x:is>
      </x:c>
      <x:c r="B11" t="inlineStr">
        <x:is>
          <x:t xml:space="preserve">eye_irritation_adult</x:t>
        </x:is>
      </x:c>
      <x:c r="C11" t="inlineStr">
        <x:is>
          <x:t xml:space="preserve">Eye irritation / dust exposure</x:t>
        </x:is>
      </x:c>
      <x:c r="D11" t="inlineStr">
        <x:is>
          <x:t xml:space="preserve">Eye</x:t>
        </x:is>
      </x:c>
      <x:c r="E11" t="inlineStr">
        <x:is>
          <x:t xml:space="preserve">adult</x:t>
        </x:is>
      </x:c>
      <x:c r="F11" t="inlineStr">
        <x:is>
          <x:t xml:space="preserve">H57.8</x:t>
        </x:is>
      </x:c>
      <x:c r="G11" t="inlineStr">
        <x:is>
          <x:t xml:space="preserve">mild irritant eye discomfort outpatient case</x:t>
        </x:is>
      </x:c>
      <x:c r="H11" t="inlineStr">
        <x:is>
          <x:t xml:space="preserve">Op-Ize Eye Wash [Boric Acid 2.0 g.+Sodium Borate 0.5 g.+Zinc Sulphate 0.004 g./100 ml.]</x:t>
        </x:is>
      </x:c>
      <x:c r="I11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L11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M11" t="inlineStr">
        <x:is>
          <x:t xml:space="preserve">Needs in-person eval today if chemical exposure, severe pain, photophobia, or vision loss</x:t>
        </x:is>
      </x:c>
    </x:row>
    <x:row r="12">
      <x:c r="A12" t="inlineStr">
        <x:is>
          <x:t xml:space="preserve">FRM0011</x:t>
        </x:is>
      </x:c>
      <x:c r="B12" t="inlineStr">
        <x:is>
          <x:t xml:space="preserve">musculoskeletal_pain_adult</x:t>
        </x:is>
      </x:c>
      <x:c r="C12" t="inlineStr">
        <x:is>
          <x:t xml:space="preserve">Musculoskeletal pain / strain</x:t>
        </x:is>
      </x:c>
      <x:c r="D12" t="inlineStr">
        <x:is>
          <x:t xml:space="preserve">Pain</x:t>
        </x:is>
      </x:c>
      <x:c r="E12" t="inlineStr">
        <x:is>
          <x:t xml:space="preserve">adult</x:t>
        </x:is>
      </x:c>
      <x:c r="F12" t="inlineStr">
        <x:is>
          <x:t xml:space="preserve">M79.1</x:t>
        </x:is>
      </x:c>
      <x:c r="G12" t="inlineStr">
        <x:is>
          <x:t xml:space="preserve">simple neck / back / muscle pain outpatient case</x:t>
        </x:is>
      </x:c>
      <x:c r="H12" t="inlineStr">
        <x:is>
          <x:t xml:space="preserve">Gofen 400 [Ibuprofen 400 mg.+Polyethylene 400+Porpylene Glycol]</x:t>
        </x:is>
      </x:c>
      <x:c r="I12" t="inlineStr">
        <x:is>
          <x:t xml:space="preserve">Uniren Spray [Diclofenac Sodium 1 % w/w]</x:t>
        </x:is>
      </x:c>
      <x:c r="L12" t="inlineStr">
        <x:is>
          <x:t xml:space="preserve">Tylenol 500 mg strip 10s [Paracetamol 500 mg.]</x:t>
        </x:is>
      </x:c>
      <x:c r="M12" t="inlineStr">
        <x:is>
          <x:t xml:space="preserve">Needs in-person eval today if trauma, weakness/numbness, red hot joint, or severe swelling</x:t>
        </x:is>
      </x:c>
    </x:row>
    <x:row r="13">
      <x:c r="A13" t="inlineStr">
        <x:is>
          <x:t xml:space="preserve">FRM0012</x:t>
        </x:is>
      </x:c>
      <x:c r="B13" t="inlineStr">
        <x:is>
          <x:t xml:space="preserve">migraine_adult</x:t>
        </x:is>
      </x:c>
      <x:c r="C13" t="inlineStr">
        <x:is>
          <x:t xml:space="preserve">Migraine</x:t>
        </x:is>
      </x:c>
      <x:c r="D13" t="inlineStr">
        <x:is>
          <x:t xml:space="preserve">Neuro</x:t>
        </x:is>
      </x:c>
      <x:c r="E13" t="inlineStr">
        <x:is>
          <x:t xml:space="preserve">adult</x:t>
        </x:is>
      </x:c>
      <x:c r="F13" t="inlineStr">
        <x:is>
          <x:t xml:space="preserve">G43.909</x:t>
        </x:is>
      </x:c>
      <x:c r="G13" t="inlineStr">
        <x:is>
          <x:t xml:space="preserve">known / likely migraine outpatient case</x:t>
        </x:is>
      </x:c>
      <x:c r="H13" t="inlineStr">
        <x:is>
          <x:t xml:space="preserve">Relpax 40 mg [Eletriptan 40 mg.]</x:t>
        </x:is>
      </x:c>
      <x:c r="I13" t="inlineStr">
        <x:is>
          <x:t xml:space="preserve">Tylenol 500 mg strip 10s [Paracetamol 500 mg.]</x:t>
        </x:is>
      </x:c>
      <x:c r="M13" t="inlineStr">
        <x:is>
          <x:t xml:space="preserve">Needs in-person eval today if thunderclap headache, neuro deficit, or fever with neck stiffness</x:t>
        </x:is>
      </x:c>
    </x:row>
    <x:row r="14">
      <x:c r="A14" t="inlineStr">
        <x:is>
          <x:t xml:space="preserve">FRM0013</x:t>
        </x:is>
      </x:c>
      <x:c r="B14" t="inlineStr">
        <x:is>
          <x:t xml:space="preserve">vertigo_adult</x:t>
        </x:is>
      </x:c>
      <x:c r="C14" t="inlineStr">
        <x:is>
          <x:t xml:space="preserve">Peripheral vertigo / dizziness</x:t>
        </x:is>
      </x:c>
      <x:c r="D14" t="inlineStr">
        <x:is>
          <x:t xml:space="preserve">Neuro</x:t>
        </x:is>
      </x:c>
      <x:c r="E14" t="inlineStr">
        <x:is>
          <x:t xml:space="preserve">adult</x:t>
        </x:is>
      </x:c>
      <x:c r="F14" t="inlineStr">
        <x:is>
          <x:t xml:space="preserve">R42</x:t>
        </x:is>
      </x:c>
      <x:c r="G14" t="inlineStr">
        <x:is>
          <x:t xml:space="preserve">simple vertigo outpatient case</x:t>
        </x:is>
      </x:c>
      <x:c r="H14" t="inlineStr">
        <x:is>
          <x:t xml:space="preserve">Serc 24 mg [Betahistine dihydrochloride 24 mg.]</x:t>
        </x:is>
      </x:c>
      <x:c r="M14" t="inlineStr">
        <x:is>
          <x:t xml:space="preserve">Needs in-person eval today if focal neuro deficit, severe headache, or unable to walk</x:t>
        </x:is>
      </x:c>
    </x:row>
    <x:row r="15">
      <x:c r="A15" t="inlineStr">
        <x:is>
          <x:t xml:space="preserve">FRM0014</x:t>
        </x:is>
      </x:c>
      <x:c r="B15" t="inlineStr">
        <x:is>
          <x:t xml:space="preserve">oral_ulcer_adult</x:t>
        </x:is>
      </x:c>
      <x:c r="C15" t="inlineStr">
        <x:is>
          <x:t xml:space="preserve">Oral ulcer / aphthous ulcer</x:t>
        </x:is>
      </x:c>
      <x:c r="D15" t="inlineStr">
        <x:is>
          <x:t xml:space="preserve">ENT</x:t>
        </x:is>
      </x:c>
      <x:c r="E15" t="inlineStr">
        <x:is>
          <x:t xml:space="preserve">adult</x:t>
        </x:is>
      </x:c>
      <x:c r="F15" t="inlineStr">
        <x:is>
          <x:t xml:space="preserve">K12.0</x:t>
        </x:is>
      </x:c>
      <x:c r="G15" t="inlineStr">
        <x:is>
          <x:t xml:space="preserve">simple oral ulcer outpatient case</x:t>
        </x:is>
      </x:c>
      <x:c r="H15" t="inlineStr">
        <x:is>
          <x:t xml:space="preserve">Kamistad-Gel N [Lidocaine HCl 20 mg.+Chamomile Flower Extract 185 mg.+Ethanol 50% v/v+Tromethamole 1.37% w/w+Preservative (Benzalkonium Chloride 1 mg.)/1 g.]</x:t>
        </x:is>
      </x:c>
      <x:c r="M15" t="inlineStr">
        <x:is>
          <x:t xml:space="preserve">Needs in-person eval today if large persistent ulcer, inability to drink, or major oral swelling</x:t>
        </x:is>
      </x:c>
    </x:row>
    <x:row r="16">
      <x:c r="A16" t="inlineStr">
        <x:is>
          <x:t xml:space="preserve">FRM0015</x:t>
        </x:is>
      </x:c>
      <x:c r="B16" t="inlineStr">
        <x:is>
          <x:t xml:space="preserve">common_cold_adult</x:t>
        </x:is>
      </x:c>
      <x:c r="C16" t="inlineStr">
        <x:is>
          <x:t xml:space="preserve">Common cold / viral URI</x:t>
        </x:is>
      </x:c>
      <x:c r="D16" t="inlineStr">
        <x:is>
          <x:t xml:space="preserve">ENT</x:t>
        </x:is>
      </x:c>
      <x:c r="E16" t="inlineStr">
        <x:is>
          <x:t xml:space="preserve">adult</x:t>
        </x:is>
      </x:c>
      <x:c r="F16" t="inlineStr">
        <x:is>
          <x:t xml:space="preserve">J00</x:t>
        </x:is>
      </x:c>
      <x:c r="G16" t="inlineStr">
        <x:is>
          <x:t xml:space="preserve">simple common cold outpatient case</x:t>
        </x:is>
      </x:c>
      <x:c r="H16" t="inlineStr">
        <x:is>
          <x:t xml:space="preserve">Tylenol 500 mg strip 10s [Paracetamol 500 mg.]</x:t>
        </x:is>
      </x:c>
      <x:c r="I16" t="inlineStr">
        <x:is>
          <x:t xml:space="preserve">Nasotapp [Brompheniramine Maleate 4 mg.+Phenylephrine HCl 10 mg.]</x:t>
        </x:is>
      </x:c>
      <x:c r="J16" t="inlineStr">
        <x:is>
          <x:t xml:space="preserve">Klean &amp; Kare Saline เล็ก [Sodium Chloride 0.9 g./100 ml.]</x:t>
        </x:is>
      </x:c>
      <x:c r="L16" t="inlineStr">
        <x:is>
          <x:t xml:space="preserve">Telfast 180 mg [Fexofenadine HCl 180 mg.]</x:t>
        </x:is>
      </x:c>
      <x:c r="M16" t="inlineStr">
        <x:is>
          <x:t xml:space="preserve">Avoid routine antibiotics; Needs in-person eval today if dyspnea, chest pain, or persistent high fever</x:t>
        </x:is>
      </x:c>
    </x:row>
    <x:row r="17">
      <x:c r="A17" t="inlineStr">
        <x:is>
          <x:t xml:space="preserve">FRM0016</x:t>
        </x:is>
      </x:c>
      <x:c r="B17" t="inlineStr">
        <x:is>
          <x:t xml:space="preserve">nasal_blockage_adult</x:t>
        </x:is>
      </x:c>
      <x:c r="C17" t="inlineStr">
        <x:is>
          <x:t xml:space="preserve">Nasal blockage / congestion</x:t>
        </x:is>
      </x:c>
      <x:c r="D17" t="inlineStr">
        <x:is>
          <x:t xml:space="preserve">ENT</x:t>
        </x:is>
      </x:c>
      <x:c r="E17" t="inlineStr">
        <x:is>
          <x:t xml:space="preserve">adult</x:t>
        </x:is>
      </x:c>
      <x:c r="F17" t="inlineStr">
        <x:is>
          <x:t xml:space="preserve">R09.81</x:t>
        </x:is>
      </x:c>
      <x:c r="G17" t="inlineStr">
        <x:is>
          <x:t xml:space="preserve">simple nasal congestion outpatient case</x:t>
        </x:is>
      </x:c>
      <x:c r="H17" t="inlineStr">
        <x:is>
          <x:t xml:space="preserve">Nasotapp [Brompheniramine Maleate 4 mg.+Phenylephrine HCl 10 mg.]</x:t>
        </x:is>
      </x:c>
      <x:c r="I17" t="inlineStr">
        <x:is>
          <x:t xml:space="preserve">Iliadin Spray [Oxymetazoline Hydrochloride 0.05% (0.5 mg./1 ml.)]</x:t>
        </x:is>
      </x:c>
      <x:c r="J17" t="inlineStr">
        <x:is>
          <x:t xml:space="preserve">Klean &amp; Kare Saline เล็ก [Sodium Chloride 0.9 g./100 ml.]</x:t>
        </x:is>
      </x:c>
      <x:c r="L17" t="inlineStr">
        <x:is>
          <x:t xml:space="preserve">Nasonex 60 doses [Mometasone Furoate Monohydrate (eq. to Mometasone Furoate 50 mcg/dose)+Preservative (Benzalkonium Chloride 0.2 mg/g)]</x:t>
        </x:is>
      </x:c>
      <x:c r="M17" t="inlineStr">
        <x:is>
          <x:t xml:space="preserve">Needs in-person eval today if severe sinus pain, facial swelling, or breathing difficulty</x:t>
        </x:is>
      </x:c>
    </x:row>
    <x:row r="18">
      <x:c r="A18" t="inlineStr">
        <x:is>
          <x:t xml:space="preserve">FRM0017</x:t>
        </x:is>
      </x:c>
      <x:c r="B18" t="inlineStr">
        <x:is>
          <x:t xml:space="preserve">viral_fever_bodyache_adult</x:t>
        </x:is>
      </x:c>
      <x:c r="C18" t="inlineStr">
        <x:is>
          <x:t xml:space="preserve">Viral fever / body ache</x:t>
        </x:is>
      </x:c>
      <x:c r="D18" t="inlineStr">
        <x:is>
          <x:t xml:space="preserve">General</x:t>
        </x:is>
      </x:c>
      <x:c r="E18" t="inlineStr">
        <x:is>
          <x:t xml:space="preserve">adult</x:t>
        </x:is>
      </x:c>
      <x:c r="F18" t="inlineStr">
        <x:is>
          <x:t xml:space="preserve">B34.9</x:t>
        </x:is>
      </x:c>
      <x:c r="G18" t="inlineStr">
        <x:is>
          <x:t xml:space="preserve">simple viral febrile illness outpatient case</x:t>
        </x:is>
      </x:c>
      <x:c r="H18" t="inlineStr">
        <x:is>
          <x:t xml:space="preserve">Tylenol 500 mg strip 10s [Paracetamol 500 mg.]</x:t>
        </x:is>
      </x:c>
      <x:c r="I18" t="inlineStr">
        <x:is>
          <x:t xml:space="preserve">Gofen 400 [Ibuprofen 400 mg.+Polyethylene 400+Porpylene Glycol]</x:t>
        </x:is>
      </x:c>
      <x:c r="M18" t="inlineStr">
        <x:is>
          <x:t xml:space="preserve">Avoid routine antibiotics; Needs in-person eval today if dyspnea, dehydration, or persistent high fever</x:t>
        </x:is>
      </x:c>
    </x:row>
    <x:row r="19">
      <x:c r="A19" t="inlineStr">
        <x:is>
          <x:t xml:space="preserve">FRM0018</x:t>
        </x:is>
      </x:c>
      <x:c r="B19" t="inlineStr">
        <x:is>
          <x:t xml:space="preserve">abdominal_gas_bloating_adult</x:t>
        </x:is>
      </x:c>
      <x:c r="C19" t="inlineStr">
        <x:is>
          <x:t xml:space="preserve">Generalized bloating / flatulence</x:t>
        </x:is>
      </x:c>
      <x:c r="D19" t="inlineStr">
        <x:is>
          <x:t xml:space="preserve">GI</x:t>
        </x:is>
      </x:c>
      <x:c r="E19" t="inlineStr">
        <x:is>
          <x:t xml:space="preserve">adult</x:t>
        </x:is>
      </x:c>
      <x:c r="F19" t="inlineStr">
        <x:is>
          <x:t xml:space="preserve">R14</x:t>
        </x:is>
      </x:c>
      <x:c r="G19" t="inlineStr">
        <x:is>
          <x:t xml:space="preserve">general bloating / gas without alarm features</x:t>
        </x:is>
      </x:c>
      <x:c r="H19" t="inlineStr">
        <x:is>
          <x:t xml:space="preserve">Air-X 120 [Simethicone 120 mg.]</x:t>
        </x:is>
      </x:c>
      <x:c r="I19" t="inlineStr">
        <x:is>
          <x:t xml:space="preserve">Gogaz [Simethicone 200 mg.]</x:t>
        </x:is>
      </x:c>
      <x:c r="M19" t="inlineStr">
        <x:is>
          <x:t xml:space="preserve">Needs in-person eval today if severe pain, persistent vomiting, GI bleed, or abdominal distension with obstipation</x:t>
        </x:is>
      </x:c>
    </x:row>
    <x:row r="20">
      <x:c r="A20" t="inlineStr">
        <x:is>
          <x:t xml:space="preserve">FRM0019</x:t>
        </x:is>
      </x:c>
      <x:c r="B20" t="inlineStr">
        <x:is>
          <x:t xml:space="preserve">abdominal_colic_adult</x:t>
        </x:is>
      </x:c>
      <x:c r="C20" t="inlineStr">
        <x:is>
          <x:t xml:space="preserve">Abdominal colic / cramp</x:t>
        </x:is>
      </x:c>
      <x:c r="D20" t="inlineStr">
        <x:is>
          <x:t xml:space="preserve">GI</x:t>
        </x:is>
      </x:c>
      <x:c r="E20" t="inlineStr">
        <x:is>
          <x:t xml:space="preserve">adult</x:t>
        </x:is>
      </x:c>
      <x:c r="F20" t="inlineStr">
        <x:is>
          <x:t xml:space="preserve">R10.4</x:t>
        </x:is>
      </x:c>
      <x:c r="G20" t="inlineStr">
        <x:is>
          <x:t xml:space="preserve">simple abdominal cramp outpatient case</x:t>
        </x:is>
      </x:c>
      <x:c r="H20" t="inlineStr">
        <x:is>
          <x:t xml:space="preserve">Buscopan [Hyoscine-N-butylbromide 10 mg.]</x:t>
        </x:is>
      </x:c>
      <x:c r="I20" t="inlineStr">
        <x:is>
          <x:t xml:space="preserve">Air-X 120 [Simethicone 120 mg.]</x:t>
        </x:is>
      </x:c>
      <x:c r="M20" t="inlineStr">
        <x:is>
          <x:t xml:space="preserve">Needs in-person eval today if localized severe pain, guarding, fever, or repeated vomiting</x:t>
        </x:is>
      </x:c>
    </x:row>
    <x:row r="21">
      <x:c r="A21" t="inlineStr">
        <x:is>
          <x:t xml:space="preserve">FRM0020</x:t>
        </x:is>
      </x:c>
      <x:c r="B21" t="inlineStr">
        <x:is>
          <x:t xml:space="preserve">muscle_spasm_adult</x:t>
        </x:is>
      </x:c>
      <x:c r="C21" t="inlineStr">
        <x:is>
          <x:t xml:space="preserve">Muscle spasm</x:t>
        </x:is>
      </x:c>
      <x:c r="D21" t="inlineStr">
        <x:is>
          <x:t xml:space="preserve">Pain</x:t>
        </x:is>
      </x:c>
      <x:c r="E21" t="inlineStr">
        <x:is>
          <x:t xml:space="preserve">adult</x:t>
        </x:is>
      </x:c>
      <x:c r="F21" t="inlineStr">
        <x:is>
          <x:t xml:space="preserve">M62.838</x:t>
        </x:is>
      </x:c>
      <x:c r="G21" t="inlineStr">
        <x:is>
          <x:t xml:space="preserve">simple muscle spasm outpatient case</x:t>
        </x:is>
      </x:c>
      <x:c r="H21" t="inlineStr">
        <x:is>
          <x:t xml:space="preserve">Biocalm [Tolperisone 50 mg.]</x:t>
        </x:is>
      </x:c>
      <x:c r="I21" t="inlineStr">
        <x:is>
          <x:t xml:space="preserve">Tylenol 500 mg strip 10s [Paracetamol 500 mg.]</x:t>
        </x:is>
      </x:c>
      <x:c r="J21" t="inlineStr">
        <x:is>
          <x:t xml:space="preserve">Uniren Spray [Diclofenac Sodium 1 % w/w]</x:t>
        </x:is>
      </x:c>
      <x:c r="M21" t="inlineStr">
        <x:is>
          <x:t xml:space="preserve">Needs in-person eval today if major trauma, weakness/numbness, or severe swelling</x:t>
        </x:is>
      </x:c>
    </x:row>
    <x:row r="22">
      <x:c r="A22" t="inlineStr">
        <x:is>
          <x:t xml:space="preserve">FRM0021</x:t>
        </x:is>
      </x:c>
      <x:c r="B22" t="inlineStr">
        <x:is>
          <x:t xml:space="preserve">tension_headache_adult</x:t>
        </x:is>
      </x:c>
      <x:c r="C22" t="inlineStr">
        <x:is>
          <x:t xml:space="preserve">Tension-type headache</x:t>
        </x:is>
      </x:c>
      <x:c r="D22" t="inlineStr">
        <x:is>
          <x:t xml:space="preserve">Neuro</x:t>
        </x:is>
      </x:c>
      <x:c r="E22" t="inlineStr">
        <x:is>
          <x:t xml:space="preserve">adult</x:t>
        </x:is>
      </x:c>
      <x:c r="F22" t="inlineStr">
        <x:is>
          <x:t xml:space="preserve">G44.209</x:t>
        </x:is>
      </x:c>
      <x:c r="G22" t="inlineStr">
        <x:is>
          <x:t xml:space="preserve">simple tension headache outpatient case</x:t>
        </x:is>
      </x:c>
      <x:c r="H22" t="inlineStr">
        <x:is>
          <x:t xml:space="preserve">Tylenol 500 mg strip 10s [Paracetamol 500 mg.]</x:t>
        </x:is>
      </x:c>
      <x:c r="I22" t="inlineStr">
        <x:is>
          <x:t xml:space="preserve">Gofen 400 [Ibuprofen 400 mg.+Polyethylene 400+Porpylene Glycol]</x:t>
        </x:is>
      </x:c>
      <x:c r="M22" t="inlineStr">
        <x:is>
          <x:t xml:space="preserve">Needs in-person eval today if thunderclap headache, neuro deficit, or fever with neck stiffness</x:t>
        </x:is>
      </x:c>
    </x:row>
    <x:row r="23">
      <x:c r="A23" t="inlineStr">
        <x:is>
          <x:t xml:space="preserve">FRM0022</x:t>
        </x:is>
      </x:c>
      <x:c r="B23" t="inlineStr">
        <x:is>
          <x:t xml:space="preserve">inflammatory_pain_adult</x:t>
        </x:is>
      </x:c>
      <x:c r="C23" t="inlineStr">
        <x:is>
          <x:t xml:space="preserve">Inflammatory pain / joint flare</x:t>
        </x:is>
      </x:c>
      <x:c r="D23" t="inlineStr">
        <x:is>
          <x:t xml:space="preserve">Pain</x:t>
        </x:is>
      </x:c>
      <x:c r="E23" t="inlineStr">
        <x:is>
          <x:t xml:space="preserve">adult</x:t>
        </x:is>
      </x:c>
      <x:c r="F23" t="inlineStr">
        <x:is>
          <x:t xml:space="preserve">M25.50</x:t>
        </x:is>
      </x:c>
      <x:c r="G23" t="inlineStr">
        <x:is>
          <x:t xml:space="preserve">simple inflammatory pain outpatient case</x:t>
        </x:is>
      </x:c>
      <x:c r="H23" t="inlineStr">
        <x:is>
          <x:t xml:space="preserve">Gofen 400 [Ibuprofen 400 mg.+Polyethylene 400+Porpylene Glycol]</x:t>
        </x:is>
      </x:c>
      <x:c r="I23" t="inlineStr">
        <x:is>
          <x:t xml:space="preserve">Uniren Spray [Diclofenac Sodium 1 % w/w]</x:t>
        </x:is>
      </x:c>
      <x:c r="L23" t="inlineStr">
        <x:is>
          <x:t xml:space="preserve">Arcoxia 60 mg [Etoricoxib 60 mg.]</x:t>
        </x:is>
      </x:c>
      <x:c r="M23" t="inlineStr">
        <x:is>
          <x:t xml:space="preserve">Needs in-person eval today if red hot joint, fever, severe swelling, or inability to bear weight</x:t>
        </x:is>
      </x:c>
    </x:row>
    <x:row r="24">
      <x:c r="A24" t="inlineStr">
        <x:is>
          <x:t xml:space="preserve">FRM0023</x:t>
        </x:is>
      </x:c>
      <x:c r="B24" t="inlineStr">
        <x:is>
          <x:t xml:space="preserve">dry_skin_adult</x:t>
        </x:is>
      </x:c>
      <x:c r="C24" t="inlineStr">
        <x:is>
          <x:t xml:space="preserve">Dry skin / xerosis</x:t>
        </x:is>
      </x:c>
      <x:c r="D24" t="inlineStr">
        <x:is>
          <x:t xml:space="preserve">Skin</x:t>
        </x:is>
      </x:c>
      <x:c r="E24" t="inlineStr">
        <x:is>
          <x:t xml:space="preserve">adult</x:t>
        </x:is>
      </x:c>
      <x:c r="F24" t="inlineStr">
        <x:is>
          <x:t xml:space="preserve">L85.3</x:t>
        </x:is>
      </x:c>
      <x:c r="G24" t="inlineStr">
        <x:is>
          <x:t xml:space="preserve">simple dry skin outpatient case</x:t>
        </x:is>
      </x:c>
      <x:c r="H24" t="inlineStr">
        <x:is>
          <x:t xml:space="preserve">Diabederm Urea Cream 10% [10% Urea]</x:t>
        </x:is>
      </x:c>
      <x:c r="L24" t="inlineStr">
        <x:is>
          <x:t xml:space="preserve">Diabederm Urea Cream 20% [20% Urea]</x:t>
        </x:is>
      </x:c>
      <x:c r="M24" t="inlineStr">
        <x:is>
          <x:t xml:space="preserve">Needs in-person eval today if widespread severe eczema, infected cracks, or significant pain</x:t>
        </x:is>
      </x:c>
    </x:row>
    <x:row r="25">
      <x:c r="A25" t="inlineStr">
        <x:is>
          <x:t xml:space="preserve">FRM0024</x:t>
        </x:is>
      </x:c>
      <x:c r="B25" t="inlineStr">
        <x:is>
          <x:t xml:space="preserve">itchy_dermatitis_adult</x:t>
        </x:is>
      </x:c>
      <x:c r="C25" t="inlineStr">
        <x:is>
          <x:t xml:space="preserve">Dermatitis / eczema flare</x:t>
        </x:is>
      </x:c>
      <x:c r="D25" t="inlineStr">
        <x:is>
          <x:t xml:space="preserve">Skin</x:t>
        </x:is>
      </x:c>
      <x:c r="E25" t="inlineStr">
        <x:is>
          <x:t xml:space="preserve">adult</x:t>
        </x:is>
      </x:c>
      <x:c r="F25" t="inlineStr">
        <x:is>
          <x:t xml:space="preserve">L30.9</x:t>
        </x:is>
      </x:c>
      <x:c r="G25" t="inlineStr">
        <x:is>
          <x:t xml:space="preserve">eczema / dermatitis pattern with itch and dry inflamed skin</x:t>
        </x:is>
      </x:c>
      <x:c r="H25" t="inlineStr">
        <x:is>
          <x:t xml:space="preserve">Zyrtec [Cetirizine dihydrochloride 10 mg.]</x:t>
        </x:is>
      </x:c>
      <x:c r="I25" t="inlineStr">
        <x:is>
          <x:t xml:space="preserve">Aristocort 0.02% [Triamcinolone Acetonide 0.02%]</x:t>
        </x:is>
      </x:c>
      <x:c r="L25" t="inlineStr">
        <x:is>
          <x:t xml:space="preserve">Antergan Cream [Hydrocortisone Acetate 5 mg+Mepyramine Maleate 20 mg/1 g]</x:t>
        </x:is>
      </x:c>
      <x:c r="M25" t="inlineStr">
        <x:is>
          <x:t xml:space="preserve">Needs in-person eval today if infected rash, extensive blistering, or facial/eye involvement</x:t>
        </x:is>
      </x:c>
    </x:row>
    <x:row r="26">
      <x:c r="A26" t="inlineStr">
        <x:is>
          <x:t xml:space="preserve">FRM0025</x:t>
        </x:is>
      </x:c>
      <x:c r="B26" t="inlineStr">
        <x:is>
          <x:t xml:space="preserve">insect_bite_reaction_adult</x:t>
        </x:is>
      </x:c>
      <x:c r="C26" t="inlineStr">
        <x:is>
          <x:t xml:space="preserve">Insect bite reaction / itchy bite</x:t>
        </x:is>
      </x:c>
      <x:c r="D26" t="inlineStr">
        <x:is>
          <x:t xml:space="preserve">Skin</x:t>
        </x:is>
      </x:c>
      <x:c r="E26" t="inlineStr">
        <x:is>
          <x:t xml:space="preserve">adult</x:t>
        </x:is>
      </x:c>
      <x:c r="F26" t="inlineStr">
        <x:is>
          <x:t xml:space="preserve">W57</x:t>
        </x:is>
      </x:c>
      <x:c r="G26" t="inlineStr">
        <x:is>
          <x:t xml:space="preserve">simple insect bite outpatient case</x:t>
        </x:is>
      </x:c>
      <x:c r="H26" t="inlineStr">
        <x:is>
          <x:t xml:space="preserve">Zyrtec [Cetirizine dihydrochloride 10 mg.]</x:t>
        </x:is>
      </x:c>
      <x:c r="I26" t="inlineStr">
        <x:is>
          <x:t xml:space="preserve">Antergan Cream [Hydrocortisone Acetate 5 mg+Mepyramine Maleate 20 mg/1 g]</x:t>
        </x:is>
      </x:c>
      <x:c r="M26" t="inlineStr">
        <x:is>
          <x:t xml:space="preserve">Needs in-person eval today if facial swelling, dyspnea, or rapidly spreading redness</x:t>
        </x:is>
      </x:c>
    </x:row>
    <x:row r="27">
      <x:c r="A27" t="inlineStr">
        <x:is>
          <x:t xml:space="preserve">FRM0026</x:t>
        </x:is>
      </x:c>
      <x:c r="B27" t="inlineStr">
        <x:is>
          <x:t xml:space="preserve">herpes_labialis_adult</x:t>
        </x:is>
      </x:c>
      <x:c r="C27" t="inlineStr">
        <x:is>
          <x:t xml:space="preserve">Herpes labialis / cold sore</x:t>
        </x:is>
      </x:c>
      <x:c r="D27" t="inlineStr">
        <x:is>
          <x:t xml:space="preserve">Skin</x:t>
        </x:is>
      </x:c>
      <x:c r="E27" t="inlineStr">
        <x:is>
          <x:t xml:space="preserve">adult</x:t>
        </x:is>
      </x:c>
      <x:c r="F27" t="inlineStr">
        <x:is>
          <x:t xml:space="preserve">B00.1</x:t>
        </x:is>
      </x:c>
      <x:c r="G27" t="inlineStr">
        <x:is>
          <x:t xml:space="preserve">simple recurrent herpes labialis outpatient case</x:t>
        </x:is>
      </x:c>
      <x:c r="H27" t="inlineStr">
        <x:is>
          <x:t xml:space="preserve">Acyvir 400 mg [Acyclovir 400 mg.]</x:t>
        </x:is>
      </x:c>
      <x:c r="M27" t="inlineStr">
        <x:is>
          <x:t xml:space="preserve">Needs in-person eval today if eye involvement, severe facial spread, or major immunocompromise</x:t>
        </x:is>
      </x:c>
    </x:row>
    <x:row r="28">
      <x:c r="A28" t="inlineStr">
        <x:is>
          <x:t xml:space="preserve">FRM0027</x:t>
        </x:is>
      </x:c>
      <x:c r="B28" t="inlineStr">
        <x:is>
          <x:t xml:space="preserve">herpes_zoster_adult</x:t>
        </x:is>
      </x:c>
      <x:c r="C28" t="inlineStr">
        <x:is>
          <x:t xml:space="preserve">Herpes zoster / shingles</x:t>
        </x:is>
      </x:c>
      <x:c r="D28" t="inlineStr">
        <x:is>
          <x:t xml:space="preserve">Skin</x:t>
        </x:is>
      </x:c>
      <x:c r="E28" t="inlineStr">
        <x:is>
          <x:t xml:space="preserve">adult</x:t>
        </x:is>
      </x:c>
      <x:c r="F28" t="inlineStr">
        <x:is>
          <x:t xml:space="preserve">B02.9</x:t>
        </x:is>
      </x:c>
      <x:c r="G28" t="inlineStr">
        <x:is>
          <x:t xml:space="preserve">simple shingles outpatient case</x:t>
        </x:is>
      </x:c>
      <x:c r="H28" t="inlineStr">
        <x:is>
          <x:t xml:space="preserve">Acyvir 800 mg [Acyclovir 800 mg.]</x:t>
        </x:is>
      </x:c>
      <x:c r="I28" t="inlineStr">
        <x:is>
          <x:t xml:space="preserve">Tylenol 500 mg strip 10s [Paracetamol 500 mg.]</x:t>
        </x:is>
      </x:c>
      <x:c r="M28" t="inlineStr">
        <x:is>
          <x:t xml:space="preserve">Needs in-person eval today if eye involvement, facial zoster, severe pain, or immunocompromise</x:t>
        </x:is>
      </x:c>
    </x:row>
    <x:row r="29">
      <x:c r="A29" t="inlineStr">
        <x:is>
          <x:t xml:space="preserve">FRM0028</x:t>
        </x:is>
      </x:c>
      <x:c r="B29" t="inlineStr">
        <x:is>
          <x:t xml:space="preserve">tinea_pruritic_rash_adult</x:t>
        </x:is>
      </x:c>
      <x:c r="C29" t="inlineStr">
        <x:is>
          <x:t xml:space="preserve">Tinea corporis / pruritic fungal rash</x:t>
        </x:is>
      </x:c>
      <x:c r="D29" t="inlineStr">
        <x:is>
          <x:t xml:space="preserve">Skin</x:t>
        </x:is>
      </x:c>
      <x:c r="E29" t="inlineStr">
        <x:is>
          <x:t xml:space="preserve">adult</x:t>
        </x:is>
      </x:c>
      <x:c r="F29" t="inlineStr">
        <x:is>
          <x:t xml:space="preserve">B35.9</x:t>
        </x:is>
      </x:c>
      <x:c r="G29" t="inlineStr">
        <x:is>
          <x:t xml:space="preserve">annular/scaly localized fungal-type rash</x:t>
        </x:is>
      </x:c>
      <x:c r="H29" t="inlineStr">
        <x:is>
          <x:t xml:space="preserve">Canasone C.B. Cream [Clotrimazole 1%+Betamethasone Dipropionate (eq. to Betamethasone 0.1%) w/w]</x:t>
        </x:is>
      </x:c>
      <x:c r="M29" t="inlineStr">
        <x:is>
          <x:t xml:space="preserve">Needs in-person eval today if widespread rash, severe inflammation, or no improvement</x:t>
        </x:is>
      </x:c>
    </x:row>
    <x:row r="30">
      <x:c r="A30" t="inlineStr">
        <x:is>
          <x:t xml:space="preserve">FRM0029</x:t>
        </x:is>
      </x:c>
      <x:c r="B30" t="inlineStr">
        <x:is>
          <x:t xml:space="preserve">oral_thrush_adult</x:t>
        </x:is>
      </x:c>
      <x:c r="C30" t="inlineStr">
        <x:is>
          <x:t xml:space="preserve">Oral thrush / candidiasis</x:t>
        </x:is>
      </x:c>
      <x:c r="D30" t="inlineStr">
        <x:is>
          <x:t xml:space="preserve">ENT</x:t>
        </x:is>
      </x:c>
      <x:c r="E30" t="inlineStr">
        <x:is>
          <x:t xml:space="preserve">adult</x:t>
        </x:is>
      </x:c>
      <x:c r="F30" t="inlineStr">
        <x:is>
          <x:t xml:space="preserve">B37.0</x:t>
        </x:is>
      </x:c>
      <x:c r="G30" t="inlineStr">
        <x:is>
          <x:t xml:space="preserve">simple oral thrush outpatient case</x:t>
        </x:is>
      </x:c>
      <x:c r="H30" t="inlineStr">
        <x:is>
          <x:t xml:space="preserve">Nyst Oral [Nystatin 100,000 Unit/1 ml.]</x:t>
        </x:is>
      </x:c>
      <x:c r="M30" t="inlineStr">
        <x:is>
          <x:t xml:space="preserve">Needs in-person eval today if unable to drink, severe pain, or major immunocompromise</x:t>
        </x:is>
      </x:c>
    </x:row>
    <x:row r="31">
      <x:c r="A31" t="inlineStr">
        <x:is>
          <x:t xml:space="preserve">FRM0030</x:t>
        </x:is>
      </x:c>
      <x:c r="B31" t="inlineStr">
        <x:is>
          <x:t xml:space="preserve">minor_burn_adult</x:t>
        </x:is>
      </x:c>
      <x:c r="C31" t="inlineStr">
        <x:is>
          <x:t xml:space="preserve">Acute minor superficial burn</x:t>
        </x:is>
      </x:c>
      <x:c r="D31" t="inlineStr">
        <x:is>
          <x:t xml:space="preserve">Skin</x:t>
        </x:is>
      </x:c>
      <x:c r="E31" t="inlineStr">
        <x:is>
          <x:t xml:space="preserve">adult</x:t>
        </x:is>
      </x:c>
      <x:c r="F31" t="inlineStr">
        <x:is>
          <x:t xml:space="preserve">T30.0</x:t>
        </x:is>
      </x:c>
      <x:c r="G31" t="inlineStr">
        <x:is>
          <x:t xml:space="preserve">fresh small superficial burn without deep tissue injury</x:t>
        </x:is>
      </x:c>
      <x:c r="H31" t="inlineStr">
        <x:is>
          <x:t xml:space="preserve">Aloe Gel [วุ้นจากว่านหางจระเข้ 87.399 %]</x:t>
        </x:is>
      </x:c>
      <x:c r="L31" t="inlineStr">
        <x:is>
          <x:t xml:space="preserve">Mebo [Beta-sitosterol 0.25%]</x:t>
        </x:is>
      </x:c>
      <x:c r="M31" t="inlineStr">
        <x:is>
          <x:t xml:space="preserve">Needs in-person eval today if large burn, facial/genital burn, or circumferential burn</x:t>
        </x:is>
      </x:c>
    </x:row>
    <x:row r="32">
      <x:c r="A32" t="inlineStr">
        <x:is>
          <x:t xml:space="preserve">FRM0032</x:t>
        </x:is>
      </x:c>
      <x:c r="B32" t="inlineStr">
        <x:is>
          <x:t xml:space="preserve">allergic_conjunctivitis_adult</x:t>
        </x:is>
      </x:c>
      <x:c r="C32" t="inlineStr">
        <x:is>
          <x:t xml:space="preserve">Allergic conjunctivitis</x:t>
        </x:is>
      </x:c>
      <x:c r="D32" t="inlineStr">
        <x:is>
          <x:t xml:space="preserve">Eye</x:t>
        </x:is>
      </x:c>
      <x:c r="E32" t="inlineStr">
        <x:is>
          <x:t xml:space="preserve">adult</x:t>
        </x:is>
      </x:c>
      <x:c r="F32" t="inlineStr">
        <x:is>
          <x:t xml:space="preserve">H10.1</x:t>
        </x:is>
      </x:c>
      <x:c r="G32" t="inlineStr">
        <x:is>
          <x:t xml:space="preserve">simple allergic conjunctivitis outpatient case</x:t>
        </x:is>
      </x:c>
      <x:c r="H32" t="inlineStr">
        <x:is>
          <x:t xml:space="preserve">Zyrtec [Cetirizine dihydrochloride 10 mg.]</x:t>
        </x:is>
      </x:c>
      <x:c r="I32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L32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M32" t="inlineStr">
        <x:is>
          <x:t xml:space="preserve">Needs in-person eval today if eye pain, photophobia, vision loss, or purulent discharge</x:t>
        </x:is>
      </x:c>
    </x:row>
    <x:row r="33">
      <x:c r="A33" t="inlineStr">
        <x:is>
          <x:t xml:space="preserve">FRM0033</x:t>
        </x:is>
      </x:c>
      <x:c r="B33" t="inlineStr">
        <x:is>
          <x:t xml:space="preserve">bacterial_sinusitis_adult</x:t>
        </x:is>
      </x:c>
      <x:c r="C33" t="inlineStr">
        <x:is>
          <x:t xml:space="preserve">Acute bacterial sinusitis</x:t>
        </x:is>
      </x:c>
      <x:c r="D33" t="inlineStr">
        <x:is>
          <x:t xml:space="preserve">ENT</x:t>
        </x:is>
      </x:c>
      <x:c r="E33" t="inlineStr">
        <x:is>
          <x:t xml:space="preserve">adult</x:t>
        </x:is>
      </x:c>
      <x:c r="F33" t="inlineStr">
        <x:is>
          <x:t xml:space="preserve">J01.90</x:t>
        </x:is>
      </x:c>
      <x:c r="G33" t="inlineStr">
        <x:is>
          <x:t xml:space="preserve">use only when bacterial sinusitis is likely</x:t>
        </x:is>
      </x:c>
      <x:c r="H33" t="inlineStr">
        <x:is>
          <x:t xml:space="preserve">AMK 1000 mg [Amoxicillin 875 mg.+Clavulanic Acid 125 mg.]</x:t>
        </x:is>
      </x:c>
      <x:c r="I33" t="inlineStr">
        <x:is>
          <x:t xml:space="preserve">Tylenol 500 mg strip 10s [Paracetamol 500 mg.]</x:t>
        </x:is>
      </x:c>
      <x:c r="J33" t="inlineStr">
        <x:is>
          <x:t xml:space="preserve">Klean &amp; Kare Saline เล็ก [Sodium Chloride 0.9 g./100 ml.]</x:t>
        </x:is>
      </x:c>
      <x:c r="L33" t="inlineStr">
        <x:is>
          <x:t xml:space="preserve">Iliadin Spray [Oxymetazoline Hydrochloride 0.05% (0.5 mg./1 ml.)]</x:t>
        </x:is>
      </x:c>
      <x:c r="M33" t="inlineStr">
        <x:is>
          <x:t xml:space="preserve">Needs in-person eval today if orbital symptoms, severe facial swelling, or high persistent fever</x:t>
        </x:is>
      </x:c>
    </x:row>
    <x:row r="34">
      <x:c r="A34" t="inlineStr">
        <x:is>
          <x:t xml:space="preserve">FRM0034</x:t>
        </x:is>
      </x:c>
      <x:c r="B34" t="inlineStr">
        <x:is>
          <x:t xml:space="preserve">bacterial_pharyngitis_adult</x:t>
        </x:is>
      </x:c>
      <x:c r="C34" t="inlineStr">
        <x:is>
          <x:t xml:space="preserve">Bacterial pharyngitis / tonsillitis</x:t>
        </x:is>
      </x:c>
      <x:c r="D34" t="inlineStr">
        <x:is>
          <x:t xml:space="preserve">ENT</x:t>
        </x:is>
      </x:c>
      <x:c r="E34" t="inlineStr">
        <x:is>
          <x:t xml:space="preserve">adult</x:t>
        </x:is>
      </x:c>
      <x:c r="F34" t="inlineStr">
        <x:is>
          <x:t xml:space="preserve">J02.8</x:t>
        </x:is>
      </x:c>
      <x:c r="G34" t="inlineStr">
        <x:is>
          <x:t xml:space="preserve">use only when bacterial pharyngitis/tonsillitis is likely</x:t>
        </x:is>
      </x:c>
      <x:c r="H34" t="inlineStr">
        <x:is>
          <x:t xml:space="preserve">Ibiamox 500 mg [Amoxicillin 500 mg.]</x:t>
        </x:is>
      </x:c>
      <x:c r="I34" t="inlineStr">
        <x:is>
          <x:t xml:space="preserve">Tylenol 500 mg strip 10s [Paracetamol 500 mg.]</x:t>
        </x:is>
      </x:c>
      <x:c r="J34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L34" t="inlineStr">
        <x:is>
          <x:t xml:space="preserve">Difflam Forte Spray [Benzydamine Hydrochloride 3 mg.+Ethanol+Saccharin Sodium+Methyl Hydroxybenzoate+Glycerol+PEG-40 Hydrogenated castor oil/ml.]</x:t>
        </x:is>
      </x:c>
      <x:c r="M34" t="inlineStr">
        <x:is>
          <x:t xml:space="preserve">Needs in-person eval today if drooling, muffled voice, dyspnea, or severe unilateral swelling</x:t>
        </x:is>
      </x:c>
    </x:row>
    <x:row r="35">
      <x:c r="A35" t="inlineStr">
        <x:is>
          <x:t xml:space="preserve">FRM0038</x:t>
        </x:is>
      </x:c>
      <x:c r="B35" t="inlineStr">
        <x:is>
          <x:t xml:space="preserve">gas_belching_adult</x:t>
        </x:is>
      </x:c>
      <x:c r="C35" t="inlineStr">
        <x:is>
          <x:t xml:space="preserve">Dyspepsia-type gas / belching</x:t>
        </x:is>
      </x:c>
      <x:c r="D35" t="inlineStr">
        <x:is>
          <x:t xml:space="preserve">GI</x:t>
        </x:is>
      </x:c>
      <x:c r="E35" t="inlineStr">
        <x:is>
          <x:t xml:space="preserve">adult</x:t>
        </x:is>
      </x:c>
      <x:c r="F35" t="inlineStr">
        <x:is>
          <x:t xml:space="preserve">R14.2</x:t>
        </x:is>
      </x:c>
      <x:c r="G35" t="inlineStr">
        <x:is>
          <x:t xml:space="preserve">post-meal belching / dyspeptic gas without alarm features</x:t>
        </x:is>
      </x:c>
      <x:c r="H35" t="inlineStr">
        <x:is>
          <x:t xml:space="preserve">Gogaz [Simethicone 200 mg.]</x:t>
        </x:is>
      </x:c>
      <x:c r="I35" t="inlineStr">
        <x:is>
          <x:t xml:space="preserve">Air-X 120 [Simethicone 120 mg.]</x:t>
        </x:is>
      </x:c>
      <x:c r="M35" t="inlineStr">
        <x:is>
          <x:t xml:space="preserve">Needs in-person eval today if GI bleed, weight loss, severe persistent pain, or persistent vomiting</x:t>
        </x:is>
      </x:c>
    </x:row>
    <x:row r="36">
      <x:c r="A36" t="inlineStr">
        <x:is>
          <x:t xml:space="preserve">FRM0040</x:t>
        </x:is>
      </x:c>
      <x:c r="B36" t="inlineStr">
        <x:is>
          <x:t xml:space="preserve">itchy_localized_rash_adult</x:t>
        </x:is>
      </x:c>
      <x:c r="C36" t="inlineStr">
        <x:is>
          <x:t xml:space="preserve">Localized itchy rash NOS</x:t>
        </x:is>
      </x:c>
      <x:c r="D36" t="inlineStr">
        <x:is>
          <x:t xml:space="preserve">Skin</x:t>
        </x:is>
      </x:c>
      <x:c r="E36" t="inlineStr">
        <x:is>
          <x:t xml:space="preserve">adult</x:t>
        </x:is>
      </x:c>
      <x:c r="F36" t="inlineStr">
        <x:is>
          <x:t xml:space="preserve">R21</x:t>
        </x:is>
      </x:c>
      <x:c r="G36" t="inlineStr">
        <x:is>
          <x:t xml:space="preserve">small localized itchy rash when dermatitis/insect bite/tinea are not clearly favored</x:t>
        </x:is>
      </x:c>
      <x:c r="H36" t="inlineStr">
        <x:is>
          <x:t xml:space="preserve">Zyrtec [Cetirizine dihydrochloride 10 mg.]</x:t>
        </x:is>
      </x:c>
      <x:c r="I36" t="inlineStr">
        <x:is>
          <x:t xml:space="preserve">Antergan Cream [Hydrocortisone Acetate 5 mg+Mepyramine Maleate 20 mg/1 g]</x:t>
        </x:is>
      </x:c>
      <x:c r="L36" t="inlineStr">
        <x:is>
          <x:t xml:space="preserve">Aristocort 0.02% [Triamcinolone Acetonide 0.02%]</x:t>
        </x:is>
      </x:c>
      <x:c r="M36" t="inlineStr">
        <x:is>
          <x:t xml:space="preserve">Needs in-person eval today if mucosal lesions, blistering, non-blanching rash, or facial swelling</x:t>
        </x:is>
      </x:c>
    </x:row>
    <x:row r="37">
      <x:c r="A37" t="inlineStr">
        <x:is>
          <x:t xml:space="preserve">FRM0041</x:t>
        </x:is>
      </x:c>
      <x:c r="B37" t="inlineStr">
        <x:is>
          <x:t xml:space="preserve">allergic_rhinitis_congestion_adult</x:t>
        </x:is>
      </x:c>
      <x:c r="C37" t="inlineStr">
        <x:is>
          <x:t xml:space="preserve">Allergic rhinitis with congestion</x:t>
        </x:is>
      </x:c>
      <x:c r="D37" t="inlineStr">
        <x:is>
          <x:t xml:space="preserve">ENT</x:t>
        </x:is>
      </x:c>
      <x:c r="E37" t="inlineStr">
        <x:is>
          <x:t xml:space="preserve">adult</x:t>
        </x:is>
      </x:c>
      <x:c r="F37" t="inlineStr">
        <x:is>
          <x:t xml:space="preserve">J30.9</x:t>
        </x:is>
      </x:c>
      <x:c r="G37" t="inlineStr">
        <x:is>
          <x:t xml:space="preserve">allergic rhinitis with prominent congestion but no bacterial red flags</x:t>
        </x:is>
      </x:c>
      <x:c r="H37" t="inlineStr">
        <x:is>
          <x:t xml:space="preserve">Zyrtec [Cetirizine dihydrochloride 10 mg.]</x:t>
        </x:is>
      </x:c>
      <x:c r="I37" t="inlineStr">
        <x:is>
          <x:t xml:space="preserve">Nasonex 60 doses [Mometasone Furoate Monohydrate (eq. to Mometasone Furoate 50 mcg/dose)+Preservative (Benzalkonium Chloride 0.2 mg/g)]</x:t>
        </x:is>
      </x:c>
      <x:c r="J37" t="inlineStr">
        <x:is>
          <x:t xml:space="preserve">Iliadin Spray [Oxymetazoline Hydrochloride 0.05% (0.5 mg./1 ml.)]</x:t>
        </x:is>
      </x:c>
      <x:c r="L37" t="inlineStr">
        <x:is>
          <x:t xml:space="preserve">Telfast 180 mg [Fexofenadine HCl 180 mg.]</x:t>
        </x:is>
      </x:c>
      <x:c r="M37" t="inlineStr">
        <x:is>
          <x:t xml:space="preserve">Needs in-person eval today if dyspnea, facial swelling, severe sinus pain, or persistent high fever</x:t>
        </x:is>
      </x:c>
    </x:row>
    <x:row r="38">
      <x:c r="A38" t="inlineStr">
        <x:is>
          <x:t xml:space="preserve">FRM0042</x:t>
        </x:is>
      </x:c>
      <x:c r="B38" t="inlineStr">
        <x:is>
          <x:t xml:space="preserve">uri_sneezing_runny_nose_adult</x:t>
        </x:is>
      </x:c>
      <x:c r="C38" t="inlineStr">
        <x:is>
          <x:t xml:space="preserve">Viral URI with sneezing / runny nose</x:t>
        </x:is>
      </x:c>
      <x:c r="D38" t="inlineStr">
        <x:is>
          <x:t xml:space="preserve">ENT</x:t>
        </x:is>
      </x:c>
      <x:c r="E38" t="inlineStr">
        <x:is>
          <x:t xml:space="preserve">adult</x:t>
        </x:is>
      </x:c>
      <x:c r="F38" t="inlineStr">
        <x:is>
          <x:t xml:space="preserve">J06.9</x:t>
        </x:is>
      </x:c>
      <x:c r="G38" t="inlineStr">
        <x:is>
          <x:t xml:space="preserve">common cold / viral URI dominated by sneezing and rhinorrhea</x:t>
        </x:is>
      </x:c>
      <x:c r="H38" t="inlineStr">
        <x:is>
          <x:t xml:space="preserve">Tylenol 500 mg strip 10s [Paracetamol 500 mg.]</x:t>
        </x:is>
      </x:c>
      <x:c r="I38" t="inlineStr">
        <x:is>
          <x:t xml:space="preserve">Nasotapp [Brompheniramine Maleate 4 mg.+Phenylephrine HCl 10 mg.]</x:t>
        </x:is>
      </x:c>
      <x:c r="L38" t="inlineStr">
        <x:is>
          <x:t xml:space="preserve">Zyrtec [Cetirizine dihydrochloride 10 mg.]</x:t>
        </x:is>
      </x:c>
      <x:c r="M38" t="inlineStr">
        <x:is>
          <x:t xml:space="preserve">Avoid routine antibiotics; Needs in-person eval today if dyspnea, chest pain, or persistent high fever</x:t>
        </x:is>
      </x:c>
    </x:row>
    <x:row r="39">
      <x:c r="A39" t="inlineStr">
        <x:is>
          <x:t xml:space="preserve">FRM0043</x:t>
        </x:is>
      </x:c>
      <x:c r="B39" t="inlineStr">
        <x:is>
          <x:t xml:space="preserve">acute_pharyngitis_viral_adult</x:t>
        </x:is>
      </x:c>
      <x:c r="C39" t="inlineStr">
        <x:is>
          <x:t xml:space="preserve">Acute viral pharyngitis</x:t>
        </x:is>
      </x:c>
      <x:c r="D39" t="inlineStr">
        <x:is>
          <x:t xml:space="preserve">ENT</x:t>
        </x:is>
      </x:c>
      <x:c r="E39" t="inlineStr">
        <x:is>
          <x:t xml:space="preserve">adult</x:t>
        </x:is>
      </x:c>
      <x:c r="F39" t="inlineStr">
        <x:is>
          <x:t xml:space="preserve">J02.9</x:t>
        </x:is>
      </x:c>
      <x:c r="G39" t="inlineStr">
        <x:is>
          <x:t xml:space="preserve">viral sore throat / pharyngitis without strong bacterial features</x:t>
        </x:is>
      </x:c>
      <x:c r="H39" t="inlineStr">
        <x:is>
          <x:t xml:space="preserve">Tylenol 500 mg strip 10s [Paracetamol 500 mg.]</x:t>
        </x:is>
      </x:c>
      <x:c r="I39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J39" t="inlineStr">
        <x:is>
          <x:t xml:space="preserve">Strepsils Citrus Lemon SF HHR ซอง 6s [2,4-Dichlorobenzyl Alcohol 1.2 mg.+Amylmetacresol 0.6 mg.]</x:t>
        </x:is>
      </x:c>
      <x:c r="L39" t="inlineStr">
        <x:is>
          <x:t xml:space="preserve">Difflam Forte Spray [Benzydamine Hydrochloride 3 mg.+Ethanol+Saccharin Sodium+Methyl Hydroxybenzoate+Glycerol+PEG-40 Hydrogenated castor oil/ml.]</x:t>
        </x:is>
      </x:c>
      <x:c r="M39" t="inlineStr">
        <x:is>
          <x:t xml:space="preserve">Avoid routine antibiotics; Needs in-person eval today if drooling, muffled voice, dyspnea, or inability to swallow fluids</x:t>
        </x:is>
      </x:c>
    </x:row>
    <x:row r="40">
      <x:c r="A40" t="inlineStr">
        <x:is>
          <x:t xml:space="preserve">FRM0044</x:t>
        </x:is>
      </x:c>
      <x:c r="B40" t="inlineStr">
        <x:is>
          <x:t xml:space="preserve">postnasal_drip_cough_adult</x:t>
        </x:is>
      </x:c>
      <x:c r="C40" t="inlineStr">
        <x:is>
          <x:t xml:space="preserve">Postnasal drip / upper airway cough syndrome</x:t>
        </x:is>
      </x:c>
      <x:c r="D40" t="inlineStr">
        <x:is>
          <x:t xml:space="preserve">ENT</x:t>
        </x:is>
      </x:c>
      <x:c r="E40" t="inlineStr">
        <x:is>
          <x:t xml:space="preserve">adult</x:t>
        </x:is>
      </x:c>
      <x:c r="F40" t="inlineStr">
        <x:is>
          <x:t xml:space="preserve">R05.9</x:t>
        </x:is>
      </x:c>
      <x:c r="G40" t="inlineStr">
        <x:is>
          <x:t xml:space="preserve">cough likely driven by rhinitis/postnasal drip without lower respiratory red flags</x:t>
        </x:is>
      </x:c>
      <x:c r="H40" t="inlineStr">
        <x:is>
          <x:t xml:space="preserve">Nasotapp [Brompheniramine Maleate 4 mg.+Phenylephrine HCl 10 mg.]</x:t>
        </x:is>
      </x:c>
      <x:c r="I40" t="inlineStr">
        <x:is>
          <x:t xml:space="preserve">Nasonex 60 doses [Mometasone Furoate Monohydrate (eq. to Mometasone Furoate 50 mcg/dose)+Preservative (Benzalkonium Chloride 0.2 mg/g)]</x:t>
        </x:is>
      </x:c>
      <x:c r="L40" t="inlineStr">
        <x:is>
          <x:t xml:space="preserve">Zyrtec [Cetirizine dihydrochloride 10 mg.]</x:t>
        </x:is>
      </x:c>
      <x:c r="M40" t="inlineStr">
        <x:is>
          <x:t xml:space="preserve">Needs in-person eval today if dyspnea, chest pain, wheeze, or persistent high fever</x:t>
        </x:is>
      </x:c>
    </x:row>
    <x:row r="41">
      <x:c r="A41" t="inlineStr">
        <x:is>
          <x:t xml:space="preserve">FRM0045</x:t>
        </x:is>
      </x:c>
      <x:c r="B41" t="inlineStr">
        <x:is>
          <x:t xml:space="preserve">post_viral_cough_adult</x:t>
        </x:is>
      </x:c>
      <x:c r="C41" t="inlineStr">
        <x:is>
          <x:t xml:space="preserve">Post-viral cough</x:t>
        </x:is>
      </x:c>
      <x:c r="D41" t="inlineStr">
        <x:is>
          <x:t xml:space="preserve">ENT</x:t>
        </x:is>
      </x:c>
      <x:c r="E41" t="inlineStr">
        <x:is>
          <x:t xml:space="preserve">adult</x:t>
        </x:is>
      </x:c>
      <x:c r="F41" t="inlineStr">
        <x:is>
          <x:t xml:space="preserve">R05.8</x:t>
        </x:is>
      </x:c>
      <x:c r="G41" t="inlineStr">
        <x:is>
          <x:t xml:space="preserve">residual cough after recent viral URI, uncomplicated outpatient pattern</x:t>
        </x:is>
      </x:c>
      <x:c r="H41" t="inlineStr">
        <x:is>
          <x:t xml:space="preserve">Fartussin (ควบคุมจำนวน) [Dextromethorphan HBr 15 mg.+Glyceryl Guaiacolate 100 mg.+Terpin Hydrate 130 mg.]</x:t>
        </x:is>
      </x:c>
      <x:c r="I41" t="inlineStr">
        <x:is>
          <x:t xml:space="preserve">Zyrtec [Cetirizine dihydrochloride 10 mg.]</x:t>
        </x:is>
      </x:c>
      <x:c r="L41" t="inlineStr">
        <x:is>
          <x:t xml:space="preserve">Icolid (ควบคุมจำนวน) [Dextromethorphan HBr 15 mg.]</x:t>
        </x:is>
      </x:c>
      <x:c r="M41" t="inlineStr">
        <x:is>
          <x:t xml:space="preserve">Needs in-person eval today if dyspnea, chest pain, hemoptysis, or cough is worsening/persistent</x:t>
        </x:is>
      </x:c>
    </x:row>
    <x:row r="42">
      <x:c r="A42" t="inlineStr">
        <x:is>
          <x:t xml:space="preserve">FRM0046</x:t>
        </x:is>
      </x:c>
      <x:c r="B42" t="inlineStr">
        <x:is>
          <x:t xml:space="preserve">laryngitis_irritation_adult</x:t>
        </x:is>
      </x:c>
      <x:c r="C42" t="inlineStr">
        <x:is>
          <x:t xml:space="preserve">Laryngitis / voice irritation</x:t>
        </x:is>
      </x:c>
      <x:c r="D42" t="inlineStr">
        <x:is>
          <x:t xml:space="preserve">ENT</x:t>
        </x:is>
      </x:c>
      <x:c r="E42" t="inlineStr">
        <x:is>
          <x:t xml:space="preserve">adult</x:t>
        </x:is>
      </x:c>
      <x:c r="F42" t="inlineStr">
        <x:is>
          <x:t xml:space="preserve">J04.0</x:t>
        </x:is>
      </x:c>
      <x:c r="G42" t="inlineStr">
        <x:is>
          <x:t xml:space="preserve">mild laryngitis / voice overuse / throat irritation outpatient case</x:t>
        </x:is>
      </x:c>
      <x:c r="H42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I42" t="inlineStr">
        <x:is>
          <x:t xml:space="preserve">Strepsils Citrus Lemon SF HHR ซอง 6s [2,4-Dichlorobenzyl Alcohol 1.2 mg.+Amylmetacresol 0.6 mg.]</x:t>
        </x:is>
      </x:c>
      <x:c r="L42" t="inlineStr">
        <x:is>
          <x:t xml:space="preserve">Difflam Forte Spray [Benzydamine Hydrochloride 3 mg.+Ethanol+Saccharin Sodium+Methyl Hydroxybenzoate+Glycerol+PEG-40 Hydrogenated castor oil/ml.]</x:t>
        </x:is>
      </x:c>
      <x:c r="M42" t="inlineStr">
        <x:is>
          <x:t xml:space="preserve">Needs in-person eval today if stridor, dyspnea, drooling, or inability to swallow</x:t>
        </x:is>
      </x:c>
    </x:row>
    <x:row r="43">
      <x:c r="A43" t="inlineStr">
        <x:is>
          <x:t xml:space="preserve">FRM0047</x:t>
        </x:is>
      </x:c>
      <x:c r="B43" t="inlineStr">
        <x:is>
          <x:t xml:space="preserve">gastroenteritis_mild_adult</x:t>
        </x:is>
      </x:c>
      <x:c r="C43" t="inlineStr">
        <x:is>
          <x:t xml:space="preserve">Mild viral gastroenteritis</x:t>
        </x:is>
      </x:c>
      <x:c r="D43" t="inlineStr">
        <x:is>
          <x:t xml:space="preserve">GI</x:t>
        </x:is>
      </x:c>
      <x:c r="E43" t="inlineStr">
        <x:is>
          <x:t xml:space="preserve">adult</x:t>
        </x:is>
      </x:c>
      <x:c r="F43" t="inlineStr">
        <x:is>
          <x:t xml:space="preserve">A09</x:t>
        </x:is>
      </x:c>
      <x:c r="G43" t="inlineStr">
        <x:is>
          <x:t xml:space="preserve">mild uncomplicated viral gastroenteritis / loose stool outpatient case</x:t>
        </x:is>
      </x:c>
      <x:c r="H43" t="inlineStr">
        <x:is>
          <x:t xml:space="preserve">Cera ORS รสส้ม [Glucose Anhydrous 3 g.+Sodium Chloride 0.53 g.+Potassium Chloride 0.23 g.+Sodium Citrate Dihydrate 0.44 g.]</x:t>
        </x:is>
      </x:c>
      <x:c r="I43" t="inlineStr">
        <x:is>
          <x:t xml:space="preserve">Bioflor [Lyophilized Saccharomyces boulardii 250 mg.]</x:t>
        </x:is>
      </x:c>
      <x:c r="L43" t="inlineStr">
        <x:is>
          <x:t xml:space="preserve">Dehecta [Dioctahedral Smectite 3 g./20 ml.]</x:t>
        </x:is>
      </x:c>
      <x:c r="M43" t="inlineStr">
        <x:is>
          <x:t xml:space="preserve">Avoid routine antibiotics; Needs in-person eval today if dehydration, bloody stool, severe abdominal pain, or persistent vomiting</x:t>
        </x:is>
      </x:c>
    </x:row>
    <x:row r="44">
      <x:c r="A44" t="inlineStr">
        <x:is>
          <x:t xml:space="preserve">FRM0049</x:t>
        </x:is>
      </x:c>
      <x:c r="B44" t="inlineStr">
        <x:is>
          <x:t xml:space="preserve">functional_bloating_adult</x:t>
        </x:is>
      </x:c>
      <x:c r="C44" t="inlineStr">
        <x:is>
          <x:t xml:space="preserve">Functional bloating / flatulence</x:t>
        </x:is>
      </x:c>
      <x:c r="D44" t="inlineStr">
        <x:is>
          <x:t xml:space="preserve">GI</x:t>
        </x:is>
      </x:c>
      <x:c r="E44" t="inlineStr">
        <x:is>
          <x:t xml:space="preserve">adult</x:t>
        </x:is>
      </x:c>
      <x:c r="F44" t="inlineStr">
        <x:is>
          <x:t xml:space="preserve">R14.0</x:t>
        </x:is>
      </x:c>
      <x:c r="G44" t="inlineStr">
        <x:is>
          <x:t xml:space="preserve">simple functional bloating / flatulence outpatient case</x:t>
        </x:is>
      </x:c>
      <x:c r="H44" t="inlineStr">
        <x:is>
          <x:t xml:space="preserve">Air-X 120 [Simethicone 120 mg.]</x:t>
        </x:is>
      </x:c>
      <x:c r="I44" t="inlineStr">
        <x:is>
          <x:t xml:space="preserve">Gogaz [Simethicone 200 mg.]</x:t>
        </x:is>
      </x:c>
      <x:c r="L44" t="inlineStr">
        <x:is>
          <x:t xml:space="preserve">Buscopan [Hyoscine-N-butylbromide 10 mg.]</x:t>
        </x:is>
      </x:c>
      <x:c r="M44" t="inlineStr">
        <x:is>
          <x:t xml:space="preserve">Needs in-person eval today if GI bleed, weight loss, severe persistent pain, or persistent vomiting</x:t>
        </x:is>
      </x:c>
    </x:row>
    <x:row r="45">
      <x:c r="A45" t="inlineStr">
        <x:is>
          <x:t xml:space="preserve">FRM0050</x:t>
        </x:is>
      </x:c>
      <x:c r="B45" t="inlineStr">
        <x:is>
          <x:t xml:space="preserve">dyspepsia_gas_adult</x:t>
        </x:is>
      </x:c>
      <x:c r="C45" t="inlineStr">
        <x:is>
          <x:t xml:space="preserve">Dyspeptic gas / post-meal belching</x:t>
        </x:is>
      </x:c>
      <x:c r="D45" t="inlineStr">
        <x:is>
          <x:t xml:space="preserve">GI</x:t>
        </x:is>
      </x:c>
      <x:c r="E45" t="inlineStr">
        <x:is>
          <x:t xml:space="preserve">adult</x:t>
        </x:is>
      </x:c>
      <x:c r="F45" t="inlineStr">
        <x:is>
          <x:t xml:space="preserve">K30</x:t>
        </x:is>
      </x:c>
      <x:c r="G45" t="inlineStr">
        <x:is>
          <x:t xml:space="preserve">post-meal dyspeptic gas / belching pattern without alarm symptoms</x:t>
        </x:is>
      </x:c>
      <x:c r="H45" t="inlineStr">
        <x:is>
          <x:t xml:space="preserve">Gogaz [Simethicone 200 mg.]</x:t>
        </x:is>
      </x:c>
      <x:c r="I45" t="inlineStr">
        <x:is>
          <x:t xml:space="preserve">Air-X 120 [Simethicone 120 mg.]</x:t>
        </x:is>
      </x:c>
      <x:c r="L45" t="inlineStr">
        <x:is>
          <x:t xml:space="preserve">Buscopan [Hyoscine-N-butylbromide 10 mg.]</x:t>
        </x:is>
      </x:c>
      <x:c r="M45" t="inlineStr">
        <x:is>
          <x:t xml:space="preserve">Needs in-person eval today if GI bleed, weight loss, severe persistent pain, or persistent vomiting</x:t>
        </x:is>
      </x:c>
    </x:row>
    <x:row r="46">
      <x:c r="A46" t="inlineStr">
        <x:is>
          <x:t xml:space="preserve">FRM0051</x:t>
        </x:is>
      </x:c>
      <x:c r="B46" t="inlineStr">
        <x:is>
          <x:t xml:space="preserve">neck_shoulder_strain_adult</x:t>
        </x:is>
      </x:c>
      <x:c r="C46" t="inlineStr">
        <x:is>
          <x:t xml:space="preserve">Neck / shoulder strain</x:t>
        </x:is>
      </x:c>
      <x:c r="D46" t="inlineStr">
        <x:is>
          <x:t xml:space="preserve">Pain</x:t>
        </x:is>
      </x:c>
      <x:c r="E46" t="inlineStr">
        <x:is>
          <x:t xml:space="preserve">adult</x:t>
        </x:is>
      </x:c>
      <x:c r="F46" t="inlineStr">
        <x:is>
          <x:t xml:space="preserve">M54.2</x:t>
        </x:is>
      </x:c>
      <x:c r="G46" t="inlineStr">
        <x:is>
          <x:t xml:space="preserve">simple neck / shoulder strain outpatient case</x:t>
        </x:is>
      </x:c>
      <x:c r="H46" t="inlineStr">
        <x:is>
          <x:t xml:space="preserve">Gofen 400 [Ibuprofen 400 mg.+Polyethylene 400+Porpylene Glycol]</x:t>
        </x:is>
      </x:c>
      <x:c r="I46" t="inlineStr">
        <x:is>
          <x:t xml:space="preserve">Biocalm [Tolperisone 50 mg.]</x:t>
        </x:is>
      </x:c>
      <x:c r="J46" t="inlineStr">
        <x:is>
          <x:t xml:space="preserve">Uniren Spray [Diclofenac Sodium 1 % w/w]</x:t>
        </x:is>
      </x:c>
      <x:c r="L46" t="inlineStr">
        <x:is>
          <x:t xml:space="preserve">Perskindol Classic Gel [Menthol 1.5%+Pine Needle Oil 1.35%+Wintergreen Oil 0.35%+Orange Oil 0.4%]</x:t>
        </x:is>
      </x:c>
      <x:c r="M46" t="inlineStr">
        <x:is>
          <x:t xml:space="preserve">Needs in-person eval today if trauma, weakness/numbness, severe headache/neck stiffness, or major swelling</x:t>
        </x:is>
      </x:c>
    </x:row>
    <x:row r="47">
      <x:c r="A47" t="inlineStr">
        <x:is>
          <x:t xml:space="preserve">FRM0052</x:t>
        </x:is>
      </x:c>
      <x:c r="B47" t="inlineStr">
        <x:is>
          <x:t xml:space="preserve">low_back_pain_simple_adult</x:t>
        </x:is>
      </x:c>
      <x:c r="C47" t="inlineStr">
        <x:is>
          <x:t xml:space="preserve">Simple low back pain</x:t>
        </x:is>
      </x:c>
      <x:c r="D47" t="inlineStr">
        <x:is>
          <x:t xml:space="preserve">Pain</x:t>
        </x:is>
      </x:c>
      <x:c r="E47" t="inlineStr">
        <x:is>
          <x:t xml:space="preserve">adult</x:t>
        </x:is>
      </x:c>
      <x:c r="F47" t="inlineStr">
        <x:is>
          <x:t xml:space="preserve">M54.5</x:t>
        </x:is>
      </x:c>
      <x:c r="G47" t="inlineStr">
        <x:is>
          <x:t xml:space="preserve">simple non-traumatic low back pain outpatient case</x:t>
        </x:is>
      </x:c>
      <x:c r="H47" t="inlineStr">
        <x:is>
          <x:t xml:space="preserve">Gofen 400 [Ibuprofen 400 mg.+Polyethylene 400+Porpylene Glycol]</x:t>
        </x:is>
      </x:c>
      <x:c r="I47" t="inlineStr">
        <x:is>
          <x:t xml:space="preserve">Biocalm [Tolperisone 50 mg.]</x:t>
        </x:is>
      </x:c>
      <x:c r="J47" t="inlineStr">
        <x:is>
          <x:t xml:space="preserve">Uniren Spray [Diclofenac Sodium 1 % w/w]</x:t>
        </x:is>
      </x:c>
      <x:c r="L47" t="inlineStr">
        <x:is>
          <x:t xml:space="preserve">Synflex [Naproxen sodium 275 mg.]</x:t>
        </x:is>
      </x:c>
      <x:c r="M47" t="inlineStr">
        <x:is>
          <x:t xml:space="preserve">Needs in-person eval today if urinary retention/incontinence, saddle anesthesia, trauma, fever, or weakness/numbness</x:t>
        </x:is>
      </x:c>
    </x:row>
    <x:row r="48">
      <x:c r="A48" t="inlineStr">
        <x:is>
          <x:t xml:space="preserve">FRM0053</x:t>
        </x:is>
      </x:c>
      <x:c r="B48" t="inlineStr">
        <x:is>
          <x:t xml:space="preserve">sprain_strain_mild_adult</x:t>
        </x:is>
      </x:c>
      <x:c r="C48" t="inlineStr">
        <x:is>
          <x:t xml:space="preserve">Mild sprain / strain</x:t>
        </x:is>
      </x:c>
      <x:c r="D48" t="inlineStr">
        <x:is>
          <x:t xml:space="preserve">Pain</x:t>
        </x:is>
      </x:c>
      <x:c r="E48" t="inlineStr">
        <x:is>
          <x:t xml:space="preserve">adult</x:t>
        </x:is>
      </x:c>
      <x:c r="F48" t="inlineStr">
        <x:is>
          <x:t xml:space="preserve">T14.8</x:t>
        </x:is>
      </x:c>
      <x:c r="G48" t="inlineStr">
        <x:is>
          <x:t xml:space="preserve">minor sprain / strain outpatient case without major trauma</x:t>
        </x:is>
      </x:c>
      <x:c r="H48" t="inlineStr">
        <x:is>
          <x:t xml:space="preserve">Gofen 400 [Ibuprofen 400 mg.+Polyethylene 400+Porpylene Glycol]</x:t>
        </x:is>
      </x:c>
      <x:c r="I48" t="inlineStr">
        <x:is>
          <x:t xml:space="preserve">Uniren Spray [Diclofenac Sodium 1 % w/w]</x:t>
        </x:is>
      </x:c>
      <x:c r="L48" t="inlineStr">
        <x:is>
          <x:t xml:space="preserve">Arcoxia 60 mg [Etoricoxib 60 mg.]</x:t>
        </x:is>
      </x:c>
      <x:c r="M48" t="inlineStr">
        <x:is>
          <x:t xml:space="preserve">Needs in-person eval today if deformity, inability to bear weight, severe swelling, or suspected fracture</x:t>
        </x:is>
      </x:c>
    </x:row>
    <x:row r="49">
      <x:c r="A49" t="inlineStr">
        <x:is>
          <x:t xml:space="preserve">FRM0054</x:t>
        </x:is>
      </x:c>
      <x:c r="B49" t="inlineStr">
        <x:is>
          <x:t xml:space="preserve">knee_joint_pain_adult</x:t>
        </x:is>
      </x:c>
      <x:c r="C49" t="inlineStr">
        <x:is>
          <x:t xml:space="preserve">Knee / localized joint pain</x:t>
        </x:is>
      </x:c>
      <x:c r="D49" t="inlineStr">
        <x:is>
          <x:t xml:space="preserve">Pain</x:t>
        </x:is>
      </x:c>
      <x:c r="E49" t="inlineStr">
        <x:is>
          <x:t xml:space="preserve">adult</x:t>
        </x:is>
      </x:c>
      <x:c r="F49" t="inlineStr">
        <x:is>
          <x:t xml:space="preserve">M25.56</x:t>
        </x:is>
      </x:c>
      <x:c r="G49" t="inlineStr">
        <x:is>
          <x:t xml:space="preserve">mild localized knee/joint pain outpatient case</x:t>
        </x:is>
      </x:c>
      <x:c r="H49" t="inlineStr">
        <x:is>
          <x:t xml:space="preserve">Arcoxia 60 mg [Etoricoxib 60 mg.]</x:t>
        </x:is>
      </x:c>
      <x:c r="I49" t="inlineStr">
        <x:is>
          <x:t xml:space="preserve">Uniren Spray [Diclofenac Sodium 1 % w/w]</x:t>
        </x:is>
      </x:c>
      <x:c r="L49" t="inlineStr">
        <x:is>
          <x:t xml:space="preserve">Celebrex 200 mg [Celecoxib 200 mg.]</x:t>
        </x:is>
      </x:c>
      <x:c r="M49" t="inlineStr">
        <x:is>
          <x:t xml:space="preserve">Needs in-person eval today if red hot joint, major swelling, trauma, or inability to bear weight</x:t>
        </x:is>
      </x:c>
    </x:row>
    <x:row r="50">
      <x:c r="A50" t="inlineStr">
        <x:is>
          <x:t xml:space="preserve">FRM0055</x:t>
        </x:is>
      </x:c>
      <x:c r="B50" t="inlineStr">
        <x:is>
          <x:t xml:space="preserve">contact_dermatitis_adult</x:t>
        </x:is>
      </x:c>
      <x:c r="C50" t="inlineStr">
        <x:is>
          <x:t xml:space="preserve">Contact dermatitis / irritant rash</x:t>
        </x:is>
      </x:c>
      <x:c r="D50" t="inlineStr">
        <x:is>
          <x:t xml:space="preserve">Skin</x:t>
        </x:is>
      </x:c>
      <x:c r="E50" t="inlineStr">
        <x:is>
          <x:t xml:space="preserve">adult</x:t>
        </x:is>
      </x:c>
      <x:c r="F50" t="inlineStr">
        <x:is>
          <x:t xml:space="preserve">L25.9</x:t>
        </x:is>
      </x:c>
      <x:c r="G50" t="inlineStr">
        <x:is>
          <x:t xml:space="preserve">contact/irritant dermatitis without infection or severe skin red flags</x:t>
        </x:is>
      </x:c>
      <x:c r="H50" t="inlineStr">
        <x:is>
          <x:t xml:space="preserve">Zyrtec [Cetirizine dihydrochloride 10 mg.]</x:t>
        </x:is>
      </x:c>
      <x:c r="I50" t="inlineStr">
        <x:is>
          <x:t xml:space="preserve">Aristocort 0.02% [Triamcinolone Acetonide 0.02%]</x:t>
        </x:is>
      </x:c>
      <x:c r="J50" t="inlineStr">
        <x:is>
          <x:t xml:space="preserve">Diabederm Urea Cream 10% [10% Urea]</x:t>
        </x:is>
      </x:c>
      <x:c r="L50" t="inlineStr">
        <x:is>
          <x:t xml:space="preserve">Antergan Cream [Hydrocortisone Acetate 5 mg+Mepyramine Maleate 20 mg/1 g]</x:t>
        </x:is>
      </x:c>
      <x:c r="M50" t="inlineStr">
        <x:is>
          <x:t xml:space="preserve">Needs in-person eval today if facial swelling, blistering, mucosal lesions, or rapidly spreading painful rash</x:t>
        </x:is>
      </x:c>
    </x:row>
    <x:row r="51">
      <x:c r="A51" t="inlineStr">
        <x:is>
          <x:t xml:space="preserve">FRM0056</x:t>
        </x:is>
      </x:c>
      <x:c r="B51" t="inlineStr">
        <x:is>
          <x:t xml:space="preserve">urticaria_mild_adult</x:t>
        </x:is>
      </x:c>
      <x:c r="C51" t="inlineStr">
        <x:is>
          <x:t xml:space="preserve">Mild urticaria / hives</x:t>
        </x:is>
      </x:c>
      <x:c r="D51" t="inlineStr">
        <x:is>
          <x:t xml:space="preserve">Skin</x:t>
        </x:is>
      </x:c>
      <x:c r="E51" t="inlineStr">
        <x:is>
          <x:t xml:space="preserve">adult</x:t>
        </x:is>
      </x:c>
      <x:c r="F51" t="inlineStr">
        <x:is>
          <x:t xml:space="preserve">L50.9</x:t>
        </x:is>
      </x:c>
      <x:c r="G51" t="inlineStr">
        <x:is>
          <x:t xml:space="preserve">mild urticaria/hives outpatient case without anaphylaxis red flags</x:t>
        </x:is>
      </x:c>
      <x:c r="H51" t="inlineStr">
        <x:is>
          <x:t xml:space="preserve">Zyrtec [Cetirizine dihydrochloride 10 mg.]</x:t>
        </x:is>
      </x:c>
      <x:c r="I51" t="inlineStr">
        <x:is>
          <x:t xml:space="preserve">Antergan Cream [Hydrocortisone Acetate 5 mg+Mepyramine Maleate 20 mg/1 g]</x:t>
        </x:is>
      </x:c>
      <x:c r="L51" t="inlineStr">
        <x:is>
          <x:t xml:space="preserve">Telfast 180 mg [Fexofenadine HCl 180 mg.]</x:t>
        </x:is>
      </x:c>
      <x:c r="M51" t="inlineStr">
        <x:is>
          <x:t xml:space="preserve">Needs in-person eval today if dyspnea, lip/tongue swelling, dizziness, or widespread worsening reaction</x:t>
        </x:is>
      </x:c>
    </x:row>
    <x:row r="52">
      <x:c r="A52" t="inlineStr">
        <x:is>
          <x:t xml:space="preserve">FRM0057</x:t>
        </x:is>
      </x:c>
      <x:c r="B52" t="inlineStr">
        <x:is>
          <x:t xml:space="preserve">pruritus_localized_adult</x:t>
        </x:is>
      </x:c>
      <x:c r="C52" t="inlineStr">
        <x:is>
          <x:t xml:space="preserve">Localized pruritus</x:t>
        </x:is>
      </x:c>
      <x:c r="D52" t="inlineStr">
        <x:is>
          <x:t xml:space="preserve">Skin</x:t>
        </x:is>
      </x:c>
      <x:c r="E52" t="inlineStr">
        <x:is>
          <x:t xml:space="preserve">adult</x:t>
        </x:is>
      </x:c>
      <x:c r="F52" t="inlineStr">
        <x:is>
          <x:t xml:space="preserve">L29.9</x:t>
        </x:is>
      </x:c>
      <x:c r="G52" t="inlineStr">
        <x:is>
          <x:t xml:space="preserve">localized itch outpatient case when a more specific cause is not obvious</x:t>
        </x:is>
      </x:c>
      <x:c r="H52" t="inlineStr">
        <x:is>
          <x:t xml:space="preserve">Zyrtec [Cetirizine dihydrochloride 10 mg.]</x:t>
        </x:is>
      </x:c>
      <x:c r="I52" t="inlineStr">
        <x:is>
          <x:t xml:space="preserve">Antergan Cream [Hydrocortisone Acetate 5 mg+Mepyramine Maleate 20 mg/1 g]</x:t>
        </x:is>
      </x:c>
      <x:c r="L52" t="inlineStr">
        <x:is>
          <x:t xml:space="preserve">Aristocort 0.02% [Triamcinolone Acetonide 0.02%]</x:t>
        </x:is>
      </x:c>
      <x:c r="M52" t="inlineStr">
        <x:is>
          <x:t xml:space="preserve">Needs in-person eval today if infected skin, blistering, facial swelling, or generalized severe rash</x:t>
        </x:is>
      </x:c>
    </x:row>
    <x:row r="53">
      <x:c r="A53" t="inlineStr">
        <x:is>
          <x:t xml:space="preserve">FRM0058</x:t>
        </x:is>
      </x:c>
      <x:c r="B53" t="inlineStr">
        <x:is>
          <x:t xml:space="preserve">tinea_corporis_localized_adult</x:t>
        </x:is>
      </x:c>
      <x:c r="C53" t="inlineStr">
        <x:is>
          <x:t xml:space="preserve">Localized tinea corporis / fungal rash</x:t>
        </x:is>
      </x:c>
      <x:c r="D53" t="inlineStr">
        <x:is>
          <x:t xml:space="preserve">Skin</x:t>
        </x:is>
      </x:c>
      <x:c r="E53" t="inlineStr">
        <x:is>
          <x:t xml:space="preserve">adult</x:t>
        </x:is>
      </x:c>
      <x:c r="F53" t="inlineStr">
        <x:is>
          <x:t xml:space="preserve">B35.4</x:t>
        </x:is>
      </x:c>
      <x:c r="G53" t="inlineStr">
        <x:is>
          <x:t xml:space="preserve">localized tinea-type rash outpatient case</x:t>
        </x:is>
      </x:c>
      <x:c r="H53" t="inlineStr">
        <x:is>
          <x:t xml:space="preserve">Canasone C.B. Cream [Clotrimazole 1%+Betamethasone Dipropionate (eq. to Betamethasone 0.1%) w/w]</x:t>
        </x:is>
      </x:c>
      <x:c r="L53" t="inlineStr">
        <x:is>
          <x:t xml:space="preserve">Zyrtec [Cetirizine dihydrochloride 10 mg.]</x:t>
        </x:is>
      </x:c>
      <x:c r="M53" t="inlineStr">
        <x:is>
          <x:t xml:space="preserve">Needs in-person eval today if facial/genital involvement, extensive spread, pus, or severe inflammation</x:t>
        </x:is>
      </x:c>
    </x:row>
    <x:row r="54">
      <x:c r="A54" t="inlineStr">
        <x:is>
          <x:t xml:space="preserve">FRM0059</x:t>
        </x:is>
      </x:c>
      <x:c r="B54" t="inlineStr">
        <x:is>
          <x:t xml:space="preserve">impetigo_localized_adult</x:t>
        </x:is>
      </x:c>
      <x:c r="C54" t="inlineStr">
        <x:is>
          <x:t xml:space="preserve">Localized impetigo (topical-first)</x:t>
        </x:is>
      </x:c>
      <x:c r="D54" t="inlineStr">
        <x:is>
          <x:t xml:space="preserve">Skin</x:t>
        </x:is>
      </x:c>
      <x:c r="E54" t="inlineStr">
        <x:is>
          <x:t xml:space="preserve">adult</x:t>
        </x:is>
      </x:c>
      <x:c r="F54" t="inlineStr">
        <x:is>
          <x:t xml:space="preserve">L01.0</x:t>
        </x:is>
      </x:c>
      <x:c r="G54" t="inlineStr">
        <x:is>
          <x:t xml:space="preserve">small localized superficial bacterial skin lesion / impetigo-type case</x:t>
        </x:is>
      </x:c>
      <x:c r="H54" t="inlineStr">
        <x:is>
          <x:t xml:space="preserve">Garamycin Cream [Gentamicin 1 mg./1 g.]</x:t>
        </x:is>
      </x:c>
      <x:c r="I54" t="inlineStr">
        <x:is>
          <x:t xml:space="preserve">Betadine Solution 15 ml [Povidone-Iodine USP 10 % w/v]</x:t>
        </x:is>
      </x:c>
      <x:c r="L54" t="inlineStr">
        <x:is>
          <x:t xml:space="preserve">Ibiamox 500 mg [Amoxicillin 500 mg.]</x:t>
        </x:is>
      </x:c>
      <x:c r="M54" t="inlineStr">
        <x:is>
          <x:t xml:space="preserve">Needs in-person eval today if rapidly spreading redness, fever, facial involvement, or abscess</x:t>
        </x:is>
      </x:c>
    </x:row>
    <x:row r="55">
      <x:c r="A55" t="inlineStr">
        <x:is>
          <x:t xml:space="preserve">FRM0061</x:t>
        </x:is>
      </x:c>
      <x:c r="B55" t="inlineStr">
        <x:is>
          <x:t xml:space="preserve">screen_related_dry_eye_adult</x:t>
        </x:is>
      </x:c>
      <x:c r="C55" t="inlineStr">
        <x:is>
          <x:t xml:space="preserve">Screen-related dry eye</x:t>
        </x:is>
      </x:c>
      <x:c r="D55" t="inlineStr">
        <x:is>
          <x:t xml:space="preserve">Eye</x:t>
        </x:is>
      </x:c>
      <x:c r="E55" t="inlineStr">
        <x:is>
          <x:t xml:space="preserve">adult</x:t>
        </x:is>
      </x:c>
      <x:c r="F55" t="inlineStr">
        <x:is>
          <x:t xml:space="preserve">H04.129</x:t>
        </x:is>
      </x:c>
      <x:c r="G55" t="inlineStr">
        <x:is>
          <x:t xml:space="preserve">screen-related dryness / visual fatigue without pain, photophobia, or vision loss</x:t>
        </x:is>
      </x:c>
      <x:c r="H55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I55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L55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M55" t="inlineStr">
        <x:is>
          <x:t xml:space="preserve">Needs in-person eval today if eye pain, photophobia, purulent discharge, or vision loss</x:t>
        </x:is>
      </x:c>
    </x:row>
    <x:row r="56">
      <x:c r="A56" t="inlineStr">
        <x:is>
          <x:t xml:space="preserve">FRM0062</x:t>
        </x:is>
      </x:c>
      <x:c r="B56" t="inlineStr">
        <x:is>
          <x:t xml:space="preserve">aphthous_ulcer_pain_adult</x:t>
        </x:is>
      </x:c>
      <x:c r="C56" t="inlineStr">
        <x:is>
          <x:t xml:space="preserve">Painful aphthous ulcer support</x:t>
        </x:is>
      </x:c>
      <x:c r="D56" t="inlineStr">
        <x:is>
          <x:t xml:space="preserve">Oral</x:t>
        </x:is>
      </x:c>
      <x:c r="E56" t="inlineStr">
        <x:is>
          <x:t xml:space="preserve">adult</x:t>
        </x:is>
      </x:c>
      <x:c r="F56" t="inlineStr">
        <x:is>
          <x:t xml:space="preserve">K12.0</x:t>
        </x:is>
      </x:c>
      <x:c r="G56" t="inlineStr">
        <x:is>
          <x:t xml:space="preserve">painful aphthous ulcer needing local symptom control outpatient case</x:t>
        </x:is>
      </x:c>
      <x:c r="H56" t="inlineStr">
        <x:is>
          <x:t xml:space="preserve">Kamistad-Gel N [Lidocaine HCl 20 mg.+Chamomile Flower Extract 185 mg.+Ethanol 50% v/v+Tromethamole 1.37% w/w+Preservative (Benzalkonium Chloride 1 mg.)/1 g.]</x:t>
        </x:is>
      </x:c>
      <x:c r="I56" t="inlineStr">
        <x:is>
          <x:t xml:space="preserve">Kenalone Oral Paste 5 g [Triamcinolone Acetonide 0.1%]</x:t>
        </x:is>
      </x:c>
      <x:c r="L56" t="inlineStr">
        <x:is>
          <x:t xml:space="preserve">Tylenol 500 mg strip 10s [Paracetamol 500 mg.]</x:t>
        </x:is>
      </x:c>
      <x:c r="M56" t="inlineStr">
        <x:is>
          <x:t xml:space="preserve">Needs in-person eval today if multiple extensive ulcers, inability to eat/drink, fever, or recurrent severe disease</x:t>
        </x:is>
      </x:c>
    </x:row>
    <x:row r="57">
      <x:c r="A57" t="inlineStr">
        <x:is>
          <x:t xml:space="preserve">FRM0063</x:t>
        </x:is>
      </x:c>
      <x:c r="B57" t="inlineStr">
        <x:is>
          <x:t xml:space="preserve">nasal_dryness_irritation_adult</x:t>
        </x:is>
      </x:c>
      <x:c r="C57" t="inlineStr">
        <x:is>
          <x:t xml:space="preserve">Nasal dryness / irritation</x:t>
        </x:is>
      </x:c>
      <x:c r="D57" t="inlineStr">
        <x:is>
          <x:t xml:space="preserve">ENT</x:t>
        </x:is>
      </x:c>
      <x:c r="E57" t="inlineStr">
        <x:is>
          <x:t xml:space="preserve">adult</x:t>
        </x:is>
      </x:c>
      <x:c r="F57" t="inlineStr">
        <x:is>
          <x:t xml:space="preserve">J34.89</x:t>
        </x:is>
      </x:c>
      <x:c r="G57" t="inlineStr">
        <x:is>
          <x:t xml:space="preserve">nasal dryness / dust irritation / mild crusting outpatient case</x:t>
        </x:is>
      </x:c>
      <x:c r="H57" t="inlineStr">
        <x:is>
          <x:t xml:space="preserve">Klean &amp; Kare Saline เล็ก [Sodium Chloride 0.9 g./100 ml.]</x:t>
        </x:is>
      </x:c>
      <x:c r="I57" t="inlineStr">
        <x:is>
          <x:t xml:space="preserve">Nasonex 60 doses [Mometasone Furoate Monohydrate (eq. to Mometasone Furoate 50 mcg/dose)+Preservative (Benzalkonium Chloride 0.2 mg/g)]</x:t>
        </x:is>
      </x:c>
      <x:c r="L57" t="inlineStr">
        <x:is>
          <x:t xml:space="preserve">Zyrtec [Cetirizine dihydrochloride 10 mg.]</x:t>
        </x:is>
      </x:c>
      <x:c r="M57" t="inlineStr">
        <x:is>
          <x:t xml:space="preserve">Needs in-person eval today if recurrent epistaxis, severe facial pain, or fever with worsening symptoms</x:t>
        </x:is>
      </x:c>
    </x:row>
    <x:row r="58">
      <x:c r="A58" t="inlineStr">
        <x:is>
          <x:t xml:space="preserve">FRM0068</x:t>
        </x:is>
      </x:c>
      <x:c r="B58" t="inlineStr">
        <x:is>
          <x:t xml:space="preserve">watery_red_eye_nonpurulent_adult</x:t>
        </x:is>
      </x:c>
      <x:c r="C58" t="inlineStr">
        <x:is>
          <x:t xml:space="preserve">Watery red eye (non-purulent)</x:t>
        </x:is>
      </x:c>
      <x:c r="D58" t="inlineStr">
        <x:is>
          <x:t xml:space="preserve">Eye</x:t>
        </x:is>
      </x:c>
      <x:c r="E58" t="inlineStr">
        <x:is>
          <x:t xml:space="preserve">adult</x:t>
        </x:is>
      </x:c>
      <x:c r="F58" t="inlineStr">
        <x:is>
          <x:t xml:space="preserve">H57.8</x:t>
        </x:is>
      </x:c>
      <x:c r="G58" t="inlineStr">
        <x:is>
          <x:t xml:space="preserve">mild watery/non-purulent eye irritation without vision-threatening red flags</x:t>
        </x:is>
      </x:c>
      <x:c r="H58" t="inlineStr">
        <x:is>
          <x:t xml:space="preserve">Op-Ize Eye Wash [Boric Acid 2.0 g.+Sodium Borate 0.5 g.+Zinc Sulphate 0.004 g./100 ml.]</x:t>
        </x:is>
      </x:c>
      <x:c r="I58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L58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M58" t="inlineStr">
        <x:is>
          <x:t xml:space="preserve">Needs in-person eval today if purulent discharge, severe pain, photophobia, or vision loss</x:t>
        </x:is>
      </x:c>
    </x:row>
    <x:row r="59">
      <x:c r="A59" t="inlineStr">
        <x:is>
          <x:t xml:space="preserve">FRM0072</x:t>
        </x:is>
      </x:c>
      <x:c r="B59" t="inlineStr">
        <x:is>
          <x:t xml:space="preserve">eye_irritation_peds</x:t>
        </x:is>
      </x:c>
      <x:c r="C59" t="inlineStr">
        <x:is>
          <x:t xml:space="preserve">Pediatric eye irritation support</x:t>
        </x:is>
      </x:c>
      <x:c r="D59" t="inlineStr">
        <x:is>
          <x:t xml:space="preserve">Eye</x:t>
        </x:is>
      </x:c>
      <x:c r="E59" t="inlineStr">
        <x:is>
          <x:t xml:space="preserve">peds</x:t>
        </x:is>
      </x:c>
      <x:c r="F59" t="inlineStr">
        <x:is>
          <x:t xml:space="preserve">H57.8</x:t>
        </x:is>
      </x:c>
      <x:c r="G59" t="inlineStr">
        <x:is>
          <x:t xml:space="preserve">mild child eye irritation/dust exposure without pain/photophobia/vision change</x:t>
        </x:is>
      </x:c>
      <x:c r="H59" t="inlineStr">
        <x:is>
          <x:t xml:space="preserve">Op-Ize Eye Wash [Boric Acid 2.0 g.+Sodium Borate 0.5 g.+Zinc Sulphate 0.004 g./100 ml.]</x:t>
        </x:is>
      </x:c>
      <x:c r="I59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M59" t="inlineStr">
        <x:is>
          <x:t xml:space="preserve">Needs in-person eval today if severe pain, photophobia, trauma, purulent discharge, or vision concern</x:t>
        </x:is>
      </x:c>
    </x:row>
    <x:row r="60">
      <x:c r="A60" t="inlineStr">
        <x:is>
          <x:t xml:space="preserve">FRM0074</x:t>
        </x:is>
      </x:c>
      <x:c r="B60" t="inlineStr">
        <x:is>
          <x:t xml:space="preserve">superficial_abrasion_adult</x:t>
        </x:is>
      </x:c>
      <x:c r="C60" t="inlineStr">
        <x:is>
          <x:t xml:space="preserve">Superficial abrasion</x:t>
        </x:is>
      </x:c>
      <x:c r="D60" t="inlineStr">
        <x:is>
          <x:t xml:space="preserve">Skin</x:t>
        </x:is>
      </x:c>
      <x:c r="E60" t="inlineStr">
        <x:is>
          <x:t xml:space="preserve">adult</x:t>
        </x:is>
      </x:c>
      <x:c r="F60" t="inlineStr">
        <x:is>
          <x:t xml:space="preserve">S40.8</x:t>
        </x:is>
      </x:c>
      <x:c r="G60" t="inlineStr">
        <x:is>
          <x:t xml:space="preserve">minor superficial abrasion outpatient care</x:t>
        </x:is>
      </x:c>
      <x:c r="H60" t="inlineStr">
        <x:is>
          <x:t xml:space="preserve">Betadine Solution 15 ml [Povidone-Iodine USP 10 % w/v]</x:t>
        </x:is>
      </x:c>
      <x:c r="L60" t="inlineStr">
        <x:is>
          <x:t xml:space="preserve">Garamycin Cream [Gentamicin 1 mg./1 g.]</x:t>
        </x:is>
      </x:c>
      <x:c r="M60" t="inlineStr">
        <x:is>
          <x:t xml:space="preserve">Needs in-person eval today if deep wound, bite, spreading redness, fever, or tetanus concern</x:t>
        </x:is>
      </x:c>
    </x:row>
    <x:row r="61">
      <x:c r="A61" t="inlineStr">
        <x:is>
          <x:t xml:space="preserve">FRM0076</x:t>
        </x:is>
      </x:c>
      <x:c r="B61" t="inlineStr">
        <x:is>
          <x:t xml:space="preserve">insect_bite_swelling_adult</x:t>
        </x:is>
      </x:c>
      <x:c r="C61" t="inlineStr">
        <x:is>
          <x:t xml:space="preserve">Insect bite with localized swelling</x:t>
        </x:is>
      </x:c>
      <x:c r="D61" t="inlineStr">
        <x:is>
          <x:t xml:space="preserve">Skin</x:t>
        </x:is>
      </x:c>
      <x:c r="E61" t="inlineStr">
        <x:is>
          <x:t xml:space="preserve">adult</x:t>
        </x:is>
      </x:c>
      <x:c r="F61" t="inlineStr">
        <x:is>
          <x:t xml:space="preserve">W57</x:t>
        </x:is>
      </x:c>
      <x:c r="G61" t="inlineStr">
        <x:is>
          <x:t xml:space="preserve">localized bite swelling/itch without systemic allergic red flags</x:t>
        </x:is>
      </x:c>
      <x:c r="H61" t="inlineStr">
        <x:is>
          <x:t xml:space="preserve">Zyrtec [Cetirizine dihydrochloride 10 mg.]</x:t>
        </x:is>
      </x:c>
      <x:c r="I61" t="inlineStr">
        <x:is>
          <x:t xml:space="preserve">Antergan Cream [Hydrocortisone Acetate 5 mg+Mepyramine Maleate 20 mg/1 g]</x:t>
        </x:is>
      </x:c>
      <x:c r="L61" t="inlineStr">
        <x:is>
          <x:t xml:space="preserve">Aristocort 0.02% [Triamcinolone Acetonide 0.02%]</x:t>
        </x:is>
      </x:c>
      <x:c r="M61" t="inlineStr">
        <x:is>
          <x:t xml:space="preserve">Needs in-person eval today if facial swelling, dyspnea, fever, or rapidly spreading redness</x:t>
        </x:is>
      </x:c>
    </x:row>
    <x:row r="62">
      <x:c r="A62" t="inlineStr">
        <x:is>
          <x:t xml:space="preserve">FRM0078</x:t>
        </x:is>
      </x:c>
      <x:c r="B62" t="inlineStr">
        <x:is>
          <x:t xml:space="preserve">insect_bite_peds</x:t>
        </x:is>
      </x:c>
      <x:c r="C62" t="inlineStr">
        <x:is>
          <x:t xml:space="preserve">Pediatric insect bite reaction</x:t>
        </x:is>
      </x:c>
      <x:c r="D62" t="inlineStr">
        <x:is>
          <x:t xml:space="preserve">Skin</x:t>
        </x:is>
      </x:c>
      <x:c r="E62" t="inlineStr">
        <x:is>
          <x:t xml:space="preserve">peds</x:t>
        </x:is>
      </x:c>
      <x:c r="F62" t="inlineStr">
        <x:is>
          <x:t xml:space="preserve">W57</x:t>
        </x:is>
      </x:c>
      <x:c r="G62" t="inlineStr">
        <x:is>
          <x:t xml:space="preserve">child insect bite reaction / itch without facial swelling or dyspnea</x:t>
        </x:is>
      </x:c>
      <x:c r="H62" t="inlineStr">
        <x:is>
          <x:t xml:space="preserve">Zyrtec Syrup [Cetirizine 2HCI 1 mg./1 ml.]</x:t>
        </x:is>
      </x:c>
      <x:c r="I62" t="inlineStr">
        <x:is>
          <x:t xml:space="preserve">Antergan Cream [Hydrocortisone Acetate 5 mg+Mepyramine Maleate 20 mg/1 g]</x:t>
        </x:is>
      </x:c>
      <x:c r="M62" t="inlineStr">
        <x:is>
          <x:t xml:space="preserve">Needs in-person eval today if facial swelling, dyspnea, fever, or rapidly spreading redness</x:t>
        </x:is>
      </x:c>
    </x:row>
    <x:row r="63">
      <x:c r="A63" t="inlineStr">
        <x:is>
          <x:t xml:space="preserve">FRM0079</x:t>
        </x:is>
      </x:c>
      <x:c r="B63" t="inlineStr">
        <x:is>
          <x:t xml:space="preserve">localized_eczema_peds</x:t>
        </x:is>
      </x:c>
      <x:c r="C63" t="inlineStr">
        <x:is>
          <x:t xml:space="preserve">Pediatric localized eczema support</x:t>
        </x:is>
      </x:c>
      <x:c r="D63" t="inlineStr">
        <x:is>
          <x:t xml:space="preserve">Skin</x:t>
        </x:is>
      </x:c>
      <x:c r="E63" t="inlineStr">
        <x:is>
          <x:t xml:space="preserve">peds</x:t>
        </x:is>
      </x:c>
      <x:c r="F63" t="inlineStr">
        <x:is>
          <x:t xml:space="preserve">L30.9</x:t>
        </x:is>
      </x:c>
      <x:c r="G63" t="inlineStr">
        <x:is>
          <x:t xml:space="preserve">localized mild eczema support row for child; verify skin site/extent</x:t>
        </x:is>
      </x:c>
      <x:c r="H63" t="inlineStr">
        <x:is>
          <x:t xml:space="preserve">Aristocort 0.02% [Triamcinolone Acetonide 0.02%]</x:t>
        </x:is>
      </x:c>
      <x:c r="I63" t="inlineStr">
        <x:is>
          <x:t xml:space="preserve">Diabederm Urea Cream 10% [10% Urea]</x:t>
        </x:is>
      </x:c>
      <x:c r="L63" t="inlineStr">
        <x:is>
          <x:t xml:space="preserve">Zyrtec Syrup [Cetirizine 2HCI 1 mg./1 ml.]</x:t>
        </x:is>
      </x:c>
      <x:c r="M63" t="inlineStr">
        <x:is>
          <x:t xml:space="preserve">Needs in-person eval today if infected eczema, widespread rash, or facial/eye involvement</x:t>
        </x:is>
      </x:c>
    </x:row>
    <x:row r="64">
      <x:c r="A64" t="inlineStr">
        <x:is>
          <x:t xml:space="preserve">FRM0080</x:t>
        </x:is>
      </x:c>
      <x:c r="B64" t="inlineStr">
        <x:is>
          <x:t xml:space="preserve">indigestion_postmeal_adult</x:t>
        </x:is>
      </x:c>
      <x:c r="C64" t="inlineStr">
        <x:is>
          <x:t xml:space="preserve">Post-meal indigestion</x:t>
        </x:is>
      </x:c>
      <x:c r="D64" t="inlineStr">
        <x:is>
          <x:t xml:space="preserve">GI</x:t>
        </x:is>
      </x:c>
      <x:c r="E64" t="inlineStr">
        <x:is>
          <x:t xml:space="preserve">adult</x:t>
        </x:is>
      </x:c>
      <x:c r="F64" t="inlineStr">
        <x:is>
          <x:t xml:space="preserve">K30</x:t>
        </x:is>
      </x:c>
      <x:c r="G64" t="inlineStr">
        <x:is>
          <x:t xml:space="preserve">simple post-meal indigestion support row without GI bleeding/weight loss</x:t>
        </x:is>
      </x:c>
      <x:c r="H64" t="inlineStr">
        <x:is>
          <x:t xml:space="preserve">Combizym [(Cellulase+Protease+Amylase) 24 mg.+(Lipase+Protease+Amylase) 220 mg.]</x:t>
        </x:is>
      </x:c>
      <x:c r="L64" t="inlineStr">
        <x:is>
          <x:t xml:space="preserve">Gaszym [Simethicone 60 mg.+Pancreatin 4NF 200 mg.]</x:t>
        </x:is>
      </x:c>
      <x:c r="M64" t="inlineStr">
        <x:is>
          <x:t xml:space="preserve">Needs in-person eval today if GI bleed, weight loss, severe persistent pain, or persistent vomiting</x:t>
        </x:is>
      </x:c>
    </x:row>
    <x:row r="65">
      <x:c r="A65" t="inlineStr">
        <x:is>
          <x:t xml:space="preserve">FRM0082</x:t>
        </x:is>
      </x:c>
      <x:c r="B65" t="inlineStr">
        <x:is>
          <x:t xml:space="preserve">abdominal_gas_peds</x:t>
        </x:is>
      </x:c>
      <x:c r="C65" t="inlineStr">
        <x:is>
          <x:t xml:space="preserve">Pediatric abdominal gas / bloating</x:t>
        </x:is>
      </x:c>
      <x:c r="D65" t="inlineStr">
        <x:is>
          <x:t xml:space="preserve">GI</x:t>
        </x:is>
      </x:c>
      <x:c r="E65" t="inlineStr">
        <x:is>
          <x:t xml:space="preserve">peds</x:t>
        </x:is>
      </x:c>
      <x:c r="F65" t="inlineStr">
        <x:is>
          <x:t xml:space="preserve">R14.0</x:t>
        </x:is>
      </x:c>
      <x:c r="G65" t="inlineStr">
        <x:is>
          <x:t xml:space="preserve">child abdominal gas/bloating support without severe pain, vomiting, or distension</x:t>
        </x:is>
      </x:c>
      <x:c r="H65" t="inlineStr">
        <x:is>
          <x:t xml:space="preserve">Air-X Drops [Simethicone 40 mg./0.6 ml.]</x:t>
        </x:is>
      </x:c>
      <x:c r="L65" t="inlineStr">
        <x:is>
          <x:t xml:space="preserve">Berclomine Syrup [Dicyclomine 5 mg.+Simethicone 50 mg./5 ml.]</x:t>
        </x:is>
      </x:c>
      <x:c r="M65" t="inlineStr">
        <x:is>
          <x:t xml:space="preserve">Needs in-person eval today if severe pain, persistent vomiting, blood in stool, or marked abdominal distension</x:t>
        </x:is>
      </x:c>
    </x:row>
    <x:row r="66">
      <x:c r="A66" t="inlineStr">
        <x:is>
          <x:t xml:space="preserve">FRM0083</x:t>
        </x:is>
      </x:c>
      <x:c r="B66" t="inlineStr">
        <x:is>
          <x:t xml:space="preserve">abdominal_colic_peds</x:t>
        </x:is>
      </x:c>
      <x:c r="C66" t="inlineStr">
        <x:is>
          <x:t xml:space="preserve">Pediatric abdominal colic support</x:t>
        </x:is>
      </x:c>
      <x:c r="D66" t="inlineStr">
        <x:is>
          <x:t xml:space="preserve">GI</x:t>
        </x:is>
      </x:c>
      <x:c r="E66" t="inlineStr">
        <x:is>
          <x:t xml:space="preserve">peds</x:t>
        </x:is>
      </x:c>
      <x:c r="F66" t="inlineStr">
        <x:is>
          <x:t xml:space="preserve">R10.4</x:t>
        </x:is>
      </x:c>
      <x:c r="G66" t="inlineStr">
        <x:is>
          <x:t xml:space="preserve">child abdominal colic/cramp support without severe pain, fever, or dehydration</x:t>
        </x:is>
      </x:c>
      <x:c r="H66" t="inlineStr">
        <x:is>
          <x:t xml:space="preserve">Berclomine Syrup [Dicyclomine 5 mg.+Simethicone 50 mg./5 ml.]</x:t>
        </x:is>
      </x:c>
      <x:c r="L66" t="inlineStr">
        <x:is>
          <x:t xml:space="preserve">Air-X Drops [Simethicone 40 mg./0.6 ml.]</x:t>
        </x:is>
      </x:c>
      <x:c r="M66" t="inlineStr">
        <x:is>
          <x:t xml:space="preserve">Needs in-person eval today if localized severe pain, vomiting, fever, or blood in stool</x:t>
        </x:is>
      </x:c>
    </x:row>
    <x:row r="67">
      <x:c r="A67" t="inlineStr">
        <x:is>
          <x:t xml:space="preserve">FRM0084</x:t>
        </x:is>
      </x:c>
      <x:c r="B67" t="inlineStr">
        <x:is>
          <x:t xml:space="preserve">acute_gastroenteritis_peds_mild</x:t>
        </x:is>
      </x:c>
      <x:c r="C67" t="inlineStr">
        <x:is>
          <x:t xml:space="preserve">Pediatric mild gastroenteritis</x:t>
        </x:is>
      </x:c>
      <x:c r="D67" t="inlineStr">
        <x:is>
          <x:t xml:space="preserve">GI</x:t>
        </x:is>
      </x:c>
      <x:c r="E67" t="inlineStr">
        <x:is>
          <x:t xml:space="preserve">peds</x:t>
        </x:is>
      </x:c>
      <x:c r="F67" t="inlineStr">
        <x:is>
          <x:t xml:space="preserve">A09</x:t>
        </x:is>
      </x:c>
      <x:c r="G67" t="inlineStr">
        <x:is>
          <x:t xml:space="preserve">mild child gastroenteritis outpatient support; verify age/weight for dosing details</x:t>
        </x:is>
      </x:c>
      <x:c r="H67" t="inlineStr">
        <x:is>
          <x:t xml:space="preserve">Cera ORS รสส้ม [Glucose Anhydrous 3 g.+Sodium Chloride 0.53 g.+Potassium Chloride 0.23 g.+Sodium Citrate Dihydrate 0.44 g.]</x:t>
        </x:is>
      </x:c>
      <x:c r="I67" t="inlineStr">
        <x:is>
          <x:t xml:space="preserve">Bioflor [Lyophilized Saccharomyces boulardii 250 mg.]</x:t>
        </x:is>
      </x:c>
      <x:c r="L67" t="inlineStr">
        <x:is>
          <x:t xml:space="preserve">Hidrasec Paediatric 30 mg [Racecadotril 30 mg.]</x:t>
        </x:is>
      </x:c>
      <x:c r="M67" t="inlineStr">
        <x:is>
          <x:t xml:space="preserve">Avoid routine antibiotics; Needs in-person eval today if dehydration, bloody stool, persistent vomiting, or severe abdominal pain</x:t>
        </x:is>
      </x:c>
    </x:row>
    <x:row r="68">
      <x:c r="A68" t="inlineStr">
        <x:is>
          <x:t xml:space="preserve">FRM0086</x:t>
        </x:is>
      </x:c>
      <x:c r="B68" t="inlineStr">
        <x:is>
          <x:t xml:space="preserve">allergic_rhinitis_peds</x:t>
        </x:is>
      </x:c>
      <x:c r="C68" t="inlineStr">
        <x:is>
          <x:t xml:space="preserve">Pediatric allergic rhinitis</x:t>
        </x:is>
      </x:c>
      <x:c r="D68" t="inlineStr">
        <x:is>
          <x:t xml:space="preserve">ENT</x:t>
        </x:is>
      </x:c>
      <x:c r="E68" t="inlineStr">
        <x:is>
          <x:t xml:space="preserve">peds</x:t>
        </x:is>
      </x:c>
      <x:c r="F68" t="inlineStr">
        <x:is>
          <x:t xml:space="preserve">J30.9</x:t>
        </x:is>
      </x:c>
      <x:c r="G68" t="inlineStr">
        <x:is>
          <x:t xml:space="preserve">child allergic rhinitis support row; verify age for syrup use</x:t>
        </x:is>
      </x:c>
      <x:c r="H68" t="inlineStr">
        <x:is>
          <x:t xml:space="preserve">Zyrtec Syrup [Cetirizine 2HCI 1 mg./1 ml.]</x:t>
        </x:is>
      </x:c>
      <x:c r="I68" t="inlineStr">
        <x:is>
          <x:t xml:space="preserve">Klean &amp; Kare Saline เล็ก [Sodium Chloride 0.9 g./100 ml.]</x:t>
        </x:is>
      </x:c>
      <x:c r="M68" t="inlineStr">
        <x:is>
          <x:t xml:space="preserve">Needs in-person eval today if dyspnea, facial swelling, severe sinus pain, or persistent high fever</x:t>
        </x:is>
      </x:c>
    </x:row>
    <x:row r="69">
      <x:c r="A69" t="inlineStr">
        <x:is>
          <x:t xml:space="preserve">FRM0087</x:t>
        </x:is>
      </x:c>
      <x:c r="B69" t="inlineStr">
        <x:is>
          <x:t xml:space="preserve">uri_wet_cough_peds</x:t>
        </x:is>
      </x:c>
      <x:c r="C69" t="inlineStr">
        <x:is>
          <x:t xml:space="preserve">Pediatric URI with wet cough</x:t>
        </x:is>
      </x:c>
      <x:c r="D69" t="inlineStr">
        <x:is>
          <x:t xml:space="preserve">ENT</x:t>
        </x:is>
      </x:c>
      <x:c r="E69" t="inlineStr">
        <x:is>
          <x:t xml:space="preserve">peds</x:t>
        </x:is>
      </x:c>
      <x:c r="F69" t="inlineStr">
        <x:is>
          <x:t xml:space="preserve">J06.9</x:t>
        </x:is>
      </x:c>
      <x:c r="G69" t="inlineStr">
        <x:is>
          <x:t xml:space="preserve">child URI with wet cough support row; verify syrup age suitability</x:t>
        </x:is>
      </x:c>
      <x:c r="H69" t="inlineStr">
        <x:is>
          <x:t xml:space="preserve">Mucolid Junior บลูเบอร์รี่ [Ambroxol HCl 15 mg./5 ml.]</x:t>
        </x:is>
      </x:c>
      <x:c r="I69" t="inlineStr">
        <x:is>
          <x:t xml:space="preserve">Tylenol Suspension [Paracetamol 160 mg./5 ml.]</x:t>
        </x:is>
      </x:c>
      <x:c r="L69" t="inlineStr">
        <x:is>
          <x:t xml:space="preserve">Bisolvon EX Syrup เล็ก [Bromhexine HCl 4 mg.+K guaiacolsulphonate 100 mg./5 ml.]</x:t>
        </x:is>
      </x:c>
      <x:c r="M69" t="inlineStr">
        <x:is>
          <x:t xml:space="preserve">Avoid routine antibiotics; Needs in-person eval today if dyspnea, chest indrawing, or persistent high fever</x:t>
        </x:is>
      </x:c>
    </x:row>
    <x:row r="70">
      <x:c r="A70" t="inlineStr">
        <x:is>
          <x:t xml:space="preserve">FRM0090</x:t>
        </x:is>
      </x:c>
      <x:c r="B70" t="inlineStr">
        <x:is>
          <x:t xml:space="preserve">oral_thrush_peds</x:t>
        </x:is>
      </x:c>
      <x:c r="C70" t="inlineStr">
        <x:is>
          <x:t xml:space="preserve">Pediatric oral thrush</x:t>
        </x:is>
      </x:c>
      <x:c r="D70" t="inlineStr">
        <x:is>
          <x:t xml:space="preserve">Oral</x:t>
        </x:is>
      </x:c>
      <x:c r="E70" t="inlineStr">
        <x:is>
          <x:t xml:space="preserve">peds</x:t>
        </x:is>
      </x:c>
      <x:c r="F70" t="inlineStr">
        <x:is>
          <x:t xml:space="preserve">B37.0</x:t>
        </x:is>
      </x:c>
      <x:c r="G70" t="inlineStr">
        <x:is>
          <x:t xml:space="preserve">pediatric oral thrush support row</x:t>
        </x:is>
      </x:c>
      <x:c r="H70" t="inlineStr">
        <x:is>
          <x:t xml:space="preserve">Nyst Oral [Nystatin 100,000 Unit/1 ml.]</x:t>
        </x:is>
      </x:c>
      <x:c r="M70" t="inlineStr">
        <x:is>
          <x:t xml:space="preserve">Needs in-person eval today if poor feeding, dehydration, or extensive oral disease</x:t>
        </x:is>
      </x:c>
    </x:row>
    <x:row r="71">
      <x:c r="A71" t="inlineStr">
        <x:is>
          <x:t xml:space="preserve">FRM0092</x:t>
        </x:is>
      </x:c>
      <x:c r="B71" t="inlineStr">
        <x:is>
          <x:t xml:space="preserve">bacterial_conjunctivitis_adult</x:t>
        </x:is>
      </x:c>
      <x:c r="C71" t="inlineStr">
        <x:is>
          <x:t xml:space="preserve">Acute bacterial conjunctivitis</x:t>
        </x:is>
      </x:c>
      <x:c r="D71" t="inlineStr">
        <x:is>
          <x:t xml:space="preserve">Eye</x:t>
        </x:is>
      </x:c>
      <x:c r="E71" t="inlineStr">
        <x:is>
          <x:t xml:space="preserve">adult</x:t>
        </x:is>
      </x:c>
      <x:c r="F71" t="inlineStr">
        <x:is>
          <x:t xml:space="preserve">H10.9</x:t>
        </x:is>
      </x:c>
      <x:c r="G71" t="inlineStr">
        <x:is>
          <x:t xml:space="preserve">bacterial conjunctivitis is likely; use topical eye antibiotic only when bacterial features are present</x:t>
        </x:is>
      </x:c>
      <x:c r="H71" t="inlineStr">
        <x:is>
          <x:t xml:space="preserve">ChlorOph Eye Drops [Chloramphenicol 5 mg./1 ml.]</x:t>
        </x:is>
      </x:c>
      <x:c r="L71" t="inlineStr">
        <x:is>
          <x:t xml:space="preserve">Fucithalmic Eye Drops [Fusidic acid 10 mg.+Preservative (Benzalkonium chloride 0.1%)/ 1 g.]</x:t>
        </x:is>
      </x:c>
      <x:c r="M71" t="inlineStr">
        <x:is>
          <x:t xml:space="preserve">Needs in-person eval today if severe pain, photophobia, contact lens keratitis concern, or reduced vision</x:t>
        </x:is>
      </x:c>
    </x:row>
    <x:row r="72">
      <x:c r="A72" t="inlineStr">
        <x:is>
          <x:t xml:space="preserve">FRM0093</x:t>
        </x:is>
      </x:c>
      <x:c r="B72" t="inlineStr">
        <x:is>
          <x:t xml:space="preserve">bacterial_conjunctivitis_peds</x:t>
        </x:is>
      </x:c>
      <x:c r="C72" t="inlineStr">
        <x:is>
          <x:t xml:space="preserve">Pediatric bacterial conjunctivitis</x:t>
        </x:is>
      </x:c>
      <x:c r="D72" t="inlineStr">
        <x:is>
          <x:t xml:space="preserve">Eye</x:t>
        </x:is>
      </x:c>
      <x:c r="E72" t="inlineStr">
        <x:is>
          <x:t xml:space="preserve">peds</x:t>
        </x:is>
      </x:c>
      <x:c r="F72" t="inlineStr">
        <x:is>
          <x:t xml:space="preserve">H10.9</x:t>
        </x:is>
      </x:c>
      <x:c r="G72" t="inlineStr">
        <x:is>
          <x:t xml:space="preserve">child bacterial conjunctivitis is likely; topical eye antibiotic row</x:t>
        </x:is>
      </x:c>
      <x:c r="H72" t="inlineStr">
        <x:is>
          <x:t xml:space="preserve">ChlorOph Eye Drops [Chloramphenicol 5 mg./1 ml.]</x:t>
        </x:is>
      </x:c>
      <x:c r="L72" t="inlineStr">
        <x:is>
          <x:t xml:space="preserve">Fucithalmic Eye Drops [Fusidic acid 10 mg.+Preservative (Benzalkonium chloride 0.1%)/ 1 g.]</x:t>
        </x:is>
      </x:c>
      <x:c r="M72" t="inlineStr">
        <x:is>
          <x:t xml:space="preserve">Needs in-person eval today if severe pain, photophobia, trauma, or reduced vision</x:t>
        </x:is>
      </x:c>
    </x:row>
    <x:row r="73">
      <x:c r="A73" t="inlineStr">
        <x:is>
          <x:t xml:space="preserve">FRM0094</x:t>
        </x:is>
      </x:c>
      <x:c r="B73" t="inlineStr">
        <x:is>
          <x:t xml:space="preserve">bacterial_eyelid_infection_adult</x:t>
        </x:is>
      </x:c>
      <x:c r="C73" t="inlineStr">
        <x:is>
          <x:t xml:space="preserve">Bacterial eyelid infection / stye support</x:t>
        </x:is>
      </x:c>
      <x:c r="D73" t="inlineStr">
        <x:is>
          <x:t xml:space="preserve">Eye</x:t>
        </x:is>
      </x:c>
      <x:c r="E73" t="inlineStr">
        <x:is>
          <x:t xml:space="preserve">adult</x:t>
        </x:is>
      </x:c>
      <x:c r="F73" t="inlineStr">
        <x:is>
          <x:t xml:space="preserve">H00.0</x:t>
        </x:is>
      </x:c>
      <x:c r="G73" t="inlineStr">
        <x:is>
          <x:t xml:space="preserve">small bacterial eyelid lesion/stye support row</x:t>
        </x:is>
      </x:c>
      <x:c r="H73" t="inlineStr">
        <x:is>
          <x:t xml:space="preserve">Terramycin Ophthalmic Ointment [Oxytetracycline HCl 5 mg.+Polymyxin B Sulfate 10,000 units/1 g.]</x:t>
        </x:is>
      </x:c>
      <x:c r="L73" t="inlineStr">
        <x:is>
          <x:t xml:space="preserve">Fucithalmic Eye Drops [Fusidic acid 10 mg.+Preservative (Benzalkonium chloride 0.1%)/ 1 g.]</x:t>
        </x:is>
      </x:c>
      <x:c r="M73" t="inlineStr">
        <x:is>
          <x:t xml:space="preserve">Needs in-person eval today if diffuse eyelid swelling, fever, pain with eye movement, or reduced vision</x:t>
        </x:is>
      </x:c>
    </x:row>
    <x:row r="74">
      <x:c r="A74" t="inlineStr">
        <x:is>
          <x:t xml:space="preserve">FRM0095</x:t>
        </x:is>
      </x:c>
      <x:c r="B74" t="inlineStr">
        <x:is>
          <x:t xml:space="preserve">bacterial_eyelid_infection_peds</x:t>
        </x:is>
      </x:c>
      <x:c r="C74" t="inlineStr">
        <x:is>
          <x:t xml:space="preserve">Pediatric bacterial eyelid infection / stye support</x:t>
        </x:is>
      </x:c>
      <x:c r="D74" t="inlineStr">
        <x:is>
          <x:t xml:space="preserve">Eye</x:t>
        </x:is>
      </x:c>
      <x:c r="E74" t="inlineStr">
        <x:is>
          <x:t xml:space="preserve">peds</x:t>
        </x:is>
      </x:c>
      <x:c r="F74" t="inlineStr">
        <x:is>
          <x:t xml:space="preserve">H00.0</x:t>
        </x:is>
      </x:c>
      <x:c r="G74" t="inlineStr">
        <x:is>
          <x:t xml:space="preserve">child stye/eyelid infection support row</x:t>
        </x:is>
      </x:c>
      <x:c r="H74" t="inlineStr">
        <x:is>
          <x:t xml:space="preserve">Terramycin Ophthalmic Ointment [Oxytetracycline HCl 5 mg.+Polymyxin B Sulfate 10,000 units/1 g.]</x:t>
        </x:is>
      </x:c>
      <x:c r="L74" t="inlineStr">
        <x:is>
          <x:t xml:space="preserve">Fucithalmic Eye Drops [Fusidic acid 10 mg.+Preservative (Benzalkonium chloride 0.1%)/ 1 g.]</x:t>
        </x:is>
      </x:c>
      <x:c r="M74" t="inlineStr">
        <x:is>
          <x:t xml:space="preserve">Needs in-person eval today if diffuse swelling, fever, pain with eye movement, or reduced vision</x:t>
        </x:is>
      </x:c>
    </x:row>
    <x:row r="75">
      <x:c r="A75" t="inlineStr">
        <x:is>
          <x:t xml:space="preserve">FRM0096</x:t>
        </x:is>
      </x:c>
      <x:c r="B75" t="inlineStr">
        <x:is>
          <x:t xml:space="preserve">bacterial_sinusitis_peds</x:t>
        </x:is>
      </x:c>
      <x:c r="C75" t="inlineStr">
        <x:is>
          <x:t xml:space="preserve">Pediatric bacterial sinusitis</x:t>
        </x:is>
      </x:c>
      <x:c r="D75" t="inlineStr">
        <x:is>
          <x:t xml:space="preserve">ENT</x:t>
        </x:is>
      </x:c>
      <x:c r="E75" t="inlineStr">
        <x:is>
          <x:t xml:space="preserve">peds</x:t>
        </x:is>
      </x:c>
      <x:c r="F75" t="inlineStr">
        <x:is>
          <x:t xml:space="preserve">J01.90</x:t>
        </x:is>
      </x:c>
      <x:c r="G75" t="inlineStr">
        <x:is>
          <x:t xml:space="preserve">use only when pediatric bacterial sinusitis pattern is likely</x:t>
        </x:is>
      </x:c>
      <x:c r="H75" t="inlineStr">
        <x:is>
          <x:t xml:space="preserve">AMK 457 [Amoxicillin 400 mg.+Clavulanic Acid 57 mg./5 ml.]</x:t>
        </x:is>
      </x:c>
      <x:c r="I75" t="inlineStr">
        <x:is>
          <x:t xml:space="preserve">Klean &amp; Kare Saline เล็ก [Sodium Chloride 0.9 g./100 ml.]</x:t>
        </x:is>
      </x:c>
      <x:c r="L75" t="inlineStr">
        <x:is>
          <x:t xml:space="preserve">Iliadin Spray [Oxymetazoline Hydrochloride 0.05% (0.5 mg./1 ml.)]</x:t>
        </x:is>
      </x:c>
      <x:c r="M75" t="inlineStr">
        <x:is>
          <x:t xml:space="preserve">Needs in-person eval today if orbital symptoms, severe swelling, toxic appearance, or persistent high fever</x:t>
        </x:is>
      </x:c>
    </x:row>
    <x:row r="76">
      <x:c r="A76" t="inlineStr">
        <x:is>
          <x:t xml:space="preserve">FRM0097</x:t>
        </x:is>
      </x:c>
      <x:c r="B76" t="inlineStr">
        <x:is>
          <x:t xml:space="preserve">bacterial_pharyngitis_peds</x:t>
        </x:is>
      </x:c>
      <x:c r="C76" t="inlineStr">
        <x:is>
          <x:t xml:space="preserve">Pediatric bacterial pharyngitis / tonsillitis</x:t>
        </x:is>
      </x:c>
      <x:c r="D76" t="inlineStr">
        <x:is>
          <x:t xml:space="preserve">ENT</x:t>
        </x:is>
      </x:c>
      <x:c r="E76" t="inlineStr">
        <x:is>
          <x:t xml:space="preserve">peds</x:t>
        </x:is>
      </x:c>
      <x:c r="F76" t="inlineStr">
        <x:is>
          <x:t xml:space="preserve">J02.8</x:t>
        </x:is>
      </x:c>
      <x:c r="G76" t="inlineStr">
        <x:is>
          <x:t xml:space="preserve">use only when pediatric bacterial pharyngitis/tonsillitis pattern is likely</x:t>
        </x:is>
      </x:c>
      <x:c r="H76" t="inlineStr">
        <x:is>
          <x:t xml:space="preserve">AMK 228 [Amoxicillin 200 mg.+Clavulanic Acid 28 mg./5 ml.]</x:t>
        </x:is>
      </x:c>
      <x:c r="I76" t="inlineStr">
        <x:is>
          <x:t xml:space="preserve">Tylenol Suspension [Paracetamol 160 mg./5 ml.]</x:t>
        </x:is>
      </x:c>
      <x:c r="M76" t="inlineStr">
        <x:is>
          <x:t xml:space="preserve">Needs in-person eval today if drooling, muffled voice, severe neck swelling, or inability to drink</x:t>
        </x:is>
      </x:c>
    </x:row>
    <x:row r="77">
      <x:c r="A77" t="inlineStr">
        <x:is>
          <x:t xml:space="preserve">FRM0099</x:t>
        </x:is>
      </x:c>
      <x:c r="B77" t="inlineStr">
        <x:is>
          <x:t xml:space="preserve">dental_infection_support_adult</x:t>
        </x:is>
      </x:c>
      <x:c r="C77" t="inlineStr">
        <x:is>
          <x:t xml:space="preserve">Dental / gum bacterial infection support</x:t>
        </x:is>
      </x:c>
      <x:c r="D77" t="inlineStr">
        <x:is>
          <x:t xml:space="preserve">Oral</x:t>
        </x:is>
      </x:c>
      <x:c r="E77" t="inlineStr">
        <x:is>
          <x:t xml:space="preserve">adult</x:t>
        </x:is>
      </x:c>
      <x:c r="F77" t="inlineStr">
        <x:is>
          <x:t xml:space="preserve">K04.7</x:t>
        </x:is>
      </x:c>
      <x:c r="G77" t="inlineStr">
        <x:is>
          <x:t xml:space="preserve">dental/gum bacterial infection support row pending dental follow-up</x:t>
        </x:is>
      </x:c>
      <x:c r="H77" t="inlineStr">
        <x:is>
          <x:t xml:space="preserve">AMK 1000 mg [Amoxicillin 875 mg.+Clavulanic Acid 125 mg.]</x:t>
        </x:is>
      </x:c>
      <x:c r="I77" t="inlineStr">
        <x:is>
          <x:t xml:space="preserve">Tylenol 500 mg strip 10s [Paracetamol 500 mg.]</x:t>
        </x:is>
      </x:c>
      <x:c r="M77" t="inlineStr">
        <x:is>
          <x:t xml:space="preserve">Needs in-person eval today if facial swelling, trismus, dysphagia, fever, or airway concern</x:t>
        </x:is>
      </x:c>
    </x:row>
    <x:row r="78">
      <x:c r="A78" t="inlineStr">
        <x:is>
          <x:t xml:space="preserve">FRM0100</x:t>
        </x:is>
      </x:c>
      <x:c r="B78" t="inlineStr">
        <x:is>
          <x:t xml:space="preserve">infected_insect_bite_adult</x:t>
        </x:is>
      </x:c>
      <x:c r="C78" t="inlineStr">
        <x:is>
          <x:t xml:space="preserve">Infected insect bite</x:t>
        </x:is>
      </x:c>
      <x:c r="D78" t="inlineStr">
        <x:is>
          <x:t xml:space="preserve">Skin</x:t>
        </x:is>
      </x:c>
      <x:c r="E78" t="inlineStr">
        <x:is>
          <x:t xml:space="preserve">adult</x:t>
        </x:is>
      </x:c>
      <x:c r="F78" t="inlineStr">
        <x:is>
          <x:t xml:space="preserve">L08.9</x:t>
        </x:is>
      </x:c>
      <x:c r="G78" t="inlineStr">
        <x:is>
          <x:t xml:space="preserve">infected insect bite is likely, not just simple itch/swelling</x:t>
        </x:is>
      </x:c>
      <x:c r="H78" t="inlineStr">
        <x:is>
          <x:t xml:space="preserve">Ibiamox 500 mg [Amoxicillin 500 mg.]</x:t>
        </x:is>
      </x:c>
      <x:c r="I78" t="inlineStr">
        <x:is>
          <x:t xml:space="preserve">Fucidin Cream [Fusidic acid 20 mg./1 g.]</x:t>
        </x:is>
      </x:c>
      <x:c r="M78" t="inlineStr">
        <x:is>
          <x:t xml:space="preserve">Needs in-person eval today if spreading cellulitis, abscess, fever, or facial involvement</x:t>
        </x:is>
      </x:c>
    </x:row>
    <x:row r="79">
      <x:c r="A79" t="inlineStr">
        <x:is>
          <x:t xml:space="preserve">FRM0101</x:t>
        </x:is>
      </x:c>
      <x:c r="B79" t="inlineStr">
        <x:is>
          <x:t xml:space="preserve">infected_insect_bite_peds</x:t>
        </x:is>
      </x:c>
      <x:c r="C79" t="inlineStr">
        <x:is>
          <x:t xml:space="preserve">Pediatric infected insect bite</x:t>
        </x:is>
      </x:c>
      <x:c r="D79" t="inlineStr">
        <x:is>
          <x:t xml:space="preserve">Skin</x:t>
        </x:is>
      </x:c>
      <x:c r="E79" t="inlineStr">
        <x:is>
          <x:t xml:space="preserve">peds</x:t>
        </x:is>
      </x:c>
      <x:c r="F79" t="inlineStr">
        <x:is>
          <x:t xml:space="preserve">L08.9</x:t>
        </x:is>
      </x:c>
      <x:c r="G79" t="inlineStr">
        <x:is>
          <x:t xml:space="preserve">child infected insect bite where bacterial pattern is likely</x:t>
        </x:is>
      </x:c>
      <x:c r="H79" t="inlineStr">
        <x:is>
          <x:t xml:space="preserve">AMK 228 [Amoxicillin 200 mg.+Clavulanic Acid 28 mg./5 ml.]</x:t>
        </x:is>
      </x:c>
      <x:c r="I79" t="inlineStr">
        <x:is>
          <x:t xml:space="preserve">Fucidin Cream [Fusidic acid 20 mg./1 g.]</x:t>
        </x:is>
      </x:c>
      <x:c r="M79" t="inlineStr">
        <x:is>
          <x:t xml:space="preserve">Needs in-person eval today if facial involvement, spreading cellulitis, abscess, or fever</x:t>
        </x:is>
      </x:c>
    </x:row>
    <x:row r="80">
      <x:c r="A80" t="inlineStr">
        <x:is>
          <x:t xml:space="preserve">FRM0102</x:t>
        </x:is>
      </x:c>
      <x:c r="B80" t="inlineStr">
        <x:is>
          <x:t xml:space="preserve">cellulitis_mild_adult</x:t>
        </x:is>
      </x:c>
      <x:c r="C80" t="inlineStr">
        <x:is>
          <x:t xml:space="preserve">Mild cellulitis</x:t>
        </x:is>
      </x:c>
      <x:c r="D80" t="inlineStr">
        <x:is>
          <x:t xml:space="preserve">Skin</x:t>
        </x:is>
      </x:c>
      <x:c r="E80" t="inlineStr">
        <x:is>
          <x:t xml:space="preserve">adult</x:t>
        </x:is>
      </x:c>
      <x:c r="F80" t="inlineStr">
        <x:is>
          <x:t xml:space="preserve">L03.90</x:t>
        </x:is>
      </x:c>
      <x:c r="G80" t="inlineStr">
        <x:is>
          <x:t xml:space="preserve">mild localized cellulitis when oral antibiotic row is appropriate</x:t>
        </x:is>
      </x:c>
      <x:c r="H80" t="inlineStr">
        <x:is>
          <x:t xml:space="preserve">AMK 1000 mg [Amoxicillin 875 mg.+Clavulanic Acid 125 mg.]</x:t>
        </x:is>
      </x:c>
      <x:c r="I80" t="inlineStr">
        <x:is>
          <x:t xml:space="preserve">Tylenol 500 mg strip 10s [Paracetamol 500 mg.]</x:t>
        </x:is>
      </x:c>
      <x:c r="M80" t="inlineStr">
        <x:is>
          <x:t xml:space="preserve">Needs in-person eval today if rapid spread, abscess, fever, facial involvement, or systemic toxicity</x:t>
        </x:is>
      </x:c>
    </x:row>
    <x:row r="81">
      <x:c r="A81" t="inlineStr">
        <x:is>
          <x:t xml:space="preserve">FRM0104</x:t>
        </x:is>
      </x:c>
      <x:c r="B81" t="inlineStr">
        <x:is>
          <x:t xml:space="preserve">localized_folliculitis_adult</x:t>
        </x:is>
      </x:c>
      <x:c r="C81" t="inlineStr">
        <x:is>
          <x:t xml:space="preserve">Localized folliculitis</x:t>
        </x:is>
      </x:c>
      <x:c r="D81" t="inlineStr">
        <x:is>
          <x:t xml:space="preserve">Skin</x:t>
        </x:is>
      </x:c>
      <x:c r="E81" t="inlineStr">
        <x:is>
          <x:t xml:space="preserve">adult</x:t>
        </x:is>
      </x:c>
      <x:c r="F81" t="inlineStr">
        <x:is>
          <x:t xml:space="preserve">L73.9</x:t>
        </x:is>
      </x:c>
      <x:c r="G81" t="inlineStr">
        <x:is>
          <x:t xml:space="preserve">localized folliculitis outpatient topical-first row</x:t>
        </x:is>
      </x:c>
      <x:c r="H81" t="inlineStr">
        <x:is>
          <x:t xml:space="preserve">Fucidin Cream [Fusidic acid 20 mg./1 g.]</x:t>
        </x:is>
      </x:c>
      <x:c r="L81" t="inlineStr">
        <x:is>
          <x:t xml:space="preserve">Ibiamox 500 mg [Amoxicillin 500 mg.]</x:t>
        </x:is>
      </x:c>
      <x:c r="M81" t="inlineStr">
        <x:is>
          <x:t xml:space="preserve">Needs in-person eval today if abscess, fever, widespread lesions, or facial danger-area involvement</x:t>
        </x:is>
      </x:c>
    </x:row>
    <x:row r="82">
      <x:c r="A82" t="inlineStr">
        <x:is>
          <x:t xml:space="preserve">FRM0105</x:t>
        </x:is>
      </x:c>
      <x:c r="B82" t="inlineStr">
        <x:is>
          <x:t xml:space="preserve">infected_abrasion_adult</x:t>
        </x:is>
      </x:c>
      <x:c r="C82" t="inlineStr">
        <x:is>
          <x:t xml:space="preserve">Infected abrasion</x:t>
        </x:is>
      </x:c>
      <x:c r="D82" t="inlineStr">
        <x:is>
          <x:t xml:space="preserve">Skin</x:t>
        </x:is>
      </x:c>
      <x:c r="E82" t="inlineStr">
        <x:is>
          <x:t xml:space="preserve">adult</x:t>
        </x:is>
      </x:c>
      <x:c r="F82" t="inlineStr">
        <x:is>
          <x:t xml:space="preserve">L08.9</x:t>
        </x:is>
      </x:c>
      <x:c r="G82" t="inlineStr">
        <x:is>
          <x:t xml:space="preserve">infected abrasion / superficial wound infection pattern</x:t>
        </x:is>
      </x:c>
      <x:c r="H82" t="inlineStr">
        <x:is>
          <x:t xml:space="preserve">Betadine Solution 15 ml [Povidone-Iodine USP 10 % w/v]</x:t>
        </x:is>
      </x:c>
      <x:c r="I82" t="inlineStr">
        <x:is>
          <x:t xml:space="preserve">Fucidin Cream [Fusidic acid 20 mg./1 g.]</x:t>
        </x:is>
      </x:c>
      <x:c r="L82" t="inlineStr">
        <x:is>
          <x:t xml:space="preserve">Ibiamox 500 mg [Amoxicillin 500 mg.]</x:t>
        </x:is>
      </x:c>
      <x:c r="M82" t="inlineStr">
        <x:is>
          <x:t xml:space="preserve">Needs in-person eval today if deep wound, abscess, fever, or rapidly spreading cellulitis</x:t>
        </x:is>
      </x:c>
    </x:row>
    <x:row r="83">
      <x:c r="A83" t="inlineStr">
        <x:is>
          <x:t xml:space="preserve">FRM0107</x:t>
        </x:is>
      </x:c>
      <x:c r="B83" t="inlineStr">
        <x:is>
          <x:t xml:space="preserve">uncomplicated_uti_adult</x:t>
        </x:is>
      </x:c>
      <x:c r="C83" t="inlineStr">
        <x:is>
          <x:t xml:space="preserve">Uncomplicated cystitis / lower UTI</x:t>
        </x:is>
      </x:c>
      <x:c r="D83" t="inlineStr">
        <x:is>
          <x:t xml:space="preserve">GU</x:t>
        </x:is>
      </x:c>
      <x:c r="E83" t="inlineStr">
        <x:is>
          <x:t xml:space="preserve">adult</x:t>
        </x:is>
      </x:c>
      <x:c r="F83" t="inlineStr">
        <x:is>
          <x:t xml:space="preserve">N30.90</x:t>
        </x:is>
      </x:c>
      <x:c r="G83" t="inlineStr">
        <x:is>
          <x:t xml:space="preserve">use only when uncomplicated lower UTI pattern is likely</x:t>
        </x:is>
      </x:c>
      <x:c r="H83" t="inlineStr">
        <x:is>
          <x:t xml:space="preserve">Noflox-400 [Norfloxacin 400 mg.]</x:t>
        </x:is>
      </x:c>
      <x:c r="M83" t="inlineStr">
        <x:is>
          <x:t xml:space="preserve">Needs in-person eval today if fever, flank pain, vomiting, pregnancy, male UTI, or recurrent/complicated symptoms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38" customWidth="1"/>
    <x:col min="4" max="4" width="38" customWidth="1"/>
    <x:col min="5" max="5" width="17" customWidth="1"/>
    <x:col min="6" max="6" width="12" customWidth="1"/>
    <x:col min="7" max="7" width="38" customWidth="1"/>
    <x:col min="8" max="8" width="38" customWidth="1"/>
    <x:col min="9" max="9" width="38" customWidth="1"/>
    <x:col min="10" max="10" width="38" customWidth="1"/>
    <x:col min="11" max="11" width="38" customWidth="1"/>
    <x:col min="12" max="12" width="38" customWidth="1"/>
  </x:cols>
  <x:sheetData>
    <x:row r="1">
      <x:c r="A1" s="3" t="inlineStr">
        <x:is>
          <x:t xml:space="preserve">Rank</x:t>
        </x:is>
      </x:c>
      <x:c r="B1" s="3" t="inlineStr">
        <x:is>
          <x:t xml:space="preserve">Regimen_ID</x:t>
        </x:is>
      </x:c>
      <x:c r="C1" s="3" t="inlineStr">
        <x:is>
          <x:t xml:space="preserve">Disease_Key</x:t>
        </x:is>
      </x:c>
      <x:c r="D1" s="3" t="inlineStr">
        <x:is>
          <x:t xml:space="preserve">Disease_Name</x:t>
        </x:is>
      </x:c>
      <x:c r="E1" s="3" t="inlineStr">
        <x:is>
          <x:t xml:space="preserve">Complaint_Group</x:t>
        </x:is>
      </x:c>
      <x:c r="F1" s="3" t="inlineStr">
        <x:is>
          <x:t xml:space="preserve">Age_Group</x:t>
        </x:is>
      </x:c>
      <x:c r="G1" s="3" t="inlineStr">
        <x:is>
          <x:t xml:space="preserve">Use_When</x:t>
        </x:is>
      </x:c>
      <x:c r="H1" s="3" t="inlineStr">
        <x:is>
          <x:t xml:space="preserve">RX1</x:t>
        </x:is>
      </x:c>
      <x:c r="I1" s="3" t="inlineStr">
        <x:is>
          <x:t xml:space="preserve">RX2</x:t>
        </x:is>
      </x:c>
      <x:c r="J1" s="3" t="inlineStr">
        <x:is>
          <x:t xml:space="preserve">RX3</x:t>
        </x:is>
      </x:c>
      <x:c r="K1" s="3" t="inlineStr">
        <x:is>
          <x:t xml:space="preserve">SWAP1</x:t>
        </x:is>
      </x:c>
      <x:c r="L1" s="3" t="inlineStr">
        <x:is>
          <x:t xml:space="preserve">Red_Flags_One_Line</x:t>
        </x:is>
      </x:c>
    </x:row>
    <x:row r="2">
      <x:c r="A2" t="n">
        <x:v>1</x:v>
      </x:c>
      <x:c r="B2" t="inlineStr">
        <x:is>
          <x:t xml:space="preserve">FRM0001</x:t>
        </x:is>
      </x:c>
      <x:c r="C2" t="inlineStr">
        <x:is>
          <x:t xml:space="preserve">allergic_rhinitis_adult</x:t>
        </x:is>
      </x:c>
      <x:c r="D2" t="inlineStr">
        <x:is>
          <x:t xml:space="preserve">Allergic rhinitis</x:t>
        </x:is>
      </x:c>
      <x:c r="E2" t="inlineStr">
        <x:is>
          <x:t xml:space="preserve">ENT</x:t>
        </x:is>
      </x:c>
      <x:c r="F2" t="inlineStr">
        <x:is>
          <x:t xml:space="preserve">adult</x:t>
        </x:is>
      </x:c>
      <x:c r="G2" t="inlineStr">
        <x:is>
          <x:t xml:space="preserve">uncomplicated outpatient rhinitis</x:t>
        </x:is>
      </x:c>
      <x:c r="H2" t="inlineStr">
        <x:is>
          <x:t xml:space="preserve">Zyrtec [Cetirizine dihydrochloride 10 mg.]</x:t>
        </x:is>
      </x:c>
      <x:c r="I2" t="inlineStr">
        <x:is>
          <x:t xml:space="preserve">Nasonex 60 doses [Mometasone Furoate Monohydrate (eq. to Mometasone Furoate 50 mcg/dose)+Preservative (Benzalkonium Chloride 0.2 mg/g)]</x:t>
        </x:is>
      </x:c>
      <x:c r="K2" t="inlineStr">
        <x:is>
          <x:t xml:space="preserve">Telfast 180 mg [Fexofenadine HCl 180 mg.]</x:t>
        </x:is>
      </x:c>
      <x:c r="L2" t="inlineStr">
        <x:is>
          <x:t xml:space="preserve">Needs in-person eval today if dyspnea, facial swelling, high fever, or severe sinus pain</x:t>
        </x:is>
      </x:c>
    </x:row>
    <x:row r="3">
      <x:c r="A3" t="n">
        <x:v>2</x:v>
      </x:c>
      <x:c r="B3" t="inlineStr">
        <x:is>
          <x:t xml:space="preserve">FRM0015</x:t>
        </x:is>
      </x:c>
      <x:c r="C3" t="inlineStr">
        <x:is>
          <x:t xml:space="preserve">common_cold_adult</x:t>
        </x:is>
      </x:c>
      <x:c r="D3" t="inlineStr">
        <x:is>
          <x:t xml:space="preserve">Common cold / viral URI</x:t>
        </x:is>
      </x:c>
      <x:c r="E3" t="inlineStr">
        <x:is>
          <x:t xml:space="preserve">ENT</x:t>
        </x:is>
      </x:c>
      <x:c r="F3" t="inlineStr">
        <x:is>
          <x:t xml:space="preserve">adult</x:t>
        </x:is>
      </x:c>
      <x:c r="G3" t="inlineStr">
        <x:is>
          <x:t xml:space="preserve">simple common cold outpatient case</x:t>
        </x:is>
      </x:c>
      <x:c r="H3" t="inlineStr">
        <x:is>
          <x:t xml:space="preserve">Tylenol 500 mg strip 10s [Paracetamol 500 mg.]</x:t>
        </x:is>
      </x:c>
      <x:c r="I3" t="inlineStr">
        <x:is>
          <x:t xml:space="preserve">Nasotapp [Brompheniramine Maleate 4 mg.+Phenylephrine HCl 10 mg.]</x:t>
        </x:is>
      </x:c>
      <x:c r="J3" t="inlineStr">
        <x:is>
          <x:t xml:space="preserve">Klean &amp; Kare Saline เล็ก [Sodium Chloride 0.9 g./100 ml.]</x:t>
        </x:is>
      </x:c>
      <x:c r="K3" t="inlineStr">
        <x:is>
          <x:t xml:space="preserve">Telfast 180 mg [Fexofenadine HCl 180 mg.]</x:t>
        </x:is>
      </x:c>
      <x:c r="L3" t="inlineStr">
        <x:is>
          <x:t xml:space="preserve">Avoid routine antibiotics; Needs in-person eval today if dyspnea, chest pain, or persistent high fever</x:t>
        </x:is>
      </x:c>
    </x:row>
    <x:row r="4">
      <x:c r="A4" t="n">
        <x:v>3</x:v>
      </x:c>
      <x:c r="B4" t="inlineStr">
        <x:is>
          <x:t xml:space="preserve">FRM0009</x:t>
        </x:is>
      </x:c>
      <x:c r="C4" t="inlineStr">
        <x:is>
          <x:t xml:space="preserve">uri_dry_cough_adult</x:t>
        </x:is>
      </x:c>
      <x:c r="D4" t="inlineStr">
        <x:is>
          <x:t xml:space="preserve">Acute viral URI with dry cough</x:t>
        </x:is>
      </x:c>
      <x:c r="E4" t="inlineStr">
        <x:is>
          <x:t xml:space="preserve">ENT</x:t>
        </x:is>
      </x:c>
      <x:c r="F4" t="inlineStr">
        <x:is>
          <x:t xml:space="preserve">adult</x:t>
        </x:is>
      </x:c>
      <x:c r="G4" t="inlineStr">
        <x:is>
          <x:t xml:space="preserve">uncomplicated dry cough disturbing sleep or activity</x:t>
        </x:is>
      </x:c>
      <x:c r="H4" t="inlineStr">
        <x:is>
          <x:t xml:space="preserve">Tylenol 500 mg strip 10s [Paracetamol 500 mg.]</x:t>
        </x:is>
      </x:c>
      <x:c r="I4" t="inlineStr">
        <x:is>
          <x:t xml:space="preserve">Nasotapp [Brompheniramine Maleate 4 mg.+Phenylephrine HCl 10 mg.]</x:t>
        </x:is>
      </x:c>
      <x:c r="J4" t="inlineStr">
        <x:is>
          <x:t xml:space="preserve">Icolid (ควบคุมจำนวน) [Dextromethorphan HBr 15 mg.]</x:t>
        </x:is>
      </x:c>
      <x:c r="K4" t="inlineStr">
        <x:is>
          <x:t xml:space="preserve">Fartussin (ควบคุมจำนวน) [Dextromethorphan HBr 15 mg.+Glyceryl Guaiacolate 100 mg.+Terpin Hydrate 130 mg.]</x:t>
        </x:is>
      </x:c>
      <x:c r="L4" t="inlineStr">
        <x:is>
          <x:t xml:space="preserve">Avoid routine antibiotics; Needs in-person eval today if dyspnea, chest pain, or persistent high fever</x:t>
        </x:is>
      </x:c>
    </x:row>
    <x:row r="5">
      <x:c r="A5" t="n">
        <x:v>4</x:v>
      </x:c>
      <x:c r="B5" t="inlineStr">
        <x:is>
          <x:t xml:space="preserve">FRM0002</x:t>
        </x:is>
      </x:c>
      <x:c r="C5" t="inlineStr">
        <x:is>
          <x:t xml:space="preserve">uri_wet_cough_adult</x:t>
        </x:is>
      </x:c>
      <x:c r="D5" t="inlineStr">
        <x:is>
          <x:t xml:space="preserve">Acute viral URI with productive cough</x:t>
        </x:is>
      </x:c>
      <x:c r="E5" t="inlineStr">
        <x:is>
          <x:t xml:space="preserve">ENT</x:t>
        </x:is>
      </x:c>
      <x:c r="F5" t="inlineStr">
        <x:is>
          <x:t xml:space="preserve">adult</x:t>
        </x:is>
      </x:c>
      <x:c r="G5" t="inlineStr">
        <x:is>
          <x:t xml:space="preserve">uncomplicated URI with sputum</x:t>
        </x:is>
      </x:c>
      <x:c r="H5" t="inlineStr">
        <x:is>
          <x:t xml:space="preserve">Tylenol 500 mg strip 10s [Paracetamol 500 mg.]</x:t>
        </x:is>
      </x:c>
      <x:c r="I5" t="inlineStr">
        <x:is>
          <x:t xml:space="preserve">Nasotapp [Brompheniramine Maleate 4 mg.+Phenylephrine HCl 10 mg.]</x:t>
        </x:is>
      </x:c>
      <x:c r="J5" t="inlineStr">
        <x:is>
          <x:t xml:space="preserve">Mucolid [Ambroxol HCl 30 mg.]</x:t>
        </x:is>
      </x:c>
      <x:c r="K5" t="inlineStr">
        <x:is>
          <x:t xml:space="preserve">Nac Long [Acetylcysteine 600 mg.]</x:t>
        </x:is>
      </x:c>
      <x:c r="L5" t="inlineStr">
        <x:is>
          <x:t xml:space="preserve">Avoid routine antibiotics; Needs in-person eval today if dyspnea, chest pain, or persistent high fever</x:t>
        </x:is>
      </x:c>
    </x:row>
    <x:row r="6">
      <x:c r="A6" t="n">
        <x:v>5</x:v>
      </x:c>
      <x:c r="B6" t="inlineStr">
        <x:is>
          <x:t xml:space="preserve">FRM0006</x:t>
        </x:is>
      </x:c>
      <x:c r="C6" t="inlineStr">
        <x:is>
          <x:t xml:space="preserve">sore_throat_adult</x:t>
        </x:is>
      </x:c>
      <x:c r="D6" t="inlineStr">
        <x:is>
          <x:t xml:space="preserve">Acute sore throat / pharyngeal irritation</x:t>
        </x:is>
      </x:c>
      <x:c r="E6" t="inlineStr">
        <x:is>
          <x:t xml:space="preserve">ENT</x:t>
        </x:is>
      </x:c>
      <x:c r="F6" t="inlineStr">
        <x:is>
          <x:t xml:space="preserve">adult</x:t>
        </x:is>
      </x:c>
      <x:c r="G6" t="inlineStr">
        <x:is>
          <x:t xml:space="preserve">simple sore throat / irritation outpatient case</x:t>
        </x:is>
      </x:c>
      <x:c r="H6" t="inlineStr">
        <x:is>
          <x:t xml:space="preserve">Tylenol 500 mg strip 10s [Paracetamol 500 mg.]</x:t>
        </x:is>
      </x:c>
      <x:c r="I6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K6" t="inlineStr">
        <x:is>
          <x:t xml:space="preserve">Difflam Forte Spray [Benzydamine Hydrochloride 3 mg.+Ethanol+Saccharin Sodium+Methyl Hydroxybenzoate+Glycerol+PEG-40 Hydrogenated castor oil/ml.]</x:t>
        </x:is>
      </x:c>
      <x:c r="L6" t="inlineStr">
        <x:is>
          <x:t xml:space="preserve">Avoid routine antibiotics; Needs in-person eval today if drooling, muffled voice, dyspnea, or inability to swallow fluids</x:t>
        </x:is>
      </x:c>
    </x:row>
    <x:row r="7">
      <x:c r="A7" t="n">
        <x:v>6</x:v>
      </x:c>
      <x:c r="B7" t="inlineStr">
        <x:is>
          <x:t xml:space="preserve">FRM0017</x:t>
        </x:is>
      </x:c>
      <x:c r="C7" t="inlineStr">
        <x:is>
          <x:t xml:space="preserve">viral_fever_bodyache_adult</x:t>
        </x:is>
      </x:c>
      <x:c r="D7" t="inlineStr">
        <x:is>
          <x:t xml:space="preserve">Viral fever / body ache</x:t>
        </x:is>
      </x:c>
      <x:c r="E7" t="inlineStr">
        <x:is>
          <x:t xml:space="preserve">General</x:t>
        </x:is>
      </x:c>
      <x:c r="F7" t="inlineStr">
        <x:is>
          <x:t xml:space="preserve">adult</x:t>
        </x:is>
      </x:c>
      <x:c r="G7" t="inlineStr">
        <x:is>
          <x:t xml:space="preserve">simple viral febrile illness outpatient case</x:t>
        </x:is>
      </x:c>
      <x:c r="H7" t="inlineStr">
        <x:is>
          <x:t xml:space="preserve">Tylenol 500 mg strip 10s [Paracetamol 500 mg.]</x:t>
        </x:is>
      </x:c>
      <x:c r="I7" t="inlineStr">
        <x:is>
          <x:t xml:space="preserve">Gofen 400 [Ibuprofen 400 mg.+Polyethylene 400+Porpylene Glycol]</x:t>
        </x:is>
      </x:c>
      <x:c r="L7" t="inlineStr">
        <x:is>
          <x:t xml:space="preserve">Avoid routine antibiotics; Needs in-person eval today if dyspnea, dehydration, or persistent high fever</x:t>
        </x:is>
      </x:c>
    </x:row>
    <x:row r="8">
      <x:c r="A8" t="n">
        <x:v>7</x:v>
      </x:c>
      <x:c r="B8" t="inlineStr">
        <x:is>
          <x:t xml:space="preserve">FRM0016</x:t>
        </x:is>
      </x:c>
      <x:c r="C8" t="inlineStr">
        <x:is>
          <x:t xml:space="preserve">nasal_blockage_adult</x:t>
        </x:is>
      </x:c>
      <x:c r="D8" t="inlineStr">
        <x:is>
          <x:t xml:space="preserve">Nasal blockage / congestion</x:t>
        </x:is>
      </x:c>
      <x:c r="E8" t="inlineStr">
        <x:is>
          <x:t xml:space="preserve">ENT</x:t>
        </x:is>
      </x:c>
      <x:c r="F8" t="inlineStr">
        <x:is>
          <x:t xml:space="preserve">adult</x:t>
        </x:is>
      </x:c>
      <x:c r="G8" t="inlineStr">
        <x:is>
          <x:t xml:space="preserve">simple nasal congestion outpatient case</x:t>
        </x:is>
      </x:c>
      <x:c r="H8" t="inlineStr">
        <x:is>
          <x:t xml:space="preserve">Nasotapp [Brompheniramine Maleate 4 mg.+Phenylephrine HCl 10 mg.]</x:t>
        </x:is>
      </x:c>
      <x:c r="I8" t="inlineStr">
        <x:is>
          <x:t xml:space="preserve">Iliadin Spray [Oxymetazoline Hydrochloride 0.05% (0.5 mg./1 ml.)]</x:t>
        </x:is>
      </x:c>
      <x:c r="J8" t="inlineStr">
        <x:is>
          <x:t xml:space="preserve">Klean &amp; Kare Saline เล็ก [Sodium Chloride 0.9 g./100 ml.]</x:t>
        </x:is>
      </x:c>
      <x:c r="K8" t="inlineStr">
        <x:is>
          <x:t xml:space="preserve">Nasonex 60 doses [Mometasone Furoate Monohydrate (eq. to Mometasone Furoate 50 mcg/dose)+Preservative (Benzalkonium Chloride 0.2 mg/g)]</x:t>
        </x:is>
      </x:c>
      <x:c r="L8" t="inlineStr">
        <x:is>
          <x:t xml:space="preserve">Needs in-person eval today if severe sinus pain, facial swelling, or breathing difficulty</x:t>
        </x:is>
      </x:c>
    </x:row>
    <x:row r="9">
      <x:c r="A9" t="n">
        <x:v>8</x:v>
      </x:c>
      <x:c r="B9" t="inlineStr">
        <x:is>
          <x:t xml:space="preserve">FRM0007</x:t>
        </x:is>
      </x:c>
      <x:c r="C9" t="inlineStr">
        <x:is>
          <x:t xml:space="preserve">dry_eye_adult</x:t>
        </x:is>
      </x:c>
      <x:c r="D9" t="inlineStr">
        <x:is>
          <x:t xml:space="preserve">Symptomatic dry eye syndrome</x:t>
        </x:is>
      </x:c>
      <x:c r="E9" t="inlineStr">
        <x:is>
          <x:t xml:space="preserve">Eye</x:t>
        </x:is>
      </x:c>
      <x:c r="F9" t="inlineStr">
        <x:is>
          <x:t xml:space="preserve">adult</x:t>
        </x:is>
      </x:c>
      <x:c r="G9" t="inlineStr">
        <x:is>
          <x:t xml:space="preserve">primary dry eye / screen-related irritation without red flags</x:t>
        </x:is>
      </x:c>
      <x:c r="H9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K9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L9" t="inlineStr">
        <x:is>
          <x:t xml:space="preserve">Needs in-person eval today if eye pain, photophobia, vision loss, or contact-lens related red eye</x:t>
        </x:is>
      </x:c>
    </x:row>
    <x:row r="10">
      <x:c r="A10" t="n">
        <x:v>9</x:v>
      </x:c>
      <x:c r="B10" t="inlineStr">
        <x:is>
          <x:t xml:space="preserve">FRM0010</x:t>
        </x:is>
      </x:c>
      <x:c r="C10" t="inlineStr">
        <x:is>
          <x:t xml:space="preserve">eye_irritation_adult</x:t>
        </x:is>
      </x:c>
      <x:c r="D10" t="inlineStr">
        <x:is>
          <x:t xml:space="preserve">Eye irritation / dust exposure</x:t>
        </x:is>
      </x:c>
      <x:c r="E10" t="inlineStr">
        <x:is>
          <x:t xml:space="preserve">Eye</x:t>
        </x:is>
      </x:c>
      <x:c r="F10" t="inlineStr">
        <x:is>
          <x:t xml:space="preserve">adult</x:t>
        </x:is>
      </x:c>
      <x:c r="G10" t="inlineStr">
        <x:is>
          <x:t xml:space="preserve">mild irritant eye discomfort outpatient case</x:t>
        </x:is>
      </x:c>
      <x:c r="H10" t="inlineStr">
        <x:is>
          <x:t xml:space="preserve">Op-Ize Eye Wash [Boric Acid 2.0 g.+Sodium Borate 0.5 g.+Zinc Sulphate 0.004 g./100 ml.]</x:t>
        </x:is>
      </x:c>
      <x:c r="I10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K10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L10" t="inlineStr">
        <x:is>
          <x:t xml:space="preserve">Needs in-person eval today if chemical exposure, severe pain, photophobia, or vision loss</x:t>
        </x:is>
      </x:c>
    </x:row>
    <x:row r="11">
      <x:c r="A11" t="n">
        <x:v>10</x:v>
      </x:c>
      <x:c r="B11" t="inlineStr">
        <x:is>
          <x:t xml:space="preserve">FRM0068</x:t>
        </x:is>
      </x:c>
      <x:c r="C11" t="inlineStr">
        <x:is>
          <x:t xml:space="preserve">watery_red_eye_nonpurulent_adult</x:t>
        </x:is>
      </x:c>
      <x:c r="D11" t="inlineStr">
        <x:is>
          <x:t xml:space="preserve">Watery red eye (non-purulent)</x:t>
        </x:is>
      </x:c>
      <x:c r="E11" t="inlineStr">
        <x:is>
          <x:t xml:space="preserve">Eye</x:t>
        </x:is>
      </x:c>
      <x:c r="F11" t="inlineStr">
        <x:is>
          <x:t xml:space="preserve">adult</x:t>
        </x:is>
      </x:c>
      <x:c r="G11" t="inlineStr">
        <x:is>
          <x:t xml:space="preserve">mild watery/non-purulent eye irritation without vision-threatening red flags</x:t>
        </x:is>
      </x:c>
      <x:c r="H11" t="inlineStr">
        <x:is>
          <x:t xml:space="preserve">Op-Ize Eye Wash [Boric Acid 2.0 g.+Sodium Borate 0.5 g.+Zinc Sulphate 0.004 g./100 ml.]</x:t>
        </x:is>
      </x:c>
      <x:c r="I11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K11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L11" t="inlineStr">
        <x:is>
          <x:t xml:space="preserve">Needs in-person eval today if purulent discharge, severe pain, photophobia, or vision loss</x:t>
        </x:is>
      </x:c>
    </x:row>
    <x:row r="12">
      <x:c r="A12" t="n">
        <x:v>11</x:v>
      </x:c>
      <x:c r="B12" t="inlineStr">
        <x:is>
          <x:t xml:space="preserve">FRM0004</x:t>
        </x:is>
      </x:c>
      <x:c r="C12" t="inlineStr">
        <x:is>
          <x:t xml:space="preserve">acute_watery_diarrhea_adult</x:t>
        </x:is>
      </x:c>
      <x:c r="D12" t="inlineStr">
        <x:is>
          <x:t xml:space="preserve">Acute infectious diarrhea / viral gastroenteritis</x:t>
        </x:is>
      </x:c>
      <x:c r="E12" t="inlineStr">
        <x:is>
          <x:t xml:space="preserve">GI</x:t>
        </x:is>
      </x:c>
      <x:c r="F12" t="inlineStr">
        <x:is>
          <x:t xml:space="preserve">adult</x:t>
        </x:is>
      </x:c>
      <x:c r="G12" t="inlineStr">
        <x:is>
          <x:t xml:space="preserve">simple acute watery diarrhea outpatient case</x:t>
        </x:is>
      </x:c>
      <x:c r="H12" t="inlineStr">
        <x:is>
          <x:t xml:space="preserve">Cera ORS รสส้ม [Glucose Anhydrous 3 g.+Sodium Chloride 0.53 g.+Potassium Chloride 0.23 g.+Sodium Citrate Dihydrate 0.44 g.]</x:t>
        </x:is>
      </x:c>
      <x:c r="I12" t="inlineStr">
        <x:is>
          <x:t xml:space="preserve">Bioflor [Lyophilized Saccharomyces boulardii 250 mg.]</x:t>
        </x:is>
      </x:c>
      <x:c r="K12" t="inlineStr">
        <x:is>
          <x:t xml:space="preserve">Dehecta [Dioctahedral Smectite 3 g./20 ml.]</x:t>
        </x:is>
      </x:c>
      <x:c r="L12" t="inlineStr">
        <x:is>
          <x:t xml:space="preserve">Needs in-person eval today if dehydration, bloody stool, severe abdominal pain, or persistent vomiting</x:t>
        </x:is>
      </x:c>
    </x:row>
    <x:row r="13">
      <x:c r="A13" t="n">
        <x:v>12</x:v>
      </x:c>
      <x:c r="B13" t="inlineStr">
        <x:is>
          <x:t xml:space="preserve">FRM0047</x:t>
        </x:is>
      </x:c>
      <x:c r="C13" t="inlineStr">
        <x:is>
          <x:t xml:space="preserve">gastroenteritis_mild_adult</x:t>
        </x:is>
      </x:c>
      <x:c r="D13" t="inlineStr">
        <x:is>
          <x:t xml:space="preserve">Mild viral gastroenteritis</x:t>
        </x:is>
      </x:c>
      <x:c r="E13" t="inlineStr">
        <x:is>
          <x:t xml:space="preserve">GI</x:t>
        </x:is>
      </x:c>
      <x:c r="F13" t="inlineStr">
        <x:is>
          <x:t xml:space="preserve">adult</x:t>
        </x:is>
      </x:c>
      <x:c r="G13" t="inlineStr">
        <x:is>
          <x:t xml:space="preserve">mild uncomplicated viral gastroenteritis / loose stool outpatient case</x:t>
        </x:is>
      </x:c>
      <x:c r="H13" t="inlineStr">
        <x:is>
          <x:t xml:space="preserve">Cera ORS รสส้ม [Glucose Anhydrous 3 g.+Sodium Chloride 0.53 g.+Potassium Chloride 0.23 g.+Sodium Citrate Dihydrate 0.44 g.]</x:t>
        </x:is>
      </x:c>
      <x:c r="I13" t="inlineStr">
        <x:is>
          <x:t xml:space="preserve">Bioflor [Lyophilized Saccharomyces boulardii 250 mg.]</x:t>
        </x:is>
      </x:c>
      <x:c r="K13" t="inlineStr">
        <x:is>
          <x:t xml:space="preserve">Dehecta [Dioctahedral Smectite 3 g./20 ml.]</x:t>
        </x:is>
      </x:c>
      <x:c r="L13" t="inlineStr">
        <x:is>
          <x:t xml:space="preserve">Avoid routine antibiotics; Needs in-person eval today if dehydration, bloody stool, severe abdominal pain, or persistent vomiting</x:t>
        </x:is>
      </x:c>
    </x:row>
    <x:row r="14">
      <x:c r="A14" t="n">
        <x:v>13</x:v>
      </x:c>
      <x:c r="B14" t="inlineStr">
        <x:is>
          <x:t xml:space="preserve">FRM0018</x:t>
        </x:is>
      </x:c>
      <x:c r="C14" t="inlineStr">
        <x:is>
          <x:t xml:space="preserve">abdominal_gas_bloating_adult</x:t>
        </x:is>
      </x:c>
      <x:c r="D14" t="inlineStr">
        <x:is>
          <x:t xml:space="preserve">Generalized bloating / flatulence</x:t>
        </x:is>
      </x:c>
      <x:c r="E14" t="inlineStr">
        <x:is>
          <x:t xml:space="preserve">GI</x:t>
        </x:is>
      </x:c>
      <x:c r="F14" t="inlineStr">
        <x:is>
          <x:t xml:space="preserve">adult</x:t>
        </x:is>
      </x:c>
      <x:c r="G14" t="inlineStr">
        <x:is>
          <x:t xml:space="preserve">general bloating / gas without alarm features</x:t>
        </x:is>
      </x:c>
      <x:c r="H14" t="inlineStr">
        <x:is>
          <x:t xml:space="preserve">Air-X 120 [Simethicone 120 mg.]</x:t>
        </x:is>
      </x:c>
      <x:c r="I14" t="inlineStr">
        <x:is>
          <x:t xml:space="preserve">Gogaz [Simethicone 200 mg.]</x:t>
        </x:is>
      </x:c>
      <x:c r="L14" t="inlineStr">
        <x:is>
          <x:t xml:space="preserve">Needs in-person eval today if severe pain, persistent vomiting, GI bleed, or abdominal distension with obstipation</x:t>
        </x:is>
      </x:c>
    </x:row>
    <x:row r="15">
      <x:c r="A15" t="n">
        <x:v>14</x:v>
      </x:c>
      <x:c r="B15" t="inlineStr">
        <x:is>
          <x:t xml:space="preserve">FRM0049</x:t>
        </x:is>
      </x:c>
      <x:c r="C15" t="inlineStr">
        <x:is>
          <x:t xml:space="preserve">functional_bloating_adult</x:t>
        </x:is>
      </x:c>
      <x:c r="D15" t="inlineStr">
        <x:is>
          <x:t xml:space="preserve">Functional bloating / flatulence</x:t>
        </x:is>
      </x:c>
      <x:c r="E15" t="inlineStr">
        <x:is>
          <x:t xml:space="preserve">GI</x:t>
        </x:is>
      </x:c>
      <x:c r="F15" t="inlineStr">
        <x:is>
          <x:t xml:space="preserve">adult</x:t>
        </x:is>
      </x:c>
      <x:c r="G15" t="inlineStr">
        <x:is>
          <x:t xml:space="preserve">simple functional bloating / flatulence outpatient case</x:t>
        </x:is>
      </x:c>
      <x:c r="H15" t="inlineStr">
        <x:is>
          <x:t xml:space="preserve">Air-X 120 [Simethicone 120 mg.]</x:t>
        </x:is>
      </x:c>
      <x:c r="I15" t="inlineStr">
        <x:is>
          <x:t xml:space="preserve">Gogaz [Simethicone 200 mg.]</x:t>
        </x:is>
      </x:c>
      <x:c r="K15" t="inlineStr">
        <x:is>
          <x:t xml:space="preserve">Buscopan [Hyoscine-N-butylbromide 10 mg.]</x:t>
        </x:is>
      </x:c>
      <x:c r="L15" t="inlineStr">
        <x:is>
          <x:t xml:space="preserve">Needs in-person eval today if GI bleed, weight loss, severe persistent pain, or persistent vomiting</x:t>
        </x:is>
      </x:c>
    </x:row>
    <x:row r="16">
      <x:c r="A16" t="n">
        <x:v>15</x:v>
      </x:c>
      <x:c r="B16" t="inlineStr">
        <x:is>
          <x:t xml:space="preserve">FRM0019</x:t>
        </x:is>
      </x:c>
      <x:c r="C16" t="inlineStr">
        <x:is>
          <x:t xml:space="preserve">abdominal_colic_adult</x:t>
        </x:is>
      </x:c>
      <x:c r="D16" t="inlineStr">
        <x:is>
          <x:t xml:space="preserve">Abdominal colic / cramp</x:t>
        </x:is>
      </x:c>
      <x:c r="E16" t="inlineStr">
        <x:is>
          <x:t xml:space="preserve">GI</x:t>
        </x:is>
      </x:c>
      <x:c r="F16" t="inlineStr">
        <x:is>
          <x:t xml:space="preserve">adult</x:t>
        </x:is>
      </x:c>
      <x:c r="G16" t="inlineStr">
        <x:is>
          <x:t xml:space="preserve">simple abdominal cramp outpatient case</x:t>
        </x:is>
      </x:c>
      <x:c r="H16" t="inlineStr">
        <x:is>
          <x:t xml:space="preserve">Buscopan [Hyoscine-N-butylbromide 10 mg.]</x:t>
        </x:is>
      </x:c>
      <x:c r="I16" t="inlineStr">
        <x:is>
          <x:t xml:space="preserve">Air-X 120 [Simethicone 120 mg.]</x:t>
        </x:is>
      </x:c>
      <x:c r="L16" t="inlineStr">
        <x:is>
          <x:t xml:space="preserve">Needs in-person eval today if localized severe pain, guarding, fever, or repeated vomiting</x:t>
        </x:is>
      </x:c>
    </x:row>
    <x:row r="17">
      <x:c r="A17" t="n">
        <x:v>16</x:v>
      </x:c>
      <x:c r="B17" t="inlineStr">
        <x:is>
          <x:t xml:space="preserve">FRM0011</x:t>
        </x:is>
      </x:c>
      <x:c r="C17" t="inlineStr">
        <x:is>
          <x:t xml:space="preserve">musculoskeletal_pain_adult</x:t>
        </x:is>
      </x:c>
      <x:c r="D17" t="inlineStr">
        <x:is>
          <x:t xml:space="preserve">Musculoskeletal pain / strain</x:t>
        </x:is>
      </x:c>
      <x:c r="E17" t="inlineStr">
        <x:is>
          <x:t xml:space="preserve">Pain</x:t>
        </x:is>
      </x:c>
      <x:c r="F17" t="inlineStr">
        <x:is>
          <x:t xml:space="preserve">adult</x:t>
        </x:is>
      </x:c>
      <x:c r="G17" t="inlineStr">
        <x:is>
          <x:t xml:space="preserve">simple neck / back / muscle pain outpatient case</x:t>
        </x:is>
      </x:c>
      <x:c r="H17" t="inlineStr">
        <x:is>
          <x:t xml:space="preserve">Gofen 400 [Ibuprofen 400 mg.+Polyethylene 400+Porpylene Glycol]</x:t>
        </x:is>
      </x:c>
      <x:c r="I17" t="inlineStr">
        <x:is>
          <x:t xml:space="preserve">Uniren Spray [Diclofenac Sodium 1 % w/w]</x:t>
        </x:is>
      </x:c>
      <x:c r="K17" t="inlineStr">
        <x:is>
          <x:t xml:space="preserve">Tylenol 500 mg strip 10s [Paracetamol 500 mg.]</x:t>
        </x:is>
      </x:c>
      <x:c r="L17" t="inlineStr">
        <x:is>
          <x:t xml:space="preserve">Needs in-person eval today if trauma, weakness/numbness, red hot joint, or severe swelling</x:t>
        </x:is>
      </x:c>
    </x:row>
    <x:row r="18">
      <x:c r="A18" t="n">
        <x:v>17</x:v>
      </x:c>
      <x:c r="B18" t="inlineStr">
        <x:is>
          <x:t xml:space="preserve">FRM0051</x:t>
        </x:is>
      </x:c>
      <x:c r="C18" t="inlineStr">
        <x:is>
          <x:t xml:space="preserve">neck_shoulder_strain_adult</x:t>
        </x:is>
      </x:c>
      <x:c r="D18" t="inlineStr">
        <x:is>
          <x:t xml:space="preserve">Neck / shoulder strain</x:t>
        </x:is>
      </x:c>
      <x:c r="E18" t="inlineStr">
        <x:is>
          <x:t xml:space="preserve">Pain</x:t>
        </x:is>
      </x:c>
      <x:c r="F18" t="inlineStr">
        <x:is>
          <x:t xml:space="preserve">adult</x:t>
        </x:is>
      </x:c>
      <x:c r="G18" t="inlineStr">
        <x:is>
          <x:t xml:space="preserve">simple neck / shoulder strain outpatient case</x:t>
        </x:is>
      </x:c>
      <x:c r="H18" t="inlineStr">
        <x:is>
          <x:t xml:space="preserve">Gofen 400 [Ibuprofen 400 mg.+Polyethylene 400+Porpylene Glycol]</x:t>
        </x:is>
      </x:c>
      <x:c r="I18" t="inlineStr">
        <x:is>
          <x:t xml:space="preserve">Biocalm [Tolperisone 50 mg.]</x:t>
        </x:is>
      </x:c>
      <x:c r="J18" t="inlineStr">
        <x:is>
          <x:t xml:space="preserve">Uniren Spray [Diclofenac Sodium 1 % w/w]</x:t>
        </x:is>
      </x:c>
      <x:c r="K18" t="inlineStr">
        <x:is>
          <x:t xml:space="preserve">Perskindol Classic Gel [Menthol 1.5%+Pine Needle Oil 1.35%+Wintergreen Oil 0.35%+Orange Oil 0.4%]</x:t>
        </x:is>
      </x:c>
      <x:c r="L18" t="inlineStr">
        <x:is>
          <x:t xml:space="preserve">Needs in-person eval today if trauma, weakness/numbness, severe headache/neck stiffness, or major swelling</x:t>
        </x:is>
      </x:c>
    </x:row>
    <x:row r="19">
      <x:c r="A19" t="n">
        <x:v>18</x:v>
      </x:c>
      <x:c r="B19" t="inlineStr">
        <x:is>
          <x:t xml:space="preserve">FRM0052</x:t>
        </x:is>
      </x:c>
      <x:c r="C19" t="inlineStr">
        <x:is>
          <x:t xml:space="preserve">low_back_pain_simple_adult</x:t>
        </x:is>
      </x:c>
      <x:c r="D19" t="inlineStr">
        <x:is>
          <x:t xml:space="preserve">Simple low back pain</x:t>
        </x:is>
      </x:c>
      <x:c r="E19" t="inlineStr">
        <x:is>
          <x:t xml:space="preserve">Pain</x:t>
        </x:is>
      </x:c>
      <x:c r="F19" t="inlineStr">
        <x:is>
          <x:t xml:space="preserve">adult</x:t>
        </x:is>
      </x:c>
      <x:c r="G19" t="inlineStr">
        <x:is>
          <x:t xml:space="preserve">simple non-traumatic low back pain outpatient case</x:t>
        </x:is>
      </x:c>
      <x:c r="H19" t="inlineStr">
        <x:is>
          <x:t xml:space="preserve">Gofen 400 [Ibuprofen 400 mg.+Polyethylene 400+Porpylene Glycol]</x:t>
        </x:is>
      </x:c>
      <x:c r="I19" t="inlineStr">
        <x:is>
          <x:t xml:space="preserve">Biocalm [Tolperisone 50 mg.]</x:t>
        </x:is>
      </x:c>
      <x:c r="J19" t="inlineStr">
        <x:is>
          <x:t xml:space="preserve">Uniren Spray [Diclofenac Sodium 1 % w/w]</x:t>
        </x:is>
      </x:c>
      <x:c r="K19" t="inlineStr">
        <x:is>
          <x:t xml:space="preserve">Synflex [Naproxen sodium 275 mg.]</x:t>
        </x:is>
      </x:c>
      <x:c r="L19" t="inlineStr">
        <x:is>
          <x:t xml:space="preserve">Needs in-person eval today if urinary retention/incontinence, saddle anesthesia, trauma, fever, or weakness/numbness</x:t>
        </x:is>
      </x:c>
    </x:row>
    <x:row r="20">
      <x:c r="A20" t="n">
        <x:v>19</x:v>
      </x:c>
      <x:c r="B20" t="inlineStr">
        <x:is>
          <x:t xml:space="preserve">FRM0053</x:t>
        </x:is>
      </x:c>
      <x:c r="C20" t="inlineStr">
        <x:is>
          <x:t xml:space="preserve">sprain_strain_mild_adult</x:t>
        </x:is>
      </x:c>
      <x:c r="D20" t="inlineStr">
        <x:is>
          <x:t xml:space="preserve">Mild sprain / strain</x:t>
        </x:is>
      </x:c>
      <x:c r="E20" t="inlineStr">
        <x:is>
          <x:t xml:space="preserve">Pain</x:t>
        </x:is>
      </x:c>
      <x:c r="F20" t="inlineStr">
        <x:is>
          <x:t xml:space="preserve">adult</x:t>
        </x:is>
      </x:c>
      <x:c r="G20" t="inlineStr">
        <x:is>
          <x:t xml:space="preserve">minor sprain / strain outpatient case without major trauma</x:t>
        </x:is>
      </x:c>
      <x:c r="H20" t="inlineStr">
        <x:is>
          <x:t xml:space="preserve">Gofen 400 [Ibuprofen 400 mg.+Polyethylene 400+Porpylene Glycol]</x:t>
        </x:is>
      </x:c>
      <x:c r="I20" t="inlineStr">
        <x:is>
          <x:t xml:space="preserve">Uniren Spray [Diclofenac Sodium 1 % w/w]</x:t>
        </x:is>
      </x:c>
      <x:c r="K20" t="inlineStr">
        <x:is>
          <x:t xml:space="preserve">Arcoxia 60 mg [Etoricoxib 60 mg.]</x:t>
        </x:is>
      </x:c>
      <x:c r="L20" t="inlineStr">
        <x:is>
          <x:t xml:space="preserve">Needs in-person eval today if deformity, inability to bear weight, severe swelling, or suspected fracture</x:t>
        </x:is>
      </x:c>
    </x:row>
    <x:row r="21">
      <x:c r="A21" t="n">
        <x:v>20</x:v>
      </x:c>
      <x:c r="B21" t="inlineStr">
        <x:is>
          <x:t xml:space="preserve">FRM0021</x:t>
        </x:is>
      </x:c>
      <x:c r="C21" t="inlineStr">
        <x:is>
          <x:t xml:space="preserve">tension_headache_adult</x:t>
        </x:is>
      </x:c>
      <x:c r="D21" t="inlineStr">
        <x:is>
          <x:t xml:space="preserve">Tension-type headache</x:t>
        </x:is>
      </x:c>
      <x:c r="E21" t="inlineStr">
        <x:is>
          <x:t xml:space="preserve">Neuro</x:t>
        </x:is>
      </x:c>
      <x:c r="F21" t="inlineStr">
        <x:is>
          <x:t xml:space="preserve">adult</x:t>
        </x:is>
      </x:c>
      <x:c r="G21" t="inlineStr">
        <x:is>
          <x:t xml:space="preserve">simple tension headache outpatient case</x:t>
        </x:is>
      </x:c>
      <x:c r="H21" t="inlineStr">
        <x:is>
          <x:t xml:space="preserve">Tylenol 500 mg strip 10s [Paracetamol 500 mg.]</x:t>
        </x:is>
      </x:c>
      <x:c r="I21" t="inlineStr">
        <x:is>
          <x:t xml:space="preserve">Gofen 400 [Ibuprofen 400 mg.+Polyethylene 400+Porpylene Glycol]</x:t>
        </x:is>
      </x:c>
      <x:c r="L21" t="inlineStr">
        <x:is>
          <x:t xml:space="preserve">Needs in-person eval today if thunderclap headache, neuro deficit, or fever with neck stiffness</x:t>
        </x:is>
      </x:c>
    </x:row>
    <x:row r="22">
      <x:c r="A22" t="n">
        <x:v>21</x:v>
      </x:c>
      <x:c r="B22" t="inlineStr">
        <x:is>
          <x:t xml:space="preserve">FRM0012</x:t>
        </x:is>
      </x:c>
      <x:c r="C22" t="inlineStr">
        <x:is>
          <x:t xml:space="preserve">migraine_adult</x:t>
        </x:is>
      </x:c>
      <x:c r="D22" t="inlineStr">
        <x:is>
          <x:t xml:space="preserve">Migraine</x:t>
        </x:is>
      </x:c>
      <x:c r="E22" t="inlineStr">
        <x:is>
          <x:t xml:space="preserve">Neuro</x:t>
        </x:is>
      </x:c>
      <x:c r="F22" t="inlineStr">
        <x:is>
          <x:t xml:space="preserve">adult</x:t>
        </x:is>
      </x:c>
      <x:c r="G22" t="inlineStr">
        <x:is>
          <x:t xml:space="preserve">known / likely migraine outpatient case</x:t>
        </x:is>
      </x:c>
      <x:c r="H22" t="inlineStr">
        <x:is>
          <x:t xml:space="preserve">Relpax 40 mg [Eletriptan 40 mg.]</x:t>
        </x:is>
      </x:c>
      <x:c r="I22" t="inlineStr">
        <x:is>
          <x:t xml:space="preserve">Tylenol 500 mg strip 10s [Paracetamol 500 mg.]</x:t>
        </x:is>
      </x:c>
      <x:c r="L22" t="inlineStr">
        <x:is>
          <x:t xml:space="preserve">Needs in-person eval today if thunderclap headache, neuro deficit, or fever with neck stiffness</x:t>
        </x:is>
      </x:c>
    </x:row>
    <x:row r="23">
      <x:c r="A23" t="n">
        <x:v>22</x:v>
      </x:c>
      <x:c r="B23" t="inlineStr">
        <x:is>
          <x:t xml:space="preserve">FRM0013</x:t>
        </x:is>
      </x:c>
      <x:c r="C23" t="inlineStr">
        <x:is>
          <x:t xml:space="preserve">vertigo_adult</x:t>
        </x:is>
      </x:c>
      <x:c r="D23" t="inlineStr">
        <x:is>
          <x:t xml:space="preserve">Peripheral vertigo / dizziness</x:t>
        </x:is>
      </x:c>
      <x:c r="E23" t="inlineStr">
        <x:is>
          <x:t xml:space="preserve">Neuro</x:t>
        </x:is>
      </x:c>
      <x:c r="F23" t="inlineStr">
        <x:is>
          <x:t xml:space="preserve">adult</x:t>
        </x:is>
      </x:c>
      <x:c r="G23" t="inlineStr">
        <x:is>
          <x:t xml:space="preserve">simple vertigo outpatient case</x:t>
        </x:is>
      </x:c>
      <x:c r="H23" t="inlineStr">
        <x:is>
          <x:t xml:space="preserve">Serc 24 mg [Betahistine dihydrochloride 24 mg.]</x:t>
        </x:is>
      </x:c>
      <x:c r="L23" t="inlineStr">
        <x:is>
          <x:t xml:space="preserve">Needs in-person eval today if focal neuro deficit, severe headache, or unable to walk</x:t>
        </x:is>
      </x:c>
    </x:row>
    <x:row r="24">
      <x:c r="A24" t="n">
        <x:v>23</x:v>
      </x:c>
      <x:c r="B24" t="inlineStr">
        <x:is>
          <x:t xml:space="preserve">FRM0055</x:t>
        </x:is>
      </x:c>
      <x:c r="C24" t="inlineStr">
        <x:is>
          <x:t xml:space="preserve">contact_dermatitis_adult</x:t>
        </x:is>
      </x:c>
      <x:c r="D24" t="inlineStr">
        <x:is>
          <x:t xml:space="preserve">Contact dermatitis / irritant rash</x:t>
        </x:is>
      </x:c>
      <x:c r="E24" t="inlineStr">
        <x:is>
          <x:t xml:space="preserve">Skin</x:t>
        </x:is>
      </x:c>
      <x:c r="F24" t="inlineStr">
        <x:is>
          <x:t xml:space="preserve">adult</x:t>
        </x:is>
      </x:c>
      <x:c r="G24" t="inlineStr">
        <x:is>
          <x:t xml:space="preserve">contact/irritant dermatitis without infection or severe skin red flags</x:t>
        </x:is>
      </x:c>
      <x:c r="H24" t="inlineStr">
        <x:is>
          <x:t xml:space="preserve">Zyrtec [Cetirizine dihydrochloride 10 mg.]</x:t>
        </x:is>
      </x:c>
      <x:c r="I24" t="inlineStr">
        <x:is>
          <x:t xml:space="preserve">Aristocort 0.02% [Triamcinolone Acetonide 0.02%]</x:t>
        </x:is>
      </x:c>
      <x:c r="J24" t="inlineStr">
        <x:is>
          <x:t xml:space="preserve">Diabederm Urea Cream 10% [10% Urea]</x:t>
        </x:is>
      </x:c>
      <x:c r="K24" t="inlineStr">
        <x:is>
          <x:t xml:space="preserve">Antergan Cream [Hydrocortisone Acetate 5 mg+Mepyramine Maleate 20 mg/1 g]</x:t>
        </x:is>
      </x:c>
      <x:c r="L24" t="inlineStr">
        <x:is>
          <x:t xml:space="preserve">Needs in-person eval today if facial swelling, blistering, mucosal lesions, or rapidly spreading painful rash</x:t>
        </x:is>
      </x:c>
    </x:row>
    <x:row r="25">
      <x:c r="A25" t="n">
        <x:v>24</x:v>
      </x:c>
      <x:c r="B25" t="inlineStr">
        <x:is>
          <x:t xml:space="preserve">FRM0024</x:t>
        </x:is>
      </x:c>
      <x:c r="C25" t="inlineStr">
        <x:is>
          <x:t xml:space="preserve">itchy_dermatitis_adult</x:t>
        </x:is>
      </x:c>
      <x:c r="D25" t="inlineStr">
        <x:is>
          <x:t xml:space="preserve">Dermatitis / eczema flare</x:t>
        </x:is>
      </x:c>
      <x:c r="E25" t="inlineStr">
        <x:is>
          <x:t xml:space="preserve">Skin</x:t>
        </x:is>
      </x:c>
      <x:c r="F25" t="inlineStr">
        <x:is>
          <x:t xml:space="preserve">adult</x:t>
        </x:is>
      </x:c>
      <x:c r="G25" t="inlineStr">
        <x:is>
          <x:t xml:space="preserve">eczema / dermatitis pattern with itch and dry inflamed skin</x:t>
        </x:is>
      </x:c>
      <x:c r="H25" t="inlineStr">
        <x:is>
          <x:t xml:space="preserve">Zyrtec [Cetirizine dihydrochloride 10 mg.]</x:t>
        </x:is>
      </x:c>
      <x:c r="I25" t="inlineStr">
        <x:is>
          <x:t xml:space="preserve">Aristocort 0.02% [Triamcinolone Acetonide 0.02%]</x:t>
        </x:is>
      </x:c>
      <x:c r="K25" t="inlineStr">
        <x:is>
          <x:t xml:space="preserve">Antergan Cream [Hydrocortisone Acetate 5 mg+Mepyramine Maleate 20 mg/1 g]</x:t>
        </x:is>
      </x:c>
      <x:c r="L25" t="inlineStr">
        <x:is>
          <x:t xml:space="preserve">Needs in-person eval today if infected rash, extensive blistering, or facial/eye involvement</x:t>
        </x:is>
      </x:c>
    </x:row>
    <x:row r="26">
      <x:c r="A26" t="n">
        <x:v>25</x:v>
      </x:c>
      <x:c r="B26" t="inlineStr">
        <x:is>
          <x:t xml:space="preserve">FRM0077</x:t>
        </x:is>
      </x:c>
      <x:c r="C26" t="inlineStr">
        <x:is>
          <x:t xml:space="preserve">localized_eczema_sensitive_area_adult</x:t>
        </x:is>
      </x:c>
      <x:c r="D26" t="inlineStr">
        <x:is>
          <x:t xml:space="preserve">Localized eczema (sensitive-area cautious row)</x:t>
        </x:is>
      </x:c>
      <x:c r="E26" t="inlineStr">
        <x:is>
          <x:t xml:space="preserve">Skin</x:t>
        </x:is>
      </x:c>
      <x:c r="F26" t="inlineStr">
        <x:is>
          <x:t xml:space="preserve">adult</x:t>
        </x:is>
      </x:c>
      <x:c r="G26" t="inlineStr">
        <x:is>
          <x:t xml:space="preserve">small localized eczema patch where milder anti-itch/steroid support is preferred</x:t>
        </x:is>
      </x:c>
      <x:c r="H26" t="inlineStr">
        <x:is>
          <x:t xml:space="preserve">Antergan Cream [Hydrocortisone Acetate 5 mg+Mepyramine Maleate 20 mg/1 g]</x:t>
        </x:is>
      </x:c>
      <x:c r="I26" t="inlineStr">
        <x:is>
          <x:t xml:space="preserve">Zyrtec [Cetirizine dihydrochloride 10 mg.]</x:t>
        </x:is>
      </x:c>
      <x:c r="K26" t="inlineStr">
        <x:is>
          <x:t xml:space="preserve">Diabederm Urea Cream 10% [10% Urea]</x:t>
        </x:is>
      </x:c>
      <x:c r="L26" t="inlineStr">
        <x:is>
          <x:t xml:space="preserve">Needs in-person eval today if infected rash, extensive flare, or facial/eye involvement</x:t>
        </x:is>
      </x:c>
    </x:row>
    <x:row r="27">
      <x:c r="A27" t="n">
        <x:v>26</x:v>
      </x:c>
      <x:c r="B27" t="inlineStr">
        <x:is>
          <x:t xml:space="preserve">FRM0040</x:t>
        </x:is>
      </x:c>
      <x:c r="C27" t="inlineStr">
        <x:is>
          <x:t xml:space="preserve">itchy_localized_rash_adult</x:t>
        </x:is>
      </x:c>
      <x:c r="D27" t="inlineStr">
        <x:is>
          <x:t xml:space="preserve">Localized itchy rash NOS</x:t>
        </x:is>
      </x:c>
      <x:c r="E27" t="inlineStr">
        <x:is>
          <x:t xml:space="preserve">Skin</x:t>
        </x:is>
      </x:c>
      <x:c r="F27" t="inlineStr">
        <x:is>
          <x:t xml:space="preserve">adult</x:t>
        </x:is>
      </x:c>
      <x:c r="G27" t="inlineStr">
        <x:is>
          <x:t xml:space="preserve">small localized itchy rash when dermatitis/insect bite/tinea are not clearly favored</x:t>
        </x:is>
      </x:c>
      <x:c r="H27" t="inlineStr">
        <x:is>
          <x:t xml:space="preserve">Zyrtec [Cetirizine dihydrochloride 10 mg.]</x:t>
        </x:is>
      </x:c>
      <x:c r="I27" t="inlineStr">
        <x:is>
          <x:t xml:space="preserve">Antergan Cream [Hydrocortisone Acetate 5 mg+Mepyramine Maleate 20 mg/1 g]</x:t>
        </x:is>
      </x:c>
      <x:c r="K27" t="inlineStr">
        <x:is>
          <x:t xml:space="preserve">Aristocort 0.02% [Triamcinolone Acetonide 0.02%]</x:t>
        </x:is>
      </x:c>
      <x:c r="L27" t="inlineStr">
        <x:is>
          <x:t xml:space="preserve">Needs in-person eval today if mucosal lesions, blistering, non-blanching rash, or facial swelling</x:t>
        </x:is>
      </x:c>
    </x:row>
    <x:row r="28">
      <x:c r="A28" t="n">
        <x:v>27</x:v>
      </x:c>
      <x:c r="B28" t="inlineStr">
        <x:is>
          <x:t xml:space="preserve">FRM0025</x:t>
        </x:is>
      </x:c>
      <x:c r="C28" t="inlineStr">
        <x:is>
          <x:t xml:space="preserve">insect_bite_reaction_adult</x:t>
        </x:is>
      </x:c>
      <x:c r="D28" t="inlineStr">
        <x:is>
          <x:t xml:space="preserve">Insect bite reaction / itchy bite</x:t>
        </x:is>
      </x:c>
      <x:c r="E28" t="inlineStr">
        <x:is>
          <x:t xml:space="preserve">Skin</x:t>
        </x:is>
      </x:c>
      <x:c r="F28" t="inlineStr">
        <x:is>
          <x:t xml:space="preserve">adult</x:t>
        </x:is>
      </x:c>
      <x:c r="G28" t="inlineStr">
        <x:is>
          <x:t xml:space="preserve">simple insect bite outpatient case</x:t>
        </x:is>
      </x:c>
      <x:c r="H28" t="inlineStr">
        <x:is>
          <x:t xml:space="preserve">Zyrtec [Cetirizine dihydrochloride 10 mg.]</x:t>
        </x:is>
      </x:c>
      <x:c r="I28" t="inlineStr">
        <x:is>
          <x:t xml:space="preserve">Antergan Cream [Hydrocortisone Acetate 5 mg+Mepyramine Maleate 20 mg/1 g]</x:t>
        </x:is>
      </x:c>
      <x:c r="L28" t="inlineStr">
        <x:is>
          <x:t xml:space="preserve">Needs in-person eval today if facial swelling, dyspnea, or rapidly spreading redness</x:t>
        </x:is>
      </x:c>
    </x:row>
    <x:row r="29">
      <x:c r="A29" t="n">
        <x:v>28</x:v>
      </x:c>
      <x:c r="B29" t="inlineStr">
        <x:is>
          <x:t xml:space="preserve">FRM0100</x:t>
        </x:is>
      </x:c>
      <x:c r="C29" t="inlineStr">
        <x:is>
          <x:t xml:space="preserve">infected_insect_bite_adult</x:t>
        </x:is>
      </x:c>
      <x:c r="D29" t="inlineStr">
        <x:is>
          <x:t xml:space="preserve">Infected insect bite</x:t>
        </x:is>
      </x:c>
      <x:c r="E29" t="inlineStr">
        <x:is>
          <x:t xml:space="preserve">Skin</x:t>
        </x:is>
      </x:c>
      <x:c r="F29" t="inlineStr">
        <x:is>
          <x:t xml:space="preserve">adult</x:t>
        </x:is>
      </x:c>
      <x:c r="G29" t="inlineStr">
        <x:is>
          <x:t xml:space="preserve">infected insect bite is likely, not just simple itch/swelling</x:t>
        </x:is>
      </x:c>
      <x:c r="H29" t="inlineStr">
        <x:is>
          <x:t xml:space="preserve">Ibiamox 500 mg [Amoxicillin 500 mg.]</x:t>
        </x:is>
      </x:c>
      <x:c r="I29" t="inlineStr">
        <x:is>
          <x:t xml:space="preserve">Fucidin Cream [Fusidic acid 20 mg./1 g.]</x:t>
        </x:is>
      </x:c>
      <x:c r="L29" t="inlineStr">
        <x:is>
          <x:t xml:space="preserve">Needs in-person eval today if spreading cellulitis, abscess, fever, or facial involvement</x:t>
        </x:is>
      </x:c>
    </x:row>
    <x:row r="30">
      <x:c r="A30" t="n">
        <x:v>29</x:v>
      </x:c>
      <x:c r="B30" t="inlineStr">
        <x:is>
          <x:t xml:space="preserve">FRM0102</x:t>
        </x:is>
      </x:c>
      <x:c r="C30" t="inlineStr">
        <x:is>
          <x:t xml:space="preserve">cellulitis_mild_adult</x:t>
        </x:is>
      </x:c>
      <x:c r="D30" t="inlineStr">
        <x:is>
          <x:t xml:space="preserve">Mild cellulitis</x:t>
        </x:is>
      </x:c>
      <x:c r="E30" t="inlineStr">
        <x:is>
          <x:t xml:space="preserve">Skin</x:t>
        </x:is>
      </x:c>
      <x:c r="F30" t="inlineStr">
        <x:is>
          <x:t xml:space="preserve">adult</x:t>
        </x:is>
      </x:c>
      <x:c r="G30" t="inlineStr">
        <x:is>
          <x:t xml:space="preserve">mild localized cellulitis when oral antibiotic row is appropriate</x:t>
        </x:is>
      </x:c>
      <x:c r="H30" t="inlineStr">
        <x:is>
          <x:t xml:space="preserve">AMK 1000 mg [Amoxicillin 875 mg.+Clavulanic Acid 125 mg.]</x:t>
        </x:is>
      </x:c>
      <x:c r="I30" t="inlineStr">
        <x:is>
          <x:t xml:space="preserve">Tylenol 500 mg strip 10s [Paracetamol 500 mg.]</x:t>
        </x:is>
      </x:c>
      <x:c r="L30" t="inlineStr">
        <x:is>
          <x:t xml:space="preserve">Needs in-person eval today if rapid spread, abscess, fever, facial involvement, or systemic toxicity</x:t>
        </x:is>
      </x:c>
    </x:row>
    <x:row r="31">
      <x:c r="A31" t="n">
        <x:v>30</x:v>
      </x:c>
      <x:c r="B31" t="inlineStr">
        <x:is>
          <x:t xml:space="preserve">FRM0104</x:t>
        </x:is>
      </x:c>
      <x:c r="C31" t="inlineStr">
        <x:is>
          <x:t xml:space="preserve">localized_folliculitis_adult</x:t>
        </x:is>
      </x:c>
      <x:c r="D31" t="inlineStr">
        <x:is>
          <x:t xml:space="preserve">Localized folliculitis</x:t>
        </x:is>
      </x:c>
      <x:c r="E31" t="inlineStr">
        <x:is>
          <x:t xml:space="preserve">Skin</x:t>
        </x:is>
      </x:c>
      <x:c r="F31" t="inlineStr">
        <x:is>
          <x:t xml:space="preserve">adult</x:t>
        </x:is>
      </x:c>
      <x:c r="G31" t="inlineStr">
        <x:is>
          <x:t xml:space="preserve">localized folliculitis outpatient topical-first row</x:t>
        </x:is>
      </x:c>
      <x:c r="H31" t="inlineStr">
        <x:is>
          <x:t xml:space="preserve">Fucidin Cream [Fusidic acid 20 mg./1 g.]</x:t>
        </x:is>
      </x:c>
      <x:c r="K31" t="inlineStr">
        <x:is>
          <x:t xml:space="preserve">Ibiamox 500 mg [Amoxicillin 500 mg.]</x:t>
        </x:is>
      </x:c>
      <x:c r="L31" t="inlineStr">
        <x:is>
          <x:t xml:space="preserve">Needs in-person eval today if abscess, fever, widespread lesions, or facial danger-area involvement</x:t>
        </x:is>
      </x:c>
    </x:row>
    <x:row r="32">
      <x:c r="A32" t="n">
        <x:v>31</x:v>
      </x:c>
      <x:c r="B32" t="inlineStr">
        <x:is>
          <x:t xml:space="preserve">FRM0124</x:t>
        </x:is>
      </x:c>
      <x:c r="C32" t="inlineStr">
        <x:is>
          <x:t xml:space="preserve">tinea_corporis_clotrimazole_adult</x:t>
        </x:is>
      </x:c>
      <x:c r="D32" t="inlineStr">
        <x:is>
          <x:t xml:space="preserve">Tinea corporis (clotrimazole-first row)</x:t>
        </x:is>
      </x:c>
      <x:c r="E32" t="inlineStr">
        <x:is>
          <x:t xml:space="preserve">Skin</x:t>
        </x:is>
      </x:c>
      <x:c r="F32" t="inlineStr">
        <x:is>
          <x:t xml:space="preserve">adult</x:t>
        </x:is>
      </x:c>
      <x:c r="G32" t="inlineStr">
        <x:is>
          <x:t xml:space="preserve">localized body fungal rash when a plain antifungal-first row is preferred</x:t>
        </x:is>
      </x:c>
      <x:c r="H32" t="inlineStr">
        <x:is>
          <x:t xml:space="preserve">Canesten Cream 10 g [Clotrimazole 1 g./100 g.]</x:t>
        </x:is>
      </x:c>
      <x:c r="K32" t="inlineStr">
        <x:is>
          <x:t xml:space="preserve">Fungasin Cream เล็ก [Ketoconazole 20 mg./1 g.]</x:t>
        </x:is>
      </x:c>
      <x:c r="L32" t="inlineStr">
        <x:is>
          <x:t xml:space="preserve">Needs in-person eval today if facial/genital involvement, extensive spread, or secondary infection</x:t>
        </x:is>
      </x:c>
    </x:row>
    <x:row r="33">
      <x:c r="A33" t="n">
        <x:v>32</x:v>
      </x:c>
      <x:c r="B33" t="inlineStr">
        <x:is>
          <x:t xml:space="preserve">FRM0122</x:t>
        </x:is>
      </x:c>
      <x:c r="C33" t="inlineStr">
        <x:is>
          <x:t xml:space="preserve">tinea_cruris_adult</x:t>
        </x:is>
      </x:c>
      <x:c r="D33" t="inlineStr">
        <x:is>
          <x:t xml:space="preserve">Tinea cruris / groin fungal rash</x:t>
        </x:is>
      </x:c>
      <x:c r="E33" t="inlineStr">
        <x:is>
          <x:t xml:space="preserve">Skin</x:t>
        </x:is>
      </x:c>
      <x:c r="F33" t="inlineStr">
        <x:is>
          <x:t xml:space="preserve">adult</x:t>
        </x:is>
      </x:c>
      <x:c r="G33" t="inlineStr">
        <x:is>
          <x:t xml:space="preserve">localized groin fungal rash without severe inflammation or secondary infection</x:t>
        </x:is>
      </x:c>
      <x:c r="H33" t="inlineStr">
        <x:is>
          <x:t xml:space="preserve">Canesten Cream 10 g [Clotrimazole 1 g./100 g.]</x:t>
        </x:is>
      </x:c>
      <x:c r="K33" t="inlineStr">
        <x:is>
          <x:t xml:space="preserve">Fungasin Cream เล็ก [Ketoconazole 20 mg./1 g.]</x:t>
        </x:is>
      </x:c>
      <x:c r="L33" t="inlineStr">
        <x:is>
          <x:t xml:space="preserve">Needs in-person eval today if severe inflammation, pus, extensive spread, or uncertain diagnosis</x:t>
        </x:is>
      </x:c>
    </x:row>
    <x:row r="34">
      <x:c r="A34" t="n">
        <x:v>33</x:v>
      </x:c>
      <x:c r="B34" t="inlineStr">
        <x:is>
          <x:t xml:space="preserve">FRM0123</x:t>
        </x:is>
      </x:c>
      <x:c r="C34" t="inlineStr">
        <x:is>
          <x:t xml:space="preserve">tinea_pedis_adult</x:t>
        </x:is>
      </x:c>
      <x:c r="D34" t="inlineStr">
        <x:is>
          <x:t xml:space="preserve">Tinea pedis / fungal foot rash</x:t>
        </x:is>
      </x:c>
      <x:c r="E34" t="inlineStr">
        <x:is>
          <x:t xml:space="preserve">Skin</x:t>
        </x:is>
      </x:c>
      <x:c r="F34" t="inlineStr">
        <x:is>
          <x:t xml:space="preserve">adult</x:t>
        </x:is>
      </x:c>
      <x:c r="G34" t="inlineStr">
        <x:is>
          <x:t xml:space="preserve">localized fungal foot rash outpatient case</x:t>
        </x:is>
      </x:c>
      <x:c r="H34" t="inlineStr">
        <x:is>
          <x:t xml:space="preserve">Fungasin Cream เล็ก [Ketoconazole 20 mg./1 g.]</x:t>
        </x:is>
      </x:c>
      <x:c r="K34" t="inlineStr">
        <x:is>
          <x:t xml:space="preserve">Canesten Cream 10 g [Clotrimazole 1 g./100 g.]</x:t>
        </x:is>
      </x:c>
      <x:c r="L34" t="inlineStr">
        <x:is>
          <x:t xml:space="preserve">Needs in-person eval today if cellulitis, pus, severe fissuring, or diabetic foot concern</x:t>
        </x:is>
      </x:c>
    </x:row>
    <x:row r="35">
      <x:c r="A35" t="n">
        <x:v>34</x:v>
      </x:c>
      <x:c r="B35" t="inlineStr">
        <x:is>
          <x:t xml:space="preserve">FRM0126</x:t>
        </x:is>
      </x:c>
      <x:c r="C35" t="inlineStr">
        <x:is>
          <x:t xml:space="preserve">pityriasis_versicolor_adult</x:t>
        </x:is>
      </x:c>
      <x:c r="D35" t="inlineStr">
        <x:is>
          <x:t xml:space="preserve">Pityriasis versicolor</x:t>
        </x:is>
      </x:c>
      <x:c r="E35" t="inlineStr">
        <x:is>
          <x:t xml:space="preserve">Skin</x:t>
        </x:is>
      </x:c>
      <x:c r="F35" t="inlineStr">
        <x:is>
          <x:t xml:space="preserve">adult</x:t>
        </x:is>
      </x:c>
      <x:c r="G35" t="inlineStr">
        <x:is>
          <x:t xml:space="preserve">localized pityriasis versicolor / superficial fungal patch outpatient case</x:t>
        </x:is>
      </x:c>
      <x:c r="H35" t="inlineStr">
        <x:is>
          <x:t xml:space="preserve">Funginox Solution [Ketoconazole 2%]</x:t>
        </x:is>
      </x:c>
      <x:c r="K35" t="inlineStr">
        <x:is>
          <x:t xml:space="preserve">Fungasin Cream เล็ก [Ketoconazole 20 mg./1 g.]</x:t>
        </x:is>
      </x:c>
      <x:c r="L35" t="inlineStr">
        <x:is>
          <x:t xml:space="preserve">Needs in-person eval today if uncertain diagnosis, rapid spread, or severe inflammation</x:t>
        </x:is>
      </x:c>
    </x:row>
    <x:row r="36">
      <x:c r="A36" t="n">
        <x:v>35</x:v>
      </x:c>
      <x:c r="B36" t="inlineStr">
        <x:is>
          <x:t xml:space="preserve">FRM0128</x:t>
        </x:is>
      </x:c>
      <x:c r="C36" t="inlineStr">
        <x:is>
          <x:t xml:space="preserve">wart_localized_adult</x:t>
        </x:is>
      </x:c>
      <x:c r="D36" t="inlineStr">
        <x:is>
          <x:t xml:space="preserve">Localized wart treatment</x:t>
        </x:is>
      </x:c>
      <x:c r="E36" t="inlineStr">
        <x:is>
          <x:t xml:space="preserve">Skin</x:t>
        </x:is>
      </x:c>
      <x:c r="F36" t="inlineStr">
        <x:is>
          <x:t xml:space="preserve">adult</x:t>
        </x:is>
      </x:c>
      <x:c r="G36" t="inlineStr">
        <x:is>
          <x:t xml:space="preserve">small localized wart or corn/callus-type lesion suitable for topical treatment</x:t>
        </x:is>
      </x:c>
      <x:c r="H36" t="inlineStr">
        <x:is>
          <x:t xml:space="preserve">Con Con [Salicylic Acid 25 g.+Liquified Phenol 1.5 ml./100 ml.]</x:t>
        </x:is>
      </x:c>
      <x:c r="L36" t="inlineStr">
        <x:is>
          <x:t xml:space="preserve">Needs in-person eval today if facial/genital wart, uncertain lesion, infection, or significant pain</x:t>
        </x:is>
      </x:c>
    </x:row>
    <x:row r="37">
      <x:c r="A37" t="n">
        <x:v>36</x:v>
      </x:c>
      <x:c r="B37" t="inlineStr">
        <x:is>
          <x:t xml:space="preserve">FRM0030</x:t>
        </x:is>
      </x:c>
      <x:c r="C37" t="inlineStr">
        <x:is>
          <x:t xml:space="preserve">minor_burn_adult</x:t>
        </x:is>
      </x:c>
      <x:c r="D37" t="inlineStr">
        <x:is>
          <x:t xml:space="preserve">Acute minor superficial burn</x:t>
        </x:is>
      </x:c>
      <x:c r="E37" t="inlineStr">
        <x:is>
          <x:t xml:space="preserve">Skin</x:t>
        </x:is>
      </x:c>
      <x:c r="F37" t="inlineStr">
        <x:is>
          <x:t xml:space="preserve">adult</x:t>
        </x:is>
      </x:c>
      <x:c r="G37" t="inlineStr">
        <x:is>
          <x:t xml:space="preserve">fresh small superficial burn without deep tissue injury</x:t>
        </x:is>
      </x:c>
      <x:c r="H37" t="inlineStr">
        <x:is>
          <x:t xml:space="preserve">Aloe Gel [วุ้นจากว่านหางจระเข้ 87.399 %]</x:t>
        </x:is>
      </x:c>
      <x:c r="K37" t="inlineStr">
        <x:is>
          <x:t xml:space="preserve">Mebo [Beta-sitosterol 0.25%]</x:t>
        </x:is>
      </x:c>
      <x:c r="L37" t="inlineStr">
        <x:is>
          <x:t xml:space="preserve">Needs in-person eval today if large burn, facial/genital burn, or circumferential burn</x:t>
        </x:is>
      </x:c>
    </x:row>
    <x:row r="38">
      <x:c r="A38" t="n">
        <x:v>37</x:v>
      </x:c>
      <x:c r="B38" t="inlineStr">
        <x:is>
          <x:t xml:space="preserve">FRM0074</x:t>
        </x:is>
      </x:c>
      <x:c r="C38" t="inlineStr">
        <x:is>
          <x:t xml:space="preserve">superficial_abrasion_adult</x:t>
        </x:is>
      </x:c>
      <x:c r="D38" t="inlineStr">
        <x:is>
          <x:t xml:space="preserve">Superficial abrasion</x:t>
        </x:is>
      </x:c>
      <x:c r="E38" t="inlineStr">
        <x:is>
          <x:t xml:space="preserve">Skin</x:t>
        </x:is>
      </x:c>
      <x:c r="F38" t="inlineStr">
        <x:is>
          <x:t xml:space="preserve">adult</x:t>
        </x:is>
      </x:c>
      <x:c r="G38" t="inlineStr">
        <x:is>
          <x:t xml:space="preserve">minor superficial abrasion outpatient care</x:t>
        </x:is>
      </x:c>
      <x:c r="H38" t="inlineStr">
        <x:is>
          <x:t xml:space="preserve">Betadine Solution 15 ml [Povidone-Iodine USP 10 % w/v]</x:t>
        </x:is>
      </x:c>
      <x:c r="K38" t="inlineStr">
        <x:is>
          <x:t xml:space="preserve">Garamycin Cream [Gentamicin 1 mg./1 g.]</x:t>
        </x:is>
      </x:c>
      <x:c r="L38" t="inlineStr">
        <x:is>
          <x:t xml:space="preserve">Needs in-person eval today if deep wound, bite, spreading redness, fever, or tetanus concern</x:t>
        </x:is>
      </x:c>
    </x:row>
    <x:row r="39">
      <x:c r="A39" t="n">
        <x:v>38</x:v>
      </x:c>
      <x:c r="B39" t="inlineStr">
        <x:is>
          <x:t xml:space="preserve">FRM0014</x:t>
        </x:is>
      </x:c>
      <x:c r="C39" t="inlineStr">
        <x:is>
          <x:t xml:space="preserve">oral_ulcer_adult</x:t>
        </x:is>
      </x:c>
      <x:c r="D39" t="inlineStr">
        <x:is>
          <x:t xml:space="preserve">Oral ulcer / aphthous ulcer</x:t>
        </x:is>
      </x:c>
      <x:c r="E39" t="inlineStr">
        <x:is>
          <x:t xml:space="preserve">ENT</x:t>
        </x:is>
      </x:c>
      <x:c r="F39" t="inlineStr">
        <x:is>
          <x:t xml:space="preserve">adult</x:t>
        </x:is>
      </x:c>
      <x:c r="G39" t="inlineStr">
        <x:is>
          <x:t xml:space="preserve">simple oral ulcer outpatient case</x:t>
        </x:is>
      </x:c>
      <x:c r="H39" t="inlineStr">
        <x:is>
          <x:t xml:space="preserve">Kamistad-Gel N [Lidocaine HCl 20 mg.+Chamomile Flower Extract 185 mg.+Ethanol 50% v/v+Tromethamole 1.37% w/w+Preservative (Benzalkonium Chloride 1 mg.)/1 g.]</x:t>
        </x:is>
      </x:c>
      <x:c r="L39" t="inlineStr">
        <x:is>
          <x:t xml:space="preserve">Needs in-person eval today if large persistent ulcer, inability to drink, or major oral swelling</x:t>
        </x:is>
      </x:c>
    </x:row>
    <x:row r="40">
      <x:c r="A40" t="n">
        <x:v>39</x:v>
      </x:c>
      <x:c r="B40" t="inlineStr">
        <x:is>
          <x:t xml:space="preserve">FRM0026</x:t>
        </x:is>
      </x:c>
      <x:c r="C40" t="inlineStr">
        <x:is>
          <x:t xml:space="preserve">herpes_labialis_adult</x:t>
        </x:is>
      </x:c>
      <x:c r="D40" t="inlineStr">
        <x:is>
          <x:t xml:space="preserve">Herpes labialis / cold sore</x:t>
        </x:is>
      </x:c>
      <x:c r="E40" t="inlineStr">
        <x:is>
          <x:t xml:space="preserve">Skin</x:t>
        </x:is>
      </x:c>
      <x:c r="F40" t="inlineStr">
        <x:is>
          <x:t xml:space="preserve">adult</x:t>
        </x:is>
      </x:c>
      <x:c r="G40" t="inlineStr">
        <x:is>
          <x:t xml:space="preserve">simple recurrent herpes labialis outpatient case</x:t>
        </x:is>
      </x:c>
      <x:c r="H40" t="inlineStr">
        <x:is>
          <x:t xml:space="preserve">Acyvir 400 mg [Acyclovir 400 mg.]</x:t>
        </x:is>
      </x:c>
      <x:c r="L40" t="inlineStr">
        <x:is>
          <x:t xml:space="preserve">Needs in-person eval today if eye involvement, severe facial spread, or major immunocompromise</x:t>
        </x:is>
      </x:c>
    </x:row>
    <x:row r="41">
      <x:c r="A41" t="n">
        <x:v>40</x:v>
      </x:c>
      <x:c r="B41" t="inlineStr">
        <x:is>
          <x:t xml:space="preserve">FRM0130</x:t>
        </x:is>
      </x:c>
      <x:c r="C41" t="inlineStr">
        <x:is>
          <x:t xml:space="preserve">dental_pain_support_adult</x:t>
        </x:is>
      </x:c>
      <x:c r="D41" t="inlineStr">
        <x:is>
          <x:t xml:space="preserve">Dental pain support</x:t>
        </x:is>
      </x:c>
      <x:c r="E41" t="inlineStr">
        <x:is>
          <x:t xml:space="preserve">Oral</x:t>
        </x:is>
      </x:c>
      <x:c r="F41" t="inlineStr">
        <x:is>
          <x:t xml:space="preserve">adult</x:t>
        </x:is>
      </x:c>
      <x:c r="G41" t="inlineStr">
        <x:is>
          <x:t xml:space="preserve">simple dental pain support pending dental review</x:t>
        </x:is>
      </x:c>
      <x:c r="H41" t="inlineStr">
        <x:is>
          <x:t xml:space="preserve">Tylenol 500 mg strip 10s [Paracetamol 500 mg.]</x:t>
        </x:is>
      </x:c>
      <x:c r="I41" t="inlineStr">
        <x:is>
          <x:t xml:space="preserve">Gofen 400 [Ibuprofen 400 mg.+Polyethylene 400+Porpylene Glycol]</x:t>
        </x:is>
      </x:c>
      <x:c r="L41" t="inlineStr">
        <x:is>
          <x:t xml:space="preserve">Needs in-person eval today if facial swelling, fever, trismus, dysphagia, or severe worsening pain</x:t>
        </x:is>
      </x:c>
    </x:row>
    <x:row r="42">
      <x:c r="A42" t="n">
        <x:v>41</x:v>
      </x:c>
      <x:c r="B42" t="inlineStr">
        <x:is>
          <x:t xml:space="preserve">FRM0099</x:t>
        </x:is>
      </x:c>
      <x:c r="C42" t="inlineStr">
        <x:is>
          <x:t xml:space="preserve">dental_infection_support_adult</x:t>
        </x:is>
      </x:c>
      <x:c r="D42" t="inlineStr">
        <x:is>
          <x:t xml:space="preserve">Dental / gum bacterial infection support</x:t>
        </x:is>
      </x:c>
      <x:c r="E42" t="inlineStr">
        <x:is>
          <x:t xml:space="preserve">Oral</x:t>
        </x:is>
      </x:c>
      <x:c r="F42" t="inlineStr">
        <x:is>
          <x:t xml:space="preserve">adult</x:t>
        </x:is>
      </x:c>
      <x:c r="G42" t="inlineStr">
        <x:is>
          <x:t xml:space="preserve">dental/gum bacterial infection support row pending dental follow-up</x:t>
        </x:is>
      </x:c>
      <x:c r="H42" t="inlineStr">
        <x:is>
          <x:t xml:space="preserve">AMK 1000 mg [Amoxicillin 875 mg.+Clavulanic Acid 125 mg.]</x:t>
        </x:is>
      </x:c>
      <x:c r="I42" t="inlineStr">
        <x:is>
          <x:t xml:space="preserve">Tylenol 500 mg strip 10s [Paracetamol 500 mg.]</x:t>
        </x:is>
      </x:c>
      <x:c r="L42" t="inlineStr">
        <x:is>
          <x:t xml:space="preserve">Needs in-person eval today if facial swelling, trismus, dysphagia, fever, or airway concern</x:t>
        </x:is>
      </x:c>
    </x:row>
    <x:row r="43">
      <x:c r="A43" t="n">
        <x:v>42</x:v>
      </x:c>
      <x:c r="B43" t="inlineStr">
        <x:is>
          <x:t xml:space="preserve">FRM0131</x:t>
        </x:is>
      </x:c>
      <x:c r="C43" t="inlineStr">
        <x:is>
          <x:t xml:space="preserve">gingivitis_localized_adult</x:t>
        </x:is>
      </x:c>
      <x:c r="D43" t="inlineStr">
        <x:is>
          <x:t xml:space="preserve">Localized gingivitis</x:t>
        </x:is>
      </x:c>
      <x:c r="E43" t="inlineStr">
        <x:is>
          <x:t xml:space="preserve">Oral</x:t>
        </x:is>
      </x:c>
      <x:c r="F43" t="inlineStr">
        <x:is>
          <x:t xml:space="preserve">adult</x:t>
        </x:is>
      </x:c>
      <x:c r="G43" t="inlineStr">
        <x:is>
          <x:t xml:space="preserve">localized gum inflammation / gingivitis support row</x:t>
        </x:is>
      </x:c>
      <x:c r="H43" t="inlineStr">
        <x:is>
          <x:t xml:space="preserve">Betadine Gargle [Povidone-Iodine 70 mg./1 ml.]</x:t>
        </x:is>
      </x:c>
      <x:c r="I43" t="inlineStr">
        <x:is>
          <x:t xml:space="preserve">Tylenol 500 mg strip 10s [Paracetamol 500 mg.]</x:t>
        </x:is>
      </x:c>
      <x:c r="L43" t="inlineStr">
        <x:is>
          <x:t xml:space="preserve">Needs in-person eval today if facial swelling, abscess, fever, or severe bleeding</x:t>
        </x:is>
      </x:c>
    </x:row>
    <x:row r="44">
      <x:c r="A44" t="n">
        <x:v>43</x:v>
      </x:c>
      <x:c r="B44" t="inlineStr">
        <x:is>
          <x:t xml:space="preserve">FRM0107</x:t>
        </x:is>
      </x:c>
      <x:c r="C44" t="inlineStr">
        <x:is>
          <x:t xml:space="preserve">uncomplicated_uti_adult</x:t>
        </x:is>
      </x:c>
      <x:c r="D44" t="inlineStr">
        <x:is>
          <x:t xml:space="preserve">Uncomplicated cystitis / lower UTI</x:t>
        </x:is>
      </x:c>
      <x:c r="E44" t="inlineStr">
        <x:is>
          <x:t xml:space="preserve">GU</x:t>
        </x:is>
      </x:c>
      <x:c r="F44" t="inlineStr">
        <x:is>
          <x:t xml:space="preserve">adult</x:t>
        </x:is>
      </x:c>
      <x:c r="G44" t="inlineStr">
        <x:is>
          <x:t xml:space="preserve">use only when uncomplicated lower UTI pattern is likely</x:t>
        </x:is>
      </x:c>
      <x:c r="H44" t="inlineStr">
        <x:is>
          <x:t xml:space="preserve">Noflox-400 [Norfloxacin 400 mg.]</x:t>
        </x:is>
      </x:c>
      <x:c r="L44" t="inlineStr">
        <x:is>
          <x:t xml:space="preserve">Needs in-person eval today if fever, flank pain, vomiting, pregnancy, male UTI, or recurrent/complicated symptoms</x:t>
        </x:is>
      </x:c>
    </x:row>
    <x:row r="45">
      <x:c r="A45" t="n">
        <x:v>44</x:v>
      </x:c>
      <x:c r="B45" t="inlineStr">
        <x:is>
          <x:t xml:space="preserve">FRM0116</x:t>
        </x:is>
      </x:c>
      <x:c r="C45" t="inlineStr">
        <x:is>
          <x:t xml:space="preserve">vulvovaginal_candidiasis_adult</x:t>
        </x:is>
      </x:c>
      <x:c r="D45" t="inlineStr">
        <x:is>
          <x:t xml:space="preserve">Vulvovaginal candidiasis</x:t>
        </x:is>
      </x:c>
      <x:c r="E45" t="inlineStr">
        <x:is>
          <x:t xml:space="preserve">GU</x:t>
        </x:is>
      </x:c>
      <x:c r="F45" t="inlineStr">
        <x:is>
          <x:t xml:space="preserve">adult</x:t>
        </x:is>
      </x:c>
      <x:c r="G45" t="inlineStr">
        <x:is>
          <x:t xml:space="preserve">simple yeast-infection pattern is likely and there are no pregnancy/complicated red flags</x:t>
        </x:is>
      </x:c>
      <x:c r="H45" t="inlineStr">
        <x:is>
          <x:t xml:space="preserve">Biozole 150 mg [Fluconazole 150 mg.]</x:t>
        </x:is>
      </x:c>
      <x:c r="L45" t="inlineStr">
        <x:is>
          <x:t xml:space="preserve">Needs in-person eval today if pregnancy, fever, pelvic pain, STI concern, or recurrent complicated symptoms</x:t>
        </x:is>
      </x:c>
    </x:row>
    <x:row r="46">
      <x:c r="A46" t="n">
        <x:v>45</x:v>
      </x:c>
      <x:c r="B46" t="inlineStr">
        <x:is>
          <x:t xml:space="preserve">FRM0117</x:t>
        </x:is>
      </x:c>
      <x:c r="C46" t="inlineStr">
        <x:is>
          <x:t xml:space="preserve">vaginal_mixed_infection_adult</x:t>
        </x:is>
      </x:c>
      <x:c r="D46" t="inlineStr">
        <x:is>
          <x:t xml:space="preserve">Vaginal mixed-infection support</x:t>
        </x:is>
      </x:c>
      <x:c r="E46" t="inlineStr">
        <x:is>
          <x:t xml:space="preserve">GU</x:t>
        </x:is>
      </x:c>
      <x:c r="F46" t="inlineStr">
        <x:is>
          <x:t xml:space="preserve">adult</x:t>
        </x:is>
      </x:c>
      <x:c r="G46" t="inlineStr">
        <x:is>
          <x:t xml:space="preserve">support row for local mixed vaginal discharge/infection treatment when this regimen is intentionally chosen</x:t>
        </x:is>
      </x:c>
      <x:c r="H46" t="inlineStr">
        <x:is>
          <x:t xml:space="preserve">Vagicin [Nystatin 100,000 units.+Chloramphenicol 250 mg.+Diiodohydroxyguin 100 mg.]</x:t>
        </x:is>
      </x:c>
      <x:c r="L46" t="inlineStr">
        <x:is>
          <x:t xml:space="preserve">Needs in-person eval today if pregnancy, pelvic pain, fever, severe bleeding, or STI concern</x:t>
        </x:is>
      </x:c>
    </x:row>
    <x:row r="47">
      <x:c r="A47" t="n">
        <x:v>46</x:v>
      </x:c>
      <x:c r="B47" t="inlineStr">
        <x:is>
          <x:t xml:space="preserve">FRM0086</x:t>
        </x:is>
      </x:c>
      <x:c r="C47" t="inlineStr">
        <x:is>
          <x:t xml:space="preserve">allergic_rhinitis_peds</x:t>
        </x:is>
      </x:c>
      <x:c r="D47" t="inlineStr">
        <x:is>
          <x:t xml:space="preserve">Pediatric allergic rhinitis</x:t>
        </x:is>
      </x:c>
      <x:c r="E47" t="inlineStr">
        <x:is>
          <x:t xml:space="preserve">ENT</x:t>
        </x:is>
      </x:c>
      <x:c r="F47" t="inlineStr">
        <x:is>
          <x:t xml:space="preserve">peds</x:t>
        </x:is>
      </x:c>
      <x:c r="G47" t="inlineStr">
        <x:is>
          <x:t xml:space="preserve">child allergic rhinitis support row; verify age for syrup use</x:t>
        </x:is>
      </x:c>
      <x:c r="H47" t="inlineStr">
        <x:is>
          <x:t xml:space="preserve">Zyrtec Syrup [Cetirizine 2HCI 1 mg./1 ml.]</x:t>
        </x:is>
      </x:c>
      <x:c r="I47" t="inlineStr">
        <x:is>
          <x:t xml:space="preserve">Klean &amp; Kare Saline เล็ก [Sodium Chloride 0.9 g./100 ml.]</x:t>
        </x:is>
      </x:c>
      <x:c r="L47" t="inlineStr">
        <x:is>
          <x:t xml:space="preserve">Needs in-person eval today if dyspnea, facial swelling, severe sinus pain, or persistent high fever</x:t>
        </x:is>
      </x:c>
    </x:row>
    <x:row r="48">
      <x:c r="A48" t="n">
        <x:v>47</x:v>
      </x:c>
      <x:c r="B48" t="inlineStr">
        <x:is>
          <x:t xml:space="preserve">FRM0008</x:t>
        </x:is>
      </x:c>
      <x:c r="C48" t="inlineStr">
        <x:is>
          <x:t xml:space="preserve">acute_watery_diarrhea_peds</x:t>
        </x:is>
      </x:c>
      <x:c r="D48" t="inlineStr">
        <x:is>
          <x:t xml:space="preserve">Acute watery diarrhea (pediatric starter row)</x:t>
        </x:is>
      </x:c>
      <x:c r="E48" t="inlineStr">
        <x:is>
          <x:t xml:space="preserve">GI</x:t>
        </x:is>
      </x:c>
      <x:c r="F48" t="inlineStr">
        <x:is>
          <x:t xml:space="preserve">peds</x:t>
        </x:is>
      </x:c>
      <x:c r="G48" t="inlineStr">
        <x:is>
          <x:t xml:space="preserve">starter row uses supportive care and peds sheet</x:t>
        </x:is>
      </x:c>
      <x:c r="H48" t="inlineStr">
        <x:is>
          <x:t xml:space="preserve">Cera ORS รสส้ม [Glucose Anhydrous 3 g.+Sodium Chloride 0.53 g.+Potassium Chloride 0.23 g.+Sodium Citrate Dihydrate 0.44 g.]</x:t>
        </x:is>
      </x:c>
      <x:c r="L48" t="inlineStr">
        <x:is>
          <x:t xml:space="preserve">Needs in-person eval today if lethargy, dehydration, bloody stool, persistent vomiting, or unable to drink</x:t>
        </x:is>
      </x:c>
    </x:row>
    <x:row r="49">
      <x:c r="A49" t="n">
        <x:v>48</x:v>
      </x:c>
      <x:c r="B49" t="inlineStr">
        <x:is>
          <x:t xml:space="preserve">FRM0087</x:t>
        </x:is>
      </x:c>
      <x:c r="C49" t="inlineStr">
        <x:is>
          <x:t xml:space="preserve">uri_wet_cough_peds</x:t>
        </x:is>
      </x:c>
      <x:c r="D49" t="inlineStr">
        <x:is>
          <x:t xml:space="preserve">Pediatric URI with wet cough</x:t>
        </x:is>
      </x:c>
      <x:c r="E49" t="inlineStr">
        <x:is>
          <x:t xml:space="preserve">ENT</x:t>
        </x:is>
      </x:c>
      <x:c r="F49" t="inlineStr">
        <x:is>
          <x:t xml:space="preserve">peds</x:t>
        </x:is>
      </x:c>
      <x:c r="G49" t="inlineStr">
        <x:is>
          <x:t xml:space="preserve">child URI with wet cough support row; verify syrup age suitability</x:t>
        </x:is>
      </x:c>
      <x:c r="H49" t="inlineStr">
        <x:is>
          <x:t xml:space="preserve">Mucolid Junior บลูเบอร์รี่ [Ambroxol HCl 15 mg./5 ml.]</x:t>
        </x:is>
      </x:c>
      <x:c r="I49" t="inlineStr">
        <x:is>
          <x:t xml:space="preserve">Tylenol Suspension [Paracetamol 160 mg./5 ml.]</x:t>
        </x:is>
      </x:c>
      <x:c r="K49" t="inlineStr">
        <x:is>
          <x:t xml:space="preserve">Bisolvon EX Syrup เล็ก [Bromhexine HCl 4 mg.+K guaiacolsulphonate 100 mg./5 ml.]</x:t>
        </x:is>
      </x:c>
      <x:c r="L49" t="inlineStr">
        <x:is>
          <x:t xml:space="preserve">Avoid routine antibiotics; Needs in-person eval today if dyspnea, chest indrawing, or persistent high fever</x:t>
        </x:is>
      </x:c>
    </x:row>
    <x:row r="50">
      <x:c r="A50" t="n">
        <x:v>49</x:v>
      </x:c>
      <x:c r="B50" t="inlineStr">
        <x:is>
          <x:t xml:space="preserve">FRM0093</x:t>
        </x:is>
      </x:c>
      <x:c r="C50" t="inlineStr">
        <x:is>
          <x:t xml:space="preserve">bacterial_conjunctivitis_peds</x:t>
        </x:is>
      </x:c>
      <x:c r="D50" t="inlineStr">
        <x:is>
          <x:t xml:space="preserve">Pediatric bacterial conjunctivitis</x:t>
        </x:is>
      </x:c>
      <x:c r="E50" t="inlineStr">
        <x:is>
          <x:t xml:space="preserve">Eye</x:t>
        </x:is>
      </x:c>
      <x:c r="F50" t="inlineStr">
        <x:is>
          <x:t xml:space="preserve">peds</x:t>
        </x:is>
      </x:c>
      <x:c r="G50" t="inlineStr">
        <x:is>
          <x:t xml:space="preserve">child bacterial conjunctivitis is likely; topical eye antibiotic row</x:t>
        </x:is>
      </x:c>
      <x:c r="H50" t="inlineStr">
        <x:is>
          <x:t xml:space="preserve">ChlorOph Eye Drops [Chloramphenicol 5 mg./1 ml.]</x:t>
        </x:is>
      </x:c>
      <x:c r="K50" t="inlineStr">
        <x:is>
          <x:t xml:space="preserve">Fucithalmic Eye Drops [Fusidic acid 10 mg.+Preservative (Benzalkonium chloride 0.1%)/ 1 g.]</x:t>
        </x:is>
      </x:c>
      <x:c r="L50" t="inlineStr">
        <x:is>
          <x:t xml:space="preserve">Needs in-person eval today if severe pain, photophobia, trauma, or reduced vision</x:t>
        </x:is>
      </x:c>
    </x:row>
    <x:row r="51">
      <x:c r="A51" t="n">
        <x:v>50</x:v>
      </x:c>
      <x:c r="B51" t="inlineStr">
        <x:is>
          <x:t xml:space="preserve">FRM0097</x:t>
        </x:is>
      </x:c>
      <x:c r="C51" t="inlineStr">
        <x:is>
          <x:t xml:space="preserve">bacterial_pharyngitis_peds</x:t>
        </x:is>
      </x:c>
      <x:c r="D51" t="inlineStr">
        <x:is>
          <x:t xml:space="preserve">Pediatric bacterial pharyngitis / tonsillitis</x:t>
        </x:is>
      </x:c>
      <x:c r="E51" t="inlineStr">
        <x:is>
          <x:t xml:space="preserve">ENT</x:t>
        </x:is>
      </x:c>
      <x:c r="F51" t="inlineStr">
        <x:is>
          <x:t xml:space="preserve">peds</x:t>
        </x:is>
      </x:c>
      <x:c r="G51" t="inlineStr">
        <x:is>
          <x:t xml:space="preserve">use only when pediatric bacterial pharyngitis/tonsillitis pattern is likely</x:t>
        </x:is>
      </x:c>
      <x:c r="H51" t="inlineStr">
        <x:is>
          <x:t xml:space="preserve">AMK 228 [Amoxicillin 200 mg.+Clavulanic Acid 28 mg./5 ml.]</x:t>
        </x:is>
      </x:c>
      <x:c r="I51" t="inlineStr">
        <x:is>
          <x:t xml:space="preserve">Tylenol Suspension [Paracetamol 160 mg./5 ml.]</x:t>
        </x:is>
      </x:c>
      <x:c r="L51" t="inlineStr">
        <x:is>
          <x:t xml:space="preserve">Needs in-person eval today if drooling, muffled voice, severe neck swelling, or inability to drink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8" customWidth="1"/>
    <x:col min="3" max="3" width="38" customWidth="1"/>
    <x:col min="4" max="4" width="12" customWidth="1"/>
    <x:col min="5" max="5" width="13" customWidth="1"/>
    <x:col min="6" max="6" width="38" customWidth="1"/>
    <x:col min="7" max="7" width="38" customWidth="1"/>
    <x:col min="8" max="8" width="38" customWidth="1"/>
    <x:col min="9" max="9" width="38" customWidth="1"/>
    <x:col min="10" max="10" width="38" customWidth="1"/>
    <x:col min="11" max="11" width="38" customWidth="1"/>
  </x:cols>
  <x:sheetData>
    <x:row r="1">
      <x:c r="A1" s="3" t="inlineStr">
        <x:is>
          <x:t xml:space="preserve">Regimen_ID</x:t>
        </x:is>
      </x:c>
      <x:c r="B1" s="3" t="inlineStr">
        <x:is>
          <x:t xml:space="preserve">Disease_Key</x:t>
        </x:is>
      </x:c>
      <x:c r="C1" s="3" t="inlineStr">
        <x:is>
          <x:t xml:space="preserve">Disease_Name</x:t>
        </x:is>
      </x:c>
      <x:c r="D1" s="3" t="inlineStr">
        <x:is>
          <x:t xml:space="preserve">Age_Group</x:t>
        </x:is>
      </x:c>
      <x:c r="E1" s="3" t="inlineStr">
        <x:is>
          <x:t xml:space="preserve">Default_Row</x:t>
        </x:is>
      </x:c>
      <x:c r="F1" s="3" t="inlineStr">
        <x:is>
          <x:t xml:space="preserve">Use_When</x:t>
        </x:is>
      </x:c>
      <x:c r="G1" s="3" t="inlineStr">
        <x:is>
          <x:t xml:space="preserve">RX1</x:t>
        </x:is>
      </x:c>
      <x:c r="H1" s="3" t="inlineStr">
        <x:is>
          <x:t xml:space="preserve">RX2</x:t>
        </x:is>
      </x:c>
      <x:c r="I1" s="3" t="inlineStr">
        <x:is>
          <x:t xml:space="preserve">RX3</x:t>
        </x:is>
      </x:c>
      <x:c r="J1" s="3" t="inlineStr">
        <x:is>
          <x:t xml:space="preserve">SWAP1</x:t>
        </x:is>
      </x:c>
      <x:c r="K1" s="3" t="inlineStr">
        <x:is>
          <x:t xml:space="preserve">Red_Flags_One_Line</x:t>
        </x:is>
      </x:c>
    </x:row>
    <x:row r="2">
      <x:c r="A2" t="inlineStr">
        <x:is>
          <x:t xml:space="preserve">FRM0033</x:t>
        </x:is>
      </x:c>
      <x:c r="B2" t="inlineStr">
        <x:is>
          <x:t xml:space="preserve">bacterial_sinusitis_adult</x:t>
        </x:is>
      </x:c>
      <x:c r="C2" t="inlineStr">
        <x:is>
          <x:t xml:space="preserve">Acute bacterial sinusitis</x:t>
        </x:is>
      </x:c>
      <x:c r="D2" t="inlineStr">
        <x:is>
          <x:t xml:space="preserve">adult</x:t>
        </x:is>
      </x:c>
      <x:c r="E2" t="inlineStr">
        <x:is>
          <x:t xml:space="preserve">Y</x:t>
        </x:is>
      </x:c>
      <x:c r="F2" t="inlineStr">
        <x:is>
          <x:t xml:space="preserve">use only when bacterial sinusitis is likely</x:t>
        </x:is>
      </x:c>
      <x:c r="G2" t="inlineStr">
        <x:is>
          <x:t xml:space="preserve">AMK 1000 mg [Amoxicillin 875 mg.+Clavulanic Acid 125 mg.]</x:t>
        </x:is>
      </x:c>
      <x:c r="H2" t="inlineStr">
        <x:is>
          <x:t xml:space="preserve">Tylenol 500 mg strip 10s [Paracetamol 500 mg.]</x:t>
        </x:is>
      </x:c>
      <x:c r="I2" t="inlineStr">
        <x:is>
          <x:t xml:space="preserve">Klean &amp; Kare Saline เล็ก [Sodium Chloride 0.9 g./100 ml.]</x:t>
        </x:is>
      </x:c>
      <x:c r="J2" t="inlineStr">
        <x:is>
          <x:t xml:space="preserve">Iliadin Spray [Oxymetazoline Hydrochloride 0.05% (0.5 mg./1 ml.)]</x:t>
        </x:is>
      </x:c>
      <x:c r="K2" t="inlineStr">
        <x:is>
          <x:t xml:space="preserve">Needs in-person eval today if orbital symptoms, severe facial swelling, or high persistent fever</x:t>
        </x:is>
      </x:c>
    </x:row>
    <x:row r="3">
      <x:c r="A3" t="inlineStr">
        <x:is>
          <x:t xml:space="preserve">FRM0034</x:t>
        </x:is>
      </x:c>
      <x:c r="B3" t="inlineStr">
        <x:is>
          <x:t xml:space="preserve">bacterial_pharyngitis_adult</x:t>
        </x:is>
      </x:c>
      <x:c r="C3" t="inlineStr">
        <x:is>
          <x:t xml:space="preserve">Bacterial pharyngitis / tonsillitis</x:t>
        </x:is>
      </x:c>
      <x:c r="D3" t="inlineStr">
        <x:is>
          <x:t xml:space="preserve">adult</x:t>
        </x:is>
      </x:c>
      <x:c r="E3" t="inlineStr">
        <x:is>
          <x:t xml:space="preserve">Y</x:t>
        </x:is>
      </x:c>
      <x:c r="F3" t="inlineStr">
        <x:is>
          <x:t xml:space="preserve">use only when bacterial pharyngitis/tonsillitis is likely</x:t>
        </x:is>
      </x:c>
      <x:c r="G3" t="inlineStr">
        <x:is>
          <x:t xml:space="preserve">Ibiamox 500 mg [Amoxicillin 500 mg.]</x:t>
        </x:is>
      </x:c>
      <x:c r="H3" t="inlineStr">
        <x:is>
          <x:t xml:space="preserve">Tylenol 500 mg strip 10s [Paracetamol 500 mg.]</x:t>
        </x:is>
      </x:c>
      <x:c r="I3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J3" t="inlineStr">
        <x:is>
          <x:t xml:space="preserve">Difflam Forte Spray [Benzydamine Hydrochloride 3 mg.+Ethanol+Saccharin Sodium+Methyl Hydroxybenzoate+Glycerol+PEG-40 Hydrogenated castor oil/ml.]</x:t>
        </x:is>
      </x:c>
      <x:c r="K3" t="inlineStr">
        <x:is>
          <x:t xml:space="preserve">Needs in-person eval today if drooling, muffled voice, dyspnea, or severe unilateral swelling</x:t>
        </x:is>
      </x:c>
    </x:row>
    <x:row r="4">
      <x:c r="A4" t="inlineStr">
        <x:is>
          <x:t xml:space="preserve">FRM0092</x:t>
        </x:is>
      </x:c>
      <x:c r="B4" t="inlineStr">
        <x:is>
          <x:t xml:space="preserve">bacterial_conjunctivitis_adult</x:t>
        </x:is>
      </x:c>
      <x:c r="C4" t="inlineStr">
        <x:is>
          <x:t xml:space="preserve">Acute bacterial conjunctivitis</x:t>
        </x:is>
      </x:c>
      <x:c r="D4" t="inlineStr">
        <x:is>
          <x:t xml:space="preserve">adult</x:t>
        </x:is>
      </x:c>
      <x:c r="E4" t="inlineStr">
        <x:is>
          <x:t xml:space="preserve">Y</x:t>
        </x:is>
      </x:c>
      <x:c r="F4" t="inlineStr">
        <x:is>
          <x:t xml:space="preserve">bacterial conjunctivitis is likely; use topical eye antibiotic only when bacterial features are present</x:t>
        </x:is>
      </x:c>
      <x:c r="G4" t="inlineStr">
        <x:is>
          <x:t xml:space="preserve">ChlorOph Eye Drops [Chloramphenicol 5 mg./1 ml.]</x:t>
        </x:is>
      </x:c>
      <x:c r="J4" t="inlineStr">
        <x:is>
          <x:t xml:space="preserve">Fucithalmic Eye Drops [Fusidic acid 10 mg.+Preservative (Benzalkonium chloride 0.1%)/ 1 g.]</x:t>
        </x:is>
      </x:c>
      <x:c r="K4" t="inlineStr">
        <x:is>
          <x:t xml:space="preserve">Needs in-person eval today if severe pain, photophobia, contact lens keratitis concern, or reduced vision</x:t>
        </x:is>
      </x:c>
    </x:row>
    <x:row r="5">
      <x:c r="A5" t="inlineStr">
        <x:is>
          <x:t xml:space="preserve">FRM0093</x:t>
        </x:is>
      </x:c>
      <x:c r="B5" t="inlineStr">
        <x:is>
          <x:t xml:space="preserve">bacterial_conjunctivitis_peds</x:t>
        </x:is>
      </x:c>
      <x:c r="C5" t="inlineStr">
        <x:is>
          <x:t xml:space="preserve">Pediatric bacterial conjunctivitis</x:t>
        </x:is>
      </x:c>
      <x:c r="D5" t="inlineStr">
        <x:is>
          <x:t xml:space="preserve">peds</x:t>
        </x:is>
      </x:c>
      <x:c r="E5" t="inlineStr">
        <x:is>
          <x:t xml:space="preserve">Y</x:t>
        </x:is>
      </x:c>
      <x:c r="F5" t="inlineStr">
        <x:is>
          <x:t xml:space="preserve">child bacterial conjunctivitis is likely; topical eye antibiotic row</x:t>
        </x:is>
      </x:c>
      <x:c r="G5" t="inlineStr">
        <x:is>
          <x:t xml:space="preserve">ChlorOph Eye Drops [Chloramphenicol 5 mg./1 ml.]</x:t>
        </x:is>
      </x:c>
      <x:c r="J5" t="inlineStr">
        <x:is>
          <x:t xml:space="preserve">Fucithalmic Eye Drops [Fusidic acid 10 mg.+Preservative (Benzalkonium chloride 0.1%)/ 1 g.]</x:t>
        </x:is>
      </x:c>
      <x:c r="K5" t="inlineStr">
        <x:is>
          <x:t xml:space="preserve">Needs in-person eval today if severe pain, photophobia, trauma, or reduced vision</x:t>
        </x:is>
      </x:c>
    </x:row>
    <x:row r="6">
      <x:c r="A6" t="inlineStr">
        <x:is>
          <x:t xml:space="preserve">FRM0094</x:t>
        </x:is>
      </x:c>
      <x:c r="B6" t="inlineStr">
        <x:is>
          <x:t xml:space="preserve">bacterial_eyelid_infection_adult</x:t>
        </x:is>
      </x:c>
      <x:c r="C6" t="inlineStr">
        <x:is>
          <x:t xml:space="preserve">Bacterial eyelid infection / stye support</x:t>
        </x:is>
      </x:c>
      <x:c r="D6" t="inlineStr">
        <x:is>
          <x:t xml:space="preserve">adult</x:t>
        </x:is>
      </x:c>
      <x:c r="E6" t="inlineStr">
        <x:is>
          <x:t xml:space="preserve">Y</x:t>
        </x:is>
      </x:c>
      <x:c r="F6" t="inlineStr">
        <x:is>
          <x:t xml:space="preserve">small bacterial eyelid lesion/stye support row</x:t>
        </x:is>
      </x:c>
      <x:c r="G6" t="inlineStr">
        <x:is>
          <x:t xml:space="preserve">Terramycin Ophthalmic Ointment [Oxytetracycline HCl 5 mg.+Polymyxin B Sulfate 10,000 units/1 g.]</x:t>
        </x:is>
      </x:c>
      <x:c r="J6" t="inlineStr">
        <x:is>
          <x:t xml:space="preserve">Fucithalmic Eye Drops [Fusidic acid 10 mg.+Preservative (Benzalkonium chloride 0.1%)/ 1 g.]</x:t>
        </x:is>
      </x:c>
      <x:c r="K6" t="inlineStr">
        <x:is>
          <x:t xml:space="preserve">Needs in-person eval today if diffuse eyelid swelling, fever, pain with eye movement, or reduced vision</x:t>
        </x:is>
      </x:c>
    </x:row>
    <x:row r="7">
      <x:c r="A7" t="inlineStr">
        <x:is>
          <x:t xml:space="preserve">FRM0095</x:t>
        </x:is>
      </x:c>
      <x:c r="B7" t="inlineStr">
        <x:is>
          <x:t xml:space="preserve">bacterial_eyelid_infection_peds</x:t>
        </x:is>
      </x:c>
      <x:c r="C7" t="inlineStr">
        <x:is>
          <x:t xml:space="preserve">Pediatric bacterial eyelid infection / stye support</x:t>
        </x:is>
      </x:c>
      <x:c r="D7" t="inlineStr">
        <x:is>
          <x:t xml:space="preserve">peds</x:t>
        </x:is>
      </x:c>
      <x:c r="E7" t="inlineStr">
        <x:is>
          <x:t xml:space="preserve">Y</x:t>
        </x:is>
      </x:c>
      <x:c r="F7" t="inlineStr">
        <x:is>
          <x:t xml:space="preserve">child stye/eyelid infection support row</x:t>
        </x:is>
      </x:c>
      <x:c r="G7" t="inlineStr">
        <x:is>
          <x:t xml:space="preserve">Terramycin Ophthalmic Ointment [Oxytetracycline HCl 5 mg.+Polymyxin B Sulfate 10,000 units/1 g.]</x:t>
        </x:is>
      </x:c>
      <x:c r="J7" t="inlineStr">
        <x:is>
          <x:t xml:space="preserve">Fucithalmic Eye Drops [Fusidic acid 10 mg.+Preservative (Benzalkonium chloride 0.1%)/ 1 g.]</x:t>
        </x:is>
      </x:c>
      <x:c r="K7" t="inlineStr">
        <x:is>
          <x:t xml:space="preserve">Needs in-person eval today if diffuse swelling, fever, pain with eye movement, or reduced vision</x:t>
        </x:is>
      </x:c>
    </x:row>
    <x:row r="8">
      <x:c r="A8" t="inlineStr">
        <x:is>
          <x:t xml:space="preserve">FRM0096</x:t>
        </x:is>
      </x:c>
      <x:c r="B8" t="inlineStr">
        <x:is>
          <x:t xml:space="preserve">bacterial_sinusitis_peds</x:t>
        </x:is>
      </x:c>
      <x:c r="C8" t="inlineStr">
        <x:is>
          <x:t xml:space="preserve">Pediatric bacterial sinusitis</x:t>
        </x:is>
      </x:c>
      <x:c r="D8" t="inlineStr">
        <x:is>
          <x:t xml:space="preserve">peds</x:t>
        </x:is>
      </x:c>
      <x:c r="E8" t="inlineStr">
        <x:is>
          <x:t xml:space="preserve">Y</x:t>
        </x:is>
      </x:c>
      <x:c r="F8" t="inlineStr">
        <x:is>
          <x:t xml:space="preserve">use only when pediatric bacterial sinusitis pattern is likely</x:t>
        </x:is>
      </x:c>
      <x:c r="G8" t="inlineStr">
        <x:is>
          <x:t xml:space="preserve">AMK 457 [Amoxicillin 400 mg.+Clavulanic Acid 57 mg./5 ml.]</x:t>
        </x:is>
      </x:c>
      <x:c r="H8" t="inlineStr">
        <x:is>
          <x:t xml:space="preserve">Klean &amp; Kare Saline เล็ก [Sodium Chloride 0.9 g./100 ml.]</x:t>
        </x:is>
      </x:c>
      <x:c r="J8" t="inlineStr">
        <x:is>
          <x:t xml:space="preserve">Iliadin Spray [Oxymetazoline Hydrochloride 0.05% (0.5 mg./1 ml.)]</x:t>
        </x:is>
      </x:c>
      <x:c r="K8" t="inlineStr">
        <x:is>
          <x:t xml:space="preserve">Needs in-person eval today if orbital symptoms, severe swelling, toxic appearance, or persistent high fever</x:t>
        </x:is>
      </x:c>
    </x:row>
    <x:row r="9">
      <x:c r="A9" t="inlineStr">
        <x:is>
          <x:t xml:space="preserve">FRM0097</x:t>
        </x:is>
      </x:c>
      <x:c r="B9" t="inlineStr">
        <x:is>
          <x:t xml:space="preserve">bacterial_pharyngitis_peds</x:t>
        </x:is>
      </x:c>
      <x:c r="C9" t="inlineStr">
        <x:is>
          <x:t xml:space="preserve">Pediatric bacterial pharyngitis / tonsillitis</x:t>
        </x:is>
      </x:c>
      <x:c r="D9" t="inlineStr">
        <x:is>
          <x:t xml:space="preserve">peds</x:t>
        </x:is>
      </x:c>
      <x:c r="E9" t="inlineStr">
        <x:is>
          <x:t xml:space="preserve">Y</x:t>
        </x:is>
      </x:c>
      <x:c r="F9" t="inlineStr">
        <x:is>
          <x:t xml:space="preserve">use only when pediatric bacterial pharyngitis/tonsillitis pattern is likely</x:t>
        </x:is>
      </x:c>
      <x:c r="G9" t="inlineStr">
        <x:is>
          <x:t xml:space="preserve">AMK 228 [Amoxicillin 200 mg.+Clavulanic Acid 28 mg./5 ml.]</x:t>
        </x:is>
      </x:c>
      <x:c r="H9" t="inlineStr">
        <x:is>
          <x:t xml:space="preserve">Tylenol Suspension [Paracetamol 160 mg./5 ml.]</x:t>
        </x:is>
      </x:c>
      <x:c r="K9" t="inlineStr">
        <x:is>
          <x:t xml:space="preserve">Needs in-person eval today if drooling, muffled voice, severe neck swelling, or inability to drink</x:t>
        </x:is>
      </x:c>
    </x:row>
    <x:row r="10">
      <x:c r="A10" t="inlineStr">
        <x:is>
          <x:t xml:space="preserve">FRM0098</x:t>
        </x:is>
      </x:c>
      <x:c r="B10" t="inlineStr">
        <x:is>
          <x:t xml:space="preserve">macrolide_respiratory_bacterial_adult</x:t>
        </x:is>
      </x:c>
      <x:c r="C10" t="inlineStr">
        <x:is>
          <x:t xml:space="preserve">Respiratory bacterial row (macrolide-style alternative)</x:t>
        </x:is>
      </x:c>
      <x:c r="D10" t="inlineStr">
        <x:is>
          <x:t xml:space="preserve">adult</x:t>
        </x:is>
      </x:c>
      <x:c r="E10" t="inlineStr">
        <x:is>
          <x:t xml:space="preserve">N</x:t>
        </x:is>
      </x:c>
      <x:c r="F10" t="inlineStr">
        <x:is>
          <x:t xml:space="preserve">support/alternative row when bacterial upper respiratory pattern is present and this antibiotic is specifically chosen</x:t>
        </x:is>
      </x:c>
      <x:c r="G10" t="inlineStr">
        <x:is>
          <x:t xml:space="preserve">B.Roxi [Roxithromycin 150 mg.]</x:t>
        </x:is>
      </x:c>
      <x:c r="H10" t="inlineStr">
        <x:is>
          <x:t xml:space="preserve">Tylenol 500 mg strip 10s [Paracetamol 500 mg.]</x:t>
        </x:is>
      </x:c>
      <x:c r="K10" t="inlineStr">
        <x:is>
          <x:t xml:space="preserve">Needs in-person eval today if severe toxicity, dyspnea, or not improving with appropriate review</x:t>
        </x:is>
      </x:c>
    </x:row>
    <x:row r="11">
      <x:c r="A11" t="inlineStr">
        <x:is>
          <x:t xml:space="preserve">FRM0099</x:t>
        </x:is>
      </x:c>
      <x:c r="B11" t="inlineStr">
        <x:is>
          <x:t xml:space="preserve">dental_infection_support_adult</x:t>
        </x:is>
      </x:c>
      <x:c r="C11" t="inlineStr">
        <x:is>
          <x:t xml:space="preserve">Dental / gum bacterial infection support</x:t>
        </x:is>
      </x:c>
      <x:c r="D11" t="inlineStr">
        <x:is>
          <x:t xml:space="preserve">adult</x:t>
        </x:is>
      </x:c>
      <x:c r="E11" t="inlineStr">
        <x:is>
          <x:t xml:space="preserve">Y</x:t>
        </x:is>
      </x:c>
      <x:c r="F11" t="inlineStr">
        <x:is>
          <x:t xml:space="preserve">dental/gum bacterial infection support row pending dental follow-up</x:t>
        </x:is>
      </x:c>
      <x:c r="G11" t="inlineStr">
        <x:is>
          <x:t xml:space="preserve">AMK 1000 mg [Amoxicillin 875 mg.+Clavulanic Acid 125 mg.]</x:t>
        </x:is>
      </x:c>
      <x:c r="H11" t="inlineStr">
        <x:is>
          <x:t xml:space="preserve">Tylenol 500 mg strip 10s [Paracetamol 500 mg.]</x:t>
        </x:is>
      </x:c>
      <x:c r="K11" t="inlineStr">
        <x:is>
          <x:t xml:space="preserve">Needs in-person eval today if facial swelling, trismus, dysphagia, fever, or airway concern</x:t>
        </x:is>
      </x:c>
    </x:row>
    <x:row r="12">
      <x:c r="A12" t="inlineStr">
        <x:is>
          <x:t xml:space="preserve">FRM0100</x:t>
        </x:is>
      </x:c>
      <x:c r="B12" t="inlineStr">
        <x:is>
          <x:t xml:space="preserve">infected_insect_bite_adult</x:t>
        </x:is>
      </x:c>
      <x:c r="C12" t="inlineStr">
        <x:is>
          <x:t xml:space="preserve">Infected insect bite</x:t>
        </x:is>
      </x:c>
      <x:c r="D12" t="inlineStr">
        <x:is>
          <x:t xml:space="preserve">adult</x:t>
        </x:is>
      </x:c>
      <x:c r="E12" t="inlineStr">
        <x:is>
          <x:t xml:space="preserve">Y</x:t>
        </x:is>
      </x:c>
      <x:c r="F12" t="inlineStr">
        <x:is>
          <x:t xml:space="preserve">infected insect bite is likely, not just simple itch/swelling</x:t>
        </x:is>
      </x:c>
      <x:c r="G12" t="inlineStr">
        <x:is>
          <x:t xml:space="preserve">Ibiamox 500 mg [Amoxicillin 500 mg.]</x:t>
        </x:is>
      </x:c>
      <x:c r="H12" t="inlineStr">
        <x:is>
          <x:t xml:space="preserve">Fucidin Cream [Fusidic acid 20 mg./1 g.]</x:t>
        </x:is>
      </x:c>
      <x:c r="K12" t="inlineStr">
        <x:is>
          <x:t xml:space="preserve">Needs in-person eval today if spreading cellulitis, abscess, fever, or facial involvement</x:t>
        </x:is>
      </x:c>
    </x:row>
    <x:row r="13">
      <x:c r="A13" t="inlineStr">
        <x:is>
          <x:t xml:space="preserve">FRM0101</x:t>
        </x:is>
      </x:c>
      <x:c r="B13" t="inlineStr">
        <x:is>
          <x:t xml:space="preserve">infected_insect_bite_peds</x:t>
        </x:is>
      </x:c>
      <x:c r="C13" t="inlineStr">
        <x:is>
          <x:t xml:space="preserve">Pediatric infected insect bite</x:t>
        </x:is>
      </x:c>
      <x:c r="D13" t="inlineStr">
        <x:is>
          <x:t xml:space="preserve">peds</x:t>
        </x:is>
      </x:c>
      <x:c r="E13" t="inlineStr">
        <x:is>
          <x:t xml:space="preserve">Y</x:t>
        </x:is>
      </x:c>
      <x:c r="F13" t="inlineStr">
        <x:is>
          <x:t xml:space="preserve">child infected insect bite where bacterial pattern is likely</x:t>
        </x:is>
      </x:c>
      <x:c r="G13" t="inlineStr">
        <x:is>
          <x:t xml:space="preserve">AMK 228 [Amoxicillin 200 mg.+Clavulanic Acid 28 mg./5 ml.]</x:t>
        </x:is>
      </x:c>
      <x:c r="H13" t="inlineStr">
        <x:is>
          <x:t xml:space="preserve">Fucidin Cream [Fusidic acid 20 mg./1 g.]</x:t>
        </x:is>
      </x:c>
      <x:c r="K13" t="inlineStr">
        <x:is>
          <x:t xml:space="preserve">Needs in-person eval today if facial involvement, spreading cellulitis, abscess, or fever</x:t>
        </x:is>
      </x:c>
    </x:row>
    <x:row r="14">
      <x:c r="A14" t="inlineStr">
        <x:is>
          <x:t xml:space="preserve">FRM0102</x:t>
        </x:is>
      </x:c>
      <x:c r="B14" t="inlineStr">
        <x:is>
          <x:t xml:space="preserve">cellulitis_mild_adult</x:t>
        </x:is>
      </x:c>
      <x:c r="C14" t="inlineStr">
        <x:is>
          <x:t xml:space="preserve">Mild cellulitis</x:t>
        </x:is>
      </x:c>
      <x:c r="D14" t="inlineStr">
        <x:is>
          <x:t xml:space="preserve">adult</x:t>
        </x:is>
      </x:c>
      <x:c r="E14" t="inlineStr">
        <x:is>
          <x:t xml:space="preserve">Y</x:t>
        </x:is>
      </x:c>
      <x:c r="F14" t="inlineStr">
        <x:is>
          <x:t xml:space="preserve">mild localized cellulitis when oral antibiotic row is appropriate</x:t>
        </x:is>
      </x:c>
      <x:c r="G14" t="inlineStr">
        <x:is>
          <x:t xml:space="preserve">AMK 1000 mg [Amoxicillin 875 mg.+Clavulanic Acid 125 mg.]</x:t>
        </x:is>
      </x:c>
      <x:c r="H14" t="inlineStr">
        <x:is>
          <x:t xml:space="preserve">Tylenol 500 mg strip 10s [Paracetamol 500 mg.]</x:t>
        </x:is>
      </x:c>
      <x:c r="K14" t="inlineStr">
        <x:is>
          <x:t xml:space="preserve">Needs in-person eval today if rapid spread, abscess, fever, facial involvement, or systemic toxicity</x:t>
        </x:is>
      </x:c>
    </x:row>
    <x:row r="15">
      <x:c r="A15" t="inlineStr">
        <x:is>
          <x:t xml:space="preserve">FRM0103</x:t>
        </x:is>
      </x:c>
      <x:c r="B15" t="inlineStr">
        <x:is>
          <x:t xml:space="preserve">impetigo_oral_antibiotic_adult</x:t>
        </x:is>
      </x:c>
      <x:c r="C15" t="inlineStr">
        <x:is>
          <x:t xml:space="preserve">Impetigo needing oral antibiotic</x:t>
        </x:is>
      </x:c>
      <x:c r="D15" t="inlineStr">
        <x:is>
          <x:t xml:space="preserve">adult</x:t>
        </x:is>
      </x:c>
      <x:c r="E15" t="inlineStr">
        <x:is>
          <x:t xml:space="preserve">N</x:t>
        </x:is>
      </x:c>
      <x:c r="F15" t="inlineStr">
        <x:is>
          <x:t xml:space="preserve">impetigo is more extensive or oral antibiotic support is chosen</x:t>
        </x:is>
      </x:c>
      <x:c r="G15" t="inlineStr">
        <x:is>
          <x:t xml:space="preserve">Ibiamox 500 mg [Amoxicillin 500 mg.]</x:t>
        </x:is>
      </x:c>
      <x:c r="H15" t="inlineStr">
        <x:is>
          <x:t xml:space="preserve">Fucidin Cream [Fusidic acid 20 mg./1 g.]</x:t>
        </x:is>
      </x:c>
      <x:c r="K15" t="inlineStr">
        <x:is>
          <x:t xml:space="preserve">Needs in-person eval today if rapid spread, fever, facial involvement, or no improvement</x:t>
        </x:is>
      </x:c>
    </x:row>
    <x:row r="16">
      <x:c r="A16" t="inlineStr">
        <x:is>
          <x:t xml:space="preserve">FRM0104</x:t>
        </x:is>
      </x:c>
      <x:c r="B16" t="inlineStr">
        <x:is>
          <x:t xml:space="preserve">localized_folliculitis_adult</x:t>
        </x:is>
      </x:c>
      <x:c r="C16" t="inlineStr">
        <x:is>
          <x:t xml:space="preserve">Localized folliculitis</x:t>
        </x:is>
      </x:c>
      <x:c r="D16" t="inlineStr">
        <x:is>
          <x:t xml:space="preserve">adult</x:t>
        </x:is>
      </x:c>
      <x:c r="E16" t="inlineStr">
        <x:is>
          <x:t xml:space="preserve">Y</x:t>
        </x:is>
      </x:c>
      <x:c r="F16" t="inlineStr">
        <x:is>
          <x:t xml:space="preserve">localized folliculitis outpatient topical-first row</x:t>
        </x:is>
      </x:c>
      <x:c r="G16" t="inlineStr">
        <x:is>
          <x:t xml:space="preserve">Fucidin Cream [Fusidic acid 20 mg./1 g.]</x:t>
        </x:is>
      </x:c>
      <x:c r="J16" t="inlineStr">
        <x:is>
          <x:t xml:space="preserve">Ibiamox 500 mg [Amoxicillin 500 mg.]</x:t>
        </x:is>
      </x:c>
      <x:c r="K16" t="inlineStr">
        <x:is>
          <x:t xml:space="preserve">Needs in-person eval today if abscess, fever, widespread lesions, or facial danger-area involvement</x:t>
        </x:is>
      </x:c>
    </x:row>
    <x:row r="17">
      <x:c r="A17" t="inlineStr">
        <x:is>
          <x:t xml:space="preserve">FRM0105</x:t>
        </x:is>
      </x:c>
      <x:c r="B17" t="inlineStr">
        <x:is>
          <x:t xml:space="preserve">infected_abrasion_adult</x:t>
        </x:is>
      </x:c>
      <x:c r="C17" t="inlineStr">
        <x:is>
          <x:t xml:space="preserve">Infected abrasion</x:t>
        </x:is>
      </x:c>
      <x:c r="D17" t="inlineStr">
        <x:is>
          <x:t xml:space="preserve">adult</x:t>
        </x:is>
      </x:c>
      <x:c r="E17" t="inlineStr">
        <x:is>
          <x:t xml:space="preserve">Y</x:t>
        </x:is>
      </x:c>
      <x:c r="F17" t="inlineStr">
        <x:is>
          <x:t xml:space="preserve">infected abrasion / superficial wound infection pattern</x:t>
        </x:is>
      </x:c>
      <x:c r="G17" t="inlineStr">
        <x:is>
          <x:t xml:space="preserve">Betadine Solution 15 ml [Povidone-Iodine USP 10 % w/v]</x:t>
        </x:is>
      </x:c>
      <x:c r="H17" t="inlineStr">
        <x:is>
          <x:t xml:space="preserve">Fucidin Cream [Fusidic acid 20 mg./1 g.]</x:t>
        </x:is>
      </x:c>
      <x:c r="J17" t="inlineStr">
        <x:is>
          <x:t xml:space="preserve">Ibiamox 500 mg [Amoxicillin 500 mg.]</x:t>
        </x:is>
      </x:c>
      <x:c r="K17" t="inlineStr">
        <x:is>
          <x:t xml:space="preserve">Needs in-person eval today if deep wound, abscess, fever, or rapidly spreading cellulitis</x:t>
        </x:is>
      </x:c>
    </x:row>
    <x:row r="18">
      <x:c r="A18" t="inlineStr">
        <x:is>
          <x:t xml:space="preserve">FRM0106</x:t>
        </x:is>
      </x:c>
      <x:c r="B18" t="inlineStr">
        <x:is>
          <x:t xml:space="preserve">infected_eczema_localized_adult</x:t>
        </x:is>
      </x:c>
      <x:c r="C18" t="inlineStr">
        <x:is>
          <x:t xml:space="preserve">Localized infected eczema / dermatitis</x:t>
        </x:is>
      </x:c>
      <x:c r="D18" t="inlineStr">
        <x:is>
          <x:t xml:space="preserve">adult</x:t>
        </x:is>
      </x:c>
      <x:c r="E18" t="inlineStr">
        <x:is>
          <x:t xml:space="preserve">N</x:t>
        </x:is>
      </x:c>
      <x:c r="F18" t="inlineStr">
        <x:is>
          <x:t xml:space="preserve">localized infected eczema/intertrigo-type row when mixed inflammatory+bacterial pattern is suspected</x:t>
        </x:is>
      </x:c>
      <x:c r="G18" t="inlineStr">
        <x:is>
          <x:t xml:space="preserve">Fucidin H Cream [Fusidic acid 20 mg+Hydrocortisone Acetate 10 mg+อื่นๆ/1 g]</x:t>
        </x:is>
      </x:c>
      <x:c r="J18" t="inlineStr">
        <x:is>
          <x:t xml:space="preserve">Fucicort Cream [Fusidic acid 20 mg+Betamethasone Valerate (eq. to Betamethasone 1 mg)+Preservative (Chlorocresol)/1 g]</x:t>
        </x:is>
      </x:c>
      <x:c r="K18" t="inlineStr">
        <x:is>
          <x:t xml:space="preserve">Needs in-person eval today if widespread infection, fever, rapidly spreading redness, or severe pain</x:t>
        </x:is>
      </x:c>
    </x:row>
    <x:row r="19">
      <x:c r="A19" t="inlineStr">
        <x:is>
          <x:t xml:space="preserve">FRM0107</x:t>
        </x:is>
      </x:c>
      <x:c r="B19" t="inlineStr">
        <x:is>
          <x:t xml:space="preserve">uncomplicated_uti_adult</x:t>
        </x:is>
      </x:c>
      <x:c r="C19" t="inlineStr">
        <x:is>
          <x:t xml:space="preserve">Uncomplicated cystitis / lower UTI</x:t>
        </x:is>
      </x:c>
      <x:c r="D19" t="inlineStr">
        <x:is>
          <x:t xml:space="preserve">adult</x:t>
        </x:is>
      </x:c>
      <x:c r="E19" t="inlineStr">
        <x:is>
          <x:t xml:space="preserve">Y</x:t>
        </x:is>
      </x:c>
      <x:c r="F19" t="inlineStr">
        <x:is>
          <x:t xml:space="preserve">use only when uncomplicated lower UTI pattern is likely</x:t>
        </x:is>
      </x:c>
      <x:c r="G19" t="inlineStr">
        <x:is>
          <x:t xml:space="preserve">Noflox-400 [Norfloxacin 400 mg.]</x:t>
        </x:is>
      </x:c>
      <x:c r="K19" t="inlineStr">
        <x:is>
          <x:t xml:space="preserve">Needs in-person eval today if fever, flank pain, vomiting, pregnancy, male UTI, or recurrent/complicated symptoms</x:t>
        </x:is>
      </x:c>
    </x:row>
    <x:row r="20">
      <x:c r="A20" t="inlineStr">
        <x:is>
          <x:t xml:space="preserve">FRM0108</x:t>
        </x:is>
      </x:c>
      <x:c r="B20" t="inlineStr">
        <x:is>
          <x:t xml:space="preserve">topical_eye_antibiotic_support_adult</x:t>
        </x:is>
      </x:c>
      <x:c r="C20" t="inlineStr">
        <x:is>
          <x:t xml:space="preserve">Topical eye antibiotic support</x:t>
        </x:is>
      </x:c>
      <x:c r="D20" t="inlineStr">
        <x:is>
          <x:t xml:space="preserve">adult</x:t>
        </x:is>
      </x:c>
      <x:c r="E20" t="inlineStr">
        <x:is>
          <x:t xml:space="preserve">N</x:t>
        </x:is>
      </x:c>
      <x:c r="F20" t="inlineStr">
        <x:is>
          <x:t xml:space="preserve">support row for clinic use after deciding topical eye antibiotic is appropriate</x:t>
        </x:is>
      </x:c>
      <x:c r="G20" t="inlineStr">
        <x:is>
          <x:t xml:space="preserve">ChlorOph Eye Drops [Chloramphenicol 5 mg./1 ml.]</x:t>
        </x:is>
      </x:c>
      <x:c r="H20" t="inlineStr">
        <x:is>
          <x:t xml:space="preserve">Fucithalmic Eye Drops [Fusidic acid 10 mg.+Preservative (Benzalkonium chloride 0.1%)/ 1 g.]</x:t>
        </x:is>
      </x:c>
      <x:c r="J20" t="inlineStr">
        <x:is>
          <x:t xml:space="preserve">Terramycin Ophthalmic Ointment [Oxytetracycline HCl 5 mg.+Polymyxin B Sulfate 10,000 units/1 g.]</x:t>
        </x:is>
      </x:c>
      <x:c r="K20" t="inlineStr">
        <x:is>
          <x:t xml:space="preserve">Needs in-person eval today if pain, photophobia, reduced vision, or no response to treatment</x:t>
        </x:is>
      </x:c>
    </x:row>
    <x:row r="21">
      <x:c r="A21" t="inlineStr">
        <x:is>
          <x:t xml:space="preserve">FRM0109</x:t>
        </x:is>
      </x:c>
      <x:c r="B21" t="inlineStr">
        <x:is>
          <x:t xml:space="preserve">bacterial_skin_infection_topical_peds</x:t>
        </x:is>
      </x:c>
      <x:c r="C21" t="inlineStr">
        <x:is>
          <x:t xml:space="preserve">Pediatric topical bacterial skin infection support</x:t>
        </x:is>
      </x:c>
      <x:c r="D21" t="inlineStr">
        <x:is>
          <x:t xml:space="preserve">peds</x:t>
        </x:is>
      </x:c>
      <x:c r="E21" t="inlineStr">
        <x:is>
          <x:t xml:space="preserve">N</x:t>
        </x:is>
      </x:c>
      <x:c r="F21" t="inlineStr">
        <x:is>
          <x:t xml:space="preserve">localized child superficial bacterial skin lesion where topical-first support is chosen</x:t>
        </x:is>
      </x:c>
      <x:c r="G21" t="inlineStr">
        <x:is>
          <x:t xml:space="preserve">Fucidin Cream [Fusidic acid 20 mg./1 g.]</x:t>
        </x:is>
      </x:c>
      <x:c r="K21" t="inlineStr">
        <x:is>
          <x:t xml:space="preserve">Needs in-person eval today if fever, abscess, widespread lesions, or rapid spread</x:t>
        </x:is>
      </x:c>
    </x:row>
    <x:row r="22">
      <x:c r="A22" t="inlineStr">
        <x:is>
          <x:t xml:space="preserve">FRM0110</x:t>
        </x:is>
      </x:c>
      <x:c r="B22" t="inlineStr">
        <x:is>
          <x:t xml:space="preserve">bacterial_skin_infection_topical_adult</x:t>
        </x:is>
      </x:c>
      <x:c r="C22" t="inlineStr">
        <x:is>
          <x:t xml:space="preserve">Adult topical bacterial skin infection support</x:t>
        </x:is>
      </x:c>
      <x:c r="D22" t="inlineStr">
        <x:is>
          <x:t xml:space="preserve">adult</x:t>
        </x:is>
      </x:c>
      <x:c r="E22" t="inlineStr">
        <x:is>
          <x:t xml:space="preserve">N</x:t>
        </x:is>
      </x:c>
      <x:c r="F22" t="inlineStr">
        <x:is>
          <x:t xml:space="preserve">localized topical-first bacterial skin lesion support row</x:t>
        </x:is>
      </x:c>
      <x:c r="G22" t="inlineStr">
        <x:is>
          <x:t xml:space="preserve">Fucidin Cream [Fusidic acid 20 mg./1 g.]</x:t>
        </x:is>
      </x:c>
      <x:c r="K22" t="inlineStr">
        <x:is>
          <x:t xml:space="preserve">Needs in-person eval today if fever, abscess, rapid spread, or facial danger-area involvement</x:t>
        </x:is>
      </x:c>
    </x:row>
    <x:row r="23">
      <x:c r="A23" t="inlineStr">
        <x:is>
          <x:t xml:space="preserve">FRM0111</x:t>
        </x:is>
      </x:c>
      <x:c r="B23" t="inlineStr">
        <x:is>
          <x:t xml:space="preserve">infected_wound_oral_antibiotic_adult</x:t>
        </x:is>
      </x:c>
      <x:c r="C23" t="inlineStr">
        <x:is>
          <x:t xml:space="preserve">Infected wound needing oral antibiotic</x:t>
        </x:is>
      </x:c>
      <x:c r="D23" t="inlineStr">
        <x:is>
          <x:t xml:space="preserve">adult</x:t>
        </x:is>
      </x:c>
      <x:c r="E23" t="inlineStr">
        <x:is>
          <x:t xml:space="preserve">N</x:t>
        </x:is>
      </x:c>
      <x:c r="F23" t="inlineStr">
        <x:is>
          <x:t xml:space="preserve">infected wound row when oral antibiotic is chosen and there are no severe red flags</x:t>
        </x:is>
      </x:c>
      <x:c r="G23" t="inlineStr">
        <x:is>
          <x:t xml:space="preserve">AMK 1000 mg [Amoxicillin 875 mg.+Clavulanic Acid 125 mg.]</x:t>
        </x:is>
      </x:c>
      <x:c r="H23" t="inlineStr">
        <x:is>
          <x:t xml:space="preserve">Betadine Solution 15 ml [Povidone-Iodine USP 10 % w/v]</x:t>
        </x:is>
      </x:c>
      <x:c r="K23" t="inlineStr">
        <x:is>
          <x:t xml:space="preserve">Needs in-person eval today if deep wound, abscess, fever, or rapidly spreading cellulitis</x:t>
        </x:is>
      </x:c>
    </x:row>
    <x:row r="24">
      <x:c r="A24" t="inlineStr">
        <x:is>
          <x:t xml:space="preserve">FRM0112</x:t>
        </x:is>
      </x:c>
      <x:c r="B24" t="inlineStr">
        <x:is>
          <x:t xml:space="preserve">penicillin_allergy_resp_support_adult</x:t>
        </x:is>
      </x:c>
      <x:c r="C24" t="inlineStr">
        <x:is>
          <x:t xml:space="preserve">Penicillin-allergy respiratory bacterial support</x:t>
        </x:is>
      </x:c>
      <x:c r="D24" t="inlineStr">
        <x:is>
          <x:t xml:space="preserve">adult</x:t>
        </x:is>
      </x:c>
      <x:c r="E24" t="inlineStr">
        <x:is>
          <x:t xml:space="preserve">N</x:t>
        </x:is>
      </x:c>
      <x:c r="F24" t="inlineStr">
        <x:is>
          <x:t xml:space="preserve">support row only; use when bacterial respiratory pattern is present and this alternative is intentionally chosen</x:t>
        </x:is>
      </x:c>
      <x:c r="G24" t="inlineStr">
        <x:is>
          <x:t xml:space="preserve">B.Roxi [Roxithromycin 150 mg.]</x:t>
        </x:is>
      </x:c>
      <x:c r="H24" t="inlineStr">
        <x:is>
          <x:t xml:space="preserve">Tylenol 500 mg strip 10s [Paracetamol 500 mg.]</x:t>
        </x:is>
      </x:c>
      <x:c r="K24" t="inlineStr">
        <x:is>
          <x:t xml:space="preserve">Needs in-person eval today if severe toxicity, dyspnea, or worsening despite appropriate treatment</x:t>
        </x:is>
      </x:c>
    </x:row>
    <x:row r="25">
      <x:c r="A25" t="inlineStr">
        <x:is>
          <x:t xml:space="preserve">FRM0113</x:t>
        </x:is>
      </x:c>
      <x:c r="B25" t="inlineStr">
        <x:is>
          <x:t xml:space="preserve">bacterial_sinusitis_alt_adult</x:t>
        </x:is>
      </x:c>
      <x:c r="C25" t="inlineStr">
        <x:is>
          <x:t xml:space="preserve">Bacterial sinusitis alternative antibiotic row</x:t>
        </x:is>
      </x:c>
      <x:c r="D25" t="inlineStr">
        <x:is>
          <x:t xml:space="preserve">adult</x:t>
        </x:is>
      </x:c>
      <x:c r="E25" t="inlineStr">
        <x:is>
          <x:t xml:space="preserve">N</x:t>
        </x:is>
      </x:c>
      <x:c r="F25" t="inlineStr">
        <x:is>
          <x:t xml:space="preserve">support row only after deciding bacterial sinusitis is likely and an alternative antibiotic row is needed</x:t>
        </x:is>
      </x:c>
      <x:c r="G25" t="inlineStr">
        <x:is>
          <x:t xml:space="preserve">B.Roxi [Roxithromycin 150 mg.]</x:t>
        </x:is>
      </x:c>
      <x:c r="H25" t="inlineStr">
        <x:is>
          <x:t xml:space="preserve">Klean &amp; Kare Saline เล็ก [Sodium Chloride 0.9 g./100 ml.]</x:t>
        </x:is>
      </x:c>
      <x:c r="K25" t="inlineStr">
        <x:is>
          <x:t xml:space="preserve">Needs in-person eval today if orbital symptoms, severe swelling, or toxic appearance</x:t>
        </x:is>
      </x:c>
    </x:row>
    <x:row r="26">
      <x:c r="A26" t="inlineStr">
        <x:is>
          <x:t xml:space="preserve">FRM0114</x:t>
        </x:is>
      </x:c>
      <x:c r="B26" t="inlineStr">
        <x:is>
          <x:t xml:space="preserve">bacterial_pharyngitis_alt_adult</x:t>
        </x:is>
      </x:c>
      <x:c r="C26" t="inlineStr">
        <x:is>
          <x:t xml:space="preserve">Bacterial pharyngitis alternative antibiotic row</x:t>
        </x:is>
      </x:c>
      <x:c r="D26" t="inlineStr">
        <x:is>
          <x:t xml:space="preserve">adult</x:t>
        </x:is>
      </x:c>
      <x:c r="E26" t="inlineStr">
        <x:is>
          <x:t xml:space="preserve">N</x:t>
        </x:is>
      </x:c>
      <x:c r="F26" t="inlineStr">
        <x:is>
          <x:t xml:space="preserve">support row only after deciding bacterial pharyngitis is likely and an alternative antibiotic row is needed</x:t>
        </x:is>
      </x:c>
      <x:c r="G26" t="inlineStr">
        <x:is>
          <x:t xml:space="preserve">B.Roxi [Roxithromycin 150 mg.]</x:t>
        </x:is>
      </x:c>
      <x:c r="H26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K26" t="inlineStr">
        <x:is>
          <x:t xml:space="preserve">Needs in-person eval today if drooling, muffled voice, severe unilateral swelling, or inability to swallow</x:t>
        </x:is>
      </x:c>
    </x:row>
    <x:row r="27">
      <x:c r="A27" t="inlineStr">
        <x:is>
          <x:t xml:space="preserve">FRM0115</x:t>
        </x:is>
      </x:c>
      <x:c r="B27" t="inlineStr">
        <x:is>
          <x:t xml:space="preserve">topical_fusidic_support_adult</x:t>
        </x:is>
      </x:c>
      <x:c r="C27" t="inlineStr">
        <x:is>
          <x:t xml:space="preserve">Topical fusidic acid support</x:t>
        </x:is>
      </x:c>
      <x:c r="D27" t="inlineStr">
        <x:is>
          <x:t xml:space="preserve">adult</x:t>
        </x:is>
      </x:c>
      <x:c r="E27" t="inlineStr">
        <x:is>
          <x:t xml:space="preserve">N</x:t>
        </x:is>
      </x:c>
      <x:c r="F27" t="inlineStr">
        <x:is>
          <x:t xml:space="preserve">support row only for localized superficial bacterial skin lesions</x:t>
        </x:is>
      </x:c>
      <x:c r="G27" t="inlineStr">
        <x:is>
          <x:t xml:space="preserve">Fucidin Cream [Fusidic acid 20 mg./1 g.]</x:t>
        </x:is>
      </x:c>
      <x:c r="J27" t="inlineStr">
        <x:is>
          <x:t xml:space="preserve">Garamycin Cream [Gentamicin 1 mg./1 g.]</x:t>
        </x:is>
      </x:c>
      <x:c r="K27" t="inlineStr">
        <x:is>
          <x:t xml:space="preserve">Needs in-person eval today if deep abscess, fever, rapid spread, or severe pain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6" customWidth="1"/>
    <x:col min="3" max="3" width="36" customWidth="1"/>
    <x:col min="4" max="4" width="21" customWidth="1"/>
    <x:col min="5" max="5" width="42" customWidth="1"/>
    <x:col min="6" max="6" width="12" customWidth="1"/>
    <x:col min="7" max="7" width="25" customWidth="1"/>
  </x:cols>
  <x:sheetData>
    <x:row r="1" ht="24" customHeight="1">
      <x:c r="A1" s="3" t="inlineStr">
        <x:is>
          <x:t xml:space="preserve">Test_ID</x:t>
        </x:is>
      </x:c>
      <x:c r="B1" s="3" t="inlineStr">
        <x:is>
          <x:t xml:space="preserve">Input_Phrase</x:t>
        </x:is>
      </x:c>
      <x:c r="C1" s="3" t="inlineStr">
        <x:is>
          <x:t xml:space="preserve">Expected_Disease_Key</x:t>
        </x:is>
      </x:c>
      <x:c r="D1" s="3" t="inlineStr">
        <x:is>
          <x:t xml:space="preserve">Expected_Regimen_ID</x:t>
        </x:is>
      </x:c>
      <x:c r="E1" s="3" t="inlineStr">
        <x:is>
          <x:t xml:space="preserve">Expected_Disease_Name</x:t>
        </x:is>
      </x:c>
      <x:c r="F1" s="3" t="inlineStr">
        <x:is>
          <x:t xml:space="preserve">Status</x:t>
        </x:is>
      </x:c>
      <x:c r="G1" s="3" t="inlineStr">
        <x:is>
          <x:t xml:space="preserve">Notes</x:t>
        </x:is>
      </x:c>
    </x:row>
    <x:row r="2">
      <x:c r="A2" t="inlineStr">
        <x:is>
          <x:t xml:space="preserve">T001</x:t>
        </x:is>
      </x:c>
      <x:c r="B2" t="inlineStr">
        <x:is>
          <x:t xml:space="preserve">allergic rhinitis</x:t>
        </x:is>
      </x:c>
      <x:c r="C2" t="inlineStr">
        <x:is>
          <x:t xml:space="preserve">allergic_rhinitis_adult</x:t>
        </x:is>
      </x:c>
      <x:c r="D2" t="inlineStr">
        <x:is>
          <x:t xml:space="preserve">FRM0001</x:t>
        </x:is>
      </x:c>
      <x:c r="E2" t="inlineStr">
        <x:is>
          <x:t xml:space="preserve">Allergic rhinitis</x:t>
        </x:is>
      </x:c>
      <x:c r="F2" t="inlineStr">
        <x:is>
          <x:t xml:space="preserve">READY</x:t>
        </x:is>
      </x:c>
      <x:c r="G2" t="inlineStr">
        <x:is>
          <x:t xml:space="preserve">direct map</x:t>
        </x:is>
      </x:c>
    </x:row>
    <x:row r="3">
      <x:c r="A3" t="inlineStr">
        <x:is>
          <x:t xml:space="preserve">T002</x:t>
        </x:is>
      </x:c>
      <x:c r="B3" t="inlineStr">
        <x:is>
          <x:t xml:space="preserve">runny nose</x:t>
        </x:is>
      </x:c>
      <x:c r="C3" t="inlineStr">
        <x:is>
          <x:t xml:space="preserve">allergic_rhinitis_adult</x:t>
        </x:is>
      </x:c>
      <x:c r="D3" t="inlineStr">
        <x:is>
          <x:t xml:space="preserve">FRM0001</x:t>
        </x:is>
      </x:c>
      <x:c r="E3" t="inlineStr">
        <x:is>
          <x:t xml:space="preserve">Allergic rhinitis</x:t>
        </x:is>
      </x:c>
      <x:c r="F3" t="inlineStr">
        <x:is>
          <x:t xml:space="preserve">READY</x:t>
        </x:is>
      </x:c>
      <x:c r="G3" t="inlineStr">
        <x:is>
          <x:t xml:space="preserve">alias</x:t>
        </x:is>
      </x:c>
    </x:row>
    <x:row r="4">
      <x:c r="A4" t="inlineStr">
        <x:is>
          <x:t xml:space="preserve">T003</x:t>
        </x:is>
      </x:c>
      <x:c r="B4" t="inlineStr">
        <x:is>
          <x:t xml:space="preserve">uri with wet cough</x:t>
        </x:is>
      </x:c>
      <x:c r="C4" t="inlineStr">
        <x:is>
          <x:t xml:space="preserve">uri_wet_cough_adult</x:t>
        </x:is>
      </x:c>
      <x:c r="D4" t="inlineStr">
        <x:is>
          <x:t xml:space="preserve">FRM0002</x:t>
        </x:is>
      </x:c>
      <x:c r="E4" t="inlineStr">
        <x:is>
          <x:t xml:space="preserve">Acute viral URI with productive cough</x:t>
        </x:is>
      </x:c>
      <x:c r="F4" t="inlineStr">
        <x:is>
          <x:t xml:space="preserve">READY</x:t>
        </x:is>
      </x:c>
      <x:c r="G4" t="inlineStr">
        <x:is>
          <x:t xml:space="preserve">direct map</x:t>
        </x:is>
      </x:c>
    </x:row>
    <x:row r="5">
      <x:c r="A5" t="inlineStr">
        <x:is>
          <x:t xml:space="preserve">T004</x:t>
        </x:is>
      </x:c>
      <x:c r="B5" t="inlineStr">
        <x:is>
          <x:t xml:space="preserve">productive cough</x:t>
        </x:is>
      </x:c>
      <x:c r="C5" t="inlineStr">
        <x:is>
          <x:t xml:space="preserve">uri_wet_cough_adult</x:t>
        </x:is>
      </x:c>
      <x:c r="D5" t="inlineStr">
        <x:is>
          <x:t xml:space="preserve">FRM0002</x:t>
        </x:is>
      </x:c>
      <x:c r="E5" t="inlineStr">
        <x:is>
          <x:t xml:space="preserve">Acute viral URI with productive cough</x:t>
        </x:is>
      </x:c>
      <x:c r="F5" t="inlineStr">
        <x:is>
          <x:t xml:space="preserve">READY</x:t>
        </x:is>
      </x:c>
      <x:c r="G5" t="inlineStr">
        <x:is>
          <x:t xml:space="preserve">alias</x:t>
        </x:is>
      </x:c>
    </x:row>
    <x:row r="6">
      <x:c r="A6" t="inlineStr">
        <x:is>
          <x:t xml:space="preserve">T005</x:t>
        </x:is>
      </x:c>
      <x:c r="B6" t="inlineStr">
        <x:is>
          <x:t xml:space="preserve">uri dry cough</x:t>
        </x:is>
      </x:c>
      <x:c r="C6" t="inlineStr">
        <x:is>
          <x:t xml:space="preserve">uri_dry_cough_adult</x:t>
        </x:is>
      </x:c>
      <x:c r="D6" t="inlineStr">
        <x:is>
          <x:t xml:space="preserve">FRM0009</x:t>
        </x:is>
      </x:c>
      <x:c r="E6" t="inlineStr">
        <x:is>
          <x:t xml:space="preserve">Acute viral URI with dry cough</x:t>
        </x:is>
      </x:c>
      <x:c r="F6" t="inlineStr">
        <x:is>
          <x:t xml:space="preserve">READY</x:t>
        </x:is>
      </x:c>
      <x:c r="G6" t="inlineStr">
        <x:is>
          <x:t xml:space="preserve">direct map</x:t>
        </x:is>
      </x:c>
    </x:row>
    <x:row r="7">
      <x:c r="A7" t="inlineStr">
        <x:is>
          <x:t xml:space="preserve">T006</x:t>
        </x:is>
      </x:c>
      <x:c r="B7" t="inlineStr">
        <x:is>
          <x:t xml:space="preserve">dry cough</x:t>
        </x:is>
      </x:c>
      <x:c r="C7" t="inlineStr">
        <x:is>
          <x:t xml:space="preserve">uri_dry_cough_adult</x:t>
        </x:is>
      </x:c>
      <x:c r="D7" t="inlineStr">
        <x:is>
          <x:t xml:space="preserve">FRM0009</x:t>
        </x:is>
      </x:c>
      <x:c r="E7" t="inlineStr">
        <x:is>
          <x:t xml:space="preserve">Acute viral URI with dry cough</x:t>
        </x:is>
      </x:c>
      <x:c r="F7" t="inlineStr">
        <x:is>
          <x:t xml:space="preserve">READY</x:t>
        </x:is>
      </x:c>
      <x:c r="G7" t="inlineStr">
        <x:is>
          <x:t xml:space="preserve">alias</x:t>
        </x:is>
      </x:c>
    </x:row>
    <x:row r="8">
      <x:c r="A8" t="inlineStr">
        <x:is>
          <x:t xml:space="preserve">T007</x:t>
        </x:is>
      </x:c>
      <x:c r="B8" t="inlineStr">
        <x:is>
          <x:t xml:space="preserve">uri with diarrhea</x:t>
        </x:is>
      </x:c>
      <x:c r="C8" t="inlineStr">
        <x:is>
          <x:t xml:space="preserve">uri_diarrhea_adult</x:t>
        </x:is>
      </x:c>
      <x:c r="D8" t="inlineStr">
        <x:is>
          <x:t xml:space="preserve">FRM0003</x:t>
        </x:is>
      </x:c>
      <x:c r="E8" t="inlineStr">
        <x:is>
          <x:t xml:space="preserve">Acute viral URI with acute infectious diarrhea</x:t>
        </x:is>
      </x:c>
      <x:c r="F8" t="inlineStr">
        <x:is>
          <x:t xml:space="preserve">READY</x:t>
        </x:is>
      </x:c>
      <x:c r="G8" t="inlineStr">
        <x:is>
          <x:t xml:space="preserve">direct map</x:t>
        </x:is>
      </x:c>
    </x:row>
    <x:row r="9">
      <x:c r="A9" t="inlineStr">
        <x:is>
          <x:t xml:space="preserve">T008</x:t>
        </x:is>
      </x:c>
      <x:c r="B9" t="inlineStr">
        <x:is>
          <x:t xml:space="preserve">diarrhea</x:t>
        </x:is>
      </x:c>
      <x:c r="C9" t="inlineStr">
        <x:is>
          <x:t xml:space="preserve">acute_watery_diarrhea_adult</x:t>
        </x:is>
      </x:c>
      <x:c r="D9" t="inlineStr">
        <x:is>
          <x:t xml:space="preserve">FRM0004</x:t>
        </x:is>
      </x:c>
      <x:c r="E9" t="inlineStr">
        <x:is>
          <x:t xml:space="preserve">Acute infectious diarrhea / viral gastroenteritis</x:t>
        </x:is>
      </x:c>
      <x:c r="F9" t="inlineStr">
        <x:is>
          <x:t xml:space="preserve">READY</x:t>
        </x:is>
      </x:c>
      <x:c r="G9" t="inlineStr">
        <x:is>
          <x:t xml:space="preserve">alias</x:t>
        </x:is>
      </x:c>
    </x:row>
    <x:row r="10">
      <x:c r="A10" t="inlineStr">
        <x:is>
          <x:t xml:space="preserve">T009</x:t>
        </x:is>
      </x:c>
      <x:c r="B10" t="inlineStr">
        <x:is>
          <x:t xml:space="preserve">uri with rash</x:t>
        </x:is>
      </x:c>
      <x:c r="C10" t="inlineStr">
        <x:is>
          <x:t xml:space="preserve">uri_rash_adult</x:t>
        </x:is>
      </x:c>
      <x:c r="D10" t="inlineStr">
        <x:is>
          <x:t xml:space="preserve">FRM0005</x:t>
        </x:is>
      </x:c>
      <x:c r="E10" t="inlineStr">
        <x:is>
          <x:t xml:space="preserve">Acute viral URI with viral/allergic rash</x:t>
        </x:is>
      </x:c>
      <x:c r="F10" t="inlineStr">
        <x:is>
          <x:t xml:space="preserve">READY</x:t>
        </x:is>
      </x:c>
      <x:c r="G10" t="inlineStr">
        <x:is>
          <x:t xml:space="preserve">direct map</x:t>
        </x:is>
      </x:c>
    </x:row>
    <x:row r="11">
      <x:c r="A11" t="inlineStr">
        <x:is>
          <x:t xml:space="preserve">T010</x:t>
        </x:is>
      </x:c>
      <x:c r="B11" t="inlineStr">
        <x:is>
          <x:t xml:space="preserve">sore throat</x:t>
        </x:is>
      </x:c>
      <x:c r="C11" t="inlineStr">
        <x:is>
          <x:t xml:space="preserve">sore_throat_adult</x:t>
        </x:is>
      </x:c>
      <x:c r="D11" t="inlineStr">
        <x:is>
          <x:t xml:space="preserve">FRM0006</x:t>
        </x:is>
      </x:c>
      <x:c r="E11" t="inlineStr">
        <x:is>
          <x:t xml:space="preserve">Acute sore throat / pharyngeal irritation</x:t>
        </x:is>
      </x:c>
      <x:c r="F11" t="inlineStr">
        <x:is>
          <x:t xml:space="preserve">READY</x:t>
        </x:is>
      </x:c>
      <x:c r="G11" t="inlineStr">
        <x:is>
          <x:t xml:space="preserve">direct map</x:t>
        </x:is>
      </x:c>
    </x:row>
    <x:row r="12">
      <x:c r="A12" t="inlineStr">
        <x:is>
          <x:t xml:space="preserve">T011</x:t>
        </x:is>
      </x:c>
      <x:c r="B12" t="inlineStr">
        <x:is>
          <x:t xml:space="preserve">dry eye</x:t>
        </x:is>
      </x:c>
      <x:c r="C12" t="inlineStr">
        <x:is>
          <x:t xml:space="preserve">dry_eye_adult</x:t>
        </x:is>
      </x:c>
      <x:c r="D12" t="inlineStr">
        <x:is>
          <x:t xml:space="preserve">FRM0007</x:t>
        </x:is>
      </x:c>
      <x:c r="E12" t="inlineStr">
        <x:is>
          <x:t xml:space="preserve">Dry eye</x:t>
        </x:is>
      </x:c>
      <x:c r="F12" t="inlineStr">
        <x:is>
          <x:t xml:space="preserve">READY</x:t>
        </x:is>
      </x:c>
      <x:c r="G12" t="inlineStr">
        <x:is>
          <x:t xml:space="preserve">direct map</x:t>
        </x:is>
      </x:c>
    </x:row>
    <x:row r="13">
      <x:c r="A13" t="inlineStr">
        <x:is>
          <x:t xml:space="preserve">T012</x:t>
        </x:is>
      </x:c>
      <x:c r="B13" t="inlineStr">
        <x:is>
          <x:t xml:space="preserve">eye irritation</x:t>
        </x:is>
      </x:c>
      <x:c r="C13" t="inlineStr">
        <x:is>
          <x:t xml:space="preserve">eye_irritation_adult</x:t>
        </x:is>
      </x:c>
      <x:c r="D13" t="inlineStr">
        <x:is>
          <x:t xml:space="preserve">FRM0010</x:t>
        </x:is>
      </x:c>
      <x:c r="E13" t="inlineStr">
        <x:is>
          <x:t xml:space="preserve">Eye irritation / dust exposure</x:t>
        </x:is>
      </x:c>
      <x:c r="F13" t="inlineStr">
        <x:is>
          <x:t xml:space="preserve">READY</x:t>
        </x:is>
      </x:c>
      <x:c r="G13" t="inlineStr">
        <x:is>
          <x:t xml:space="preserve">direct map</x:t>
        </x:is>
      </x:c>
    </x:row>
    <x:row r="14">
      <x:c r="A14" t="inlineStr">
        <x:is>
          <x:t xml:space="preserve">T013</x:t>
        </x:is>
      </x:c>
      <x:c r="B14" t="inlineStr">
        <x:is>
          <x:t xml:space="preserve">migraine</x:t>
        </x:is>
      </x:c>
      <x:c r="C14" t="inlineStr">
        <x:is>
          <x:t xml:space="preserve">migraine_adult</x:t>
        </x:is>
      </x:c>
      <x:c r="D14" t="inlineStr">
        <x:is>
          <x:t xml:space="preserve">FRM0012</x:t>
        </x:is>
      </x:c>
      <x:c r="E14" t="inlineStr">
        <x:is>
          <x:t xml:space="preserve">Migraine</x:t>
        </x:is>
      </x:c>
      <x:c r="F14" t="inlineStr">
        <x:is>
          <x:t xml:space="preserve">READY</x:t>
        </x:is>
      </x:c>
      <x:c r="G14" t="inlineStr">
        <x:is>
          <x:t xml:space="preserve">direct map</x:t>
        </x:is>
      </x:c>
    </x:row>
    <x:row r="15">
      <x:c r="A15" t="inlineStr">
        <x:is>
          <x:t xml:space="preserve">T014</x:t>
        </x:is>
      </x:c>
      <x:c r="B15" t="inlineStr">
        <x:is>
          <x:t xml:space="preserve">vertigo</x:t>
        </x:is>
      </x:c>
      <x:c r="C15" t="inlineStr">
        <x:is>
          <x:t xml:space="preserve">vertigo_adult</x:t>
        </x:is>
      </x:c>
      <x:c r="D15" t="inlineStr">
        <x:is>
          <x:t xml:space="preserve">FRM0013</x:t>
        </x:is>
      </x:c>
      <x:c r="E15" t="inlineStr">
        <x:is>
          <x:t xml:space="preserve">Peripheral vertigo / dizziness</x:t>
        </x:is>
      </x:c>
      <x:c r="F15" t="inlineStr">
        <x:is>
          <x:t xml:space="preserve">READY</x:t>
        </x:is>
      </x:c>
      <x:c r="G15" t="inlineStr">
        <x:is>
          <x:t xml:space="preserve">direct map</x:t>
        </x:is>
      </x:c>
    </x:row>
    <x:row r="16">
      <x:c r="A16" t="inlineStr">
        <x:is>
          <x:t xml:space="preserve">T015</x:t>
        </x:is>
      </x:c>
      <x:c r="B16" t="inlineStr">
        <x:is>
          <x:t xml:space="preserve">mouth ulcer</x:t>
        </x:is>
      </x:c>
      <x:c r="C16" t="inlineStr">
        <x:is>
          <x:t xml:space="preserve">oral_ulcer_adult</x:t>
        </x:is>
      </x:c>
      <x:c r="D16" t="inlineStr">
        <x:is>
          <x:t xml:space="preserve">FRM0014</x:t>
        </x:is>
      </x:c>
      <x:c r="E16" t="inlineStr">
        <x:is>
          <x:t xml:space="preserve">Oral ulcer / aphthous ulcer</x:t>
        </x:is>
      </x:c>
      <x:c r="F16" t="inlineStr">
        <x:is>
          <x:t xml:space="preserve">READY</x:t>
        </x:is>
      </x:c>
      <x:c r="G16" t="inlineStr">
        <x:is>
          <x:t xml:space="preserve">direct map</x:t>
        </x:is>
      </x:c>
    </x:row>
    <x:row r="17">
      <x:c r="A17" t="inlineStr">
        <x:is>
          <x:t xml:space="preserve">T016</x:t>
        </x:is>
      </x:c>
      <x:c r="B17" t="inlineStr">
        <x:is>
          <x:t xml:space="preserve">common cold</x:t>
        </x:is>
      </x:c>
      <x:c r="C17" t="inlineStr">
        <x:is>
          <x:t xml:space="preserve">common_cold_adult</x:t>
        </x:is>
      </x:c>
      <x:c r="D17" t="inlineStr">
        <x:is>
          <x:t xml:space="preserve">FRM0015</x:t>
        </x:is>
      </x:c>
      <x:c r="E17" t="inlineStr">
        <x:is>
          <x:t xml:space="preserve">Common cold / viral URI</x:t>
        </x:is>
      </x:c>
      <x:c r="F17" t="inlineStr">
        <x:is>
          <x:t xml:space="preserve">READY</x:t>
        </x:is>
      </x:c>
      <x:c r="G17" t="inlineStr">
        <x:is>
          <x:t xml:space="preserve">expanded common OPD row</x:t>
        </x:is>
      </x:c>
    </x:row>
    <x:row r="18">
      <x:c r="A18" t="inlineStr">
        <x:is>
          <x:t xml:space="preserve">T017</x:t>
        </x:is>
      </x:c>
      <x:c r="B18" t="inlineStr">
        <x:is>
          <x:t xml:space="preserve">stuffy nose</x:t>
        </x:is>
      </x:c>
      <x:c r="C18" t="inlineStr">
        <x:is>
          <x:t xml:space="preserve">nasal_blockage_adult</x:t>
        </x:is>
      </x:c>
      <x:c r="D18" t="inlineStr">
        <x:is>
          <x:t xml:space="preserve">FRM0016</x:t>
        </x:is>
      </x:c>
      <x:c r="E18" t="inlineStr">
        <x:is>
          <x:t xml:space="preserve">Nasal blockage / congestion</x:t>
        </x:is>
      </x:c>
      <x:c r="F18" t="inlineStr">
        <x:is>
          <x:t xml:space="preserve">READY</x:t>
        </x:is>
      </x:c>
      <x:c r="G18" t="inlineStr">
        <x:is>
          <x:t xml:space="preserve">expanded common OPD row</x:t>
        </x:is>
      </x:c>
    </x:row>
    <x:row r="19">
      <x:c r="A19" t="inlineStr">
        <x:is>
          <x:t xml:space="preserve">T018</x:t>
        </x:is>
      </x:c>
      <x:c r="B19" t="inlineStr">
        <x:is>
          <x:t xml:space="preserve">fever body ache</x:t>
        </x:is>
      </x:c>
      <x:c r="C19" t="inlineStr">
        <x:is>
          <x:t xml:space="preserve">viral_fever_bodyache_adult</x:t>
        </x:is>
      </x:c>
      <x:c r="D19" t="inlineStr">
        <x:is>
          <x:t xml:space="preserve">FRM0017</x:t>
        </x:is>
      </x:c>
      <x:c r="E19" t="inlineStr">
        <x:is>
          <x:t xml:space="preserve">Viral fever / body ache</x:t>
        </x:is>
      </x:c>
      <x:c r="F19" t="inlineStr">
        <x:is>
          <x:t xml:space="preserve">READY</x:t>
        </x:is>
      </x:c>
      <x:c r="G19" t="inlineStr">
        <x:is>
          <x:t xml:space="preserve">expanded common OPD row</x:t>
        </x:is>
      </x:c>
    </x:row>
    <x:row r="20">
      <x:c r="A20" t="inlineStr">
        <x:is>
          <x:t xml:space="preserve">T019</x:t>
        </x:is>
      </x:c>
      <x:c r="B20" t="inlineStr">
        <x:is>
          <x:t xml:space="preserve">gas bloating</x:t>
        </x:is>
      </x:c>
      <x:c r="C20" t="inlineStr">
        <x:is>
          <x:t xml:space="preserve">abdominal_gas_bloating_adult</x:t>
        </x:is>
      </x:c>
      <x:c r="D20" t="inlineStr">
        <x:is>
          <x:t xml:space="preserve">FRM0018</x:t>
        </x:is>
      </x:c>
      <x:c r="E20" t="inlineStr">
        <x:is>
          <x:t xml:space="preserve">Abdominal gas / bloating</x:t>
        </x:is>
      </x:c>
      <x:c r="F20" t="inlineStr">
        <x:is>
          <x:t xml:space="preserve">READY</x:t>
        </x:is>
      </x:c>
      <x:c r="G20" t="inlineStr">
        <x:is>
          <x:t xml:space="preserve">expanded common OPD row</x:t>
        </x:is>
      </x:c>
    </x:row>
    <x:row r="21">
      <x:c r="A21" t="inlineStr">
        <x:is>
          <x:t xml:space="preserve">T020</x:t>
        </x:is>
      </x:c>
      <x:c r="B21" t="inlineStr">
        <x:is>
          <x:t xml:space="preserve">abdominal cramp</x:t>
        </x:is>
      </x:c>
      <x:c r="C21" t="inlineStr">
        <x:is>
          <x:t xml:space="preserve">abdominal_colic_adult</x:t>
        </x:is>
      </x:c>
      <x:c r="D21" t="inlineStr">
        <x:is>
          <x:t xml:space="preserve">FRM0019</x:t>
        </x:is>
      </x:c>
      <x:c r="E21" t="inlineStr">
        <x:is>
          <x:t xml:space="preserve">Abdominal colic / cramp</x:t>
        </x:is>
      </x:c>
      <x:c r="F21" t="inlineStr">
        <x:is>
          <x:t xml:space="preserve">READY</x:t>
        </x:is>
      </x:c>
      <x:c r="G21" t="inlineStr">
        <x:is>
          <x:t xml:space="preserve">expanded common OPD row</x:t>
        </x:is>
      </x:c>
    </x:row>
    <x:row r="22">
      <x:c r="A22" t="inlineStr">
        <x:is>
          <x:t xml:space="preserve">T021</x:t>
        </x:is>
      </x:c>
      <x:c r="B22" t="inlineStr">
        <x:is>
          <x:t xml:space="preserve">muscle spasm</x:t>
        </x:is>
      </x:c>
      <x:c r="C22" t="inlineStr">
        <x:is>
          <x:t xml:space="preserve">muscle_spasm_adult</x:t>
        </x:is>
      </x:c>
      <x:c r="D22" t="inlineStr">
        <x:is>
          <x:t xml:space="preserve">FRM0020</x:t>
        </x:is>
      </x:c>
      <x:c r="E22" t="inlineStr">
        <x:is>
          <x:t xml:space="preserve">Muscle spasm</x:t>
        </x:is>
      </x:c>
      <x:c r="F22" t="inlineStr">
        <x:is>
          <x:t xml:space="preserve">READY</x:t>
        </x:is>
      </x:c>
      <x:c r="G22" t="inlineStr">
        <x:is>
          <x:t xml:space="preserve">expanded common OPD row</x:t>
        </x:is>
      </x:c>
    </x:row>
    <x:row r="23">
      <x:c r="A23" t="inlineStr">
        <x:is>
          <x:t xml:space="preserve">T022</x:t>
        </x:is>
      </x:c>
      <x:c r="B23" t="inlineStr">
        <x:is>
          <x:t xml:space="preserve">tension headache</x:t>
        </x:is>
      </x:c>
      <x:c r="C23" t="inlineStr">
        <x:is>
          <x:t xml:space="preserve">tension_headache_adult</x:t>
        </x:is>
      </x:c>
      <x:c r="D23" t="inlineStr">
        <x:is>
          <x:t xml:space="preserve">FRM0021</x:t>
        </x:is>
      </x:c>
      <x:c r="E23" t="inlineStr">
        <x:is>
          <x:t xml:space="preserve">Tension-type headache</x:t>
        </x:is>
      </x:c>
      <x:c r="F23" t="inlineStr">
        <x:is>
          <x:t xml:space="preserve">READY</x:t>
        </x:is>
      </x:c>
      <x:c r="G23" t="inlineStr">
        <x:is>
          <x:t xml:space="preserve">expanded common OPD row</x:t>
        </x:is>
      </x:c>
    </x:row>
    <x:row r="24">
      <x:c r="A24" t="inlineStr">
        <x:is>
          <x:t xml:space="preserve">T023</x:t>
        </x:is>
      </x:c>
      <x:c r="B24" t="inlineStr">
        <x:is>
          <x:t xml:space="preserve">joint pain</x:t>
        </x:is>
      </x:c>
      <x:c r="C24" t="inlineStr">
        <x:is>
          <x:t xml:space="preserve">inflammatory_pain_adult</x:t>
        </x:is>
      </x:c>
      <x:c r="D24" t="inlineStr">
        <x:is>
          <x:t xml:space="preserve">FRM0022</x:t>
        </x:is>
      </x:c>
      <x:c r="E24" t="inlineStr">
        <x:is>
          <x:t xml:space="preserve">Inflammatory pain / joint flare</x:t>
        </x:is>
      </x:c>
      <x:c r="F24" t="inlineStr">
        <x:is>
          <x:t xml:space="preserve">READY</x:t>
        </x:is>
      </x:c>
      <x:c r="G24" t="inlineStr">
        <x:is>
          <x:t xml:space="preserve">expanded common OPD row</x:t>
        </x:is>
      </x:c>
    </x:row>
    <x:row r="25">
      <x:c r="A25" t="inlineStr">
        <x:is>
          <x:t xml:space="preserve">T024</x:t>
        </x:is>
      </x:c>
      <x:c r="B25" t="inlineStr">
        <x:is>
          <x:t xml:space="preserve">dry skin</x:t>
        </x:is>
      </x:c>
      <x:c r="C25" t="inlineStr">
        <x:is>
          <x:t xml:space="preserve">dry_skin_adult</x:t>
        </x:is>
      </x:c>
      <x:c r="D25" t="inlineStr">
        <x:is>
          <x:t xml:space="preserve">FRM0023</x:t>
        </x:is>
      </x:c>
      <x:c r="E25" t="inlineStr">
        <x:is>
          <x:t xml:space="preserve">Dry skin / xerosis</x:t>
        </x:is>
      </x:c>
      <x:c r="F25" t="inlineStr">
        <x:is>
          <x:t xml:space="preserve">READY</x:t>
        </x:is>
      </x:c>
      <x:c r="G25" t="inlineStr">
        <x:is>
          <x:t xml:space="preserve">expanded common OPD row</x:t>
        </x:is>
      </x:c>
    </x:row>
    <x:row r="26">
      <x:c r="A26" t="inlineStr">
        <x:is>
          <x:t xml:space="preserve">T025</x:t>
        </x:is>
      </x:c>
      <x:c r="B26" t="inlineStr">
        <x:is>
          <x:t xml:space="preserve">eczema</x:t>
        </x:is>
      </x:c>
      <x:c r="C26" t="inlineStr">
        <x:is>
          <x:t xml:space="preserve">itchy_dermatitis_adult</x:t>
        </x:is>
      </x:c>
      <x:c r="D26" t="inlineStr">
        <x:is>
          <x:t xml:space="preserve">FRM0024</x:t>
        </x:is>
      </x:c>
      <x:c r="E26" t="inlineStr">
        <x:is>
          <x:t xml:space="preserve">Itchy dermatitis / eczema flare</x:t>
        </x:is>
      </x:c>
      <x:c r="F26" t="inlineStr">
        <x:is>
          <x:t xml:space="preserve">READY</x:t>
        </x:is>
      </x:c>
      <x:c r="G26" t="inlineStr">
        <x:is>
          <x:t xml:space="preserve">expanded common OPD row</x:t>
        </x:is>
      </x:c>
    </x:row>
    <x:row r="27">
      <x:c r="A27" t="inlineStr">
        <x:is>
          <x:t xml:space="preserve">T026</x:t>
        </x:is>
      </x:c>
      <x:c r="B27" t="inlineStr">
        <x:is>
          <x:t xml:space="preserve">mosquito bite</x:t>
        </x:is>
      </x:c>
      <x:c r="C27" t="inlineStr">
        <x:is>
          <x:t xml:space="preserve">insect_bite_reaction_adult</x:t>
        </x:is>
      </x:c>
      <x:c r="D27" t="inlineStr">
        <x:is>
          <x:t xml:space="preserve">FRM0025</x:t>
        </x:is>
      </x:c>
      <x:c r="E27" t="inlineStr">
        <x:is>
          <x:t xml:space="preserve">Insect bite reaction / itchy bite</x:t>
        </x:is>
      </x:c>
      <x:c r="F27" t="inlineStr">
        <x:is>
          <x:t xml:space="preserve">READY</x:t>
        </x:is>
      </x:c>
      <x:c r="G27" t="inlineStr">
        <x:is>
          <x:t xml:space="preserve">expanded common OPD row</x:t>
        </x:is>
      </x:c>
    </x:row>
    <x:row r="28">
      <x:c r="A28" t="inlineStr">
        <x:is>
          <x:t xml:space="preserve">T027</x:t>
        </x:is>
      </x:c>
      <x:c r="B28" t="inlineStr">
        <x:is>
          <x:t xml:space="preserve">cold sore</x:t>
        </x:is>
      </x:c>
      <x:c r="C28" t="inlineStr">
        <x:is>
          <x:t xml:space="preserve">herpes_labialis_adult</x:t>
        </x:is>
      </x:c>
      <x:c r="D28" t="inlineStr">
        <x:is>
          <x:t xml:space="preserve">FRM0026</x:t>
        </x:is>
      </x:c>
      <x:c r="E28" t="inlineStr">
        <x:is>
          <x:t xml:space="preserve">Herpes labialis / cold sore</x:t>
        </x:is>
      </x:c>
      <x:c r="F28" t="inlineStr">
        <x:is>
          <x:t xml:space="preserve">READY</x:t>
        </x:is>
      </x:c>
      <x:c r="G28" t="inlineStr">
        <x:is>
          <x:t xml:space="preserve">expanded common OPD row</x:t>
        </x:is>
      </x:c>
    </x:row>
    <x:row r="29">
      <x:c r="A29" t="inlineStr">
        <x:is>
          <x:t xml:space="preserve">T028</x:t>
        </x:is>
      </x:c>
      <x:c r="B29" t="inlineStr">
        <x:is>
          <x:t xml:space="preserve">shingles</x:t>
        </x:is>
      </x:c>
      <x:c r="C29" t="inlineStr">
        <x:is>
          <x:t xml:space="preserve">herpes_zoster_adult</x:t>
        </x:is>
      </x:c>
      <x:c r="D29" t="inlineStr">
        <x:is>
          <x:t xml:space="preserve">FRM0027</x:t>
        </x:is>
      </x:c>
      <x:c r="E29" t="inlineStr">
        <x:is>
          <x:t xml:space="preserve">Herpes zoster / shingles</x:t>
        </x:is>
      </x:c>
      <x:c r="F29" t="inlineStr">
        <x:is>
          <x:t xml:space="preserve">READY</x:t>
        </x:is>
      </x:c>
      <x:c r="G29" t="inlineStr">
        <x:is>
          <x:t xml:space="preserve">expanded common OPD row</x:t>
        </x:is>
      </x:c>
    </x:row>
    <x:row r="30">
      <x:c r="A30" t="inlineStr">
        <x:is>
          <x:t xml:space="preserve">T029</x:t>
        </x:is>
      </x:c>
      <x:c r="B30" t="inlineStr">
        <x:is>
          <x:t xml:space="preserve">fungal rash</x:t>
        </x:is>
      </x:c>
      <x:c r="C30" t="inlineStr">
        <x:is>
          <x:t xml:space="preserve">tinea_pruritic_rash_adult</x:t>
        </x:is>
      </x:c>
      <x:c r="D30" t="inlineStr">
        <x:is>
          <x:t xml:space="preserve">FRM0028</x:t>
        </x:is>
      </x:c>
      <x:c r="E30" t="inlineStr">
        <x:is>
          <x:t xml:space="preserve">Pruritic fungal rash / tinea-type rash</x:t>
        </x:is>
      </x:c>
      <x:c r="F30" t="inlineStr">
        <x:is>
          <x:t xml:space="preserve">READY</x:t>
        </x:is>
      </x:c>
      <x:c r="G30" t="inlineStr">
        <x:is>
          <x:t xml:space="preserve">expanded common OPD row</x:t>
        </x:is>
      </x:c>
    </x:row>
    <x:row r="31">
      <x:c r="A31" t="inlineStr">
        <x:is>
          <x:t xml:space="preserve">T030</x:t>
        </x:is>
      </x:c>
      <x:c r="B31" t="inlineStr">
        <x:is>
          <x:t xml:space="preserve">oral thrush</x:t>
        </x:is>
      </x:c>
      <x:c r="C31" t="inlineStr">
        <x:is>
          <x:t xml:space="preserve">oral_thrush_adult</x:t>
        </x:is>
      </x:c>
      <x:c r="D31" t="inlineStr">
        <x:is>
          <x:t xml:space="preserve">FRM0029</x:t>
        </x:is>
      </x:c>
      <x:c r="E31" t="inlineStr">
        <x:is>
          <x:t xml:space="preserve">Oral thrush / candidiasis</x:t>
        </x:is>
      </x:c>
      <x:c r="F31" t="inlineStr">
        <x:is>
          <x:t xml:space="preserve">READY</x:t>
        </x:is>
      </x:c>
      <x:c r="G31" t="inlineStr">
        <x:is>
          <x:t xml:space="preserve">expanded common OPD row</x:t>
        </x:is>
      </x:c>
    </x:row>
    <x:row r="32">
      <x:c r="A32" t="inlineStr">
        <x:is>
          <x:t xml:space="preserve">T031</x:t>
        </x:is>
      </x:c>
      <x:c r="B32" t="inlineStr">
        <x:is>
          <x:t xml:space="preserve">minor burn</x:t>
        </x:is>
      </x:c>
      <x:c r="C32" t="inlineStr">
        <x:is>
          <x:t xml:space="preserve">minor_burn_adult</x:t>
        </x:is>
      </x:c>
      <x:c r="D32" t="inlineStr">
        <x:is>
          <x:t xml:space="preserve">FRM0030</x:t>
        </x:is>
      </x:c>
      <x:c r="E32" t="inlineStr">
        <x:is>
          <x:t xml:space="preserve">Minor superficial burn / scald</x:t>
        </x:is>
      </x:c>
      <x:c r="F32" t="inlineStr">
        <x:is>
          <x:t xml:space="preserve">READY</x:t>
        </x:is>
      </x:c>
      <x:c r="G32" t="inlineStr">
        <x:is>
          <x:t xml:space="preserve">expanded common OPD row</x:t>
        </x:is>
      </x:c>
    </x:row>
    <x:row r="33">
      <x:c r="A33" t="inlineStr">
        <x:is>
          <x:t xml:space="preserve">T032</x:t>
        </x:is>
      </x:c>
      <x:c r="B33" t="inlineStr">
        <x:is>
          <x:t xml:space="preserve">localized skin infection</x:t>
        </x:is>
      </x:c>
      <x:c r="C33" t="inlineStr">
        <x:is>
          <x:t xml:space="preserve">minor_skin_infection_topical_adult</x:t>
        </x:is>
      </x:c>
      <x:c r="D33" t="inlineStr">
        <x:is>
          <x:t xml:space="preserve">FRM0031</x:t>
        </x:is>
      </x:c>
      <x:c r="E33" t="inlineStr">
        <x:is>
          <x:t xml:space="preserve">Minor localized skin infection</x:t>
        </x:is>
      </x:c>
      <x:c r="F33" t="inlineStr">
        <x:is>
          <x:t xml:space="preserve">READY</x:t>
        </x:is>
      </x:c>
      <x:c r="G33" t="inlineStr">
        <x:is>
          <x:t xml:space="preserve">expanded common OPD row</x:t>
        </x:is>
      </x:c>
    </x:row>
    <x:row r="34">
      <x:c r="A34" t="inlineStr">
        <x:is>
          <x:t xml:space="preserve">T033</x:t>
        </x:is>
      </x:c>
      <x:c r="B34" t="inlineStr">
        <x:is>
          <x:t xml:space="preserve">allergic conjunctivitis</x:t>
        </x:is>
      </x:c>
      <x:c r="C34" t="inlineStr">
        <x:is>
          <x:t xml:space="preserve">allergic_conjunctivitis_adult</x:t>
        </x:is>
      </x:c>
      <x:c r="D34" t="inlineStr">
        <x:is>
          <x:t xml:space="preserve">FRM0032</x:t>
        </x:is>
      </x:c>
      <x:c r="E34" t="inlineStr">
        <x:is>
          <x:t xml:space="preserve">Allergic conjunctivitis</x:t>
        </x:is>
      </x:c>
      <x:c r="F34" t="inlineStr">
        <x:is>
          <x:t xml:space="preserve">READY</x:t>
        </x:is>
      </x:c>
      <x:c r="G34" t="inlineStr">
        <x:is>
          <x:t xml:space="preserve">expanded common OPD row</x:t>
        </x:is>
      </x:c>
    </x:row>
    <x:row r="35">
      <x:c r="A35" t="inlineStr">
        <x:is>
          <x:t xml:space="preserve">T034</x:t>
        </x:is>
      </x:c>
      <x:c r="B35" t="inlineStr">
        <x:is>
          <x:t xml:space="preserve">sinusitis</x:t>
        </x:is>
      </x:c>
      <x:c r="C35" t="inlineStr">
        <x:is>
          <x:t xml:space="preserve">bacterial_sinusitis_adult</x:t>
        </x:is>
      </x:c>
      <x:c r="D35" t="inlineStr">
        <x:is>
          <x:t xml:space="preserve">FRM0033</x:t>
        </x:is>
      </x:c>
      <x:c r="E35" t="inlineStr">
        <x:is>
          <x:t xml:space="preserve">Acute bacterial sinusitis</x:t>
        </x:is>
      </x:c>
      <x:c r="F35" t="inlineStr">
        <x:is>
          <x:t xml:space="preserve">READY</x:t>
        </x:is>
      </x:c>
      <x:c r="G35" t="inlineStr">
        <x:is>
          <x:t xml:space="preserve">expanded common OPD row</x:t>
        </x:is>
      </x:c>
    </x:row>
    <x:row r="36">
      <x:c r="A36" t="inlineStr">
        <x:is>
          <x:t xml:space="preserve">T035</x:t>
        </x:is>
      </x:c>
      <x:c r="B36" t="inlineStr">
        <x:is>
          <x:t xml:space="preserve">tonsillitis</x:t>
        </x:is>
      </x:c>
      <x:c r="C36" t="inlineStr">
        <x:is>
          <x:t xml:space="preserve">bacterial_pharyngitis_adult</x:t>
        </x:is>
      </x:c>
      <x:c r="D36" t="inlineStr">
        <x:is>
          <x:t xml:space="preserve">FRM0034</x:t>
        </x:is>
      </x:c>
      <x:c r="E36" t="inlineStr">
        <x:is>
          <x:t xml:space="preserve">Bacterial pharyngitis / tonsillitis</x:t>
        </x:is>
      </x:c>
      <x:c r="F36" t="inlineStr">
        <x:is>
          <x:t xml:space="preserve">READY</x:t>
        </x:is>
      </x:c>
      <x:c r="G36" t="inlineStr">
        <x:is>
          <x:t xml:space="preserve">expanded common OPD row</x:t>
        </x:is>
      </x:c>
    </x:row>
    <x:row r="37">
      <x:c r="A37" t="inlineStr">
        <x:is>
          <x:t xml:space="preserve">T036</x:t>
        </x:is>
      </x:c>
      <x:c r="B37" t="inlineStr">
        <x:is>
          <x:t xml:space="preserve">nasal wash</x:t>
        </x:is>
      </x:c>
      <x:c r="C37" t="inlineStr">
        <x:is>
          <x:t xml:space="preserve">nasal_irrigation_support_adult</x:t>
        </x:is>
      </x:c>
      <x:c r="D37" t="inlineStr">
        <x:is>
          <x:t xml:space="preserve">FRM0035</x:t>
        </x:is>
      </x:c>
      <x:c r="E37" t="inlineStr">
        <x:is>
          <x:t xml:space="preserve">Nasal irrigation support / saline wash</x:t>
        </x:is>
      </x:c>
      <x:c r="F37" t="inlineStr">
        <x:is>
          <x:t xml:space="preserve">READY</x:t>
        </x:is>
      </x:c>
      <x:c r="G37" t="inlineStr">
        <x:is>
          <x:t xml:space="preserve">expanded common OPD row</x:t>
        </x:is>
      </x:c>
    </x:row>
    <x:row r="38">
      <x:c r="A38" t="inlineStr">
        <x:is>
          <x:t xml:space="preserve">T037</x:t>
        </x:is>
      </x:c>
      <x:c r="B38" t="inlineStr">
        <x:is>
          <x:t xml:space="preserve">artificial tears</x:t>
        </x:is>
      </x:c>
      <x:c r="C38" t="inlineStr">
        <x:is>
          <x:t xml:space="preserve">eye_lubrication_adult</x:t>
        </x:is>
      </x:c>
      <x:c r="D38" t="inlineStr">
        <x:is>
          <x:t xml:space="preserve">FRM0036</x:t>
        </x:is>
      </x:c>
      <x:c r="E38" t="inlineStr">
        <x:is>
          <x:t xml:space="preserve">Eye lubrication support</x:t>
        </x:is>
      </x:c>
      <x:c r="F38" t="inlineStr">
        <x:is>
          <x:t xml:space="preserve">READY</x:t>
        </x:is>
      </x:c>
      <x:c r="G38" t="inlineStr">
        <x:is>
          <x:t xml:space="preserve">expanded common OPD row</x:t>
        </x:is>
      </x:c>
    </x:row>
    <x:row r="39">
      <x:c r="A39" t="inlineStr">
        <x:is>
          <x:t xml:space="preserve">T038</x:t>
        </x:is>
      </x:c>
      <x:c r="B39" t="inlineStr">
        <x:is>
          <x:t xml:space="preserve">joint pain spray</x:t>
        </x:is>
      </x:c>
      <x:c r="C39" t="inlineStr">
        <x:is>
          <x:t xml:space="preserve">joint_pain_topical_support_adult</x:t>
        </x:is>
      </x:c>
      <x:c r="D39" t="inlineStr">
        <x:is>
          <x:t xml:space="preserve">FRM0037</x:t>
        </x:is>
      </x:c>
      <x:c r="E39" t="inlineStr">
        <x:is>
          <x:t xml:space="preserve">Joint pain topical support</x:t>
        </x:is>
      </x:c>
      <x:c r="F39" t="inlineStr">
        <x:is>
          <x:t xml:space="preserve">READY</x:t>
        </x:is>
      </x:c>
      <x:c r="G39" t="inlineStr">
        <x:is>
          <x:t xml:space="preserve">expanded common OPD row</x:t>
        </x:is>
      </x:c>
    </x:row>
    <x:row r="40">
      <x:c r="A40" t="inlineStr">
        <x:is>
          <x:t xml:space="preserve">T039</x:t>
        </x:is>
      </x:c>
      <x:c r="B40" t="inlineStr">
        <x:is>
          <x:t xml:space="preserve">belching</x:t>
        </x:is>
      </x:c>
      <x:c r="C40" t="inlineStr">
        <x:is>
          <x:t xml:space="preserve">gas_belching_adult</x:t>
        </x:is>
      </x:c>
      <x:c r="D40" t="inlineStr">
        <x:is>
          <x:t xml:space="preserve">FRM0038</x:t>
        </x:is>
      </x:c>
      <x:c r="E40" t="inlineStr">
        <x:is>
          <x:t xml:space="preserve">Gas / belching dyspepsia-type bloating</x:t>
        </x:is>
      </x:c>
      <x:c r="F40" t="inlineStr">
        <x:is>
          <x:t xml:space="preserve">READY</x:t>
        </x:is>
      </x:c>
      <x:c r="G40" t="inlineStr">
        <x:is>
          <x:t xml:space="preserve">expanded common OPD row</x:t>
        </x:is>
      </x:c>
    </x:row>
    <x:row r="41">
      <x:c r="A41" t="inlineStr">
        <x:is>
          <x:t xml:space="preserve">T040</x:t>
        </x:is>
      </x:c>
      <x:c r="B41" t="inlineStr">
        <x:is>
          <x:t xml:space="preserve">burn aftercare</x:t>
        </x:is>
      </x:c>
      <x:c r="C41" t="inlineStr">
        <x:is>
          <x:t xml:space="preserve">burn_aftercare_minor_adult</x:t>
        </x:is>
      </x:c>
      <x:c r="D41" t="inlineStr">
        <x:is>
          <x:t xml:space="preserve">FRM0039</x:t>
        </x:is>
      </x:c>
      <x:c r="E41" t="inlineStr">
        <x:is>
          <x:t xml:space="preserve">Minor burn aftercare</x:t>
        </x:is>
      </x:c>
      <x:c r="F41" t="inlineStr">
        <x:is>
          <x:t xml:space="preserve">READY</x:t>
        </x:is>
      </x:c>
      <x:c r="G41" t="inlineStr">
        <x:is>
          <x:t xml:space="preserve">expanded common OPD row</x:t>
        </x:is>
      </x:c>
    </x:row>
    <x:row r="42">
      <x:c r="A42" t="inlineStr">
        <x:is>
          <x:t xml:space="preserve">T041</x:t>
        </x:is>
      </x:c>
      <x:c r="B42" t="inlineStr">
        <x:is>
          <x:t xml:space="preserve">localized itchy rash</x:t>
        </x:is>
      </x:c>
      <x:c r="C42" t="inlineStr">
        <x:is>
          <x:t xml:space="preserve">itchy_localized_rash_adult</x:t>
        </x:is>
      </x:c>
      <x:c r="D42" t="inlineStr">
        <x:is>
          <x:t xml:space="preserve">FRM0040</x:t>
        </x:is>
      </x:c>
      <x:c r="E42" t="inlineStr">
        <x:is>
          <x:t xml:space="preserve">Localized itchy rash</x:t>
        </x:is>
      </x:c>
      <x:c r="F42" t="inlineStr">
        <x:is>
          <x:t xml:space="preserve">READY</x:t>
        </x:is>
      </x:c>
      <x:c r="G42" t="inlineStr">
        <x:is>
          <x:t xml:space="preserve">expanded common OPD row</x:t>
        </x:is>
      </x:c>
    </x:row>
    <x:row r="43">
      <x:c r="A43" t="inlineStr">
        <x:is>
          <x:t xml:space="preserve">T042</x:t>
        </x:is>
      </x:c>
      <x:c r="B43" t="inlineStr">
        <x:is>
          <x:t xml:space="preserve">allergic rhinitis with congestion</x:t>
        </x:is>
      </x:c>
      <x:c r="C43" t="inlineStr">
        <x:is>
          <x:t xml:space="preserve">allergic_rhinitis_congestion_adult</x:t>
        </x:is>
      </x:c>
      <x:c r="D43" t="inlineStr">
        <x:is>
          <x:t xml:space="preserve">FRM0041</x:t>
        </x:is>
      </x:c>
      <x:c r="E43" t="inlineStr">
        <x:is>
          <x:t xml:space="preserve">Allergic rhinitis with congestion</x:t>
        </x:is>
      </x:c>
      <x:c r="F43" t="inlineStr">
        <x:is>
          <x:t xml:space="preserve">READY</x:t>
        </x:is>
      </x:c>
      <x:c r="G43" t="inlineStr">
        <x:is>
          <x:t xml:space="preserve">v3 added</x:t>
        </x:is>
      </x:c>
    </x:row>
    <x:row r="44">
      <x:c r="A44" t="inlineStr">
        <x:is>
          <x:t xml:space="preserve">T043</x:t>
        </x:is>
      </x:c>
      <x:c r="B44" t="inlineStr">
        <x:is>
          <x:t xml:space="preserve">runny nose and sneezing</x:t>
        </x:is>
      </x:c>
      <x:c r="C44" t="inlineStr">
        <x:is>
          <x:t xml:space="preserve">uri_sneezing_runny_nose_adult</x:t>
        </x:is>
      </x:c>
      <x:c r="D44" t="inlineStr">
        <x:is>
          <x:t xml:space="preserve">FRM0042</x:t>
        </x:is>
      </x:c>
      <x:c r="E44" t="inlineStr">
        <x:is>
          <x:t xml:space="preserve">Viral URI with sneezing / runny nose</x:t>
        </x:is>
      </x:c>
      <x:c r="F44" t="inlineStr">
        <x:is>
          <x:t xml:space="preserve">READY</x:t>
        </x:is>
      </x:c>
      <x:c r="G44" t="inlineStr">
        <x:is>
          <x:t xml:space="preserve">v3 added</x:t>
        </x:is>
      </x:c>
    </x:row>
    <x:row r="45">
      <x:c r="A45" t="inlineStr">
        <x:is>
          <x:t xml:space="preserve">T044</x:t>
        </x:is>
      </x:c>
      <x:c r="B45" t="inlineStr">
        <x:is>
          <x:t xml:space="preserve">viral pharyngitis</x:t>
        </x:is>
      </x:c>
      <x:c r="C45" t="inlineStr">
        <x:is>
          <x:t xml:space="preserve">acute_pharyngitis_viral_adult</x:t>
        </x:is>
      </x:c>
      <x:c r="D45" t="inlineStr">
        <x:is>
          <x:t xml:space="preserve">FRM0043</x:t>
        </x:is>
      </x:c>
      <x:c r="E45" t="inlineStr">
        <x:is>
          <x:t xml:space="preserve">Acute viral pharyngitis</x:t>
        </x:is>
      </x:c>
      <x:c r="F45" t="inlineStr">
        <x:is>
          <x:t xml:space="preserve">READY</x:t>
        </x:is>
      </x:c>
      <x:c r="G45" t="inlineStr">
        <x:is>
          <x:t xml:space="preserve">v3 added</x:t>
        </x:is>
      </x:c>
    </x:row>
    <x:row r="46">
      <x:c r="A46" t="inlineStr">
        <x:is>
          <x:t xml:space="preserve">T045</x:t>
        </x:is>
      </x:c>
      <x:c r="B46" t="inlineStr">
        <x:is>
          <x:t xml:space="preserve">postnasal drip cough</x:t>
        </x:is>
      </x:c>
      <x:c r="C46" t="inlineStr">
        <x:is>
          <x:t xml:space="preserve">postnasal_drip_cough_adult</x:t>
        </x:is>
      </x:c>
      <x:c r="D46" t="inlineStr">
        <x:is>
          <x:t xml:space="preserve">FRM0044</x:t>
        </x:is>
      </x:c>
      <x:c r="E46" t="inlineStr">
        <x:is>
          <x:t xml:space="preserve">Postnasal drip / upper airway cough syndrome</x:t>
        </x:is>
      </x:c>
      <x:c r="F46" t="inlineStr">
        <x:is>
          <x:t xml:space="preserve">READY</x:t>
        </x:is>
      </x:c>
      <x:c r="G46" t="inlineStr">
        <x:is>
          <x:t xml:space="preserve">v3 added</x:t>
        </x:is>
      </x:c>
    </x:row>
    <x:row r="47">
      <x:c r="A47" t="inlineStr">
        <x:is>
          <x:t xml:space="preserve">T046</x:t>
        </x:is>
      </x:c>
      <x:c r="B47" t="inlineStr">
        <x:is>
          <x:t xml:space="preserve">post viral cough</x:t>
        </x:is>
      </x:c>
      <x:c r="C47" t="inlineStr">
        <x:is>
          <x:t xml:space="preserve">post_viral_cough_adult</x:t>
        </x:is>
      </x:c>
      <x:c r="D47" t="inlineStr">
        <x:is>
          <x:t xml:space="preserve">FRM0045</x:t>
        </x:is>
      </x:c>
      <x:c r="E47" t="inlineStr">
        <x:is>
          <x:t xml:space="preserve">Post-viral cough</x:t>
        </x:is>
      </x:c>
      <x:c r="F47" t="inlineStr">
        <x:is>
          <x:t xml:space="preserve">READY</x:t>
        </x:is>
      </x:c>
      <x:c r="G47" t="inlineStr">
        <x:is>
          <x:t xml:space="preserve">v3 added</x:t>
        </x:is>
      </x:c>
    </x:row>
    <x:row r="48">
      <x:c r="A48" t="inlineStr">
        <x:is>
          <x:t xml:space="preserve">T047</x:t>
        </x:is>
      </x:c>
      <x:c r="B48" t="inlineStr">
        <x:is>
          <x:t xml:space="preserve">laryngitis</x:t>
        </x:is>
      </x:c>
      <x:c r="C48" t="inlineStr">
        <x:is>
          <x:t xml:space="preserve">laryngitis_irritation_adult</x:t>
        </x:is>
      </x:c>
      <x:c r="D48" t="inlineStr">
        <x:is>
          <x:t xml:space="preserve">FRM0046</x:t>
        </x:is>
      </x:c>
      <x:c r="E48" t="inlineStr">
        <x:is>
          <x:t xml:space="preserve">Laryngitis / voice irritation</x:t>
        </x:is>
      </x:c>
      <x:c r="F48" t="inlineStr">
        <x:is>
          <x:t xml:space="preserve">READY</x:t>
        </x:is>
      </x:c>
      <x:c r="G48" t="inlineStr">
        <x:is>
          <x:t xml:space="preserve">v3 added</x:t>
        </x:is>
      </x:c>
    </x:row>
    <x:row r="49">
      <x:c r="A49" t="inlineStr">
        <x:is>
          <x:t xml:space="preserve">T048</x:t>
        </x:is>
      </x:c>
      <x:c r="B49" t="inlineStr">
        <x:is>
          <x:t xml:space="preserve">gastroenteritis</x:t>
        </x:is>
      </x:c>
      <x:c r="C49" t="inlineStr">
        <x:is>
          <x:t xml:space="preserve">gastroenteritis_mild_adult</x:t>
        </x:is>
      </x:c>
      <x:c r="D49" t="inlineStr">
        <x:is>
          <x:t xml:space="preserve">FRM0047</x:t>
        </x:is>
      </x:c>
      <x:c r="E49" t="inlineStr">
        <x:is>
          <x:t xml:space="preserve">Mild viral gastroenteritis</x:t>
        </x:is>
      </x:c>
      <x:c r="F49" t="inlineStr">
        <x:is>
          <x:t xml:space="preserve">READY</x:t>
        </x:is>
      </x:c>
      <x:c r="G49" t="inlineStr">
        <x:is>
          <x:t xml:space="preserve">v3 added</x:t>
        </x:is>
      </x:c>
    </x:row>
    <x:row r="50">
      <x:c r="A50" t="inlineStr">
        <x:is>
          <x:t xml:space="preserve">T049</x:t>
        </x:is>
      </x:c>
      <x:c r="B50" t="inlineStr">
        <x:is>
          <x:t xml:space="preserve">traveler diarrhea</x:t>
        </x:is>
      </x:c>
      <x:c r="C50" t="inlineStr">
        <x:is>
          <x:t xml:space="preserve">traveler_diarrhea_support_adult</x:t>
        </x:is>
      </x:c>
      <x:c r="D50" t="inlineStr">
        <x:is>
          <x:t xml:space="preserve">FRM0048</x:t>
        </x:is>
      </x:c>
      <x:c r="E50" t="inlineStr">
        <x:is>
          <x:t xml:space="preserve">Traveler diarrhea support (mild, non-bloody)</x:t>
        </x:is>
      </x:c>
      <x:c r="F50" t="inlineStr">
        <x:is>
          <x:t xml:space="preserve">READY</x:t>
        </x:is>
      </x:c>
      <x:c r="G50" t="inlineStr">
        <x:is>
          <x:t xml:space="preserve">v3 added</x:t>
        </x:is>
      </x:c>
    </x:row>
    <x:row r="51">
      <x:c r="A51" t="inlineStr">
        <x:is>
          <x:t xml:space="preserve">T050</x:t>
        </x:is>
      </x:c>
      <x:c r="B51" t="inlineStr">
        <x:is>
          <x:t xml:space="preserve">functional bloating</x:t>
        </x:is>
      </x:c>
      <x:c r="C51" t="inlineStr">
        <x:is>
          <x:t xml:space="preserve">functional_bloating_adult</x:t>
        </x:is>
      </x:c>
      <x:c r="D51" t="inlineStr">
        <x:is>
          <x:t xml:space="preserve">FRM0049</x:t>
        </x:is>
      </x:c>
      <x:c r="E51" t="inlineStr">
        <x:is>
          <x:t xml:space="preserve">Functional bloating / flatulence</x:t>
        </x:is>
      </x:c>
      <x:c r="F51" t="inlineStr">
        <x:is>
          <x:t xml:space="preserve">READY</x:t>
        </x:is>
      </x:c>
      <x:c r="G51" t="inlineStr">
        <x:is>
          <x:t xml:space="preserve">v3 added</x:t>
        </x:is>
      </x:c>
    </x:row>
    <x:row r="52">
      <x:c r="A52" t="inlineStr">
        <x:is>
          <x:t xml:space="preserve">T051</x:t>
        </x:is>
      </x:c>
      <x:c r="B52" t="inlineStr">
        <x:is>
          <x:t xml:space="preserve">dyspepsia gas</x:t>
        </x:is>
      </x:c>
      <x:c r="C52" t="inlineStr">
        <x:is>
          <x:t xml:space="preserve">dyspepsia_gas_adult</x:t>
        </x:is>
      </x:c>
      <x:c r="D52" t="inlineStr">
        <x:is>
          <x:t xml:space="preserve">FRM0050</x:t>
        </x:is>
      </x:c>
      <x:c r="E52" t="inlineStr">
        <x:is>
          <x:t xml:space="preserve">Dyspeptic gas / post-meal belching</x:t>
        </x:is>
      </x:c>
      <x:c r="F52" t="inlineStr">
        <x:is>
          <x:t xml:space="preserve">READY</x:t>
        </x:is>
      </x:c>
      <x:c r="G52" t="inlineStr">
        <x:is>
          <x:t xml:space="preserve">v3 added</x:t>
        </x:is>
      </x:c>
    </x:row>
    <x:row r="53">
      <x:c r="A53" t="inlineStr">
        <x:is>
          <x:t xml:space="preserve">T052</x:t>
        </x:is>
      </x:c>
      <x:c r="B53" t="inlineStr">
        <x:is>
          <x:t xml:space="preserve">neck shoulder pain</x:t>
        </x:is>
      </x:c>
      <x:c r="C53" t="inlineStr">
        <x:is>
          <x:t xml:space="preserve">neck_shoulder_strain_adult</x:t>
        </x:is>
      </x:c>
      <x:c r="D53" t="inlineStr">
        <x:is>
          <x:t xml:space="preserve">FRM0051</x:t>
        </x:is>
      </x:c>
      <x:c r="E53" t="inlineStr">
        <x:is>
          <x:t xml:space="preserve">Neck / shoulder strain</x:t>
        </x:is>
      </x:c>
      <x:c r="F53" t="inlineStr">
        <x:is>
          <x:t xml:space="preserve">READY</x:t>
        </x:is>
      </x:c>
      <x:c r="G53" t="inlineStr">
        <x:is>
          <x:t xml:space="preserve">v3 added</x:t>
        </x:is>
      </x:c>
    </x:row>
    <x:row r="54">
      <x:c r="A54" t="inlineStr">
        <x:is>
          <x:t xml:space="preserve">T053</x:t>
        </x:is>
      </x:c>
      <x:c r="B54" t="inlineStr">
        <x:is>
          <x:t xml:space="preserve">low back pain</x:t>
        </x:is>
      </x:c>
      <x:c r="C54" t="inlineStr">
        <x:is>
          <x:t xml:space="preserve">low_back_pain_simple_adult</x:t>
        </x:is>
      </x:c>
      <x:c r="D54" t="inlineStr">
        <x:is>
          <x:t xml:space="preserve">FRM0052</x:t>
        </x:is>
      </x:c>
      <x:c r="E54" t="inlineStr">
        <x:is>
          <x:t xml:space="preserve">Simple low back pain</x:t>
        </x:is>
      </x:c>
      <x:c r="F54" t="inlineStr">
        <x:is>
          <x:t xml:space="preserve">READY</x:t>
        </x:is>
      </x:c>
      <x:c r="G54" t="inlineStr">
        <x:is>
          <x:t xml:space="preserve">v3 added</x:t>
        </x:is>
      </x:c>
    </x:row>
    <x:row r="55">
      <x:c r="A55" t="inlineStr">
        <x:is>
          <x:t xml:space="preserve">T054</x:t>
        </x:is>
      </x:c>
      <x:c r="B55" t="inlineStr">
        <x:is>
          <x:t xml:space="preserve">sprain</x:t>
        </x:is>
      </x:c>
      <x:c r="C55" t="inlineStr">
        <x:is>
          <x:t xml:space="preserve">sprain_strain_mild_adult</x:t>
        </x:is>
      </x:c>
      <x:c r="D55" t="inlineStr">
        <x:is>
          <x:t xml:space="preserve">FRM0053</x:t>
        </x:is>
      </x:c>
      <x:c r="E55" t="inlineStr">
        <x:is>
          <x:t xml:space="preserve">Mild sprain / strain</x:t>
        </x:is>
      </x:c>
      <x:c r="F55" t="inlineStr">
        <x:is>
          <x:t xml:space="preserve">READY</x:t>
        </x:is>
      </x:c>
      <x:c r="G55" t="inlineStr">
        <x:is>
          <x:t xml:space="preserve">v3 added</x:t>
        </x:is>
      </x:c>
    </x:row>
    <x:row r="56">
      <x:c r="A56" t="inlineStr">
        <x:is>
          <x:t xml:space="preserve">T055</x:t>
        </x:is>
      </x:c>
      <x:c r="B56" t="inlineStr">
        <x:is>
          <x:t xml:space="preserve">knee pain</x:t>
        </x:is>
      </x:c>
      <x:c r="C56" t="inlineStr">
        <x:is>
          <x:t xml:space="preserve">knee_joint_pain_adult</x:t>
        </x:is>
      </x:c>
      <x:c r="D56" t="inlineStr">
        <x:is>
          <x:t xml:space="preserve">FRM0054</x:t>
        </x:is>
      </x:c>
      <x:c r="E56" t="inlineStr">
        <x:is>
          <x:t xml:space="preserve">Knee / localized joint pain</x:t>
        </x:is>
      </x:c>
      <x:c r="F56" t="inlineStr">
        <x:is>
          <x:t xml:space="preserve">READY</x:t>
        </x:is>
      </x:c>
      <x:c r="G56" t="inlineStr">
        <x:is>
          <x:t xml:space="preserve">v3 added</x:t>
        </x:is>
      </x:c>
    </x:row>
    <x:row r="57">
      <x:c r="A57" t="inlineStr">
        <x:is>
          <x:t xml:space="preserve">T056</x:t>
        </x:is>
      </x:c>
      <x:c r="B57" t="inlineStr">
        <x:is>
          <x:t xml:space="preserve">contact dermatitis</x:t>
        </x:is>
      </x:c>
      <x:c r="C57" t="inlineStr">
        <x:is>
          <x:t xml:space="preserve">contact_dermatitis_adult</x:t>
        </x:is>
      </x:c>
      <x:c r="D57" t="inlineStr">
        <x:is>
          <x:t xml:space="preserve">FRM0055</x:t>
        </x:is>
      </x:c>
      <x:c r="E57" t="inlineStr">
        <x:is>
          <x:t xml:space="preserve">Contact dermatitis / irritant rash</x:t>
        </x:is>
      </x:c>
      <x:c r="F57" t="inlineStr">
        <x:is>
          <x:t xml:space="preserve">READY</x:t>
        </x:is>
      </x:c>
      <x:c r="G57" t="inlineStr">
        <x:is>
          <x:t xml:space="preserve">v3 added</x:t>
        </x:is>
      </x:c>
    </x:row>
    <x:row r="58">
      <x:c r="A58" t="inlineStr">
        <x:is>
          <x:t xml:space="preserve">T057</x:t>
        </x:is>
      </x:c>
      <x:c r="B58" t="inlineStr">
        <x:is>
          <x:t xml:space="preserve">urticaria</x:t>
        </x:is>
      </x:c>
      <x:c r="C58" t="inlineStr">
        <x:is>
          <x:t xml:space="preserve">urticaria_mild_adult</x:t>
        </x:is>
      </x:c>
      <x:c r="D58" t="inlineStr">
        <x:is>
          <x:t xml:space="preserve">FRM0056</x:t>
        </x:is>
      </x:c>
      <x:c r="E58" t="inlineStr">
        <x:is>
          <x:t xml:space="preserve">Mild urticaria / hives</x:t>
        </x:is>
      </x:c>
      <x:c r="F58" t="inlineStr">
        <x:is>
          <x:t xml:space="preserve">READY</x:t>
        </x:is>
      </x:c>
      <x:c r="G58" t="inlineStr">
        <x:is>
          <x:t xml:space="preserve">v3 added</x:t>
        </x:is>
      </x:c>
    </x:row>
    <x:row r="59">
      <x:c r="A59" t="inlineStr">
        <x:is>
          <x:t xml:space="preserve">T058</x:t>
        </x:is>
      </x:c>
      <x:c r="B59" t="inlineStr">
        <x:is>
          <x:t xml:space="preserve">localized pruritus</x:t>
        </x:is>
      </x:c>
      <x:c r="C59" t="inlineStr">
        <x:is>
          <x:t xml:space="preserve">pruritus_localized_adult</x:t>
        </x:is>
      </x:c>
      <x:c r="D59" t="inlineStr">
        <x:is>
          <x:t xml:space="preserve">FRM0057</x:t>
        </x:is>
      </x:c>
      <x:c r="E59" t="inlineStr">
        <x:is>
          <x:t xml:space="preserve">Localized pruritus</x:t>
        </x:is>
      </x:c>
      <x:c r="F59" t="inlineStr">
        <x:is>
          <x:t xml:space="preserve">READY</x:t>
        </x:is>
      </x:c>
      <x:c r="G59" t="inlineStr">
        <x:is>
          <x:t xml:space="preserve">v3 added</x:t>
        </x:is>
      </x:c>
    </x:row>
    <x:row r="60">
      <x:c r="A60" t="inlineStr">
        <x:is>
          <x:t xml:space="preserve">T059</x:t>
        </x:is>
      </x:c>
      <x:c r="B60" t="inlineStr">
        <x:is>
          <x:t xml:space="preserve">tinea corporis</x:t>
        </x:is>
      </x:c>
      <x:c r="C60" t="inlineStr">
        <x:is>
          <x:t xml:space="preserve">tinea_corporis_localized_adult</x:t>
        </x:is>
      </x:c>
      <x:c r="D60" t="inlineStr">
        <x:is>
          <x:t xml:space="preserve">FRM0058</x:t>
        </x:is>
      </x:c>
      <x:c r="E60" t="inlineStr">
        <x:is>
          <x:t xml:space="preserve">Localized tinea corporis / fungal rash</x:t>
        </x:is>
      </x:c>
      <x:c r="F60" t="inlineStr">
        <x:is>
          <x:t xml:space="preserve">READY</x:t>
        </x:is>
      </x:c>
      <x:c r="G60" t="inlineStr">
        <x:is>
          <x:t xml:space="preserve">v3 added</x:t>
        </x:is>
      </x:c>
    </x:row>
    <x:row r="61">
      <x:c r="A61" t="inlineStr">
        <x:is>
          <x:t xml:space="preserve">T060</x:t>
        </x:is>
      </x:c>
      <x:c r="B61" t="inlineStr">
        <x:is>
          <x:t xml:space="preserve">impetigo</x:t>
        </x:is>
      </x:c>
      <x:c r="C61" t="inlineStr">
        <x:is>
          <x:t xml:space="preserve">impetigo_localized_adult</x:t>
        </x:is>
      </x:c>
      <x:c r="D61" t="inlineStr">
        <x:is>
          <x:t xml:space="preserve">FRM0059</x:t>
        </x:is>
      </x:c>
      <x:c r="E61" t="inlineStr">
        <x:is>
          <x:t xml:space="preserve">Localized impetigo / superficial bacterial skin lesion</x:t>
        </x:is>
      </x:c>
      <x:c r="F61" t="inlineStr">
        <x:is>
          <x:t xml:space="preserve">READY</x:t>
        </x:is>
      </x:c>
      <x:c r="G61" t="inlineStr">
        <x:is>
          <x:t xml:space="preserve">v3 added</x:t>
        </x:is>
      </x:c>
    </x:row>
    <x:row r="62">
      <x:c r="A62" t="inlineStr">
        <x:is>
          <x:t xml:space="preserve">T061</x:t>
        </x:is>
      </x:c>
      <x:c r="B62" t="inlineStr">
        <x:is>
          <x:t xml:space="preserve">minor wound care</x:t>
        </x:is>
      </x:c>
      <x:c r="C62" t="inlineStr">
        <x:is>
          <x:t xml:space="preserve">minor_wound_care_adult</x:t>
        </x:is>
      </x:c>
      <x:c r="D62" t="inlineStr">
        <x:is>
          <x:t xml:space="preserve">FRM0060</x:t>
        </x:is>
      </x:c>
      <x:c r="E62" t="inlineStr">
        <x:is>
          <x:t xml:space="preserve">Minor wound care support</x:t>
        </x:is>
      </x:c>
      <x:c r="F62" t="inlineStr">
        <x:is>
          <x:t xml:space="preserve">READY</x:t>
        </x:is>
      </x:c>
      <x:c r="G62" t="inlineStr">
        <x:is>
          <x:t xml:space="preserve">v3 added</x:t>
        </x:is>
      </x:c>
    </x:row>
    <x:row r="63">
      <x:c r="A63" t="inlineStr">
        <x:is>
          <x:t xml:space="preserve">T062</x:t>
        </x:is>
      </x:c>
      <x:c r="B63" t="inlineStr">
        <x:is>
          <x:t xml:space="preserve">screen related dry eye</x:t>
        </x:is>
      </x:c>
      <x:c r="C63" t="inlineStr">
        <x:is>
          <x:t xml:space="preserve">screen_related_dry_eye_adult</x:t>
        </x:is>
      </x:c>
      <x:c r="D63" t="inlineStr">
        <x:is>
          <x:t xml:space="preserve">FRM0061</x:t>
        </x:is>
      </x:c>
      <x:c r="E63" t="inlineStr">
        <x:is>
          <x:t xml:space="preserve">Screen-related dry eye</x:t>
        </x:is>
      </x:c>
      <x:c r="F63" t="inlineStr">
        <x:is>
          <x:t xml:space="preserve">READY</x:t>
        </x:is>
      </x:c>
      <x:c r="G63" t="inlineStr">
        <x:is>
          <x:t xml:space="preserve">v3 added</x:t>
        </x:is>
      </x:c>
    </x:row>
    <x:row r="64">
      <x:c r="A64" t="inlineStr">
        <x:is>
          <x:t xml:space="preserve">T063</x:t>
        </x:is>
      </x:c>
      <x:c r="B64" t="inlineStr">
        <x:is>
          <x:t xml:space="preserve">aphthous ulcer</x:t>
        </x:is>
      </x:c>
      <x:c r="C64" t="inlineStr">
        <x:is>
          <x:t xml:space="preserve">aphthous_ulcer_pain_adult</x:t>
        </x:is>
      </x:c>
      <x:c r="D64" t="inlineStr">
        <x:is>
          <x:t xml:space="preserve">FRM0062</x:t>
        </x:is>
      </x:c>
      <x:c r="E64" t="inlineStr">
        <x:is>
          <x:t xml:space="preserve">Painful aphthous ulcer support</x:t>
        </x:is>
      </x:c>
      <x:c r="F64" t="inlineStr">
        <x:is>
          <x:t xml:space="preserve">READY</x:t>
        </x:is>
      </x:c>
      <x:c r="G64" t="inlineStr">
        <x:is>
          <x:t xml:space="preserve">v3 added</x:t>
        </x:is>
      </x:c>
    </x:row>
    <x:row r="65">
      <x:c r="A65" t="inlineStr">
        <x:is>
          <x:t xml:space="preserve">T064</x:t>
        </x:is>
      </x:c>
      <x:c r="B65" t="inlineStr">
        <x:is>
          <x:t xml:space="preserve">nasal dryness</x:t>
        </x:is>
      </x:c>
      <x:c r="C65" t="inlineStr">
        <x:is>
          <x:t xml:space="preserve">nasal_dryness_irritation_adult</x:t>
        </x:is>
      </x:c>
      <x:c r="D65" t="inlineStr">
        <x:is>
          <x:t xml:space="preserve">FRM0063</x:t>
        </x:is>
      </x:c>
      <x:c r="E65" t="inlineStr">
        <x:is>
          <x:t xml:space="preserve">Nasal dryness / irritation</x:t>
        </x:is>
      </x:c>
      <x:c r="F65" t="inlineStr">
        <x:is>
          <x:t xml:space="preserve">READY</x:t>
        </x:is>
      </x:c>
      <x:c r="G65" t="inlineStr">
        <x:is>
          <x:t xml:space="preserve">v3 added</x:t>
        </x:is>
      </x:c>
    </x:row>
    <x:row r="66">
      <x:c r="A66" t="inlineStr">
        <x:is>
          <x:t xml:space="preserve">T065</x:t>
        </x:is>
      </x:c>
      <x:c r="B66" t="inlineStr">
        <x:is>
          <x:t xml:space="preserve">mild wet cough support</x:t>
        </x:is>
      </x:c>
      <x:c r="C66" t="inlineStr">
        <x:is>
          <x:t xml:space="preserve">mild_mucolytic_support_adult</x:t>
        </x:is>
      </x:c>
      <x:c r="D66" t="inlineStr">
        <x:is>
          <x:t xml:space="preserve">FRM0064</x:t>
        </x:is>
      </x:c>
      <x:c r="E66" t="inlineStr">
        <x:is>
          <x:t xml:space="preserve">Mild wet cough / sputum support</x:t>
        </x:is>
      </x:c>
      <x:c r="F66" t="inlineStr">
        <x:is>
          <x:t xml:space="preserve">READY</x:t>
        </x:is>
      </x:c>
      <x:c r="G66" t="inlineStr">
        <x:is>
          <x:t xml:space="preserve">v3 added</x:t>
        </x:is>
      </x:c>
    </x:row>
    <x:row r="67">
      <x:c r="A67" t="inlineStr">
        <x:is>
          <x:t xml:space="preserve">T066</x:t>
        </x:is>
      </x:c>
      <x:c r="B67" t="inlineStr">
        <x:is>
          <x:t xml:space="preserve">tonsil irritation</x:t>
        </x:is>
      </x:c>
      <x:c r="C67" t="inlineStr">
        <x:is>
          <x:t xml:space="preserve">tonsillar_inflammation_support_adult</x:t>
        </x:is>
      </x:c>
      <x:c r="D67" t="inlineStr">
        <x:is>
          <x:t xml:space="preserve">FRM0065</x:t>
        </x:is>
      </x:c>
      <x:c r="E67" t="inlineStr">
        <x:is>
          <x:t xml:space="preserve">Tonsillar inflammation support (non-bacterial pattern)</x:t>
        </x:is>
      </x:c>
      <x:c r="F67" t="inlineStr">
        <x:is>
          <x:t xml:space="preserve">READY</x:t>
        </x:is>
      </x:c>
      <x:c r="G67" t="inlineStr">
        <x:is>
          <x:t xml:space="preserve">v3 added</x:t>
        </x:is>
      </x:c>
    </x:row>
    <x:row r="68">
      <x:c r="A68" t="inlineStr">
        <x:is>
          <x:t xml:space="preserve">T067</x:t>
        </x:is>
      </x:c>
      <x:c r="B68" t="inlineStr">
        <x:is>
          <x:t xml:space="preserve">dry itchy eczema</x:t>
        </x:is>
      </x:c>
      <x:c r="C68" t="inlineStr">
        <x:is>
          <x:t xml:space="preserve">eczema_dry_pruritic_adult</x:t>
        </x:is>
      </x:c>
      <x:c r="D68" t="inlineStr">
        <x:is>
          <x:t xml:space="preserve">FRM0066</x:t>
        </x:is>
      </x:c>
      <x:c r="E68" t="inlineStr">
        <x:is>
          <x:t xml:space="preserve">Dry pruritic eczema</x:t>
        </x:is>
      </x:c>
      <x:c r="F68" t="inlineStr">
        <x:is>
          <x:t xml:space="preserve">READY</x:t>
        </x:is>
      </x:c>
      <x:c r="G68" t="inlineStr">
        <x:is>
          <x:t xml:space="preserve">v3 added</x:t>
        </x:is>
      </x:c>
    </x:row>
    <x:row r="69">
      <x:c r="A69" t="inlineStr">
        <x:is>
          <x:t xml:space="preserve">T068</x:t>
        </x:is>
      </x:c>
      <x:c r="B69" t="inlineStr">
        <x:is>
          <x:t xml:space="preserve">localized muscle ache</x:t>
        </x:is>
      </x:c>
      <x:c r="C69" t="inlineStr">
        <x:is>
          <x:t xml:space="preserve">localized_muscle_ache_support_adult</x:t>
        </x:is>
      </x:c>
      <x:c r="D69" t="inlineStr">
        <x:is>
          <x:t xml:space="preserve">FRM0067</x:t>
        </x:is>
      </x:c>
      <x:c r="E69" t="inlineStr">
        <x:is>
          <x:t xml:space="preserve">Localized muscle ache support</x:t>
        </x:is>
      </x:c>
      <x:c r="F69" t="inlineStr">
        <x:is>
          <x:t xml:space="preserve">READY</x:t>
        </x:is>
      </x:c>
      <x:c r="G69" t="inlineStr">
        <x:is>
          <x:t xml:space="preserve">v3 added</x:t>
        </x:is>
      </x:c>
    </x:row>
    <x:row r="70">
      <x:c r="A70" t="inlineStr">
        <x:is>
          <x:t xml:space="preserve">T069</x:t>
        </x:is>
      </x:c>
      <x:c r="B70" t="inlineStr">
        <x:is>
          <x:t xml:space="preserve">watery red eye</x:t>
        </x:is>
      </x:c>
      <x:c r="C70" t="inlineStr">
        <x:is>
          <x:t xml:space="preserve">watery_red_eye_nonpurulent_adult</x:t>
        </x:is>
      </x:c>
      <x:c r="D70" t="inlineStr">
        <x:is>
          <x:t xml:space="preserve">FRM0068</x:t>
        </x:is>
      </x:c>
      <x:c r="E70" t="inlineStr">
        <x:is>
          <x:t xml:space="preserve">Watery red eye (non-purulent)</x:t>
        </x:is>
      </x:c>
      <x:c r="F70" t="inlineStr">
        <x:is>
          <x:t xml:space="preserve">READY</x:t>
        </x:is>
      </x:c>
      <x:c r="G70" t="inlineStr">
        <x:is>
          <x:t xml:space="preserve">v4 added</x:t>
        </x:is>
      </x:c>
    </x:row>
    <x:row r="71">
      <x:c r="A71" t="inlineStr">
        <x:is>
          <x:t xml:space="preserve">T070</x:t>
        </x:is>
      </x:c>
      <x:c r="B71" t="inlineStr">
        <x:is>
          <x:t xml:space="preserve">contact lens dry eye</x:t>
        </x:is>
      </x:c>
      <x:c r="C71" t="inlineStr">
        <x:is>
          <x:t xml:space="preserve">contact_lens_dry_eye_support_adult</x:t>
        </x:is>
      </x:c>
      <x:c r="D71" t="inlineStr">
        <x:is>
          <x:t xml:space="preserve">FRM0069</x:t>
        </x:is>
      </x:c>
      <x:c r="E71" t="inlineStr">
        <x:is>
          <x:t xml:space="preserve">Contact lens dry eye support</x:t>
        </x:is>
      </x:c>
      <x:c r="F71" t="inlineStr">
        <x:is>
          <x:t xml:space="preserve">READY</x:t>
        </x:is>
      </x:c>
      <x:c r="G71" t="inlineStr">
        <x:is>
          <x:t xml:space="preserve">v4 added</x:t>
        </x:is>
      </x:c>
    </x:row>
    <x:row r="72">
      <x:c r="A72" t="inlineStr">
        <x:is>
          <x:t xml:space="preserve">T071</x:t>
        </x:is>
      </x:c>
      <x:c r="B72" t="inlineStr">
        <x:is>
          <x:t xml:space="preserve">eye wash</x:t>
        </x:is>
      </x:c>
      <x:c r="C72" t="inlineStr">
        <x:is>
          <x:t xml:space="preserve">eye_wash_support_adult</x:t>
        </x:is>
      </x:c>
      <x:c r="D72" t="inlineStr">
        <x:is>
          <x:t xml:space="preserve">FRM0070</x:t>
        </x:is>
      </x:c>
      <x:c r="E72" t="inlineStr">
        <x:is>
          <x:t xml:space="preserve">Eye wash support</x:t>
        </x:is>
      </x:c>
      <x:c r="F72" t="inlineStr">
        <x:is>
          <x:t xml:space="preserve">READY</x:t>
        </x:is>
      </x:c>
      <x:c r="G72" t="inlineStr">
        <x:is>
          <x:t xml:space="preserve">v4 added</x:t>
        </x:is>
      </x:c>
    </x:row>
    <x:row r="73">
      <x:c r="A73" t="inlineStr">
        <x:is>
          <x:t xml:space="preserve">T072</x:t>
        </x:is>
      </x:c>
      <x:c r="B73" t="inlineStr">
        <x:is>
          <x:t xml:space="preserve">foreign body irritation</x:t>
        </x:is>
      </x:c>
      <x:c r="C73" t="inlineStr">
        <x:is>
          <x:t xml:space="preserve">foreign_body_irritation_followup_adult</x:t>
        </x:is>
      </x:c>
      <x:c r="D73" t="inlineStr">
        <x:is>
          <x:t xml:space="preserve">FRM0071</x:t>
        </x:is>
      </x:c>
      <x:c r="E73" t="inlineStr">
        <x:is>
          <x:t xml:space="preserve">Foreign-body irritation follow-up</x:t>
        </x:is>
      </x:c>
      <x:c r="F73" t="inlineStr">
        <x:is>
          <x:t xml:space="preserve">READY</x:t>
        </x:is>
      </x:c>
      <x:c r="G73" t="inlineStr">
        <x:is>
          <x:t xml:space="preserve">v4 added</x:t>
        </x:is>
      </x:c>
    </x:row>
    <x:row r="74">
      <x:c r="A74" t="inlineStr">
        <x:is>
          <x:t xml:space="preserve">T073</x:t>
        </x:is>
      </x:c>
      <x:c r="B74" t="inlineStr">
        <x:is>
          <x:t xml:space="preserve">eye irritation child</x:t>
        </x:is>
      </x:c>
      <x:c r="C74" t="inlineStr">
        <x:is>
          <x:t xml:space="preserve">eye_irritation_peds</x:t>
        </x:is>
      </x:c>
      <x:c r="D74" t="inlineStr">
        <x:is>
          <x:t xml:space="preserve">FRM0072</x:t>
        </x:is>
      </x:c>
      <x:c r="E74" t="inlineStr">
        <x:is>
          <x:t xml:space="preserve">Pediatric eye irritation support</x:t>
        </x:is>
      </x:c>
      <x:c r="F74" t="inlineStr">
        <x:is>
          <x:t xml:space="preserve">READY</x:t>
        </x:is>
      </x:c>
      <x:c r="G74" t="inlineStr">
        <x:is>
          <x:t xml:space="preserve">v4 added</x:t>
        </x:is>
      </x:c>
    </x:row>
    <x:row r="75">
      <x:c r="A75" t="inlineStr">
        <x:is>
          <x:t xml:space="preserve">T074</x:t>
        </x:is>
      </x:c>
      <x:c r="B75" t="inlineStr">
        <x:is>
          <x:t xml:space="preserve">dry eye child</x:t>
        </x:is>
      </x:c>
      <x:c r="C75" t="inlineStr">
        <x:is>
          <x:t xml:space="preserve">dry_eye_peds_support</x:t>
        </x:is>
      </x:c>
      <x:c r="D75" t="inlineStr">
        <x:is>
          <x:t xml:space="preserve">FRM0073</x:t>
        </x:is>
      </x:c>
      <x:c r="E75" t="inlineStr">
        <x:is>
          <x:t xml:space="preserve">Pediatric dry eye support</x:t>
        </x:is>
      </x:c>
      <x:c r="F75" t="inlineStr">
        <x:is>
          <x:t xml:space="preserve">READY</x:t>
        </x:is>
      </x:c>
      <x:c r="G75" t="inlineStr">
        <x:is>
          <x:t xml:space="preserve">v4 added</x:t>
        </x:is>
      </x:c>
    </x:row>
    <x:row r="76">
      <x:c r="A76" t="inlineStr">
        <x:is>
          <x:t xml:space="preserve">T075</x:t>
        </x:is>
      </x:c>
      <x:c r="B76" t="inlineStr">
        <x:is>
          <x:t xml:space="preserve">abrasion</x:t>
        </x:is>
      </x:c>
      <x:c r="C76" t="inlineStr">
        <x:is>
          <x:t xml:space="preserve">superficial_abrasion_adult</x:t>
        </x:is>
      </x:c>
      <x:c r="D76" t="inlineStr">
        <x:is>
          <x:t xml:space="preserve">FRM0074</x:t>
        </x:is>
      </x:c>
      <x:c r="E76" t="inlineStr">
        <x:is>
          <x:t xml:space="preserve">Superficial abrasion</x:t>
        </x:is>
      </x:c>
      <x:c r="F76" t="inlineStr">
        <x:is>
          <x:t xml:space="preserve">READY</x:t>
        </x:is>
      </x:c>
      <x:c r="G76" t="inlineStr">
        <x:is>
          <x:t xml:space="preserve">v4 added</x:t>
        </x:is>
      </x:c>
    </x:row>
    <x:row r="77">
      <x:c r="A77" t="inlineStr">
        <x:is>
          <x:t xml:space="preserve">T076</x:t>
        </x:is>
      </x:c>
      <x:c r="B77" t="inlineStr">
        <x:is>
          <x:t xml:space="preserve">minor cut care</x:t>
        </x:is>
      </x:c>
      <x:c r="C77" t="inlineStr">
        <x:is>
          <x:t xml:space="preserve">minor_cut_wound_care_adult</x:t>
        </x:is>
      </x:c>
      <x:c r="D77" t="inlineStr">
        <x:is>
          <x:t xml:space="preserve">FRM0075</x:t>
        </x:is>
      </x:c>
      <x:c r="E77" t="inlineStr">
        <x:is>
          <x:t xml:space="preserve">Minor cut / wound care</x:t>
        </x:is>
      </x:c>
      <x:c r="F77" t="inlineStr">
        <x:is>
          <x:t xml:space="preserve">READY</x:t>
        </x:is>
      </x:c>
      <x:c r="G77" t="inlineStr">
        <x:is>
          <x:t xml:space="preserve">v4 added</x:t>
        </x:is>
      </x:c>
    </x:row>
    <x:row r="78">
      <x:c r="A78" t="inlineStr">
        <x:is>
          <x:t xml:space="preserve">T077</x:t>
        </x:is>
      </x:c>
      <x:c r="B78" t="inlineStr">
        <x:is>
          <x:t xml:space="preserve">insect bite swelling</x:t>
        </x:is>
      </x:c>
      <x:c r="C78" t="inlineStr">
        <x:is>
          <x:t xml:space="preserve">insect_bite_swelling_adult</x:t>
        </x:is>
      </x:c>
      <x:c r="D78" t="inlineStr">
        <x:is>
          <x:t xml:space="preserve">FRM0076</x:t>
        </x:is>
      </x:c>
      <x:c r="E78" t="inlineStr">
        <x:is>
          <x:t xml:space="preserve">Insect bite with localized swelling</x:t>
        </x:is>
      </x:c>
      <x:c r="F78" t="inlineStr">
        <x:is>
          <x:t xml:space="preserve">READY</x:t>
        </x:is>
      </x:c>
      <x:c r="G78" t="inlineStr">
        <x:is>
          <x:t xml:space="preserve">v4 added</x:t>
        </x:is>
      </x:c>
    </x:row>
    <x:row r="79">
      <x:c r="A79" t="inlineStr">
        <x:is>
          <x:t xml:space="preserve">T078</x:t>
        </x:is>
      </x:c>
      <x:c r="B79" t="inlineStr">
        <x:is>
          <x:t xml:space="preserve">sensitive area eczema</x:t>
        </x:is>
      </x:c>
      <x:c r="C79" t="inlineStr">
        <x:is>
          <x:t xml:space="preserve">localized_eczema_sensitive_area_adult</x:t>
        </x:is>
      </x:c>
      <x:c r="D79" t="inlineStr">
        <x:is>
          <x:t xml:space="preserve">FRM0077</x:t>
        </x:is>
      </x:c>
      <x:c r="E79" t="inlineStr">
        <x:is>
          <x:t xml:space="preserve">Localized eczema (sensitive-area cautious row)</x:t>
        </x:is>
      </x:c>
      <x:c r="F79" t="inlineStr">
        <x:is>
          <x:t xml:space="preserve">READY</x:t>
        </x:is>
      </x:c>
      <x:c r="G79" t="inlineStr">
        <x:is>
          <x:t xml:space="preserve">v4 added</x:t>
        </x:is>
      </x:c>
    </x:row>
    <x:row r="80">
      <x:c r="A80" t="inlineStr">
        <x:is>
          <x:t xml:space="preserve">T079</x:t>
        </x:is>
      </x:c>
      <x:c r="B80" t="inlineStr">
        <x:is>
          <x:t xml:space="preserve">insect bite child</x:t>
        </x:is>
      </x:c>
      <x:c r="C80" t="inlineStr">
        <x:is>
          <x:t xml:space="preserve">insect_bite_peds</x:t>
        </x:is>
      </x:c>
      <x:c r="D80" t="inlineStr">
        <x:is>
          <x:t xml:space="preserve">FRM0078</x:t>
        </x:is>
      </x:c>
      <x:c r="E80" t="inlineStr">
        <x:is>
          <x:t xml:space="preserve">Pediatric insect bite reaction</x:t>
        </x:is>
      </x:c>
      <x:c r="F80" t="inlineStr">
        <x:is>
          <x:t xml:space="preserve">READY</x:t>
        </x:is>
      </x:c>
      <x:c r="G80" t="inlineStr">
        <x:is>
          <x:t xml:space="preserve">v4 added</x:t>
        </x:is>
      </x:c>
    </x:row>
    <x:row r="81">
      <x:c r="A81" t="inlineStr">
        <x:is>
          <x:t xml:space="preserve">T080</x:t>
        </x:is>
      </x:c>
      <x:c r="B81" t="inlineStr">
        <x:is>
          <x:t xml:space="preserve">eczema child</x:t>
        </x:is>
      </x:c>
      <x:c r="C81" t="inlineStr">
        <x:is>
          <x:t xml:space="preserve">localized_eczema_peds</x:t>
        </x:is>
      </x:c>
      <x:c r="D81" t="inlineStr">
        <x:is>
          <x:t xml:space="preserve">FRM0079</x:t>
        </x:is>
      </x:c>
      <x:c r="E81" t="inlineStr">
        <x:is>
          <x:t xml:space="preserve">Pediatric localized eczema support</x:t>
        </x:is>
      </x:c>
      <x:c r="F81" t="inlineStr">
        <x:is>
          <x:t xml:space="preserve">READY</x:t>
        </x:is>
      </x:c>
      <x:c r="G81" t="inlineStr">
        <x:is>
          <x:t xml:space="preserve">v4 added</x:t>
        </x:is>
      </x:c>
    </x:row>
    <x:row r="82">
      <x:c r="A82" t="inlineStr">
        <x:is>
          <x:t xml:space="preserve">T081</x:t>
        </x:is>
      </x:c>
      <x:c r="B82" t="inlineStr">
        <x:is>
          <x:t xml:space="preserve">indigestion after meal</x:t>
        </x:is>
      </x:c>
      <x:c r="C82" t="inlineStr">
        <x:is>
          <x:t xml:space="preserve">indigestion_postmeal_adult</x:t>
        </x:is>
      </x:c>
      <x:c r="D82" t="inlineStr">
        <x:is>
          <x:t xml:space="preserve">FRM0080</x:t>
        </x:is>
      </x:c>
      <x:c r="E82" t="inlineStr">
        <x:is>
          <x:t xml:space="preserve">Post-meal indigestion</x:t>
        </x:is>
      </x:c>
      <x:c r="F82" t="inlineStr">
        <x:is>
          <x:t xml:space="preserve">READY</x:t>
        </x:is>
      </x:c>
      <x:c r="G82" t="inlineStr">
        <x:is>
          <x:t xml:space="preserve">v4 added</x:t>
        </x:is>
      </x:c>
    </x:row>
    <x:row r="83">
      <x:c r="A83" t="inlineStr">
        <x:is>
          <x:t xml:space="preserve">T082</x:t>
        </x:is>
      </x:c>
      <x:c r="B83" t="inlineStr">
        <x:is>
          <x:t xml:space="preserve">digestive aid</x:t>
        </x:is>
      </x:c>
      <x:c r="C83" t="inlineStr">
        <x:is>
          <x:t xml:space="preserve">digestive_aid_postmeal_adult</x:t>
        </x:is>
      </x:c>
      <x:c r="D83" t="inlineStr">
        <x:is>
          <x:t xml:space="preserve">FRM0081</x:t>
        </x:is>
      </x:c>
      <x:c r="E83" t="inlineStr">
        <x:is>
          <x:t xml:space="preserve">Digestive-aid support after meals</x:t>
        </x:is>
      </x:c>
      <x:c r="F83" t="inlineStr">
        <x:is>
          <x:t xml:space="preserve">READY</x:t>
        </x:is>
      </x:c>
      <x:c r="G83" t="inlineStr">
        <x:is>
          <x:t xml:space="preserve">v4 added</x:t>
        </x:is>
      </x:c>
    </x:row>
    <x:row r="84">
      <x:c r="A84" t="inlineStr">
        <x:is>
          <x:t xml:space="preserve">T083</x:t>
        </x:is>
      </x:c>
      <x:c r="B84" t="inlineStr">
        <x:is>
          <x:t xml:space="preserve">abdominal gas child</x:t>
        </x:is>
      </x:c>
      <x:c r="C84" t="inlineStr">
        <x:is>
          <x:t xml:space="preserve">abdominal_gas_peds</x:t>
        </x:is>
      </x:c>
      <x:c r="D84" t="inlineStr">
        <x:is>
          <x:t xml:space="preserve">FRM0082</x:t>
        </x:is>
      </x:c>
      <x:c r="E84" t="inlineStr">
        <x:is>
          <x:t xml:space="preserve">Pediatric abdominal gas / bloating</x:t>
        </x:is>
      </x:c>
      <x:c r="F84" t="inlineStr">
        <x:is>
          <x:t xml:space="preserve">READY</x:t>
        </x:is>
      </x:c>
      <x:c r="G84" t="inlineStr">
        <x:is>
          <x:t xml:space="preserve">v4 added</x:t>
        </x:is>
      </x:c>
    </x:row>
    <x:row r="85">
      <x:c r="A85" t="inlineStr">
        <x:is>
          <x:t xml:space="preserve">T084</x:t>
        </x:is>
      </x:c>
      <x:c r="B85" t="inlineStr">
        <x:is>
          <x:t xml:space="preserve">abdominal colic child</x:t>
        </x:is>
      </x:c>
      <x:c r="C85" t="inlineStr">
        <x:is>
          <x:t xml:space="preserve">abdominal_colic_peds</x:t>
        </x:is>
      </x:c>
      <x:c r="D85" t="inlineStr">
        <x:is>
          <x:t xml:space="preserve">FRM0083</x:t>
        </x:is>
      </x:c>
      <x:c r="E85" t="inlineStr">
        <x:is>
          <x:t xml:space="preserve">Pediatric abdominal colic support</x:t>
        </x:is>
      </x:c>
      <x:c r="F85" t="inlineStr">
        <x:is>
          <x:t xml:space="preserve">READY</x:t>
        </x:is>
      </x:c>
      <x:c r="G85" t="inlineStr">
        <x:is>
          <x:t xml:space="preserve">v4 added</x:t>
        </x:is>
      </x:c>
    </x:row>
    <x:row r="86">
      <x:c r="A86" t="inlineStr">
        <x:is>
          <x:t xml:space="preserve">T085</x:t>
        </x:is>
      </x:c>
      <x:c r="B86" t="inlineStr">
        <x:is>
          <x:t xml:space="preserve">gastroenteritis child</x:t>
        </x:is>
      </x:c>
      <x:c r="C86" t="inlineStr">
        <x:is>
          <x:t xml:space="preserve">acute_gastroenteritis_peds_mild</x:t>
        </x:is>
      </x:c>
      <x:c r="D86" t="inlineStr">
        <x:is>
          <x:t xml:space="preserve">FRM0084</x:t>
        </x:is>
      </x:c>
      <x:c r="E86" t="inlineStr">
        <x:is>
          <x:t xml:space="preserve">Pediatric mild gastroenteritis</x:t>
        </x:is>
      </x:c>
      <x:c r="F86" t="inlineStr">
        <x:is>
          <x:t xml:space="preserve">READY</x:t>
        </x:is>
      </x:c>
      <x:c r="G86" t="inlineStr">
        <x:is>
          <x:t xml:space="preserve">v4 added</x:t>
        </x:is>
      </x:c>
    </x:row>
    <x:row r="87">
      <x:c r="A87" t="inlineStr">
        <x:is>
          <x:t xml:space="preserve">T086</x:t>
        </x:is>
      </x:c>
      <x:c r="B87" t="inlineStr">
        <x:is>
          <x:t xml:space="preserve">rehydration diarrhea child</x:t>
        </x:is>
      </x:c>
      <x:c r="C87" t="inlineStr">
        <x:is>
          <x:t xml:space="preserve">acute_watery_diarrhea_peds_rehydration</x:t>
        </x:is>
      </x:c>
      <x:c r="D87" t="inlineStr">
        <x:is>
          <x:t xml:space="preserve">FRM0085</x:t>
        </x:is>
      </x:c>
      <x:c r="E87" t="inlineStr">
        <x:is>
          <x:t xml:space="preserve">Pediatric watery diarrhea rehydration support</x:t>
        </x:is>
      </x:c>
      <x:c r="F87" t="inlineStr">
        <x:is>
          <x:t xml:space="preserve">READY</x:t>
        </x:is>
      </x:c>
      <x:c r="G87" t="inlineStr">
        <x:is>
          <x:t xml:space="preserve">v4 added</x:t>
        </x:is>
      </x:c>
    </x:row>
    <x:row r="88">
      <x:c r="A88" t="inlineStr">
        <x:is>
          <x:t xml:space="preserve">T087</x:t>
        </x:is>
      </x:c>
      <x:c r="B88" t="inlineStr">
        <x:is>
          <x:t xml:space="preserve">allergic rhinitis child</x:t>
        </x:is>
      </x:c>
      <x:c r="C88" t="inlineStr">
        <x:is>
          <x:t xml:space="preserve">allergic_rhinitis_peds</x:t>
        </x:is>
      </x:c>
      <x:c r="D88" t="inlineStr">
        <x:is>
          <x:t xml:space="preserve">FRM0086</x:t>
        </x:is>
      </x:c>
      <x:c r="E88" t="inlineStr">
        <x:is>
          <x:t xml:space="preserve">Pediatric allergic rhinitis</x:t>
        </x:is>
      </x:c>
      <x:c r="F88" t="inlineStr">
        <x:is>
          <x:t xml:space="preserve">READY</x:t>
        </x:is>
      </x:c>
      <x:c r="G88" t="inlineStr">
        <x:is>
          <x:t xml:space="preserve">v4 added</x:t>
        </x:is>
      </x:c>
    </x:row>
    <x:row r="89">
      <x:c r="A89" t="inlineStr">
        <x:is>
          <x:t xml:space="preserve">T088</x:t>
        </x:is>
      </x:c>
      <x:c r="B89" t="inlineStr">
        <x:is>
          <x:t xml:space="preserve">wet cough child</x:t>
        </x:is>
      </x:c>
      <x:c r="C89" t="inlineStr">
        <x:is>
          <x:t xml:space="preserve">uri_wet_cough_peds</x:t>
        </x:is>
      </x:c>
      <x:c r="D89" t="inlineStr">
        <x:is>
          <x:t xml:space="preserve">FRM0087</x:t>
        </x:is>
      </x:c>
      <x:c r="E89" t="inlineStr">
        <x:is>
          <x:t xml:space="preserve">Pediatric URI with wet cough</x:t>
        </x:is>
      </x:c>
      <x:c r="F89" t="inlineStr">
        <x:is>
          <x:t xml:space="preserve">READY</x:t>
        </x:is>
      </x:c>
      <x:c r="G89" t="inlineStr">
        <x:is>
          <x:t xml:space="preserve">v4 added</x:t>
        </x:is>
      </x:c>
    </x:row>
    <x:row r="90">
      <x:c r="A90" t="inlineStr">
        <x:is>
          <x:t xml:space="preserve">T089</x:t>
        </x:is>
      </x:c>
      <x:c r="B90" t="inlineStr">
        <x:is>
          <x:t xml:space="preserve">post uri cough child</x:t>
        </x:is>
      </x:c>
      <x:c r="C90" t="inlineStr">
        <x:is>
          <x:t xml:space="preserve">post_uri_cough_peds</x:t>
        </x:is>
      </x:c>
      <x:c r="D90" t="inlineStr">
        <x:is>
          <x:t xml:space="preserve">FRM0088</x:t>
        </x:is>
      </x:c>
      <x:c r="E90" t="inlineStr">
        <x:is>
          <x:t xml:space="preserve">Pediatric post-URI cough support</x:t>
        </x:is>
      </x:c>
      <x:c r="F90" t="inlineStr">
        <x:is>
          <x:t xml:space="preserve">READY</x:t>
        </x:is>
      </x:c>
      <x:c r="G90" t="inlineStr">
        <x:is>
          <x:t xml:space="preserve">v4 added</x:t>
        </x:is>
      </x:c>
    </x:row>
    <x:row r="91">
      <x:c r="A91" t="inlineStr">
        <x:is>
          <x:t xml:space="preserve">T090</x:t>
        </x:is>
      </x:c>
      <x:c r="B91" t="inlineStr">
        <x:is>
          <x:t xml:space="preserve">nasal irritation child</x:t>
        </x:is>
      </x:c>
      <x:c r="C91" t="inlineStr">
        <x:is>
          <x:t xml:space="preserve">nasal_irritation_peds</x:t>
        </x:is>
      </x:c>
      <x:c r="D91" t="inlineStr">
        <x:is>
          <x:t xml:space="preserve">FRM0089</x:t>
        </x:is>
      </x:c>
      <x:c r="E91" t="inlineStr">
        <x:is>
          <x:t xml:space="preserve">Pediatric nasal irritation support</x:t>
        </x:is>
      </x:c>
      <x:c r="F91" t="inlineStr">
        <x:is>
          <x:t xml:space="preserve">READY</x:t>
        </x:is>
      </x:c>
      <x:c r="G91" t="inlineStr">
        <x:is>
          <x:t xml:space="preserve">v4 added</x:t>
        </x:is>
      </x:c>
    </x:row>
    <x:row r="92">
      <x:c r="A92" t="inlineStr">
        <x:is>
          <x:t xml:space="preserve">T091</x:t>
        </x:is>
      </x:c>
      <x:c r="B92" t="inlineStr">
        <x:is>
          <x:t xml:space="preserve">oral thrush child</x:t>
        </x:is>
      </x:c>
      <x:c r="C92" t="inlineStr">
        <x:is>
          <x:t xml:space="preserve">oral_thrush_peds</x:t>
        </x:is>
      </x:c>
      <x:c r="D92" t="inlineStr">
        <x:is>
          <x:t xml:space="preserve">FRM0090</x:t>
        </x:is>
      </x:c>
      <x:c r="E92" t="inlineStr">
        <x:is>
          <x:t xml:space="preserve">Pediatric oral thrush</x:t>
        </x:is>
      </x:c>
      <x:c r="F92" t="inlineStr">
        <x:is>
          <x:t xml:space="preserve">READY</x:t>
        </x:is>
      </x:c>
      <x:c r="G92" t="inlineStr">
        <x:is>
          <x:t xml:space="preserve">v4 added</x:t>
        </x:is>
      </x:c>
    </x:row>
    <x:row r="93">
      <x:c r="A93" t="inlineStr">
        <x:is>
          <x:t xml:space="preserve">T092</x:t>
        </x:is>
      </x:c>
      <x:c r="B93" t="inlineStr">
        <x:is>
          <x:t xml:space="preserve">fever child support</x:t>
        </x:is>
      </x:c>
      <x:c r="C93" t="inlineStr">
        <x:is>
          <x:t xml:space="preserve">viral_fever_peds_support</x:t>
        </x:is>
      </x:c>
      <x:c r="D93" t="inlineStr">
        <x:is>
          <x:t xml:space="preserve">FRM0091</x:t>
        </x:is>
      </x:c>
      <x:c r="E93" t="inlineStr">
        <x:is>
          <x:t xml:space="preserve">Pediatric viral fever support</x:t>
        </x:is>
      </x:c>
      <x:c r="F93" t="inlineStr">
        <x:is>
          <x:t xml:space="preserve">READY</x:t>
        </x:is>
      </x:c>
      <x:c r="G93" t="inlineStr">
        <x:is>
          <x:t xml:space="preserve">v4 added</x:t>
        </x:is>
      </x:c>
    </x:row>
    <x:row r="94">
      <x:c r="A94" t="inlineStr">
        <x:is>
          <x:t xml:space="preserve">T093</x:t>
        </x:is>
      </x:c>
      <x:c r="B94" t="inlineStr">
        <x:is>
          <x:t xml:space="preserve">bacterial conjunctivitis</x:t>
        </x:is>
      </x:c>
      <x:c r="C94" t="inlineStr">
        <x:is>
          <x:t xml:space="preserve">bacterial_conjunctivitis_adult</x:t>
        </x:is>
      </x:c>
      <x:c r="D94" t="inlineStr">
        <x:is>
          <x:t xml:space="preserve">FRM0092</x:t>
        </x:is>
      </x:c>
      <x:c r="E94" t="inlineStr">
        <x:is>
          <x:t xml:space="preserve">Acute bacterial conjunctivitis</x:t>
        </x:is>
      </x:c>
      <x:c r="F94" t="inlineStr">
        <x:is>
          <x:t xml:space="preserve">READY</x:t>
        </x:is>
      </x:c>
      <x:c r="G94" t="inlineStr">
        <x:is>
          <x:t xml:space="preserve">v5 added</x:t>
        </x:is>
      </x:c>
    </x:row>
    <x:row r="95">
      <x:c r="A95" t="inlineStr">
        <x:is>
          <x:t xml:space="preserve">T094</x:t>
        </x:is>
      </x:c>
      <x:c r="B95" t="inlineStr">
        <x:is>
          <x:t xml:space="preserve">bacterial conjunctivitis child</x:t>
        </x:is>
      </x:c>
      <x:c r="C95" t="inlineStr">
        <x:is>
          <x:t xml:space="preserve">bacterial_conjunctivitis_peds</x:t>
        </x:is>
      </x:c>
      <x:c r="D95" t="inlineStr">
        <x:is>
          <x:t xml:space="preserve">FRM0093</x:t>
        </x:is>
      </x:c>
      <x:c r="E95" t="inlineStr">
        <x:is>
          <x:t xml:space="preserve">Pediatric bacterial conjunctivitis</x:t>
        </x:is>
      </x:c>
      <x:c r="F95" t="inlineStr">
        <x:is>
          <x:t xml:space="preserve">READY</x:t>
        </x:is>
      </x:c>
      <x:c r="G95" t="inlineStr">
        <x:is>
          <x:t xml:space="preserve">v5 added</x:t>
        </x:is>
      </x:c>
    </x:row>
    <x:row r="96">
      <x:c r="A96" t="inlineStr">
        <x:is>
          <x:t xml:space="preserve">T095</x:t>
        </x:is>
      </x:c>
      <x:c r="B96" t="inlineStr">
        <x:is>
          <x:t xml:space="preserve">stye bacterial</x:t>
        </x:is>
      </x:c>
      <x:c r="C96" t="inlineStr">
        <x:is>
          <x:t xml:space="preserve">bacterial_eyelid_infection_adult</x:t>
        </x:is>
      </x:c>
      <x:c r="D96" t="inlineStr">
        <x:is>
          <x:t xml:space="preserve">FRM0094</x:t>
        </x:is>
      </x:c>
      <x:c r="E96" t="inlineStr">
        <x:is>
          <x:t xml:space="preserve">Bacterial eyelid infection / stye support</x:t>
        </x:is>
      </x:c>
      <x:c r="F96" t="inlineStr">
        <x:is>
          <x:t xml:space="preserve">READY</x:t>
        </x:is>
      </x:c>
      <x:c r="G96" t="inlineStr">
        <x:is>
          <x:t xml:space="preserve">v5 added</x:t>
        </x:is>
      </x:c>
    </x:row>
    <x:row r="97">
      <x:c r="A97" t="inlineStr">
        <x:is>
          <x:t xml:space="preserve">T096</x:t>
        </x:is>
      </x:c>
      <x:c r="B97" t="inlineStr">
        <x:is>
          <x:t xml:space="preserve">stye child</x:t>
        </x:is>
      </x:c>
      <x:c r="C97" t="inlineStr">
        <x:is>
          <x:t xml:space="preserve">bacterial_eyelid_infection_peds</x:t>
        </x:is>
      </x:c>
      <x:c r="D97" t="inlineStr">
        <x:is>
          <x:t xml:space="preserve">FRM0095</x:t>
        </x:is>
      </x:c>
      <x:c r="E97" t="inlineStr">
        <x:is>
          <x:t xml:space="preserve">Pediatric bacterial eyelid infection / stye support</x:t>
        </x:is>
      </x:c>
      <x:c r="F97" t="inlineStr">
        <x:is>
          <x:t xml:space="preserve">READY</x:t>
        </x:is>
      </x:c>
      <x:c r="G97" t="inlineStr">
        <x:is>
          <x:t xml:space="preserve">v5 added</x:t>
        </x:is>
      </x:c>
    </x:row>
    <x:row r="98">
      <x:c r="A98" t="inlineStr">
        <x:is>
          <x:t xml:space="preserve">T097</x:t>
        </x:is>
      </x:c>
      <x:c r="B98" t="inlineStr">
        <x:is>
          <x:t xml:space="preserve">bacterial sinusitis child</x:t>
        </x:is>
      </x:c>
      <x:c r="C98" t="inlineStr">
        <x:is>
          <x:t xml:space="preserve">bacterial_sinusitis_peds</x:t>
        </x:is>
      </x:c>
      <x:c r="D98" t="inlineStr">
        <x:is>
          <x:t xml:space="preserve">FRM0096</x:t>
        </x:is>
      </x:c>
      <x:c r="E98" t="inlineStr">
        <x:is>
          <x:t xml:space="preserve">Pediatric bacterial sinusitis</x:t>
        </x:is>
      </x:c>
      <x:c r="F98" t="inlineStr">
        <x:is>
          <x:t xml:space="preserve">READY</x:t>
        </x:is>
      </x:c>
      <x:c r="G98" t="inlineStr">
        <x:is>
          <x:t xml:space="preserve">v5 added</x:t>
        </x:is>
      </x:c>
    </x:row>
    <x:row r="99">
      <x:c r="A99" t="inlineStr">
        <x:is>
          <x:t xml:space="preserve">T098</x:t>
        </x:is>
      </x:c>
      <x:c r="B99" t="inlineStr">
        <x:is>
          <x:t xml:space="preserve">bacterial sore throat child</x:t>
        </x:is>
      </x:c>
      <x:c r="C99" t="inlineStr">
        <x:is>
          <x:t xml:space="preserve">bacterial_pharyngitis_peds</x:t>
        </x:is>
      </x:c>
      <x:c r="D99" t="inlineStr">
        <x:is>
          <x:t xml:space="preserve">FRM0097</x:t>
        </x:is>
      </x:c>
      <x:c r="E99" t="inlineStr">
        <x:is>
          <x:t xml:space="preserve">Pediatric bacterial pharyngitis / tonsillitis</x:t>
        </x:is>
      </x:c>
      <x:c r="F99" t="inlineStr">
        <x:is>
          <x:t xml:space="preserve">READY</x:t>
        </x:is>
      </x:c>
      <x:c r="G99" t="inlineStr">
        <x:is>
          <x:t xml:space="preserve">v5 added</x:t>
        </x:is>
      </x:c>
    </x:row>
    <x:row r="100">
      <x:c r="A100" t="inlineStr">
        <x:is>
          <x:t xml:space="preserve">T099</x:t>
        </x:is>
      </x:c>
      <x:c r="B100" t="inlineStr">
        <x:is>
          <x:t xml:space="preserve">roxithromycin option</x:t>
        </x:is>
      </x:c>
      <x:c r="C100" t="inlineStr">
        <x:is>
          <x:t xml:space="preserve">macrolide_respiratory_bacterial_adult</x:t>
        </x:is>
      </x:c>
      <x:c r="D100" t="inlineStr">
        <x:is>
          <x:t xml:space="preserve">FRM0098</x:t>
        </x:is>
      </x:c>
      <x:c r="E100" t="inlineStr">
        <x:is>
          <x:t xml:space="preserve">Respiratory bacterial row (macrolide-style alternative)</x:t>
        </x:is>
      </x:c>
      <x:c r="F100" t="inlineStr">
        <x:is>
          <x:t xml:space="preserve">READY</x:t>
        </x:is>
      </x:c>
      <x:c r="G100" t="inlineStr">
        <x:is>
          <x:t xml:space="preserve">v5 added</x:t>
        </x:is>
      </x:c>
    </x:row>
    <x:row r="101">
      <x:c r="A101" t="inlineStr">
        <x:is>
          <x:t xml:space="preserve">T100</x:t>
        </x:is>
      </x:c>
      <x:c r="B101" t="inlineStr">
        <x:is>
          <x:t xml:space="preserve">dental infection</x:t>
        </x:is>
      </x:c>
      <x:c r="C101" t="inlineStr">
        <x:is>
          <x:t xml:space="preserve">dental_infection_support_adult</x:t>
        </x:is>
      </x:c>
      <x:c r="D101" t="inlineStr">
        <x:is>
          <x:t xml:space="preserve">FRM0099</x:t>
        </x:is>
      </x:c>
      <x:c r="E101" t="inlineStr">
        <x:is>
          <x:t xml:space="preserve">Dental / gum bacterial infection support</x:t>
        </x:is>
      </x:c>
      <x:c r="F101" t="inlineStr">
        <x:is>
          <x:t xml:space="preserve">READY</x:t>
        </x:is>
      </x:c>
      <x:c r="G101" t="inlineStr">
        <x:is>
          <x:t xml:space="preserve">v5 added</x:t>
        </x:is>
      </x:c>
    </x:row>
    <x:row r="102">
      <x:c r="A102" t="inlineStr">
        <x:is>
          <x:t xml:space="preserve">T101</x:t>
        </x:is>
      </x:c>
      <x:c r="B102" t="inlineStr">
        <x:is>
          <x:t xml:space="preserve">infected insect bite</x:t>
        </x:is>
      </x:c>
      <x:c r="C102" t="inlineStr">
        <x:is>
          <x:t xml:space="preserve">infected_insect_bite_adult</x:t>
        </x:is>
      </x:c>
      <x:c r="D102" t="inlineStr">
        <x:is>
          <x:t xml:space="preserve">FRM0100</x:t>
        </x:is>
      </x:c>
      <x:c r="E102" t="inlineStr">
        <x:is>
          <x:t xml:space="preserve">Infected insect bite</x:t>
        </x:is>
      </x:c>
      <x:c r="F102" t="inlineStr">
        <x:is>
          <x:t xml:space="preserve">READY</x:t>
        </x:is>
      </x:c>
      <x:c r="G102" t="inlineStr">
        <x:is>
          <x:t xml:space="preserve">v5 added</x:t>
        </x:is>
      </x:c>
    </x:row>
    <x:row r="103">
      <x:c r="A103" t="inlineStr">
        <x:is>
          <x:t xml:space="preserve">T102</x:t>
        </x:is>
      </x:c>
      <x:c r="B103" t="inlineStr">
        <x:is>
          <x:t xml:space="preserve">infected insect bite child</x:t>
        </x:is>
      </x:c>
      <x:c r="C103" t="inlineStr">
        <x:is>
          <x:t xml:space="preserve">infected_insect_bite_peds</x:t>
        </x:is>
      </x:c>
      <x:c r="D103" t="inlineStr">
        <x:is>
          <x:t xml:space="preserve">FRM0101</x:t>
        </x:is>
      </x:c>
      <x:c r="E103" t="inlineStr">
        <x:is>
          <x:t xml:space="preserve">Pediatric infected insect bite</x:t>
        </x:is>
      </x:c>
      <x:c r="F103" t="inlineStr">
        <x:is>
          <x:t xml:space="preserve">READY</x:t>
        </x:is>
      </x:c>
      <x:c r="G103" t="inlineStr">
        <x:is>
          <x:t xml:space="preserve">v5 added</x:t>
        </x:is>
      </x:c>
    </x:row>
    <x:row r="104">
      <x:c r="A104" t="inlineStr">
        <x:is>
          <x:t xml:space="preserve">T103</x:t>
        </x:is>
      </x:c>
      <x:c r="B104" t="inlineStr">
        <x:is>
          <x:t xml:space="preserve">mild cellulitis</x:t>
        </x:is>
      </x:c>
      <x:c r="C104" t="inlineStr">
        <x:is>
          <x:t xml:space="preserve">cellulitis_mild_adult</x:t>
        </x:is>
      </x:c>
      <x:c r="D104" t="inlineStr">
        <x:is>
          <x:t xml:space="preserve">FRM0102</x:t>
        </x:is>
      </x:c>
      <x:c r="E104" t="inlineStr">
        <x:is>
          <x:t xml:space="preserve">Mild cellulitis</x:t>
        </x:is>
      </x:c>
      <x:c r="F104" t="inlineStr">
        <x:is>
          <x:t xml:space="preserve">READY</x:t>
        </x:is>
      </x:c>
      <x:c r="G104" t="inlineStr">
        <x:is>
          <x:t xml:space="preserve">v5 added</x:t>
        </x:is>
      </x:c>
    </x:row>
    <x:row r="105">
      <x:c r="A105" t="inlineStr">
        <x:is>
          <x:t xml:space="preserve">T104</x:t>
        </x:is>
      </x:c>
      <x:c r="B105" t="inlineStr">
        <x:is>
          <x:t xml:space="preserve">impetigo oral antibiotic</x:t>
        </x:is>
      </x:c>
      <x:c r="C105" t="inlineStr">
        <x:is>
          <x:t xml:space="preserve">impetigo_oral_antibiotic_adult</x:t>
        </x:is>
      </x:c>
      <x:c r="D105" t="inlineStr">
        <x:is>
          <x:t xml:space="preserve">FRM0103</x:t>
        </x:is>
      </x:c>
      <x:c r="E105" t="inlineStr">
        <x:is>
          <x:t xml:space="preserve">Impetigo needing oral antibiotic</x:t>
        </x:is>
      </x:c>
      <x:c r="F105" t="inlineStr">
        <x:is>
          <x:t xml:space="preserve">READY</x:t>
        </x:is>
      </x:c>
      <x:c r="G105" t="inlineStr">
        <x:is>
          <x:t xml:space="preserve">v5 added</x:t>
        </x:is>
      </x:c>
    </x:row>
    <x:row r="106">
      <x:c r="A106" t="inlineStr">
        <x:is>
          <x:t xml:space="preserve">T105</x:t>
        </x:is>
      </x:c>
      <x:c r="B106" t="inlineStr">
        <x:is>
          <x:t xml:space="preserve">folliculitis</x:t>
        </x:is>
      </x:c>
      <x:c r="C106" t="inlineStr">
        <x:is>
          <x:t xml:space="preserve">localized_folliculitis_adult</x:t>
        </x:is>
      </x:c>
      <x:c r="D106" t="inlineStr">
        <x:is>
          <x:t xml:space="preserve">FRM0104</x:t>
        </x:is>
      </x:c>
      <x:c r="E106" t="inlineStr">
        <x:is>
          <x:t xml:space="preserve">Localized folliculitis</x:t>
        </x:is>
      </x:c>
      <x:c r="F106" t="inlineStr">
        <x:is>
          <x:t xml:space="preserve">READY</x:t>
        </x:is>
      </x:c>
      <x:c r="G106" t="inlineStr">
        <x:is>
          <x:t xml:space="preserve">v5 added</x:t>
        </x:is>
      </x:c>
    </x:row>
    <x:row r="107">
      <x:c r="A107" t="inlineStr">
        <x:is>
          <x:t xml:space="preserve">T106</x:t>
        </x:is>
      </x:c>
      <x:c r="B107" t="inlineStr">
        <x:is>
          <x:t xml:space="preserve">infected abrasion</x:t>
        </x:is>
      </x:c>
      <x:c r="C107" t="inlineStr">
        <x:is>
          <x:t xml:space="preserve">infected_abrasion_adult</x:t>
        </x:is>
      </x:c>
      <x:c r="D107" t="inlineStr">
        <x:is>
          <x:t xml:space="preserve">FRM0105</x:t>
        </x:is>
      </x:c>
      <x:c r="E107" t="inlineStr">
        <x:is>
          <x:t xml:space="preserve">Infected abrasion</x:t>
        </x:is>
      </x:c>
      <x:c r="F107" t="inlineStr">
        <x:is>
          <x:t xml:space="preserve">READY</x:t>
        </x:is>
      </x:c>
      <x:c r="G107" t="inlineStr">
        <x:is>
          <x:t xml:space="preserve">v5 added</x:t>
        </x:is>
      </x:c>
    </x:row>
    <x:row r="108">
      <x:c r="A108" t="inlineStr">
        <x:is>
          <x:t xml:space="preserve">T107</x:t>
        </x:is>
      </x:c>
      <x:c r="B108" t="inlineStr">
        <x:is>
          <x:t xml:space="preserve">infected eczema</x:t>
        </x:is>
      </x:c>
      <x:c r="C108" t="inlineStr">
        <x:is>
          <x:t xml:space="preserve">infected_eczema_localized_adult</x:t>
        </x:is>
      </x:c>
      <x:c r="D108" t="inlineStr">
        <x:is>
          <x:t xml:space="preserve">FRM0106</x:t>
        </x:is>
      </x:c>
      <x:c r="E108" t="inlineStr">
        <x:is>
          <x:t xml:space="preserve">Localized infected eczema / dermatitis</x:t>
        </x:is>
      </x:c>
      <x:c r="F108" t="inlineStr">
        <x:is>
          <x:t xml:space="preserve">READY</x:t>
        </x:is>
      </x:c>
      <x:c r="G108" t="inlineStr">
        <x:is>
          <x:t xml:space="preserve">v5 added</x:t>
        </x:is>
      </x:c>
    </x:row>
    <x:row r="109">
      <x:c r="A109" t="inlineStr">
        <x:is>
          <x:t xml:space="preserve">T108</x:t>
        </x:is>
      </x:c>
      <x:c r="B109" t="inlineStr">
        <x:is>
          <x:t xml:space="preserve">uncomplicated uti</x:t>
        </x:is>
      </x:c>
      <x:c r="C109" t="inlineStr">
        <x:is>
          <x:t xml:space="preserve">uncomplicated_uti_adult</x:t>
        </x:is>
      </x:c>
      <x:c r="D109" t="inlineStr">
        <x:is>
          <x:t xml:space="preserve">FRM0107</x:t>
        </x:is>
      </x:c>
      <x:c r="E109" t="inlineStr">
        <x:is>
          <x:t xml:space="preserve">Uncomplicated cystitis / lower UTI</x:t>
        </x:is>
      </x:c>
      <x:c r="F109" t="inlineStr">
        <x:is>
          <x:t xml:space="preserve">READY</x:t>
        </x:is>
      </x:c>
      <x:c r="G109" t="inlineStr">
        <x:is>
          <x:t xml:space="preserve">v5 added</x:t>
        </x:is>
      </x:c>
    </x:row>
    <x:row r="110">
      <x:c r="A110" t="inlineStr">
        <x:is>
          <x:t xml:space="preserve">T109</x:t>
        </x:is>
      </x:c>
      <x:c r="B110" t="inlineStr">
        <x:is>
          <x:t xml:space="preserve">topical eye antibiotic</x:t>
        </x:is>
      </x:c>
      <x:c r="C110" t="inlineStr">
        <x:is>
          <x:t xml:space="preserve">topical_eye_antibiotic_support_adult</x:t>
        </x:is>
      </x:c>
      <x:c r="D110" t="inlineStr">
        <x:is>
          <x:t xml:space="preserve">FRM0108</x:t>
        </x:is>
      </x:c>
      <x:c r="E110" t="inlineStr">
        <x:is>
          <x:t xml:space="preserve">Topical eye antibiotic support</x:t>
        </x:is>
      </x:c>
      <x:c r="F110" t="inlineStr">
        <x:is>
          <x:t xml:space="preserve">READY</x:t>
        </x:is>
      </x:c>
      <x:c r="G110" t="inlineStr">
        <x:is>
          <x:t xml:space="preserve">v5 added</x:t>
        </x:is>
      </x:c>
    </x:row>
    <x:row r="111">
      <x:c r="A111" t="inlineStr">
        <x:is>
          <x:t xml:space="preserve">T110</x:t>
        </x:is>
      </x:c>
      <x:c r="B111" t="inlineStr">
        <x:is>
          <x:t xml:space="preserve">skin infection child topical</x:t>
        </x:is>
      </x:c>
      <x:c r="C111" t="inlineStr">
        <x:is>
          <x:t xml:space="preserve">bacterial_skin_infection_topical_peds</x:t>
        </x:is>
      </x:c>
      <x:c r="D111" t="inlineStr">
        <x:is>
          <x:t xml:space="preserve">FRM0109</x:t>
        </x:is>
      </x:c>
      <x:c r="E111" t="inlineStr">
        <x:is>
          <x:t xml:space="preserve">Pediatric topical bacterial skin infection support</x:t>
        </x:is>
      </x:c>
      <x:c r="F111" t="inlineStr">
        <x:is>
          <x:t xml:space="preserve">READY</x:t>
        </x:is>
      </x:c>
      <x:c r="G111" t="inlineStr">
        <x:is>
          <x:t xml:space="preserve">v5 added</x:t>
        </x:is>
      </x:c>
    </x:row>
    <x:row r="112">
      <x:c r="A112" t="inlineStr">
        <x:is>
          <x:t xml:space="preserve">T111</x:t>
        </x:is>
      </x:c>
      <x:c r="B112" t="inlineStr">
        <x:is>
          <x:t xml:space="preserve">topical skin antibiotic</x:t>
        </x:is>
      </x:c>
      <x:c r="C112" t="inlineStr">
        <x:is>
          <x:t xml:space="preserve">bacterial_skin_infection_topical_adult</x:t>
        </x:is>
      </x:c>
      <x:c r="D112" t="inlineStr">
        <x:is>
          <x:t xml:space="preserve">FRM0110</x:t>
        </x:is>
      </x:c>
      <x:c r="E112" t="inlineStr">
        <x:is>
          <x:t xml:space="preserve">Adult topical bacterial skin infection support</x:t>
        </x:is>
      </x:c>
      <x:c r="F112" t="inlineStr">
        <x:is>
          <x:t xml:space="preserve">READY</x:t>
        </x:is>
      </x:c>
      <x:c r="G112" t="inlineStr">
        <x:is>
          <x:t xml:space="preserve">v5 added</x:t>
        </x:is>
      </x:c>
    </x:row>
    <x:row r="113">
      <x:c r="A113" t="inlineStr">
        <x:is>
          <x:t xml:space="preserve">T112</x:t>
        </x:is>
      </x:c>
      <x:c r="B113" t="inlineStr">
        <x:is>
          <x:t xml:space="preserve">infected wound oral antibiotic</x:t>
        </x:is>
      </x:c>
      <x:c r="C113" t="inlineStr">
        <x:is>
          <x:t xml:space="preserve">infected_wound_oral_antibiotic_adult</x:t>
        </x:is>
      </x:c>
      <x:c r="D113" t="inlineStr">
        <x:is>
          <x:t xml:space="preserve">FRM0111</x:t>
        </x:is>
      </x:c>
      <x:c r="E113" t="inlineStr">
        <x:is>
          <x:t xml:space="preserve">Infected wound needing oral antibiotic</x:t>
        </x:is>
      </x:c>
      <x:c r="F113" t="inlineStr">
        <x:is>
          <x:t xml:space="preserve">READY</x:t>
        </x:is>
      </x:c>
      <x:c r="G113" t="inlineStr">
        <x:is>
          <x:t xml:space="preserve">v5 added</x:t>
        </x:is>
      </x:c>
    </x:row>
    <x:row r="114">
      <x:c r="A114" t="inlineStr">
        <x:is>
          <x:t xml:space="preserve">T113</x:t>
        </x:is>
      </x:c>
      <x:c r="B114" t="inlineStr">
        <x:is>
          <x:t xml:space="preserve">penicillin allergy respiratory antibiotic</x:t>
        </x:is>
      </x:c>
      <x:c r="C114" t="inlineStr">
        <x:is>
          <x:t xml:space="preserve">penicillin_allergy_resp_support_adult</x:t>
        </x:is>
      </x:c>
      <x:c r="D114" t="inlineStr">
        <x:is>
          <x:t xml:space="preserve">FRM0112</x:t>
        </x:is>
      </x:c>
      <x:c r="E114" t="inlineStr">
        <x:is>
          <x:t xml:space="preserve">Penicillin-allergy respiratory bacterial support</x:t>
        </x:is>
      </x:c>
      <x:c r="F114" t="inlineStr">
        <x:is>
          <x:t xml:space="preserve">READY</x:t>
        </x:is>
      </x:c>
      <x:c r="G114" t="inlineStr">
        <x:is>
          <x:t xml:space="preserve">v5 added</x:t>
        </x:is>
      </x:c>
    </x:row>
    <x:row r="115">
      <x:c r="A115" t="inlineStr">
        <x:is>
          <x:t xml:space="preserve">T114</x:t>
        </x:is>
      </x:c>
      <x:c r="B115" t="inlineStr">
        <x:is>
          <x:t xml:space="preserve">sinusitis alternative antibiotic</x:t>
        </x:is>
      </x:c>
      <x:c r="C115" t="inlineStr">
        <x:is>
          <x:t xml:space="preserve">bacterial_sinusitis_alt_adult</x:t>
        </x:is>
      </x:c>
      <x:c r="D115" t="inlineStr">
        <x:is>
          <x:t xml:space="preserve">FRM0113</x:t>
        </x:is>
      </x:c>
      <x:c r="E115" t="inlineStr">
        <x:is>
          <x:t xml:space="preserve">Bacterial sinusitis alternative antibiotic row</x:t>
        </x:is>
      </x:c>
      <x:c r="F115" t="inlineStr">
        <x:is>
          <x:t xml:space="preserve">READY</x:t>
        </x:is>
      </x:c>
      <x:c r="G115" t="inlineStr">
        <x:is>
          <x:t xml:space="preserve">v5 added</x:t>
        </x:is>
      </x:c>
    </x:row>
    <x:row r="116">
      <x:c r="A116" t="inlineStr">
        <x:is>
          <x:t xml:space="preserve">T115</x:t>
        </x:is>
      </x:c>
      <x:c r="B116" t="inlineStr">
        <x:is>
          <x:t xml:space="preserve">pharyngitis alternative antibiotic</x:t>
        </x:is>
      </x:c>
      <x:c r="C116" t="inlineStr">
        <x:is>
          <x:t xml:space="preserve">bacterial_pharyngitis_alt_adult</x:t>
        </x:is>
      </x:c>
      <x:c r="D116" t="inlineStr">
        <x:is>
          <x:t xml:space="preserve">FRM0114</x:t>
        </x:is>
      </x:c>
      <x:c r="E116" t="inlineStr">
        <x:is>
          <x:t xml:space="preserve">Bacterial pharyngitis alternative antibiotic row</x:t>
        </x:is>
      </x:c>
      <x:c r="F116" t="inlineStr">
        <x:is>
          <x:t xml:space="preserve">READY</x:t>
        </x:is>
      </x:c>
      <x:c r="G116" t="inlineStr">
        <x:is>
          <x:t xml:space="preserve">v5 added</x:t>
        </x:is>
      </x:c>
    </x:row>
    <x:row r="117">
      <x:c r="A117" t="inlineStr">
        <x:is>
          <x:t xml:space="preserve">T116</x:t>
        </x:is>
      </x:c>
      <x:c r="B117" t="inlineStr">
        <x:is>
          <x:t xml:space="preserve">fusidic acid support</x:t>
        </x:is>
      </x:c>
      <x:c r="C117" t="inlineStr">
        <x:is>
          <x:t xml:space="preserve">topical_fusidic_support_adult</x:t>
        </x:is>
      </x:c>
      <x:c r="D117" t="inlineStr">
        <x:is>
          <x:t xml:space="preserve">FRM0115</x:t>
        </x:is>
      </x:c>
      <x:c r="E117" t="inlineStr">
        <x:is>
          <x:t xml:space="preserve">Topical fusidic acid support</x:t>
        </x:is>
      </x:c>
      <x:c r="F117" t="inlineStr">
        <x:is>
          <x:t xml:space="preserve">READY</x:t>
        </x:is>
      </x:c>
      <x:c r="G117" t="inlineStr">
        <x:is>
          <x:t xml:space="preserve">v5 added</x:t>
        </x:is>
      </x:c>
    </x:row>
    <x:row r="118">
      <x:c r="A118" t="inlineStr">
        <x:is>
          <x:t xml:space="preserve">T117</x:t>
        </x:is>
      </x:c>
      <x:c r="B118" t="inlineStr">
        <x:is>
          <x:t xml:space="preserve">vaginal candidiasis</x:t>
        </x:is>
      </x:c>
      <x:c r="C118" t="inlineStr">
        <x:is>
          <x:t xml:space="preserve">vulvovaginal_candidiasis_adult</x:t>
        </x:is>
      </x:c>
      <x:c r="D118" t="inlineStr">
        <x:is>
          <x:t xml:space="preserve">FRM0116</x:t>
        </x:is>
      </x:c>
      <x:c r="E118" t="inlineStr">
        <x:is>
          <x:t xml:space="preserve">Vulvovaginal candidiasis</x:t>
        </x:is>
      </x:c>
      <x:c r="F118" t="inlineStr">
        <x:is>
          <x:t xml:space="preserve">READY</x:t>
        </x:is>
      </x:c>
      <x:c r="G118" t="inlineStr">
        <x:is>
          <x:t xml:space="preserve">v6 added</x:t>
        </x:is>
      </x:c>
    </x:row>
    <x:row r="119">
      <x:c r="A119" t="inlineStr">
        <x:is>
          <x:t xml:space="preserve">T118</x:t>
        </x:is>
      </x:c>
      <x:c r="B119" t="inlineStr">
        <x:is>
          <x:t xml:space="preserve">vaginal mixed infection</x:t>
        </x:is>
      </x:c>
      <x:c r="C119" t="inlineStr">
        <x:is>
          <x:t xml:space="preserve">vaginal_mixed_infection_adult</x:t>
        </x:is>
      </x:c>
      <x:c r="D119" t="inlineStr">
        <x:is>
          <x:t xml:space="preserve">FRM0117</x:t>
        </x:is>
      </x:c>
      <x:c r="E119" t="inlineStr">
        <x:is>
          <x:t xml:space="preserve">Vaginal mixed-infection support</x:t>
        </x:is>
      </x:c>
      <x:c r="F119" t="inlineStr">
        <x:is>
          <x:t xml:space="preserve">READY</x:t>
        </x:is>
      </x:c>
      <x:c r="G119" t="inlineStr">
        <x:is>
          <x:t xml:space="preserve">v6 added</x:t>
        </x:is>
      </x:c>
    </x:row>
    <x:row r="120">
      <x:c r="A120" t="inlineStr">
        <x:is>
          <x:t xml:space="preserve">T119</x:t>
        </x:is>
      </x:c>
      <x:c r="B120" t="inlineStr">
        <x:is>
          <x:t xml:space="preserve">vaginal discharge support</x:t>
        </x:is>
      </x:c>
      <x:c r="C120" t="inlineStr">
        <x:is>
          <x:t xml:space="preserve">vaginal_discharge_support_adult</x:t>
        </x:is>
      </x:c>
      <x:c r="D120" t="inlineStr">
        <x:is>
          <x:t xml:space="preserve">FRM0118</x:t>
        </x:is>
      </x:c>
      <x:c r="E120" t="inlineStr">
        <x:is>
          <x:t xml:space="preserve">Vaginal discharge support row</x:t>
        </x:is>
      </x:c>
      <x:c r="F120" t="inlineStr">
        <x:is>
          <x:t xml:space="preserve">READY</x:t>
        </x:is>
      </x:c>
      <x:c r="G120" t="inlineStr">
        <x:is>
          <x:t xml:space="preserve">v6 added</x:t>
        </x:is>
      </x:c>
    </x:row>
    <x:row r="121">
      <x:c r="A121" t="inlineStr">
        <x:is>
          <x:t xml:space="preserve">T120</x:t>
        </x:is>
      </x:c>
      <x:c r="B121" t="inlineStr">
        <x:is>
          <x:t xml:space="preserve">uti alternative cipro</x:t>
        </x:is>
      </x:c>
      <x:c r="C121" t="inlineStr">
        <x:is>
          <x:t xml:space="preserve">uncomplicated_uti_alt_cipro_adult</x:t>
        </x:is>
      </x:c>
      <x:c r="D121" t="inlineStr">
        <x:is>
          <x:t xml:space="preserve">FRM0119</x:t>
        </x:is>
      </x:c>
      <x:c r="E121" t="inlineStr">
        <x:is>
          <x:t xml:space="preserve">Uncomplicated UTI alternative row</x:t>
        </x:is>
      </x:c>
      <x:c r="F121" t="inlineStr">
        <x:is>
          <x:t xml:space="preserve">READY</x:t>
        </x:is>
      </x:c>
      <x:c r="G121" t="inlineStr">
        <x:is>
          <x:t xml:space="preserve">v6 added</x:t>
        </x:is>
      </x:c>
    </x:row>
    <x:row r="122">
      <x:c r="A122" t="inlineStr">
        <x:is>
          <x:t xml:space="preserve">T121</x:t>
        </x:is>
      </x:c>
      <x:c r="B122" t="inlineStr">
        <x:is>
          <x:t xml:space="preserve">dysuria lower uti</x:t>
        </x:is>
      </x:c>
      <x:c r="C122" t="inlineStr">
        <x:is>
          <x:t xml:space="preserve">dysuria_lower_uti_adult</x:t>
        </x:is>
      </x:c>
      <x:c r="D122" t="inlineStr">
        <x:is>
          <x:t xml:space="preserve">FRM0120</x:t>
        </x:is>
      </x:c>
      <x:c r="E122" t="inlineStr">
        <x:is>
          <x:t xml:space="preserve">Lower UTI with dysuria</x:t>
        </x:is>
      </x:c>
      <x:c r="F122" t="inlineStr">
        <x:is>
          <x:t xml:space="preserve">READY</x:t>
        </x:is>
      </x:c>
      <x:c r="G122" t="inlineStr">
        <x:is>
          <x:t xml:space="preserve">v6 added</x:t>
        </x:is>
      </x:c>
    </x:row>
    <x:row r="123">
      <x:c r="A123" t="inlineStr">
        <x:is>
          <x:t xml:space="preserve">T122</x:t>
        </x:is>
      </x:c>
      <x:c r="B123" t="inlineStr">
        <x:is>
          <x:t xml:space="preserve">urine frequency urgency</x:t>
        </x:is>
      </x:c>
      <x:c r="C123" t="inlineStr">
        <x:is>
          <x:t xml:space="preserve">frequency_urgency_uti_adult</x:t>
        </x:is>
      </x:c>
      <x:c r="D123" t="inlineStr">
        <x:is>
          <x:t xml:space="preserve">FRM0121</x:t>
        </x:is>
      </x:c>
      <x:c r="E123" t="inlineStr">
        <x:is>
          <x:t xml:space="preserve">Lower UTI with frequency / urgency</x:t>
        </x:is>
      </x:c>
      <x:c r="F123" t="inlineStr">
        <x:is>
          <x:t xml:space="preserve">READY</x:t>
        </x:is>
      </x:c>
      <x:c r="G123" t="inlineStr">
        <x:is>
          <x:t xml:space="preserve">v6 added</x:t>
        </x:is>
      </x:c>
    </x:row>
    <x:row r="124">
      <x:c r="A124" t="inlineStr">
        <x:is>
          <x:t xml:space="preserve">T123</x:t>
        </x:is>
      </x:c>
      <x:c r="B124" t="inlineStr">
        <x:is>
          <x:t xml:space="preserve">tinea cruris</x:t>
        </x:is>
      </x:c>
      <x:c r="C124" t="inlineStr">
        <x:is>
          <x:t xml:space="preserve">tinea_cruris_adult</x:t>
        </x:is>
      </x:c>
      <x:c r="D124" t="inlineStr">
        <x:is>
          <x:t xml:space="preserve">FRM0122</x:t>
        </x:is>
      </x:c>
      <x:c r="E124" t="inlineStr">
        <x:is>
          <x:t xml:space="preserve">Tinea cruris / groin fungal rash</x:t>
        </x:is>
      </x:c>
      <x:c r="F124" t="inlineStr">
        <x:is>
          <x:t xml:space="preserve">READY</x:t>
        </x:is>
      </x:c>
      <x:c r="G124" t="inlineStr">
        <x:is>
          <x:t xml:space="preserve">v6 added</x:t>
        </x:is>
      </x:c>
    </x:row>
    <x:row r="125">
      <x:c r="A125" t="inlineStr">
        <x:is>
          <x:t xml:space="preserve">T124</x:t>
        </x:is>
      </x:c>
      <x:c r="B125" t="inlineStr">
        <x:is>
          <x:t xml:space="preserve">tinea pedis</x:t>
        </x:is>
      </x:c>
      <x:c r="C125" t="inlineStr">
        <x:is>
          <x:t xml:space="preserve">tinea_pedis_adult</x:t>
        </x:is>
      </x:c>
      <x:c r="D125" t="inlineStr">
        <x:is>
          <x:t xml:space="preserve">FRM0123</x:t>
        </x:is>
      </x:c>
      <x:c r="E125" t="inlineStr">
        <x:is>
          <x:t xml:space="preserve">Tinea pedis / fungal foot rash</x:t>
        </x:is>
      </x:c>
      <x:c r="F125" t="inlineStr">
        <x:is>
          <x:t xml:space="preserve">READY</x:t>
        </x:is>
      </x:c>
      <x:c r="G125" t="inlineStr">
        <x:is>
          <x:t xml:space="preserve">v6 added</x:t>
        </x:is>
      </x:c>
    </x:row>
    <x:row r="126">
      <x:c r="A126" t="inlineStr">
        <x:is>
          <x:t xml:space="preserve">T125</x:t>
        </x:is>
      </x:c>
      <x:c r="B126" t="inlineStr">
        <x:is>
          <x:t xml:space="preserve">tinea corporis clotrimazole</x:t>
        </x:is>
      </x:c>
      <x:c r="C126" t="inlineStr">
        <x:is>
          <x:t xml:space="preserve">tinea_corporis_clotrimazole_adult</x:t>
        </x:is>
      </x:c>
      <x:c r="D126" t="inlineStr">
        <x:is>
          <x:t xml:space="preserve">FRM0124</x:t>
        </x:is>
      </x:c>
      <x:c r="E126" t="inlineStr">
        <x:is>
          <x:t xml:space="preserve">Tinea corporis (clotrimazole-first row)</x:t>
        </x:is>
      </x:c>
      <x:c r="F126" t="inlineStr">
        <x:is>
          <x:t xml:space="preserve">READY</x:t>
        </x:is>
      </x:c>
      <x:c r="G126" t="inlineStr">
        <x:is>
          <x:t xml:space="preserve">v6 added</x:t>
        </x:is>
      </x:c>
    </x:row>
    <x:row r="127">
      <x:c r="A127" t="inlineStr">
        <x:is>
          <x:t xml:space="preserve">T126</x:t>
        </x:is>
      </x:c>
      <x:c r="B127" t="inlineStr">
        <x:is>
          <x:t xml:space="preserve">fungal intertrigo</x:t>
        </x:is>
      </x:c>
      <x:c r="C127" t="inlineStr">
        <x:is>
          <x:t xml:space="preserve">fungal_intertrigo_adult</x:t>
        </x:is>
      </x:c>
      <x:c r="D127" t="inlineStr">
        <x:is>
          <x:t xml:space="preserve">FRM0125</x:t>
        </x:is>
      </x:c>
      <x:c r="E127" t="inlineStr">
        <x:is>
          <x:t xml:space="preserve">Fungal intertrigo</x:t>
        </x:is>
      </x:c>
      <x:c r="F127" t="inlineStr">
        <x:is>
          <x:t xml:space="preserve">READY</x:t>
        </x:is>
      </x:c>
      <x:c r="G127" t="inlineStr">
        <x:is>
          <x:t xml:space="preserve">v6 added</x:t>
        </x:is>
      </x:c>
    </x:row>
    <x:row r="128">
      <x:c r="A128" t="inlineStr">
        <x:is>
          <x:t xml:space="preserve">T127</x:t>
        </x:is>
      </x:c>
      <x:c r="B128" t="inlineStr">
        <x:is>
          <x:t xml:space="preserve">pityriasis versicolor</x:t>
        </x:is>
      </x:c>
      <x:c r="C128" t="inlineStr">
        <x:is>
          <x:t xml:space="preserve">pityriasis_versicolor_adult</x:t>
        </x:is>
      </x:c>
      <x:c r="D128" t="inlineStr">
        <x:is>
          <x:t xml:space="preserve">FRM0126</x:t>
        </x:is>
      </x:c>
      <x:c r="E128" t="inlineStr">
        <x:is>
          <x:t xml:space="preserve">Pityriasis versicolor</x:t>
        </x:is>
      </x:c>
      <x:c r="F128" t="inlineStr">
        <x:is>
          <x:t xml:space="preserve">READY</x:t>
        </x:is>
      </x:c>
      <x:c r="G128" t="inlineStr">
        <x:is>
          <x:t xml:space="preserve">v6 added</x:t>
        </x:is>
      </x:c>
    </x:row>
    <x:row r="129">
      <x:c r="A129" t="inlineStr">
        <x:is>
          <x:t xml:space="preserve">T128</x:t>
        </x:is>
      </x:c>
      <x:c r="B129" t="inlineStr">
        <x:is>
          <x:t xml:space="preserve">cutaneous candidiasis</x:t>
        </x:is>
      </x:c>
      <x:c r="C129" t="inlineStr">
        <x:is>
          <x:t xml:space="preserve">cutaneous_candidiasis_adult</x:t>
        </x:is>
      </x:c>
      <x:c r="D129" t="inlineStr">
        <x:is>
          <x:t xml:space="preserve">FRM0127</x:t>
        </x:is>
      </x:c>
      <x:c r="E129" t="inlineStr">
        <x:is>
          <x:t xml:space="preserve">Cutaneous candidiasis</x:t>
        </x:is>
      </x:c>
      <x:c r="F129" t="inlineStr">
        <x:is>
          <x:t xml:space="preserve">READY</x:t>
        </x:is>
      </x:c>
      <x:c r="G129" t="inlineStr">
        <x:is>
          <x:t xml:space="preserve">v6 added</x:t>
        </x:is>
      </x:c>
    </x:row>
    <x:row r="130">
      <x:c r="A130" t="inlineStr">
        <x:is>
          <x:t xml:space="preserve">T129</x:t>
        </x:is>
      </x:c>
      <x:c r="B130" t="inlineStr">
        <x:is>
          <x:t xml:space="preserve">wart</x:t>
        </x:is>
      </x:c>
      <x:c r="C130" t="inlineStr">
        <x:is>
          <x:t xml:space="preserve">wart_localized_adult</x:t>
        </x:is>
      </x:c>
      <x:c r="D130" t="inlineStr">
        <x:is>
          <x:t xml:space="preserve">FRM0128</x:t>
        </x:is>
      </x:c>
      <x:c r="E130" t="inlineStr">
        <x:is>
          <x:t xml:space="preserve">Localized wart treatment</x:t>
        </x:is>
      </x:c>
      <x:c r="F130" t="inlineStr">
        <x:is>
          <x:t xml:space="preserve">READY</x:t>
        </x:is>
      </x:c>
      <x:c r="G130" t="inlineStr">
        <x:is>
          <x:t xml:space="preserve">v6 added</x:t>
        </x:is>
      </x:c>
    </x:row>
    <x:row r="131">
      <x:c r="A131" t="inlineStr">
        <x:is>
          <x:t xml:space="preserve">T130</x:t>
        </x:is>
      </x:c>
      <x:c r="B131" t="inlineStr">
        <x:is>
          <x:t xml:space="preserve">corn treatment</x:t>
        </x:is>
      </x:c>
      <x:c r="C131" t="inlineStr">
        <x:is>
          <x:t xml:space="preserve">corn_callus_topical_adult</x:t>
        </x:is>
      </x:c>
      <x:c r="D131" t="inlineStr">
        <x:is>
          <x:t xml:space="preserve">FRM0129</x:t>
        </x:is>
      </x:c>
      <x:c r="E131" t="inlineStr">
        <x:is>
          <x:t xml:space="preserve">Corn / callus topical treatment</x:t>
        </x:is>
      </x:c>
      <x:c r="F131" t="inlineStr">
        <x:is>
          <x:t xml:space="preserve">READY</x:t>
        </x:is>
      </x:c>
      <x:c r="G131" t="inlineStr">
        <x:is>
          <x:t xml:space="preserve">v6 added</x:t>
        </x:is>
      </x:c>
    </x:row>
    <x:row r="132">
      <x:c r="A132" t="inlineStr">
        <x:is>
          <x:t xml:space="preserve">T131</x:t>
        </x:is>
      </x:c>
      <x:c r="B132" t="inlineStr">
        <x:is>
          <x:t xml:space="preserve">dental pain</x:t>
        </x:is>
      </x:c>
      <x:c r="C132" t="inlineStr">
        <x:is>
          <x:t xml:space="preserve">dental_pain_support_adult</x:t>
        </x:is>
      </x:c>
      <x:c r="D132" t="inlineStr">
        <x:is>
          <x:t xml:space="preserve">FRM0130</x:t>
        </x:is>
      </x:c>
      <x:c r="E132" t="inlineStr">
        <x:is>
          <x:t xml:space="preserve">Dental pain support</x:t>
        </x:is>
      </x:c>
      <x:c r="F132" t="inlineStr">
        <x:is>
          <x:t xml:space="preserve">READY</x:t>
        </x:is>
      </x:c>
      <x:c r="G132" t="inlineStr">
        <x:is>
          <x:t xml:space="preserve">v6 added</x:t>
        </x:is>
      </x:c>
    </x:row>
    <x:row r="133">
      <x:c r="A133" t="inlineStr">
        <x:is>
          <x:t xml:space="preserve">T132</x:t>
        </x:is>
      </x:c>
      <x:c r="B133" t="inlineStr">
        <x:is>
          <x:t xml:space="preserve">gingivitis</x:t>
        </x:is>
      </x:c>
      <x:c r="C133" t="inlineStr">
        <x:is>
          <x:t xml:space="preserve">gingivitis_localized_adult</x:t>
        </x:is>
      </x:c>
      <x:c r="D133" t="inlineStr">
        <x:is>
          <x:t xml:space="preserve">FRM0131</x:t>
        </x:is>
      </x:c>
      <x:c r="E133" t="inlineStr">
        <x:is>
          <x:t xml:space="preserve">Localized gingivitis</x:t>
        </x:is>
      </x:c>
      <x:c r="F133" t="inlineStr">
        <x:is>
          <x:t xml:space="preserve">READY</x:t>
        </x:is>
      </x:c>
      <x:c r="G133" t="inlineStr">
        <x:is>
          <x:t xml:space="preserve">v6 added</x:t>
        </x:is>
      </x:c>
    </x:row>
    <x:row r="134">
      <x:c r="A134" t="inlineStr">
        <x:is>
          <x:t xml:space="preserve">T133</x:t>
        </x:is>
      </x:c>
      <x:c r="B134" t="inlineStr">
        <x:is>
          <x:t xml:space="preserve">gum inflammation support</x:t>
        </x:is>
      </x:c>
      <x:c r="C134" t="inlineStr">
        <x:is>
          <x:t xml:space="preserve">gum_inflammation_support_adult</x:t>
        </x:is>
      </x:c>
      <x:c r="D134" t="inlineStr">
        <x:is>
          <x:t xml:space="preserve">FRM0132</x:t>
        </x:is>
      </x:c>
      <x:c r="E134" t="inlineStr">
        <x:is>
          <x:t xml:space="preserve">Gum inflammation support</x:t>
        </x:is>
      </x:c>
      <x:c r="F134" t="inlineStr">
        <x:is>
          <x:t xml:space="preserve">READY</x:t>
        </x:is>
      </x:c>
      <x:c r="G134" t="inlineStr">
        <x:is>
          <x:t xml:space="preserve">v6 added</x:t>
        </x:is>
      </x:c>
    </x:row>
    <x:row r="135">
      <x:c r="A135" t="inlineStr">
        <x:is>
          <x:t xml:space="preserve">T134</x:t>
        </x:is>
      </x:c>
      <x:c r="B135" t="inlineStr">
        <x:is>
          <x:t xml:space="preserve">dental abscess</x:t>
        </x:is>
      </x:c>
      <x:c r="C135" t="inlineStr">
        <x:is>
          <x:t xml:space="preserve">dental_abscess_support_adult</x:t>
        </x:is>
      </x:c>
      <x:c r="D135" t="inlineStr">
        <x:is>
          <x:t xml:space="preserve">FRM0133</x:t>
        </x:is>
      </x:c>
      <x:c r="E135" t="inlineStr">
        <x:is>
          <x:t xml:space="preserve">Dental abscess support</x:t>
        </x:is>
      </x:c>
      <x:c r="F135" t="inlineStr">
        <x:is>
          <x:t xml:space="preserve">READY</x:t>
        </x:is>
      </x:c>
      <x:c r="G135" t="inlineStr">
        <x:is>
          <x:t xml:space="preserve">v6 added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6" customWidth="1"/>
    <x:col min="3" max="3" width="26" customWidth="1"/>
    <x:col min="4" max="4" width="17" customWidth="1"/>
    <x:col min="5" max="5" width="36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25" customWidth="1"/>
    <x:col min="11" max="11" width="14" customWidth="1"/>
  </x:cols>
  <x:sheetData>
    <x:row r="1" ht="24" customHeight="1">
      <x:c r="A1" s="2" t="inlineStr">
        <x:is>
          <x:t xml:space="preserve">Map_ID</x:t>
        </x:is>
      </x:c>
      <x:c r="B1" s="2" t="inlineStr">
        <x:is>
          <x:t xml:space="preserve">Input_Phrase</x:t>
        </x:is>
      </x:c>
      <x:c r="C1" s="2" t="inlineStr">
        <x:is>
          <x:t xml:space="preserve">Normalized_Input</x:t>
        </x:is>
      </x:c>
      <x:c r="D1" s="2" t="inlineStr">
        <x:is>
          <x:t xml:space="preserve">Complaint_Group</x:t>
        </x:is>
      </x:c>
      <x:c r="E1" s="2" t="inlineStr">
        <x:is>
          <x:t xml:space="preserve">Disease_Key</x:t>
        </x:is>
      </x:c>
      <x:c r="F1" s="2" t="inlineStr">
        <x:is>
          <x:t xml:space="preserve">Age_Group</x:t>
        </x:is>
      </x:c>
      <x:c r="G1" s="2" t="inlineStr">
        <x:is>
          <x:t xml:space="preserve">Priority</x:t>
        </x:is>
      </x:c>
      <x:c r="H1" s="2" t="inlineStr">
        <x:is>
          <x:t xml:space="preserve">Match_Type</x:t>
        </x:is>
      </x:c>
      <x:c r="I1" s="2" t="inlineStr">
        <x:is>
          <x:t xml:space="preserve">Enabled</x:t>
        </x:is>
      </x:c>
      <x:c r="J1" s="2" t="inlineStr">
        <x:is>
          <x:t xml:space="preserve">Notes</x:t>
        </x:is>
      </x:c>
      <x:c r="K1" s="2" t="inlineStr">
        <x:is>
          <x:t xml:space="preserve">Last_Updated</x:t>
        </x:is>
      </x:c>
    </x:row>
    <x:row r="2" ht="22" customHeight="1">
      <x:c r="A2" t="inlineStr">
        <x:is>
          <x:t xml:space="preserve">CI0001</x:t>
        </x:is>
      </x:c>
      <x:c r="B2" t="inlineStr">
        <x:is>
          <x:t xml:space="preserve">allergic rhinitis</x:t>
        </x:is>
      </x:c>
      <x:c r="C2" t="inlineStr">
        <x:is>
          <x:t xml:space="preserve">allergic rhinitis</x:t>
        </x:is>
      </x:c>
      <x:c r="D2" t="inlineStr">
        <x:is>
          <x:t xml:space="preserve">ENT</x:t>
        </x:is>
      </x:c>
      <x:c r="E2" t="inlineStr">
        <x:is>
          <x:t xml:space="preserve">allergic_rhinitis_adult</x:t>
        </x:is>
      </x:c>
      <x:c r="F2" t="inlineStr">
        <x:is>
          <x:t xml:space="preserve">adult</x:t>
        </x:is>
      </x:c>
      <x:c r="G2" t="n">
        <x:v>1</x:v>
      </x:c>
      <x:c r="H2" t="inlineStr">
        <x:is>
          <x:t xml:space="preserve">exact</x:t>
        </x:is>
      </x:c>
      <x:c r="I2" t="inlineStr">
        <x:is>
          <x:t xml:space="preserve">Y</x:t>
        </x:is>
      </x:c>
      <x:c r="J2" t="inlineStr">
        <x:is>
          <x:t xml:space="preserve">starter row</x:t>
        </x:is>
      </x:c>
      <x:c r="K2" t="inlineStr">
        <x:is>
          <x:t xml:space="preserve">2026-03-08</x:t>
        </x:is>
      </x:c>
    </x:row>
    <x:row r="3" ht="22" customHeight="1">
      <x:c r="A3" t="inlineStr">
        <x:is>
          <x:t xml:space="preserve">CI0002</x:t>
        </x:is>
      </x:c>
      <x:c r="B3" t="inlineStr">
        <x:is>
          <x:t xml:space="preserve">runny nose</x:t>
        </x:is>
      </x:c>
      <x:c r="C3" t="inlineStr">
        <x:is>
          <x:t xml:space="preserve">runny nose</x:t>
        </x:is>
      </x:c>
      <x:c r="D3" t="inlineStr">
        <x:is>
          <x:t xml:space="preserve">ENT</x:t>
        </x:is>
      </x:c>
      <x:c r="E3" t="inlineStr">
        <x:is>
          <x:t xml:space="preserve">allergic_rhinitis_adult</x:t>
        </x:is>
      </x:c>
      <x:c r="F3" t="inlineStr">
        <x:is>
          <x:t xml:space="preserve">adult</x:t>
        </x:is>
      </x:c>
      <x:c r="G3" t="n">
        <x:v>2</x:v>
      </x:c>
      <x:c r="H3" t="inlineStr">
        <x:is>
          <x:t xml:space="preserve">alias</x:t>
        </x:is>
      </x:c>
      <x:c r="I3" t="inlineStr">
        <x:is>
          <x:t xml:space="preserve">Y</x:t>
        </x:is>
      </x:c>
      <x:c r="J3" t="inlineStr">
        <x:is>
          <x:t xml:space="preserve">starter row</x:t>
        </x:is>
      </x:c>
      <x:c r="K3" t="inlineStr">
        <x:is>
          <x:t xml:space="preserve">2026-03-08</x:t>
        </x:is>
      </x:c>
    </x:row>
    <x:row r="4" ht="22" customHeight="1">
      <x:c r="A4" t="inlineStr">
        <x:is>
          <x:t xml:space="preserve">CI0003</x:t>
        </x:is>
      </x:c>
      <x:c r="B4" t="inlineStr">
        <x:is>
          <x:t xml:space="preserve">uri with wet cough</x:t>
        </x:is>
      </x:c>
      <x:c r="C4" t="inlineStr">
        <x:is>
          <x:t xml:space="preserve">uri with wet cough</x:t>
        </x:is>
      </x:c>
      <x:c r="D4" t="inlineStr">
        <x:is>
          <x:t xml:space="preserve">ENT</x:t>
        </x:is>
      </x:c>
      <x:c r="E4" t="inlineStr">
        <x:is>
          <x:t xml:space="preserve">uri_wet_cough_adult</x:t>
        </x:is>
      </x:c>
      <x:c r="F4" t="inlineStr">
        <x:is>
          <x:t xml:space="preserve">adult</x:t>
        </x:is>
      </x:c>
      <x:c r="G4" t="n">
        <x:v>1</x:v>
      </x:c>
      <x:c r="H4" t="inlineStr">
        <x:is>
          <x:t xml:space="preserve">exact</x:t>
        </x:is>
      </x:c>
      <x:c r="I4" t="inlineStr">
        <x:is>
          <x:t xml:space="preserve">Y</x:t>
        </x:is>
      </x:c>
      <x:c r="J4" t="inlineStr">
        <x:is>
          <x:t xml:space="preserve">starter row</x:t>
        </x:is>
      </x:c>
      <x:c r="K4" t="inlineStr">
        <x:is>
          <x:t xml:space="preserve">2026-03-08</x:t>
        </x:is>
      </x:c>
    </x:row>
    <x:row r="5" ht="22" customHeight="1">
      <x:c r="A5" t="inlineStr">
        <x:is>
          <x:t xml:space="preserve">CI0004</x:t>
        </x:is>
      </x:c>
      <x:c r="B5" t="inlineStr">
        <x:is>
          <x:t xml:space="preserve">productive cough</x:t>
        </x:is>
      </x:c>
      <x:c r="C5" t="inlineStr">
        <x:is>
          <x:t xml:space="preserve">productive cough</x:t>
        </x:is>
      </x:c>
      <x:c r="D5" t="inlineStr">
        <x:is>
          <x:t xml:space="preserve">ENT</x:t>
        </x:is>
      </x:c>
      <x:c r="E5" t="inlineStr">
        <x:is>
          <x:t xml:space="preserve">uri_wet_cough_adult</x:t>
        </x:is>
      </x:c>
      <x:c r="F5" t="inlineStr">
        <x:is>
          <x:t xml:space="preserve">adult</x:t>
        </x:is>
      </x:c>
      <x:c r="G5" t="n">
        <x:v>2</x:v>
      </x:c>
      <x:c r="H5" t="inlineStr">
        <x:is>
          <x:t xml:space="preserve">alias</x:t>
        </x:is>
      </x:c>
      <x:c r="I5" t="inlineStr">
        <x:is>
          <x:t xml:space="preserve">Y</x:t>
        </x:is>
      </x:c>
      <x:c r="J5" t="inlineStr">
        <x:is>
          <x:t xml:space="preserve">starter row</x:t>
        </x:is>
      </x:c>
      <x:c r="K5" t="inlineStr">
        <x:is>
          <x:t xml:space="preserve">2026-03-08</x:t>
        </x:is>
      </x:c>
    </x:row>
    <x:row r="6" ht="22" customHeight="1">
      <x:c r="A6" t="inlineStr">
        <x:is>
          <x:t xml:space="preserve">CI0005</x:t>
        </x:is>
      </x:c>
      <x:c r="B6" t="inlineStr">
        <x:is>
          <x:t xml:space="preserve">uri with diarrhea</x:t>
        </x:is>
      </x:c>
      <x:c r="C6" t="inlineStr">
        <x:is>
          <x:t xml:space="preserve">uri with diarrhea</x:t>
        </x:is>
      </x:c>
      <x:c r="D6" t="inlineStr">
        <x:is>
          <x:t xml:space="preserve">Mixed</x:t>
        </x:is>
      </x:c>
      <x:c r="E6" t="inlineStr">
        <x:is>
          <x:t xml:space="preserve">uri_diarrhea_adult</x:t>
        </x:is>
      </x:c>
      <x:c r="F6" t="inlineStr">
        <x:is>
          <x:t xml:space="preserve">adult</x:t>
        </x:is>
      </x:c>
      <x:c r="G6" t="n">
        <x:v>1</x:v>
      </x:c>
      <x:c r="H6" t="inlineStr">
        <x:is>
          <x:t xml:space="preserve">exact</x:t>
        </x:is>
      </x:c>
      <x:c r="I6" t="inlineStr">
        <x:is>
          <x:t xml:space="preserve">Y</x:t>
        </x:is>
      </x:c>
      <x:c r="J6" t="inlineStr">
        <x:is>
          <x:t xml:space="preserve">starter row</x:t>
        </x:is>
      </x:c>
      <x:c r="K6" t="inlineStr">
        <x:is>
          <x:t xml:space="preserve">2026-03-08</x:t>
        </x:is>
      </x:c>
    </x:row>
    <x:row r="7" ht="22" customHeight="1">
      <x:c r="A7" t="inlineStr">
        <x:is>
          <x:t xml:space="preserve">CI0006</x:t>
        </x:is>
      </x:c>
      <x:c r="B7" t="inlineStr">
        <x:is>
          <x:t xml:space="preserve">acute watery diarrhea</x:t>
        </x:is>
      </x:c>
      <x:c r="C7" t="inlineStr">
        <x:is>
          <x:t xml:space="preserve">acute watery diarrhea</x:t>
        </x:is>
      </x:c>
      <x:c r="D7" t="inlineStr">
        <x:is>
          <x:t xml:space="preserve">GI</x:t>
        </x:is>
      </x:c>
      <x:c r="E7" t="inlineStr">
        <x:is>
          <x:t xml:space="preserve">acute_watery_diarrhea_adult</x:t>
        </x:is>
      </x:c>
      <x:c r="F7" t="inlineStr">
        <x:is>
          <x:t xml:space="preserve">adult</x:t>
        </x:is>
      </x:c>
      <x:c r="G7" t="n">
        <x:v>1</x:v>
      </x:c>
      <x:c r="H7" t="inlineStr">
        <x:is>
          <x:t xml:space="preserve">exact</x:t>
        </x:is>
      </x:c>
      <x:c r="I7" t="inlineStr">
        <x:is>
          <x:t xml:space="preserve">Y</x:t>
        </x:is>
      </x:c>
      <x:c r="J7" t="inlineStr">
        <x:is>
          <x:t xml:space="preserve">starter row</x:t>
        </x:is>
      </x:c>
      <x:c r="K7" t="inlineStr">
        <x:is>
          <x:t xml:space="preserve">2026-03-08</x:t>
        </x:is>
      </x:c>
    </x:row>
    <x:row r="8" ht="22" customHeight="1">
      <x:c r="A8" t="inlineStr">
        <x:is>
          <x:t xml:space="preserve">CI0007</x:t>
        </x:is>
      </x:c>
      <x:c r="B8" t="inlineStr">
        <x:is>
          <x:t xml:space="preserve">uri with rash</x:t>
        </x:is>
      </x:c>
      <x:c r="C8" t="inlineStr">
        <x:is>
          <x:t xml:space="preserve">uri with rash</x:t>
        </x:is>
      </x:c>
      <x:c r="D8" t="inlineStr">
        <x:is>
          <x:t xml:space="preserve">Mixed</x:t>
        </x:is>
      </x:c>
      <x:c r="E8" t="inlineStr">
        <x:is>
          <x:t xml:space="preserve">uri_rash_adult</x:t>
        </x:is>
      </x:c>
      <x:c r="F8" t="inlineStr">
        <x:is>
          <x:t xml:space="preserve">adult</x:t>
        </x:is>
      </x:c>
      <x:c r="G8" t="n">
        <x:v>1</x:v>
      </x:c>
      <x:c r="H8" t="inlineStr">
        <x:is>
          <x:t xml:space="preserve">exact</x:t>
        </x:is>
      </x:c>
      <x:c r="I8" t="inlineStr">
        <x:is>
          <x:t xml:space="preserve">Y</x:t>
        </x:is>
      </x:c>
      <x:c r="J8" t="inlineStr">
        <x:is>
          <x:t xml:space="preserve">starter row</x:t>
        </x:is>
      </x:c>
      <x:c r="K8" t="inlineStr">
        <x:is>
          <x:t xml:space="preserve">2026-03-08</x:t>
        </x:is>
      </x:c>
    </x:row>
    <x:row r="9" ht="22" customHeight="1">
      <x:c r="A9" t="inlineStr">
        <x:is>
          <x:t xml:space="preserve">CI0008</x:t>
        </x:is>
      </x:c>
      <x:c r="B9" t="inlineStr">
        <x:is>
          <x:t xml:space="preserve">sore throat</x:t>
        </x:is>
      </x:c>
      <x:c r="C9" t="inlineStr">
        <x:is>
          <x:t xml:space="preserve">sore throat</x:t>
        </x:is>
      </x:c>
      <x:c r="D9" t="inlineStr">
        <x:is>
          <x:t xml:space="preserve">ENT</x:t>
        </x:is>
      </x:c>
      <x:c r="E9" t="inlineStr">
        <x:is>
          <x:t xml:space="preserve">sore_throat_adult</x:t>
        </x:is>
      </x:c>
      <x:c r="F9" t="inlineStr">
        <x:is>
          <x:t xml:space="preserve">adult</x:t>
        </x:is>
      </x:c>
      <x:c r="G9" t="n">
        <x:v>1</x:v>
      </x:c>
      <x:c r="H9" t="inlineStr">
        <x:is>
          <x:t xml:space="preserve">exact</x:t>
        </x:is>
      </x:c>
      <x:c r="I9" t="inlineStr">
        <x:is>
          <x:t xml:space="preserve">Y</x:t>
        </x:is>
      </x:c>
      <x:c r="J9" t="inlineStr">
        <x:is>
          <x:t xml:space="preserve">starter row</x:t>
        </x:is>
      </x:c>
      <x:c r="K9" t="inlineStr">
        <x:is>
          <x:t xml:space="preserve">2026-03-08</x:t>
        </x:is>
      </x:c>
    </x:row>
    <x:row r="10" ht="22" customHeight="1">
      <x:c r="A10" t="inlineStr">
        <x:is>
          <x:t xml:space="preserve">CI0009</x:t>
        </x:is>
      </x:c>
      <x:c r="B10" t="inlineStr">
        <x:is>
          <x:t xml:space="preserve">dry eye</x:t>
        </x:is>
      </x:c>
      <x:c r="C10" t="inlineStr">
        <x:is>
          <x:t xml:space="preserve">dry eye</x:t>
        </x:is>
      </x:c>
      <x:c r="D10" t="inlineStr">
        <x:is>
          <x:t xml:space="preserve">Eye</x:t>
        </x:is>
      </x:c>
      <x:c r="E10" t="inlineStr">
        <x:is>
          <x:t xml:space="preserve">dry_eye_adult</x:t>
        </x:is>
      </x:c>
      <x:c r="F10" t="inlineStr">
        <x:is>
          <x:t xml:space="preserve">adult</x:t>
        </x:is>
      </x:c>
      <x:c r="G10" t="n">
        <x:v>1</x:v>
      </x:c>
      <x:c r="H10" t="inlineStr">
        <x:is>
          <x:t xml:space="preserve">exact</x:t>
        </x:is>
      </x:c>
      <x:c r="I10" t="inlineStr">
        <x:is>
          <x:t xml:space="preserve">Y</x:t>
        </x:is>
      </x:c>
      <x:c r="J10" t="inlineStr">
        <x:is>
          <x:t xml:space="preserve">starter row</x:t>
        </x:is>
      </x:c>
      <x:c r="K10" t="inlineStr">
        <x:is>
          <x:t xml:space="preserve">2026-03-08</x:t>
        </x:is>
      </x:c>
    </x:row>
    <x:row r="11" ht="22" customHeight="1">
      <x:c r="A11" t="inlineStr">
        <x:is>
          <x:t xml:space="preserve">CI0010</x:t>
        </x:is>
      </x:c>
      <x:c r="B11" t="inlineStr">
        <x:is>
          <x:t xml:space="preserve">diarrhea 5 yr bw 20 kg</x:t>
        </x:is>
      </x:c>
      <x:c r="C11" t="inlineStr">
        <x:is>
          <x:t xml:space="preserve">diarrhea 5 yr bw 20 kg</x:t>
        </x:is>
      </x:c>
      <x:c r="D11" t="inlineStr">
        <x:is>
          <x:t xml:space="preserve">GI</x:t>
        </x:is>
      </x:c>
      <x:c r="E11" t="inlineStr">
        <x:is>
          <x:t xml:space="preserve">acute_watery_diarrhea_peds</x:t>
        </x:is>
      </x:c>
      <x:c r="F11" t="inlineStr">
        <x:is>
          <x:t xml:space="preserve">peds</x:t>
        </x:is>
      </x:c>
      <x:c r="G11" t="n">
        <x:v>1</x:v>
      </x:c>
      <x:c r="H11" t="inlineStr">
        <x:is>
          <x:t xml:space="preserve">shortcut</x:t>
        </x:is>
      </x:c>
      <x:c r="I11" t="inlineStr">
        <x:is>
          <x:t xml:space="preserve">Y</x:t>
        </x:is>
      </x:c>
      <x:c r="J11" t="inlineStr">
        <x:is>
          <x:t xml:space="preserve">starter row</x:t>
        </x:is>
      </x:c>
      <x:c r="K11" t="inlineStr">
        <x:is>
          <x:t xml:space="preserve">2026-03-08</x:t>
        </x:is>
      </x:c>
    </x:row>
    <x:row r="12">
      <x:c r="A12" t="inlineStr">
        <x:is>
          <x:t xml:space="preserve">CI0011</x:t>
        </x:is>
      </x:c>
      <x:c r="B12" t="inlineStr">
        <x:is>
          <x:t xml:space="preserve">runny nose allergy</x:t>
        </x:is>
      </x:c>
      <x:c r="C12" t="inlineStr">
        <x:is>
          <x:t xml:space="preserve">runny nose allergy</x:t>
        </x:is>
      </x:c>
      <x:c r="D12" t="inlineStr">
        <x:is>
          <x:t xml:space="preserve">ENT</x:t>
        </x:is>
      </x:c>
      <x:c r="E12" t="inlineStr">
        <x:is>
          <x:t xml:space="preserve">allergic_rhinitis_adult</x:t>
        </x:is>
      </x:c>
      <x:c r="F12" t="inlineStr">
        <x:is>
          <x:t xml:space="preserve">adult</x:t>
        </x:is>
      </x:c>
      <x:c r="G12" t="n">
        <x:v>3</x:v>
      </x:c>
      <x:c r="H12" t="inlineStr">
        <x:is>
          <x:t xml:space="preserve">alias</x:t>
        </x:is>
      </x:c>
      <x:c r="I12" t="inlineStr">
        <x:is>
          <x:t xml:space="preserve">Y</x:t>
        </x:is>
      </x:c>
      <x:c r="J12" t="inlineStr">
        <x:is>
          <x:t xml:space="preserve">expanded starter row</x:t>
        </x:is>
      </x:c>
      <x:c r="K12" t="inlineStr">
        <x:is>
          <x:t xml:space="preserve">2026-03-08</x:t>
        </x:is>
      </x:c>
    </x:row>
    <x:row r="13">
      <x:c r="A13" t="inlineStr">
        <x:is>
          <x:t xml:space="preserve">CI0012</x:t>
        </x:is>
      </x:c>
      <x:c r="B13" t="inlineStr">
        <x:is>
          <x:t xml:space="preserve">sneezing</x:t>
        </x:is>
      </x:c>
      <x:c r="C13" t="inlineStr">
        <x:is>
          <x:t xml:space="preserve">sneezing</x:t>
        </x:is>
      </x:c>
      <x:c r="D13" t="inlineStr">
        <x:is>
          <x:t xml:space="preserve">ENT</x:t>
        </x:is>
      </x:c>
      <x:c r="E13" t="inlineStr">
        <x:is>
          <x:t xml:space="preserve">allergic_rhinitis_adult</x:t>
        </x:is>
      </x:c>
      <x:c r="F13" t="inlineStr">
        <x:is>
          <x:t xml:space="preserve">adult</x:t>
        </x:is>
      </x:c>
      <x:c r="G13" t="n">
        <x:v>3</x:v>
      </x:c>
      <x:c r="H13" t="inlineStr">
        <x:is>
          <x:t xml:space="preserve">alias</x:t>
        </x:is>
      </x:c>
      <x:c r="I13" t="inlineStr">
        <x:is>
          <x:t xml:space="preserve">Y</x:t>
        </x:is>
      </x:c>
      <x:c r="J13" t="inlineStr">
        <x:is>
          <x:t xml:space="preserve">expanded starter row</x:t>
        </x:is>
      </x:c>
      <x:c r="K13" t="inlineStr">
        <x:is>
          <x:t xml:space="preserve">2026-03-08</x:t>
        </x:is>
      </x:c>
    </x:row>
    <x:row r="14">
      <x:c r="A14" t="inlineStr">
        <x:is>
          <x:t xml:space="preserve">CI0013</x:t>
        </x:is>
      </x:c>
      <x:c r="B14" t="inlineStr">
        <x:is>
          <x:t xml:space="preserve">itchy nose</x:t>
        </x:is>
      </x:c>
      <x:c r="C14" t="inlineStr">
        <x:is>
          <x:t xml:space="preserve">itchy nose</x:t>
        </x:is>
      </x:c>
      <x:c r="D14" t="inlineStr">
        <x:is>
          <x:t xml:space="preserve">ENT</x:t>
        </x:is>
      </x:c>
      <x:c r="E14" t="inlineStr">
        <x:is>
          <x:t xml:space="preserve">allergic_rhinitis_adult</x:t>
        </x:is>
      </x:c>
      <x:c r="F14" t="inlineStr">
        <x:is>
          <x:t xml:space="preserve">adult</x:t>
        </x:is>
      </x:c>
      <x:c r="G14" t="n">
        <x:v>3</x:v>
      </x:c>
      <x:c r="H14" t="inlineStr">
        <x:is>
          <x:t xml:space="preserve">alias</x:t>
        </x:is>
      </x:c>
      <x:c r="I14" t="inlineStr">
        <x:is>
          <x:t xml:space="preserve">Y</x:t>
        </x:is>
      </x:c>
      <x:c r="J14" t="inlineStr">
        <x:is>
          <x:t xml:space="preserve">expanded starter row</x:t>
        </x:is>
      </x:c>
      <x:c r="K14" t="inlineStr">
        <x:is>
          <x:t xml:space="preserve">2026-03-08</x:t>
        </x:is>
      </x:c>
    </x:row>
    <x:row r="15">
      <x:c r="A15" t="inlineStr">
        <x:is>
          <x:t xml:space="preserve">CI0014</x:t>
        </x:is>
      </x:c>
      <x:c r="B15" t="inlineStr">
        <x:is>
          <x:t xml:space="preserve">blocked nose</x:t>
        </x:is>
      </x:c>
      <x:c r="C15" t="inlineStr">
        <x:is>
          <x:t xml:space="preserve">blocked nose</x:t>
        </x:is>
      </x:c>
      <x:c r="D15" t="inlineStr">
        <x:is>
          <x:t xml:space="preserve">ENT</x:t>
        </x:is>
      </x:c>
      <x:c r="E15" t="inlineStr">
        <x:is>
          <x:t xml:space="preserve">allergic_rhinitis_adult</x:t>
        </x:is>
      </x:c>
      <x:c r="F15" t="inlineStr">
        <x:is>
          <x:t xml:space="preserve">adult</x:t>
        </x:is>
      </x:c>
      <x:c r="G15" t="n">
        <x:v>3</x:v>
      </x:c>
      <x:c r="H15" t="inlineStr">
        <x:is>
          <x:t xml:space="preserve">alias</x:t>
        </x:is>
      </x:c>
      <x:c r="I15" t="inlineStr">
        <x:is>
          <x:t xml:space="preserve">Y</x:t>
        </x:is>
      </x:c>
      <x:c r="J15" t="inlineStr">
        <x:is>
          <x:t xml:space="preserve">expanded starter row</x:t>
        </x:is>
      </x:c>
      <x:c r="K15" t="inlineStr">
        <x:is>
          <x:t xml:space="preserve">2026-03-08</x:t>
        </x:is>
      </x:c>
    </x:row>
    <x:row r="16">
      <x:c r="A16" t="inlineStr">
        <x:is>
          <x:t xml:space="preserve">CI0015</x:t>
        </x:is>
      </x:c>
      <x:c r="B16" t="inlineStr">
        <x:is>
          <x:t xml:space="preserve">nasal congestion</x:t>
        </x:is>
      </x:c>
      <x:c r="C16" t="inlineStr">
        <x:is>
          <x:t xml:space="preserve">nasal congestion</x:t>
        </x:is>
      </x:c>
      <x:c r="D16" t="inlineStr">
        <x:is>
          <x:t xml:space="preserve">ENT</x:t>
        </x:is>
      </x:c>
      <x:c r="E16" t="inlineStr">
        <x:is>
          <x:t xml:space="preserve">allergic_rhinitis_adult</x:t>
        </x:is>
      </x:c>
      <x:c r="F16" t="inlineStr">
        <x:is>
          <x:t xml:space="preserve">adult</x:t>
        </x:is>
      </x:c>
      <x:c r="G16" t="n">
        <x:v>3</x:v>
      </x:c>
      <x:c r="H16" t="inlineStr">
        <x:is>
          <x:t xml:space="preserve">alias</x:t>
        </x:is>
      </x:c>
      <x:c r="I16" t="inlineStr">
        <x:is>
          <x:t xml:space="preserve">Y</x:t>
        </x:is>
      </x:c>
      <x:c r="J16" t="inlineStr">
        <x:is>
          <x:t xml:space="preserve">expanded starter row</x:t>
        </x:is>
      </x:c>
      <x:c r="K16" t="inlineStr">
        <x:is>
          <x:t xml:space="preserve">2026-03-08</x:t>
        </x:is>
      </x:c>
    </x:row>
    <x:row r="17">
      <x:c r="A17" t="inlineStr">
        <x:is>
          <x:t xml:space="preserve">CI0016</x:t>
        </x:is>
      </x:c>
      <x:c r="B17" t="inlineStr">
        <x:is>
          <x:t xml:space="preserve">uri dry cough</x:t>
        </x:is>
      </x:c>
      <x:c r="C17" t="inlineStr">
        <x:is>
          <x:t xml:space="preserve">uri dry cough</x:t>
        </x:is>
      </x:c>
      <x:c r="D17" t="inlineStr">
        <x:is>
          <x:t xml:space="preserve">ENT</x:t>
        </x:is>
      </x:c>
      <x:c r="E17" t="inlineStr">
        <x:is>
          <x:t xml:space="preserve">uri_dry_cough_adult</x:t>
        </x:is>
      </x:c>
      <x:c r="F17" t="inlineStr">
        <x:is>
          <x:t xml:space="preserve">adult</x:t>
        </x:is>
      </x:c>
      <x:c r="G17" t="n">
        <x:v>1</x:v>
      </x:c>
      <x:c r="H17" t="inlineStr">
        <x:is>
          <x:t xml:space="preserve">exact</x:t>
        </x:is>
      </x:c>
      <x:c r="I17" t="inlineStr">
        <x:is>
          <x:t xml:space="preserve">Y</x:t>
        </x:is>
      </x:c>
      <x:c r="J17" t="inlineStr">
        <x:is>
          <x:t xml:space="preserve">expanded starter row</x:t>
        </x:is>
      </x:c>
      <x:c r="K17" t="inlineStr">
        <x:is>
          <x:t xml:space="preserve">2026-03-08</x:t>
        </x:is>
      </x:c>
    </x:row>
    <x:row r="18">
      <x:c r="A18" t="inlineStr">
        <x:is>
          <x:t xml:space="preserve">CI0017</x:t>
        </x:is>
      </x:c>
      <x:c r="B18" t="inlineStr">
        <x:is>
          <x:t xml:space="preserve">dry cough</x:t>
        </x:is>
      </x:c>
      <x:c r="C18" t="inlineStr">
        <x:is>
          <x:t xml:space="preserve">dry cough</x:t>
        </x:is>
      </x:c>
      <x:c r="D18" t="inlineStr">
        <x:is>
          <x:t xml:space="preserve">ENT</x:t>
        </x:is>
      </x:c>
      <x:c r="E18" t="inlineStr">
        <x:is>
          <x:t xml:space="preserve">uri_dry_cough_adult</x:t>
        </x:is>
      </x:c>
      <x:c r="F18" t="inlineStr">
        <x:is>
          <x:t xml:space="preserve">adult</x:t>
        </x:is>
      </x:c>
      <x:c r="G18" t="n">
        <x:v>2</x:v>
      </x:c>
      <x:c r="H18" t="inlineStr">
        <x:is>
          <x:t xml:space="preserve">alias</x:t>
        </x:is>
      </x:c>
      <x:c r="I18" t="inlineStr">
        <x:is>
          <x:t xml:space="preserve">Y</x:t>
        </x:is>
      </x:c>
      <x:c r="J18" t="inlineStr">
        <x:is>
          <x:t xml:space="preserve">expanded starter row</x:t>
        </x:is>
      </x:c>
      <x:c r="K18" t="inlineStr">
        <x:is>
          <x:t xml:space="preserve">2026-03-08</x:t>
        </x:is>
      </x:c>
    </x:row>
    <x:row r="19">
      <x:c r="A19" t="inlineStr">
        <x:is>
          <x:t xml:space="preserve">CI0018</x:t>
        </x:is>
      </x:c>
      <x:c r="B19" t="inlineStr">
        <x:is>
          <x:t xml:space="preserve">night cough</x:t>
        </x:is>
      </x:c>
      <x:c r="C19" t="inlineStr">
        <x:is>
          <x:t xml:space="preserve">night cough</x:t>
        </x:is>
      </x:c>
      <x:c r="D19" t="inlineStr">
        <x:is>
          <x:t xml:space="preserve">ENT</x:t>
        </x:is>
      </x:c>
      <x:c r="E19" t="inlineStr">
        <x:is>
          <x:t xml:space="preserve">uri_dry_cough_adult</x:t>
        </x:is>
      </x:c>
      <x:c r="F19" t="inlineStr">
        <x:is>
          <x:t xml:space="preserve">adult</x:t>
        </x:is>
      </x:c>
      <x:c r="G19" t="n">
        <x:v>3</x:v>
      </x:c>
      <x:c r="H19" t="inlineStr">
        <x:is>
          <x:t xml:space="preserve">alias</x:t>
        </x:is>
      </x:c>
      <x:c r="I19" t="inlineStr">
        <x:is>
          <x:t xml:space="preserve">Y</x:t>
        </x:is>
      </x:c>
      <x:c r="J19" t="inlineStr">
        <x:is>
          <x:t xml:space="preserve">expanded starter row</x:t>
        </x:is>
      </x:c>
      <x:c r="K19" t="inlineStr">
        <x:is>
          <x:t xml:space="preserve">2026-03-08</x:t>
        </x:is>
      </x:c>
    </x:row>
    <x:row r="20">
      <x:c r="A20" t="inlineStr">
        <x:is>
          <x:t xml:space="preserve">CI0019</x:t>
        </x:is>
      </x:c>
      <x:c r="B20" t="inlineStr">
        <x:is>
          <x:t xml:space="preserve">throat pain</x:t>
        </x:is>
      </x:c>
      <x:c r="C20" t="inlineStr">
        <x:is>
          <x:t xml:space="preserve">throat pain</x:t>
        </x:is>
      </x:c>
      <x:c r="D20" t="inlineStr">
        <x:is>
          <x:t xml:space="preserve">ENT</x:t>
        </x:is>
      </x:c>
      <x:c r="E20" t="inlineStr">
        <x:is>
          <x:t xml:space="preserve">sore_throat_adult</x:t>
        </x:is>
      </x:c>
      <x:c r="F20" t="inlineStr">
        <x:is>
          <x:t xml:space="preserve">adult</x:t>
        </x:is>
      </x:c>
      <x:c r="G20" t="n">
        <x:v>2</x:v>
      </x:c>
      <x:c r="H20" t="inlineStr">
        <x:is>
          <x:t xml:space="preserve">alias</x:t>
        </x:is>
      </x:c>
      <x:c r="I20" t="inlineStr">
        <x:is>
          <x:t xml:space="preserve">Y</x:t>
        </x:is>
      </x:c>
      <x:c r="J20" t="inlineStr">
        <x:is>
          <x:t xml:space="preserve">expanded starter row</x:t>
        </x:is>
      </x:c>
      <x:c r="K20" t="inlineStr">
        <x:is>
          <x:t xml:space="preserve">2026-03-08</x:t>
        </x:is>
      </x:c>
    </x:row>
    <x:row r="21">
      <x:c r="A21" t="inlineStr">
        <x:is>
          <x:t xml:space="preserve">CI0020</x:t>
        </x:is>
      </x:c>
      <x:c r="B21" t="inlineStr">
        <x:is>
          <x:t xml:space="preserve">watery diarrhea</x:t>
        </x:is>
      </x:c>
      <x:c r="C21" t="inlineStr">
        <x:is>
          <x:t xml:space="preserve">watery diarrhea</x:t>
        </x:is>
      </x:c>
      <x:c r="D21" t="inlineStr">
        <x:is>
          <x:t xml:space="preserve">GI</x:t>
        </x:is>
      </x:c>
      <x:c r="E21" t="inlineStr">
        <x:is>
          <x:t xml:space="preserve">acute_watery_diarrhea_adult</x:t>
        </x:is>
      </x:c>
      <x:c r="F21" t="inlineStr">
        <x:is>
          <x:t xml:space="preserve">adult</x:t>
        </x:is>
      </x:c>
      <x:c r="G21" t="n">
        <x:v>2</x:v>
      </x:c>
      <x:c r="H21" t="inlineStr">
        <x:is>
          <x:t xml:space="preserve">alias</x:t>
        </x:is>
      </x:c>
      <x:c r="I21" t="inlineStr">
        <x:is>
          <x:t xml:space="preserve">Y</x:t>
        </x:is>
      </x:c>
      <x:c r="J21" t="inlineStr">
        <x:is>
          <x:t xml:space="preserve">expanded starter row</x:t>
        </x:is>
      </x:c>
      <x:c r="K21" t="inlineStr">
        <x:is>
          <x:t xml:space="preserve">2026-03-08</x:t>
        </x:is>
      </x:c>
    </x:row>
    <x:row r="22">
      <x:c r="A22" t="inlineStr">
        <x:is>
          <x:t xml:space="preserve">CI0021</x:t>
        </x:is>
      </x:c>
      <x:c r="B22" t="inlineStr">
        <x:is>
          <x:t xml:space="preserve">diarrhea</x:t>
        </x:is>
      </x:c>
      <x:c r="C22" t="inlineStr">
        <x:is>
          <x:t xml:space="preserve">diarrhea</x:t>
        </x:is>
      </x:c>
      <x:c r="D22" t="inlineStr">
        <x:is>
          <x:t xml:space="preserve">GI</x:t>
        </x:is>
      </x:c>
      <x:c r="E22" t="inlineStr">
        <x:is>
          <x:t xml:space="preserve">acute_watery_diarrhea_adult</x:t>
        </x:is>
      </x:c>
      <x:c r="F22" t="inlineStr">
        <x:is>
          <x:t xml:space="preserve">adult</x:t>
        </x:is>
      </x:c>
      <x:c r="G22" t="n">
        <x:v>3</x:v>
      </x:c>
      <x:c r="H22" t="inlineStr">
        <x:is>
          <x:t xml:space="preserve">alias</x:t>
        </x:is>
      </x:c>
      <x:c r="I22" t="inlineStr">
        <x:is>
          <x:t xml:space="preserve">Y</x:t>
        </x:is>
      </x:c>
      <x:c r="J22" t="inlineStr">
        <x:is>
          <x:t xml:space="preserve">expanded starter row</x:t>
        </x:is>
      </x:c>
      <x:c r="K22" t="inlineStr">
        <x:is>
          <x:t xml:space="preserve">2026-03-08</x:t>
        </x:is>
      </x:c>
    </x:row>
    <x:row r="23">
      <x:c r="A23" t="inlineStr">
        <x:is>
          <x:t xml:space="preserve">CI0022</x:t>
        </x:is>
      </x:c>
      <x:c r="B23" t="inlineStr">
        <x:is>
          <x:t xml:space="preserve">itchy rash</x:t>
        </x:is>
      </x:c>
      <x:c r="C23" t="inlineStr">
        <x:is>
          <x:t xml:space="preserve">itchy rash</x:t>
        </x:is>
      </x:c>
      <x:c r="D23" t="inlineStr">
        <x:is>
          <x:t xml:space="preserve">Skin</x:t>
        </x:is>
      </x:c>
      <x:c r="E23" t="inlineStr">
        <x:is>
          <x:t xml:space="preserve">uri_rash_adult</x:t>
        </x:is>
      </x:c>
      <x:c r="F23" t="inlineStr">
        <x:is>
          <x:t xml:space="preserve">adult</x:t>
        </x:is>
      </x:c>
      <x:c r="G23" t="n">
        <x:v>3</x:v>
      </x:c>
      <x:c r="H23" t="inlineStr">
        <x:is>
          <x:t xml:space="preserve">alias</x:t>
        </x:is>
      </x:c>
      <x:c r="I23" t="inlineStr">
        <x:is>
          <x:t xml:space="preserve">Y</x:t>
        </x:is>
      </x:c>
      <x:c r="J23" t="inlineStr">
        <x:is>
          <x:t xml:space="preserve">expanded starter row</x:t>
        </x:is>
      </x:c>
      <x:c r="K23" t="inlineStr">
        <x:is>
          <x:t xml:space="preserve">2026-03-08</x:t>
        </x:is>
      </x:c>
    </x:row>
    <x:row r="24">
      <x:c r="A24" t="inlineStr">
        <x:is>
          <x:t xml:space="preserve">CI0023</x:t>
        </x:is>
      </x:c>
      <x:c r="B24" t="inlineStr">
        <x:is>
          <x:t xml:space="preserve">eye irritation</x:t>
        </x:is>
      </x:c>
      <x:c r="C24" t="inlineStr">
        <x:is>
          <x:t xml:space="preserve">eye irritation</x:t>
        </x:is>
      </x:c>
      <x:c r="D24" t="inlineStr">
        <x:is>
          <x:t xml:space="preserve">Eye</x:t>
        </x:is>
      </x:c>
      <x:c r="E24" t="inlineStr">
        <x:is>
          <x:t xml:space="preserve">eye_irritation_adult</x:t>
        </x:is>
      </x:c>
      <x:c r="F24" t="inlineStr">
        <x:is>
          <x:t xml:space="preserve">adult</x:t>
        </x:is>
      </x:c>
      <x:c r="G24" t="n">
        <x:v>1</x:v>
      </x:c>
      <x:c r="H24" t="inlineStr">
        <x:is>
          <x:t xml:space="preserve">exact</x:t>
        </x:is>
      </x:c>
      <x:c r="I24" t="inlineStr">
        <x:is>
          <x:t xml:space="preserve">Y</x:t>
        </x:is>
      </x:c>
      <x:c r="J24" t="inlineStr">
        <x:is>
          <x:t xml:space="preserve">expanded starter row</x:t>
        </x:is>
      </x:c>
      <x:c r="K24" t="inlineStr">
        <x:is>
          <x:t xml:space="preserve">2026-03-08</x:t>
        </x:is>
      </x:c>
    </x:row>
    <x:row r="25">
      <x:c r="A25" t="inlineStr">
        <x:is>
          <x:t xml:space="preserve">CI0024</x:t>
        </x:is>
      </x:c>
      <x:c r="B25" t="inlineStr">
        <x:is>
          <x:t xml:space="preserve">dust in eye</x:t>
        </x:is>
      </x:c>
      <x:c r="C25" t="inlineStr">
        <x:is>
          <x:t xml:space="preserve">dust in eye</x:t>
        </x:is>
      </x:c>
      <x:c r="D25" t="inlineStr">
        <x:is>
          <x:t xml:space="preserve">Eye</x:t>
        </x:is>
      </x:c>
      <x:c r="E25" t="inlineStr">
        <x:is>
          <x:t xml:space="preserve">eye_irritation_adult</x:t>
        </x:is>
      </x:c>
      <x:c r="F25" t="inlineStr">
        <x:is>
          <x:t xml:space="preserve">adult</x:t>
        </x:is>
      </x:c>
      <x:c r="G25" t="n">
        <x:v>2</x:v>
      </x:c>
      <x:c r="H25" t="inlineStr">
        <x:is>
          <x:t xml:space="preserve">alias</x:t>
        </x:is>
      </x:c>
      <x:c r="I25" t="inlineStr">
        <x:is>
          <x:t xml:space="preserve">Y</x:t>
        </x:is>
      </x:c>
      <x:c r="J25" t="inlineStr">
        <x:is>
          <x:t xml:space="preserve">expanded starter row</x:t>
        </x:is>
      </x:c>
      <x:c r="K25" t="inlineStr">
        <x:is>
          <x:t xml:space="preserve">2026-03-08</x:t>
        </x:is>
      </x:c>
    </x:row>
    <x:row r="26">
      <x:c r="A26" t="inlineStr">
        <x:is>
          <x:t xml:space="preserve">CI0025</x:t>
        </x:is>
      </x:c>
      <x:c r="B26" t="inlineStr">
        <x:is>
          <x:t xml:space="preserve">red eye from dust</x:t>
        </x:is>
      </x:c>
      <x:c r="C26" t="inlineStr">
        <x:is>
          <x:t xml:space="preserve">red eye from dust</x:t>
        </x:is>
      </x:c>
      <x:c r="D26" t="inlineStr">
        <x:is>
          <x:t xml:space="preserve">Eye</x:t>
        </x:is>
      </x:c>
      <x:c r="E26" t="inlineStr">
        <x:is>
          <x:t xml:space="preserve">eye_irritation_adult</x:t>
        </x:is>
      </x:c>
      <x:c r="F26" t="inlineStr">
        <x:is>
          <x:t xml:space="preserve">adult</x:t>
        </x:is>
      </x:c>
      <x:c r="G26" t="n">
        <x:v>3</x:v>
      </x:c>
      <x:c r="H26" t="inlineStr">
        <x:is>
          <x:t xml:space="preserve">alias</x:t>
        </x:is>
      </x:c>
      <x:c r="I26" t="inlineStr">
        <x:is>
          <x:t xml:space="preserve">Y</x:t>
        </x:is>
      </x:c>
      <x:c r="J26" t="inlineStr">
        <x:is>
          <x:t xml:space="preserve">expanded starter row</x:t>
        </x:is>
      </x:c>
      <x:c r="K26" t="inlineStr">
        <x:is>
          <x:t xml:space="preserve">2026-03-08</x:t>
        </x:is>
      </x:c>
    </x:row>
    <x:row r="27">
      <x:c r="A27" t="inlineStr">
        <x:is>
          <x:t xml:space="preserve">CI0026</x:t>
        </x:is>
      </x:c>
      <x:c r="B27" t="inlineStr">
        <x:is>
          <x:t xml:space="preserve">muscle pain</x:t>
        </x:is>
      </x:c>
      <x:c r="C27" t="inlineStr">
        <x:is>
          <x:t xml:space="preserve">muscle pain</x:t>
        </x:is>
      </x:c>
      <x:c r="D27" t="inlineStr">
        <x:is>
          <x:t xml:space="preserve">Pain</x:t>
        </x:is>
      </x:c>
      <x:c r="E27" t="inlineStr">
        <x:is>
          <x:t xml:space="preserve">musculoskeletal_pain_adult</x:t>
        </x:is>
      </x:c>
      <x:c r="F27" t="inlineStr">
        <x:is>
          <x:t xml:space="preserve">adult</x:t>
        </x:is>
      </x:c>
      <x:c r="G27" t="n">
        <x:v>1</x:v>
      </x:c>
      <x:c r="H27" t="inlineStr">
        <x:is>
          <x:t xml:space="preserve">alias</x:t>
        </x:is>
      </x:c>
      <x:c r="I27" t="inlineStr">
        <x:is>
          <x:t xml:space="preserve">Y</x:t>
        </x:is>
      </x:c>
      <x:c r="J27" t="inlineStr">
        <x:is>
          <x:t xml:space="preserve">expanded starter row</x:t>
        </x:is>
      </x:c>
      <x:c r="K27" t="inlineStr">
        <x:is>
          <x:t xml:space="preserve">2026-03-08</x:t>
        </x:is>
      </x:c>
    </x:row>
    <x:row r="28">
      <x:c r="A28" t="inlineStr">
        <x:is>
          <x:t xml:space="preserve">CI0027</x:t>
        </x:is>
      </x:c>
      <x:c r="B28" t="inlineStr">
        <x:is>
          <x:t xml:space="preserve">neck pain</x:t>
        </x:is>
      </x:c>
      <x:c r="C28" t="inlineStr">
        <x:is>
          <x:t xml:space="preserve">neck pain</x:t>
        </x:is>
      </x:c>
      <x:c r="D28" t="inlineStr">
        <x:is>
          <x:t xml:space="preserve">Pain</x:t>
        </x:is>
      </x:c>
      <x:c r="E28" t="inlineStr">
        <x:is>
          <x:t xml:space="preserve">musculoskeletal_pain_adult</x:t>
        </x:is>
      </x:c>
      <x:c r="F28" t="inlineStr">
        <x:is>
          <x:t xml:space="preserve">adult</x:t>
        </x:is>
      </x:c>
      <x:c r="G28" t="n">
        <x:v>2</x:v>
      </x:c>
      <x:c r="H28" t="inlineStr">
        <x:is>
          <x:t xml:space="preserve">alias</x:t>
        </x:is>
      </x:c>
      <x:c r="I28" t="inlineStr">
        <x:is>
          <x:t xml:space="preserve">Y</x:t>
        </x:is>
      </x:c>
      <x:c r="J28" t="inlineStr">
        <x:is>
          <x:t xml:space="preserve">expanded starter row</x:t>
        </x:is>
      </x:c>
      <x:c r="K28" t="inlineStr">
        <x:is>
          <x:t xml:space="preserve">2026-03-08</x:t>
        </x:is>
      </x:c>
    </x:row>
    <x:row r="29">
      <x:c r="A29" t="inlineStr">
        <x:is>
          <x:t xml:space="preserve">CI0028</x:t>
        </x:is>
      </x:c>
      <x:c r="B29" t="inlineStr">
        <x:is>
          <x:t xml:space="preserve">back pain</x:t>
        </x:is>
      </x:c>
      <x:c r="C29" t="inlineStr">
        <x:is>
          <x:t xml:space="preserve">back pain</x:t>
        </x:is>
      </x:c>
      <x:c r="D29" t="inlineStr">
        <x:is>
          <x:t xml:space="preserve">Pain</x:t>
        </x:is>
      </x:c>
      <x:c r="E29" t="inlineStr">
        <x:is>
          <x:t xml:space="preserve">musculoskeletal_pain_adult</x:t>
        </x:is>
      </x:c>
      <x:c r="F29" t="inlineStr">
        <x:is>
          <x:t xml:space="preserve">adult</x:t>
        </x:is>
      </x:c>
      <x:c r="G29" t="n">
        <x:v>2</x:v>
      </x:c>
      <x:c r="H29" t="inlineStr">
        <x:is>
          <x:t xml:space="preserve">alias</x:t>
        </x:is>
      </x:c>
      <x:c r="I29" t="inlineStr">
        <x:is>
          <x:t xml:space="preserve">Y</x:t>
        </x:is>
      </x:c>
      <x:c r="J29" t="inlineStr">
        <x:is>
          <x:t xml:space="preserve">expanded starter row</x:t>
        </x:is>
      </x:c>
      <x:c r="K29" t="inlineStr">
        <x:is>
          <x:t xml:space="preserve">2026-03-08</x:t>
        </x:is>
      </x:c>
    </x:row>
    <x:row r="30">
      <x:c r="A30" t="inlineStr">
        <x:is>
          <x:t xml:space="preserve">CI0029</x:t>
        </x:is>
      </x:c>
      <x:c r="B30" t="inlineStr">
        <x:is>
          <x:t xml:space="preserve">sprain</x:t>
        </x:is>
      </x:c>
      <x:c r="C30" t="inlineStr">
        <x:is>
          <x:t xml:space="preserve">sprain</x:t>
        </x:is>
      </x:c>
      <x:c r="D30" t="inlineStr">
        <x:is>
          <x:t xml:space="preserve">Pain</x:t>
        </x:is>
      </x:c>
      <x:c r="E30" t="inlineStr">
        <x:is>
          <x:t xml:space="preserve">musculoskeletal_pain_adult</x:t>
        </x:is>
      </x:c>
      <x:c r="F30" t="inlineStr">
        <x:is>
          <x:t xml:space="preserve">adult</x:t>
        </x:is>
      </x:c>
      <x:c r="G30" t="n">
        <x:v>3</x:v>
      </x:c>
      <x:c r="H30" t="inlineStr">
        <x:is>
          <x:t xml:space="preserve">alias</x:t>
        </x:is>
      </x:c>
      <x:c r="I30" t="inlineStr">
        <x:is>
          <x:t xml:space="preserve">Y</x:t>
        </x:is>
      </x:c>
      <x:c r="J30" t="inlineStr">
        <x:is>
          <x:t xml:space="preserve">expanded starter row</x:t>
        </x:is>
      </x:c>
      <x:c r="K30" t="inlineStr">
        <x:is>
          <x:t xml:space="preserve">2026-03-08</x:t>
        </x:is>
      </x:c>
    </x:row>
    <x:row r="31">
      <x:c r="A31" t="inlineStr">
        <x:is>
          <x:t xml:space="preserve">CI0030</x:t>
        </x:is>
      </x:c>
      <x:c r="B31" t="inlineStr">
        <x:is>
          <x:t xml:space="preserve">migraine</x:t>
        </x:is>
      </x:c>
      <x:c r="C31" t="inlineStr">
        <x:is>
          <x:t xml:space="preserve">migraine</x:t>
        </x:is>
      </x:c>
      <x:c r="D31" t="inlineStr">
        <x:is>
          <x:t xml:space="preserve">Neuro</x:t>
        </x:is>
      </x:c>
      <x:c r="E31" t="inlineStr">
        <x:is>
          <x:t xml:space="preserve">migraine_adult</x:t>
        </x:is>
      </x:c>
      <x:c r="F31" t="inlineStr">
        <x:is>
          <x:t xml:space="preserve">adult</x:t>
        </x:is>
      </x:c>
      <x:c r="G31" t="n">
        <x:v>1</x:v>
      </x:c>
      <x:c r="H31" t="inlineStr">
        <x:is>
          <x:t xml:space="preserve">exact</x:t>
        </x:is>
      </x:c>
      <x:c r="I31" t="inlineStr">
        <x:is>
          <x:t xml:space="preserve">Y</x:t>
        </x:is>
      </x:c>
      <x:c r="J31" t="inlineStr">
        <x:is>
          <x:t xml:space="preserve">expanded starter row</x:t>
        </x:is>
      </x:c>
      <x:c r="K31" t="inlineStr">
        <x:is>
          <x:t xml:space="preserve">2026-03-08</x:t>
        </x:is>
      </x:c>
    </x:row>
    <x:row r="32">
      <x:c r="A32" t="inlineStr">
        <x:is>
          <x:t xml:space="preserve">CI0031</x:t>
        </x:is>
      </x:c>
      <x:c r="B32" t="inlineStr">
        <x:is>
          <x:t xml:space="preserve">one-sided headache</x:t>
        </x:is>
      </x:c>
      <x:c r="C32" t="inlineStr">
        <x:is>
          <x:t xml:space="preserve">one-sided headache</x:t>
        </x:is>
      </x:c>
      <x:c r="D32" t="inlineStr">
        <x:is>
          <x:t xml:space="preserve">Neuro</x:t>
        </x:is>
      </x:c>
      <x:c r="E32" t="inlineStr">
        <x:is>
          <x:t xml:space="preserve">migraine_adult</x:t>
        </x:is>
      </x:c>
      <x:c r="F32" t="inlineStr">
        <x:is>
          <x:t xml:space="preserve">adult</x:t>
        </x:is>
      </x:c>
      <x:c r="G32" t="n">
        <x:v>2</x:v>
      </x:c>
      <x:c r="H32" t="inlineStr">
        <x:is>
          <x:t xml:space="preserve">alias</x:t>
        </x:is>
      </x:c>
      <x:c r="I32" t="inlineStr">
        <x:is>
          <x:t xml:space="preserve">Y</x:t>
        </x:is>
      </x:c>
      <x:c r="J32" t="inlineStr">
        <x:is>
          <x:t xml:space="preserve">expanded starter row</x:t>
        </x:is>
      </x:c>
      <x:c r="K32" t="inlineStr">
        <x:is>
          <x:t xml:space="preserve">2026-03-08</x:t>
        </x:is>
      </x:c>
    </x:row>
    <x:row r="33">
      <x:c r="A33" t="inlineStr">
        <x:is>
          <x:t xml:space="preserve">CI0032</x:t>
        </x:is>
      </x:c>
      <x:c r="B33" t="inlineStr">
        <x:is>
          <x:t xml:space="preserve">vertigo</x:t>
        </x:is>
      </x:c>
      <x:c r="C33" t="inlineStr">
        <x:is>
          <x:t xml:space="preserve">vertigo</x:t>
        </x:is>
      </x:c>
      <x:c r="D33" t="inlineStr">
        <x:is>
          <x:t xml:space="preserve">Neuro</x:t>
        </x:is>
      </x:c>
      <x:c r="E33" t="inlineStr">
        <x:is>
          <x:t xml:space="preserve">vertigo_adult</x:t>
        </x:is>
      </x:c>
      <x:c r="F33" t="inlineStr">
        <x:is>
          <x:t xml:space="preserve">adult</x:t>
        </x:is>
      </x:c>
      <x:c r="G33" t="n">
        <x:v>1</x:v>
      </x:c>
      <x:c r="H33" t="inlineStr">
        <x:is>
          <x:t xml:space="preserve">exact</x:t>
        </x:is>
      </x:c>
      <x:c r="I33" t="inlineStr">
        <x:is>
          <x:t xml:space="preserve">Y</x:t>
        </x:is>
      </x:c>
      <x:c r="J33" t="inlineStr">
        <x:is>
          <x:t xml:space="preserve">expanded starter row</x:t>
        </x:is>
      </x:c>
      <x:c r="K33" t="inlineStr">
        <x:is>
          <x:t xml:space="preserve">2026-03-08</x:t>
        </x:is>
      </x:c>
    </x:row>
    <x:row r="34">
      <x:c r="A34" t="inlineStr">
        <x:is>
          <x:t xml:space="preserve">CI0033</x:t>
        </x:is>
      </x:c>
      <x:c r="B34" t="inlineStr">
        <x:is>
          <x:t xml:space="preserve">dizzy spinning</x:t>
        </x:is>
      </x:c>
      <x:c r="C34" t="inlineStr">
        <x:is>
          <x:t xml:space="preserve">dizzy spinning</x:t>
        </x:is>
      </x:c>
      <x:c r="D34" t="inlineStr">
        <x:is>
          <x:t xml:space="preserve">Neuro</x:t>
        </x:is>
      </x:c>
      <x:c r="E34" t="inlineStr">
        <x:is>
          <x:t xml:space="preserve">vertigo_adult</x:t>
        </x:is>
      </x:c>
      <x:c r="F34" t="inlineStr">
        <x:is>
          <x:t xml:space="preserve">adult</x:t>
        </x:is>
      </x:c>
      <x:c r="G34" t="n">
        <x:v>2</x:v>
      </x:c>
      <x:c r="H34" t="inlineStr">
        <x:is>
          <x:t xml:space="preserve">alias</x:t>
        </x:is>
      </x:c>
      <x:c r="I34" t="inlineStr">
        <x:is>
          <x:t xml:space="preserve">Y</x:t>
        </x:is>
      </x:c>
      <x:c r="J34" t="inlineStr">
        <x:is>
          <x:t xml:space="preserve">expanded starter row</x:t>
        </x:is>
      </x:c>
      <x:c r="K34" t="inlineStr">
        <x:is>
          <x:t xml:space="preserve">2026-03-08</x:t>
        </x:is>
      </x:c>
    </x:row>
    <x:row r="35">
      <x:c r="A35" t="inlineStr">
        <x:is>
          <x:t xml:space="preserve">CI0034</x:t>
        </x:is>
      </x:c>
      <x:c r="B35" t="inlineStr">
        <x:is>
          <x:t xml:space="preserve">mouth ulcer</x:t>
        </x:is>
      </x:c>
      <x:c r="C35" t="inlineStr">
        <x:is>
          <x:t xml:space="preserve">mouth ulcer</x:t>
        </x:is>
      </x:c>
      <x:c r="D35" t="inlineStr">
        <x:is>
          <x:t xml:space="preserve">ENT</x:t>
        </x:is>
      </x:c>
      <x:c r="E35" t="inlineStr">
        <x:is>
          <x:t xml:space="preserve">oral_ulcer_adult</x:t>
        </x:is>
      </x:c>
      <x:c r="F35" t="inlineStr">
        <x:is>
          <x:t xml:space="preserve">adult</x:t>
        </x:is>
      </x:c>
      <x:c r="G35" t="n">
        <x:v>1</x:v>
      </x:c>
      <x:c r="H35" t="inlineStr">
        <x:is>
          <x:t xml:space="preserve">exact</x:t>
        </x:is>
      </x:c>
      <x:c r="I35" t="inlineStr">
        <x:is>
          <x:t xml:space="preserve">Y</x:t>
        </x:is>
      </x:c>
      <x:c r="J35" t="inlineStr">
        <x:is>
          <x:t xml:space="preserve">expanded starter row</x:t>
        </x:is>
      </x:c>
      <x:c r="K35" t="inlineStr">
        <x:is>
          <x:t xml:space="preserve">2026-03-08</x:t>
        </x:is>
      </x:c>
    </x:row>
    <x:row r="36">
      <x:c r="A36" t="inlineStr">
        <x:is>
          <x:t xml:space="preserve">CI0035</x:t>
        </x:is>
      </x:c>
      <x:c r="B36" t="inlineStr">
        <x:is>
          <x:t xml:space="preserve">aphthous ulcer</x:t>
        </x:is>
      </x:c>
      <x:c r="C36" t="inlineStr">
        <x:is>
          <x:t xml:space="preserve">aphthous ulcer</x:t>
        </x:is>
      </x:c>
      <x:c r="D36" t="inlineStr">
        <x:is>
          <x:t xml:space="preserve">ENT</x:t>
        </x:is>
      </x:c>
      <x:c r="E36" t="inlineStr">
        <x:is>
          <x:t xml:space="preserve">oral_ulcer_adult</x:t>
        </x:is>
      </x:c>
      <x:c r="F36" t="inlineStr">
        <x:is>
          <x:t xml:space="preserve">adult</x:t>
        </x:is>
      </x:c>
      <x:c r="G36" t="n">
        <x:v>2</x:v>
      </x:c>
      <x:c r="H36" t="inlineStr">
        <x:is>
          <x:t xml:space="preserve">alias</x:t>
        </x:is>
      </x:c>
      <x:c r="I36" t="inlineStr">
        <x:is>
          <x:t xml:space="preserve">Y</x:t>
        </x:is>
      </x:c>
      <x:c r="J36" t="inlineStr">
        <x:is>
          <x:t xml:space="preserve">expanded starter row</x:t>
        </x:is>
      </x:c>
      <x:c r="K36" t="inlineStr">
        <x:is>
          <x:t xml:space="preserve">2026-03-08</x:t>
        </x:is>
      </x:c>
    </x:row>
    <x:row r="37">
      <x:c r="A37" t="inlineStr">
        <x:is>
          <x:t xml:space="preserve">CI0036</x:t>
        </x:is>
      </x:c>
      <x:c r="B37" t="inlineStr">
        <x:is>
          <x:t xml:space="preserve">common cold</x:t>
        </x:is>
      </x:c>
      <x:c r="C37" t="inlineStr">
        <x:is>
          <x:t xml:space="preserve">common cold</x:t>
        </x:is>
      </x:c>
      <x:c r="D37" t="inlineStr">
        <x:is>
          <x:t xml:space="preserve">ENT</x:t>
        </x:is>
      </x:c>
      <x:c r="E37" t="inlineStr">
        <x:is>
          <x:t xml:space="preserve">common_cold_adult</x:t>
        </x:is>
      </x:c>
      <x:c r="F37" t="inlineStr">
        <x:is>
          <x:t xml:space="preserve">adult</x:t>
        </x:is>
      </x:c>
      <x:c r="G37" t="n">
        <x:v>1</x:v>
      </x:c>
      <x:c r="H37" t="inlineStr">
        <x:is>
          <x:t xml:space="preserve">exact</x:t>
        </x:is>
      </x:c>
      <x:c r="I37" t="inlineStr">
        <x:is>
          <x:t xml:space="preserve">Y</x:t>
        </x:is>
      </x:c>
      <x:c r="J37" t="inlineStr">
        <x:is>
          <x:t xml:space="preserve">expanded common OPD row</x:t>
        </x:is>
      </x:c>
      <x:c r="K37" t="inlineStr">
        <x:is>
          <x:t xml:space="preserve">2026-03-08</x:t>
        </x:is>
      </x:c>
    </x:row>
    <x:row r="38">
      <x:c r="A38" t="inlineStr">
        <x:is>
          <x:t xml:space="preserve">CI0037</x:t>
        </x:is>
      </x:c>
      <x:c r="B38" t="inlineStr">
        <x:is>
          <x:t xml:space="preserve">cold</x:t>
        </x:is>
      </x:c>
      <x:c r="C38" t="inlineStr">
        <x:is>
          <x:t xml:space="preserve">cold</x:t>
        </x:is>
      </x:c>
      <x:c r="D38" t="inlineStr">
        <x:is>
          <x:t xml:space="preserve">ENT</x:t>
        </x:is>
      </x:c>
      <x:c r="E38" t="inlineStr">
        <x:is>
          <x:t xml:space="preserve">common_cold_adult</x:t>
        </x:is>
      </x:c>
      <x:c r="F38" t="inlineStr">
        <x:is>
          <x:t xml:space="preserve">adult</x:t>
        </x:is>
      </x:c>
      <x:c r="G38" t="n">
        <x:v>2</x:v>
      </x:c>
      <x:c r="H38" t="inlineStr">
        <x:is>
          <x:t xml:space="preserve">alias</x:t>
        </x:is>
      </x:c>
      <x:c r="I38" t="inlineStr">
        <x:is>
          <x:t xml:space="preserve">Y</x:t>
        </x:is>
      </x:c>
      <x:c r="J38" t="inlineStr">
        <x:is>
          <x:t xml:space="preserve">expanded common OPD row</x:t>
        </x:is>
      </x:c>
      <x:c r="K38" t="inlineStr">
        <x:is>
          <x:t xml:space="preserve">2026-03-08</x:t>
        </x:is>
      </x:c>
    </x:row>
    <x:row r="39">
      <x:c r="A39" t="inlineStr">
        <x:is>
          <x:t xml:space="preserve">CI0038</x:t>
        </x:is>
      </x:c>
      <x:c r="B39" t="inlineStr">
        <x:is>
          <x:t xml:space="preserve">viral uri</x:t>
        </x:is>
      </x:c>
      <x:c r="C39" t="inlineStr">
        <x:is>
          <x:t xml:space="preserve">viral uri</x:t>
        </x:is>
      </x:c>
      <x:c r="D39" t="inlineStr">
        <x:is>
          <x:t xml:space="preserve">ENT</x:t>
        </x:is>
      </x:c>
      <x:c r="E39" t="inlineStr">
        <x:is>
          <x:t xml:space="preserve">common_cold_adult</x:t>
        </x:is>
      </x:c>
      <x:c r="F39" t="inlineStr">
        <x:is>
          <x:t xml:space="preserve">adult</x:t>
        </x:is>
      </x:c>
      <x:c r="G39" t="n">
        <x:v>3</x:v>
      </x:c>
      <x:c r="H39" t="inlineStr">
        <x:is>
          <x:t xml:space="preserve">alias</x:t>
        </x:is>
      </x:c>
      <x:c r="I39" t="inlineStr">
        <x:is>
          <x:t xml:space="preserve">Y</x:t>
        </x:is>
      </x:c>
      <x:c r="J39" t="inlineStr">
        <x:is>
          <x:t xml:space="preserve">expanded common OPD row</x:t>
        </x:is>
      </x:c>
      <x:c r="K39" t="inlineStr">
        <x:is>
          <x:t xml:space="preserve">2026-03-08</x:t>
        </x:is>
      </x:c>
    </x:row>
    <x:row r="40">
      <x:c r="A40" t="inlineStr">
        <x:is>
          <x:t xml:space="preserve">CI0039</x:t>
        </x:is>
      </x:c>
      <x:c r="B40" t="inlineStr">
        <x:is>
          <x:t xml:space="preserve">nasal blockage</x:t>
        </x:is>
      </x:c>
      <x:c r="C40" t="inlineStr">
        <x:is>
          <x:t xml:space="preserve">nasal blockage</x:t>
        </x:is>
      </x:c>
      <x:c r="D40" t="inlineStr">
        <x:is>
          <x:t xml:space="preserve">ENT</x:t>
        </x:is>
      </x:c>
      <x:c r="E40" t="inlineStr">
        <x:is>
          <x:t xml:space="preserve">nasal_blockage_adult</x:t>
        </x:is>
      </x:c>
      <x:c r="F40" t="inlineStr">
        <x:is>
          <x:t xml:space="preserve">adult</x:t>
        </x:is>
      </x:c>
      <x:c r="G40" t="n">
        <x:v>2</x:v>
      </x:c>
      <x:c r="H40" t="inlineStr">
        <x:is>
          <x:t xml:space="preserve">alias</x:t>
        </x:is>
      </x:c>
      <x:c r="I40" t="inlineStr">
        <x:is>
          <x:t xml:space="preserve">Y</x:t>
        </x:is>
      </x:c>
      <x:c r="J40" t="inlineStr">
        <x:is>
          <x:t xml:space="preserve">expanded common OPD row</x:t>
        </x:is>
      </x:c>
      <x:c r="K40" t="inlineStr">
        <x:is>
          <x:t xml:space="preserve">2026-03-08</x:t>
        </x:is>
      </x:c>
    </x:row>
    <x:row r="41">
      <x:c r="A41" t="inlineStr">
        <x:is>
          <x:t xml:space="preserve">CI0040</x:t>
        </x:is>
      </x:c>
      <x:c r="B41" t="inlineStr">
        <x:is>
          <x:t xml:space="preserve">stuffy nose</x:t>
        </x:is>
      </x:c>
      <x:c r="C41" t="inlineStr">
        <x:is>
          <x:t xml:space="preserve">stuffy nose</x:t>
        </x:is>
      </x:c>
      <x:c r="D41" t="inlineStr">
        <x:is>
          <x:t xml:space="preserve">ENT</x:t>
        </x:is>
      </x:c>
      <x:c r="E41" t="inlineStr">
        <x:is>
          <x:t xml:space="preserve">nasal_blockage_adult</x:t>
        </x:is>
      </x:c>
      <x:c r="F41" t="inlineStr">
        <x:is>
          <x:t xml:space="preserve">adult</x:t>
        </x:is>
      </x:c>
      <x:c r="G41" t="n">
        <x:v>3</x:v>
      </x:c>
      <x:c r="H41" t="inlineStr">
        <x:is>
          <x:t xml:space="preserve">alias</x:t>
        </x:is>
      </x:c>
      <x:c r="I41" t="inlineStr">
        <x:is>
          <x:t xml:space="preserve">Y</x:t>
        </x:is>
      </x:c>
      <x:c r="J41" t="inlineStr">
        <x:is>
          <x:t xml:space="preserve">expanded common OPD row</x:t>
        </x:is>
      </x:c>
      <x:c r="K41" t="inlineStr">
        <x:is>
          <x:t xml:space="preserve">2026-03-08</x:t>
        </x:is>
      </x:c>
    </x:row>
    <x:row r="42">
      <x:c r="A42" t="inlineStr">
        <x:is>
          <x:t xml:space="preserve">CI0041</x:t>
        </x:is>
      </x:c>
      <x:c r="B42" t="inlineStr">
        <x:is>
          <x:t xml:space="preserve">fever body ache</x:t>
        </x:is>
      </x:c>
      <x:c r="C42" t="inlineStr">
        <x:is>
          <x:t xml:space="preserve">fever body ache</x:t>
        </x:is>
      </x:c>
      <x:c r="D42" t="inlineStr">
        <x:is>
          <x:t xml:space="preserve">General</x:t>
        </x:is>
      </x:c>
      <x:c r="E42" t="inlineStr">
        <x:is>
          <x:t xml:space="preserve">viral_fever_bodyache_adult</x:t>
        </x:is>
      </x:c>
      <x:c r="F42" t="inlineStr">
        <x:is>
          <x:t xml:space="preserve">adult</x:t>
        </x:is>
      </x:c>
      <x:c r="G42" t="n">
        <x:v>1</x:v>
      </x:c>
      <x:c r="H42" t="inlineStr">
        <x:is>
          <x:t xml:space="preserve">exact</x:t>
        </x:is>
      </x:c>
      <x:c r="I42" t="inlineStr">
        <x:is>
          <x:t xml:space="preserve">Y</x:t>
        </x:is>
      </x:c>
      <x:c r="J42" t="inlineStr">
        <x:is>
          <x:t xml:space="preserve">expanded common OPD row</x:t>
        </x:is>
      </x:c>
      <x:c r="K42" t="inlineStr">
        <x:is>
          <x:t xml:space="preserve">2026-03-08</x:t>
        </x:is>
      </x:c>
    </x:row>
    <x:row r="43">
      <x:c r="A43" t="inlineStr">
        <x:is>
          <x:t xml:space="preserve">CI0042</x:t>
        </x:is>
      </x:c>
      <x:c r="B43" t="inlineStr">
        <x:is>
          <x:t xml:space="preserve">viral fever</x:t>
        </x:is>
      </x:c>
      <x:c r="C43" t="inlineStr">
        <x:is>
          <x:t xml:space="preserve">viral fever</x:t>
        </x:is>
      </x:c>
      <x:c r="D43" t="inlineStr">
        <x:is>
          <x:t xml:space="preserve">General</x:t>
        </x:is>
      </x:c>
      <x:c r="E43" t="inlineStr">
        <x:is>
          <x:t xml:space="preserve">viral_fever_bodyache_adult</x:t>
        </x:is>
      </x:c>
      <x:c r="F43" t="inlineStr">
        <x:is>
          <x:t xml:space="preserve">adult</x:t>
        </x:is>
      </x:c>
      <x:c r="G43" t="n">
        <x:v>2</x:v>
      </x:c>
      <x:c r="H43" t="inlineStr">
        <x:is>
          <x:t xml:space="preserve">alias</x:t>
        </x:is>
      </x:c>
      <x:c r="I43" t="inlineStr">
        <x:is>
          <x:t xml:space="preserve">Y</x:t>
        </x:is>
      </x:c>
      <x:c r="J43" t="inlineStr">
        <x:is>
          <x:t xml:space="preserve">expanded common OPD row</x:t>
        </x:is>
      </x:c>
      <x:c r="K43" t="inlineStr">
        <x:is>
          <x:t xml:space="preserve">2026-03-08</x:t>
        </x:is>
      </x:c>
    </x:row>
    <x:row r="44">
      <x:c r="A44" t="inlineStr">
        <x:is>
          <x:t xml:space="preserve">CI0043</x:t>
        </x:is>
      </x:c>
      <x:c r="B44" t="inlineStr">
        <x:is>
          <x:t xml:space="preserve">body ache</x:t>
        </x:is>
      </x:c>
      <x:c r="C44" t="inlineStr">
        <x:is>
          <x:t xml:space="preserve">body ache</x:t>
        </x:is>
      </x:c>
      <x:c r="D44" t="inlineStr">
        <x:is>
          <x:t xml:space="preserve">General</x:t>
        </x:is>
      </x:c>
      <x:c r="E44" t="inlineStr">
        <x:is>
          <x:t xml:space="preserve">viral_fever_bodyache_adult</x:t>
        </x:is>
      </x:c>
      <x:c r="F44" t="inlineStr">
        <x:is>
          <x:t xml:space="preserve">adult</x:t>
        </x:is>
      </x:c>
      <x:c r="G44" t="n">
        <x:v>3</x:v>
      </x:c>
      <x:c r="H44" t="inlineStr">
        <x:is>
          <x:t xml:space="preserve">alias</x:t>
        </x:is>
      </x:c>
      <x:c r="I44" t="inlineStr">
        <x:is>
          <x:t xml:space="preserve">Y</x:t>
        </x:is>
      </x:c>
      <x:c r="J44" t="inlineStr">
        <x:is>
          <x:t xml:space="preserve">expanded common OPD row</x:t>
        </x:is>
      </x:c>
      <x:c r="K44" t="inlineStr">
        <x:is>
          <x:t xml:space="preserve">2026-03-08</x:t>
        </x:is>
      </x:c>
    </x:row>
    <x:row r="45">
      <x:c r="A45" t="inlineStr">
        <x:is>
          <x:t xml:space="preserve">CI0044</x:t>
        </x:is>
      </x:c>
      <x:c r="B45" t="inlineStr">
        <x:is>
          <x:t xml:space="preserve">gas bloating</x:t>
        </x:is>
      </x:c>
      <x:c r="C45" t="inlineStr">
        <x:is>
          <x:t xml:space="preserve">gas bloating</x:t>
        </x:is>
      </x:c>
      <x:c r="D45" t="inlineStr">
        <x:is>
          <x:t xml:space="preserve">GI</x:t>
        </x:is>
      </x:c>
      <x:c r="E45" t="inlineStr">
        <x:is>
          <x:t xml:space="preserve">abdominal_gas_bloating_adult</x:t>
        </x:is>
      </x:c>
      <x:c r="F45" t="inlineStr">
        <x:is>
          <x:t xml:space="preserve">adult</x:t>
        </x:is>
      </x:c>
      <x:c r="G45" t="n">
        <x:v>1</x:v>
      </x:c>
      <x:c r="H45" t="inlineStr">
        <x:is>
          <x:t xml:space="preserve">exact</x:t>
        </x:is>
      </x:c>
      <x:c r="I45" t="inlineStr">
        <x:is>
          <x:t xml:space="preserve">Y</x:t>
        </x:is>
      </x:c>
      <x:c r="J45" t="inlineStr">
        <x:is>
          <x:t xml:space="preserve">expanded common OPD row</x:t>
        </x:is>
      </x:c>
      <x:c r="K45" t="inlineStr">
        <x:is>
          <x:t xml:space="preserve">2026-03-08</x:t>
        </x:is>
      </x:c>
    </x:row>
    <x:row r="46">
      <x:c r="A46" t="inlineStr">
        <x:is>
          <x:t xml:space="preserve">CI0045</x:t>
        </x:is>
      </x:c>
      <x:c r="B46" t="inlineStr">
        <x:is>
          <x:t xml:space="preserve">bloating</x:t>
        </x:is>
      </x:c>
      <x:c r="C46" t="inlineStr">
        <x:is>
          <x:t xml:space="preserve">bloating</x:t>
        </x:is>
      </x:c>
      <x:c r="D46" t="inlineStr">
        <x:is>
          <x:t xml:space="preserve">GI</x:t>
        </x:is>
      </x:c>
      <x:c r="E46" t="inlineStr">
        <x:is>
          <x:t xml:space="preserve">abdominal_gas_bloating_adult</x:t>
        </x:is>
      </x:c>
      <x:c r="F46" t="inlineStr">
        <x:is>
          <x:t xml:space="preserve">adult</x:t>
        </x:is>
      </x:c>
      <x:c r="G46" t="n">
        <x:v>2</x:v>
      </x:c>
      <x:c r="H46" t="inlineStr">
        <x:is>
          <x:t xml:space="preserve">alias</x:t>
        </x:is>
      </x:c>
      <x:c r="I46" t="inlineStr">
        <x:is>
          <x:t xml:space="preserve">Y</x:t>
        </x:is>
      </x:c>
      <x:c r="J46" t="inlineStr">
        <x:is>
          <x:t xml:space="preserve">expanded common OPD row</x:t>
        </x:is>
      </x:c>
      <x:c r="K46" t="inlineStr">
        <x:is>
          <x:t xml:space="preserve">2026-03-08</x:t>
        </x:is>
      </x:c>
    </x:row>
    <x:row r="47">
      <x:c r="A47" t="inlineStr">
        <x:is>
          <x:t xml:space="preserve">CI0046</x:t>
        </x:is>
      </x:c>
      <x:c r="B47" t="inlineStr">
        <x:is>
          <x:t xml:space="preserve">abdominal gas</x:t>
        </x:is>
      </x:c>
      <x:c r="C47" t="inlineStr">
        <x:is>
          <x:t xml:space="preserve">abdominal gas</x:t>
        </x:is>
      </x:c>
      <x:c r="D47" t="inlineStr">
        <x:is>
          <x:t xml:space="preserve">GI</x:t>
        </x:is>
      </x:c>
      <x:c r="E47" t="inlineStr">
        <x:is>
          <x:t xml:space="preserve">abdominal_gas_bloating_adult</x:t>
        </x:is>
      </x:c>
      <x:c r="F47" t="inlineStr">
        <x:is>
          <x:t xml:space="preserve">adult</x:t>
        </x:is>
      </x:c>
      <x:c r="G47" t="n">
        <x:v>3</x:v>
      </x:c>
      <x:c r="H47" t="inlineStr">
        <x:is>
          <x:t xml:space="preserve">alias</x:t>
        </x:is>
      </x:c>
      <x:c r="I47" t="inlineStr">
        <x:is>
          <x:t xml:space="preserve">Y</x:t>
        </x:is>
      </x:c>
      <x:c r="J47" t="inlineStr">
        <x:is>
          <x:t xml:space="preserve">expanded common OPD row</x:t>
        </x:is>
      </x:c>
      <x:c r="K47" t="inlineStr">
        <x:is>
          <x:t xml:space="preserve">2026-03-08</x:t>
        </x:is>
      </x:c>
    </x:row>
    <x:row r="48">
      <x:c r="A48" t="inlineStr">
        <x:is>
          <x:t xml:space="preserve">CI0047</x:t>
        </x:is>
      </x:c>
      <x:c r="B48" t="inlineStr">
        <x:is>
          <x:t xml:space="preserve">abdominal cramp</x:t>
        </x:is>
      </x:c>
      <x:c r="C48" t="inlineStr">
        <x:is>
          <x:t xml:space="preserve">abdominal cramp</x:t>
        </x:is>
      </x:c>
      <x:c r="D48" t="inlineStr">
        <x:is>
          <x:t xml:space="preserve">GI</x:t>
        </x:is>
      </x:c>
      <x:c r="E48" t="inlineStr">
        <x:is>
          <x:t xml:space="preserve">abdominal_colic_adult</x:t>
        </x:is>
      </x:c>
      <x:c r="F48" t="inlineStr">
        <x:is>
          <x:t xml:space="preserve">adult</x:t>
        </x:is>
      </x:c>
      <x:c r="G48" t="n">
        <x:v>1</x:v>
      </x:c>
      <x:c r="H48" t="inlineStr">
        <x:is>
          <x:t xml:space="preserve">exact</x:t>
        </x:is>
      </x:c>
      <x:c r="I48" t="inlineStr">
        <x:is>
          <x:t xml:space="preserve">Y</x:t>
        </x:is>
      </x:c>
      <x:c r="J48" t="inlineStr">
        <x:is>
          <x:t xml:space="preserve">expanded common OPD row</x:t>
        </x:is>
      </x:c>
      <x:c r="K48" t="inlineStr">
        <x:is>
          <x:t xml:space="preserve">2026-03-08</x:t>
        </x:is>
      </x:c>
    </x:row>
    <x:row r="49">
      <x:c r="A49" t="inlineStr">
        <x:is>
          <x:t xml:space="preserve">CI0048</x:t>
        </x:is>
      </x:c>
      <x:c r="B49" t="inlineStr">
        <x:is>
          <x:t xml:space="preserve">colic</x:t>
        </x:is>
      </x:c>
      <x:c r="C49" t="inlineStr">
        <x:is>
          <x:t xml:space="preserve">colic</x:t>
        </x:is>
      </x:c>
      <x:c r="D49" t="inlineStr">
        <x:is>
          <x:t xml:space="preserve">GI</x:t>
        </x:is>
      </x:c>
      <x:c r="E49" t="inlineStr">
        <x:is>
          <x:t xml:space="preserve">abdominal_colic_adult</x:t>
        </x:is>
      </x:c>
      <x:c r="F49" t="inlineStr">
        <x:is>
          <x:t xml:space="preserve">adult</x:t>
        </x:is>
      </x:c>
      <x:c r="G49" t="n">
        <x:v>2</x:v>
      </x:c>
      <x:c r="H49" t="inlineStr">
        <x:is>
          <x:t xml:space="preserve">alias</x:t>
        </x:is>
      </x:c>
      <x:c r="I49" t="inlineStr">
        <x:is>
          <x:t xml:space="preserve">Y</x:t>
        </x:is>
      </x:c>
      <x:c r="J49" t="inlineStr">
        <x:is>
          <x:t xml:space="preserve">expanded common OPD row</x:t>
        </x:is>
      </x:c>
      <x:c r="K49" t="inlineStr">
        <x:is>
          <x:t xml:space="preserve">2026-03-08</x:t>
        </x:is>
      </x:c>
    </x:row>
    <x:row r="50">
      <x:c r="A50" t="inlineStr">
        <x:is>
          <x:t xml:space="preserve">CI0049</x:t>
        </x:is>
      </x:c>
      <x:c r="B50" t="inlineStr">
        <x:is>
          <x:t xml:space="preserve">stomach cramp</x:t>
        </x:is>
      </x:c>
      <x:c r="C50" t="inlineStr">
        <x:is>
          <x:t xml:space="preserve">stomach cramp</x:t>
        </x:is>
      </x:c>
      <x:c r="D50" t="inlineStr">
        <x:is>
          <x:t xml:space="preserve">GI</x:t>
        </x:is>
      </x:c>
      <x:c r="E50" t="inlineStr">
        <x:is>
          <x:t xml:space="preserve">abdominal_colic_adult</x:t>
        </x:is>
      </x:c>
      <x:c r="F50" t="inlineStr">
        <x:is>
          <x:t xml:space="preserve">adult</x:t>
        </x:is>
      </x:c>
      <x:c r="G50" t="n">
        <x:v>3</x:v>
      </x:c>
      <x:c r="H50" t="inlineStr">
        <x:is>
          <x:t xml:space="preserve">alias</x:t>
        </x:is>
      </x:c>
      <x:c r="I50" t="inlineStr">
        <x:is>
          <x:t xml:space="preserve">Y</x:t>
        </x:is>
      </x:c>
      <x:c r="J50" t="inlineStr">
        <x:is>
          <x:t xml:space="preserve">expanded common OPD row</x:t>
        </x:is>
      </x:c>
      <x:c r="K50" t="inlineStr">
        <x:is>
          <x:t xml:space="preserve">2026-03-08</x:t>
        </x:is>
      </x:c>
    </x:row>
    <x:row r="51">
      <x:c r="A51" t="inlineStr">
        <x:is>
          <x:t xml:space="preserve">CI0050</x:t>
        </x:is>
      </x:c>
      <x:c r="B51" t="inlineStr">
        <x:is>
          <x:t xml:space="preserve">muscle spasm</x:t>
        </x:is>
      </x:c>
      <x:c r="C51" t="inlineStr">
        <x:is>
          <x:t xml:space="preserve">muscle spasm</x:t>
        </x:is>
      </x:c>
      <x:c r="D51" t="inlineStr">
        <x:is>
          <x:t xml:space="preserve">Pain</x:t>
        </x:is>
      </x:c>
      <x:c r="E51" t="inlineStr">
        <x:is>
          <x:t xml:space="preserve">muscle_spasm_adult</x:t>
        </x:is>
      </x:c>
      <x:c r="F51" t="inlineStr">
        <x:is>
          <x:t xml:space="preserve">adult</x:t>
        </x:is>
      </x:c>
      <x:c r="G51" t="n">
        <x:v>1</x:v>
      </x:c>
      <x:c r="H51" t="inlineStr">
        <x:is>
          <x:t xml:space="preserve">exact</x:t>
        </x:is>
      </x:c>
      <x:c r="I51" t="inlineStr">
        <x:is>
          <x:t xml:space="preserve">Y</x:t>
        </x:is>
      </x:c>
      <x:c r="J51" t="inlineStr">
        <x:is>
          <x:t xml:space="preserve">expanded common OPD row</x:t>
        </x:is>
      </x:c>
      <x:c r="K51" t="inlineStr">
        <x:is>
          <x:t xml:space="preserve">2026-03-08</x:t>
        </x:is>
      </x:c>
    </x:row>
    <x:row r="52">
      <x:c r="A52" t="inlineStr">
        <x:is>
          <x:t xml:space="preserve">CI0051</x:t>
        </x:is>
      </x:c>
      <x:c r="B52" t="inlineStr">
        <x:is>
          <x:t xml:space="preserve">tight muscle</x:t>
        </x:is>
      </x:c>
      <x:c r="C52" t="inlineStr">
        <x:is>
          <x:t xml:space="preserve">tight muscle</x:t>
        </x:is>
      </x:c>
      <x:c r="D52" t="inlineStr">
        <x:is>
          <x:t xml:space="preserve">Pain</x:t>
        </x:is>
      </x:c>
      <x:c r="E52" t="inlineStr">
        <x:is>
          <x:t xml:space="preserve">muscle_spasm_adult</x:t>
        </x:is>
      </x:c>
      <x:c r="F52" t="inlineStr">
        <x:is>
          <x:t xml:space="preserve">adult</x:t>
        </x:is>
      </x:c>
      <x:c r="G52" t="n">
        <x:v>2</x:v>
      </x:c>
      <x:c r="H52" t="inlineStr">
        <x:is>
          <x:t xml:space="preserve">alias</x:t>
        </x:is>
      </x:c>
      <x:c r="I52" t="inlineStr">
        <x:is>
          <x:t xml:space="preserve">Y</x:t>
        </x:is>
      </x:c>
      <x:c r="J52" t="inlineStr">
        <x:is>
          <x:t xml:space="preserve">expanded common OPD row</x:t>
        </x:is>
      </x:c>
      <x:c r="K52" t="inlineStr">
        <x:is>
          <x:t xml:space="preserve">2026-03-08</x:t>
        </x:is>
      </x:c>
    </x:row>
    <x:row r="53">
      <x:c r="A53" t="inlineStr">
        <x:is>
          <x:t xml:space="preserve">CI0052</x:t>
        </x:is>
      </x:c>
      <x:c r="B53" t="inlineStr">
        <x:is>
          <x:t xml:space="preserve">spasm</x:t>
        </x:is>
      </x:c>
      <x:c r="C53" t="inlineStr">
        <x:is>
          <x:t xml:space="preserve">spasm</x:t>
        </x:is>
      </x:c>
      <x:c r="D53" t="inlineStr">
        <x:is>
          <x:t xml:space="preserve">Pain</x:t>
        </x:is>
      </x:c>
      <x:c r="E53" t="inlineStr">
        <x:is>
          <x:t xml:space="preserve">muscle_spasm_adult</x:t>
        </x:is>
      </x:c>
      <x:c r="F53" t="inlineStr">
        <x:is>
          <x:t xml:space="preserve">adult</x:t>
        </x:is>
      </x:c>
      <x:c r="G53" t="n">
        <x:v>3</x:v>
      </x:c>
      <x:c r="H53" t="inlineStr">
        <x:is>
          <x:t xml:space="preserve">alias</x:t>
        </x:is>
      </x:c>
      <x:c r="I53" t="inlineStr">
        <x:is>
          <x:t xml:space="preserve">Y</x:t>
        </x:is>
      </x:c>
      <x:c r="J53" t="inlineStr">
        <x:is>
          <x:t xml:space="preserve">expanded common OPD row</x:t>
        </x:is>
      </x:c>
      <x:c r="K53" t="inlineStr">
        <x:is>
          <x:t xml:space="preserve">2026-03-08</x:t>
        </x:is>
      </x:c>
    </x:row>
    <x:row r="54">
      <x:c r="A54" t="inlineStr">
        <x:is>
          <x:t xml:space="preserve">CI0053</x:t>
        </x:is>
      </x:c>
      <x:c r="B54" t="inlineStr">
        <x:is>
          <x:t xml:space="preserve">tension headache</x:t>
        </x:is>
      </x:c>
      <x:c r="C54" t="inlineStr">
        <x:is>
          <x:t xml:space="preserve">tension headache</x:t>
        </x:is>
      </x:c>
      <x:c r="D54" t="inlineStr">
        <x:is>
          <x:t xml:space="preserve">Neuro</x:t>
        </x:is>
      </x:c>
      <x:c r="E54" t="inlineStr">
        <x:is>
          <x:t xml:space="preserve">tension_headache_adult</x:t>
        </x:is>
      </x:c>
      <x:c r="F54" t="inlineStr">
        <x:is>
          <x:t xml:space="preserve">adult</x:t>
        </x:is>
      </x:c>
      <x:c r="G54" t="n">
        <x:v>1</x:v>
      </x:c>
      <x:c r="H54" t="inlineStr">
        <x:is>
          <x:t xml:space="preserve">exact</x:t>
        </x:is>
      </x:c>
      <x:c r="I54" t="inlineStr">
        <x:is>
          <x:t xml:space="preserve">Y</x:t>
        </x:is>
      </x:c>
      <x:c r="J54" t="inlineStr">
        <x:is>
          <x:t xml:space="preserve">expanded common OPD row</x:t>
        </x:is>
      </x:c>
      <x:c r="K54" t="inlineStr">
        <x:is>
          <x:t xml:space="preserve">2026-03-08</x:t>
        </x:is>
      </x:c>
    </x:row>
    <x:row r="55">
      <x:c r="A55" t="inlineStr">
        <x:is>
          <x:t xml:space="preserve">CI0054</x:t>
        </x:is>
      </x:c>
      <x:c r="B55" t="inlineStr">
        <x:is>
          <x:t xml:space="preserve">tight headache</x:t>
        </x:is>
      </x:c>
      <x:c r="C55" t="inlineStr">
        <x:is>
          <x:t xml:space="preserve">tight headache</x:t>
        </x:is>
      </x:c>
      <x:c r="D55" t="inlineStr">
        <x:is>
          <x:t xml:space="preserve">Neuro</x:t>
        </x:is>
      </x:c>
      <x:c r="E55" t="inlineStr">
        <x:is>
          <x:t xml:space="preserve">tension_headache_adult</x:t>
        </x:is>
      </x:c>
      <x:c r="F55" t="inlineStr">
        <x:is>
          <x:t xml:space="preserve">adult</x:t>
        </x:is>
      </x:c>
      <x:c r="G55" t="n">
        <x:v>2</x:v>
      </x:c>
      <x:c r="H55" t="inlineStr">
        <x:is>
          <x:t xml:space="preserve">alias</x:t>
        </x:is>
      </x:c>
      <x:c r="I55" t="inlineStr">
        <x:is>
          <x:t xml:space="preserve">Y</x:t>
        </x:is>
      </x:c>
      <x:c r="J55" t="inlineStr">
        <x:is>
          <x:t xml:space="preserve">expanded common OPD row</x:t>
        </x:is>
      </x:c>
      <x:c r="K55" t="inlineStr">
        <x:is>
          <x:t xml:space="preserve">2026-03-08</x:t>
        </x:is>
      </x:c>
    </x:row>
    <x:row r="56">
      <x:c r="A56" t="inlineStr">
        <x:is>
          <x:t xml:space="preserve">CI0055</x:t>
        </x:is>
      </x:c>
      <x:c r="B56" t="inlineStr">
        <x:is>
          <x:t xml:space="preserve">stress headache</x:t>
        </x:is>
      </x:c>
      <x:c r="C56" t="inlineStr">
        <x:is>
          <x:t xml:space="preserve">stress headache</x:t>
        </x:is>
      </x:c>
      <x:c r="D56" t="inlineStr">
        <x:is>
          <x:t xml:space="preserve">Neuro</x:t>
        </x:is>
      </x:c>
      <x:c r="E56" t="inlineStr">
        <x:is>
          <x:t xml:space="preserve">tension_headache_adult</x:t>
        </x:is>
      </x:c>
      <x:c r="F56" t="inlineStr">
        <x:is>
          <x:t xml:space="preserve">adult</x:t>
        </x:is>
      </x:c>
      <x:c r="G56" t="n">
        <x:v>3</x:v>
      </x:c>
      <x:c r="H56" t="inlineStr">
        <x:is>
          <x:t xml:space="preserve">alias</x:t>
        </x:is>
      </x:c>
      <x:c r="I56" t="inlineStr">
        <x:is>
          <x:t xml:space="preserve">Y</x:t>
        </x:is>
      </x:c>
      <x:c r="J56" t="inlineStr">
        <x:is>
          <x:t xml:space="preserve">expanded common OPD row</x:t>
        </x:is>
      </x:c>
      <x:c r="K56" t="inlineStr">
        <x:is>
          <x:t xml:space="preserve">2026-03-08</x:t>
        </x:is>
      </x:c>
    </x:row>
    <x:row r="57">
      <x:c r="A57" t="inlineStr">
        <x:is>
          <x:t xml:space="preserve">CI0056</x:t>
        </x:is>
      </x:c>
      <x:c r="B57" t="inlineStr">
        <x:is>
          <x:t xml:space="preserve">joint pain</x:t>
        </x:is>
      </x:c>
      <x:c r="C57" t="inlineStr">
        <x:is>
          <x:t xml:space="preserve">joint pain</x:t>
        </x:is>
      </x:c>
      <x:c r="D57" t="inlineStr">
        <x:is>
          <x:t xml:space="preserve">Pain</x:t>
        </x:is>
      </x:c>
      <x:c r="E57" t="inlineStr">
        <x:is>
          <x:t xml:space="preserve">inflammatory_pain_adult</x:t>
        </x:is>
      </x:c>
      <x:c r="F57" t="inlineStr">
        <x:is>
          <x:t xml:space="preserve">adult</x:t>
        </x:is>
      </x:c>
      <x:c r="G57" t="n">
        <x:v>1</x:v>
      </x:c>
      <x:c r="H57" t="inlineStr">
        <x:is>
          <x:t xml:space="preserve">exact</x:t>
        </x:is>
      </x:c>
      <x:c r="I57" t="inlineStr">
        <x:is>
          <x:t xml:space="preserve">Y</x:t>
        </x:is>
      </x:c>
      <x:c r="J57" t="inlineStr">
        <x:is>
          <x:t xml:space="preserve">expanded common OPD row</x:t>
        </x:is>
      </x:c>
      <x:c r="K57" t="inlineStr">
        <x:is>
          <x:t xml:space="preserve">2026-03-08</x:t>
        </x:is>
      </x:c>
    </x:row>
    <x:row r="58">
      <x:c r="A58" t="inlineStr">
        <x:is>
          <x:t xml:space="preserve">CI0057</x:t>
        </x:is>
      </x:c>
      <x:c r="B58" t="inlineStr">
        <x:is>
          <x:t xml:space="preserve">inflammatory pain</x:t>
        </x:is>
      </x:c>
      <x:c r="C58" t="inlineStr">
        <x:is>
          <x:t xml:space="preserve">inflammatory pain</x:t>
        </x:is>
      </x:c>
      <x:c r="D58" t="inlineStr">
        <x:is>
          <x:t xml:space="preserve">Pain</x:t>
        </x:is>
      </x:c>
      <x:c r="E58" t="inlineStr">
        <x:is>
          <x:t xml:space="preserve">inflammatory_pain_adult</x:t>
        </x:is>
      </x:c>
      <x:c r="F58" t="inlineStr">
        <x:is>
          <x:t xml:space="preserve">adult</x:t>
        </x:is>
      </x:c>
      <x:c r="G58" t="n">
        <x:v>2</x:v>
      </x:c>
      <x:c r="H58" t="inlineStr">
        <x:is>
          <x:t xml:space="preserve">alias</x:t>
        </x:is>
      </x:c>
      <x:c r="I58" t="inlineStr">
        <x:is>
          <x:t xml:space="preserve">Y</x:t>
        </x:is>
      </x:c>
      <x:c r="J58" t="inlineStr">
        <x:is>
          <x:t xml:space="preserve">expanded common OPD row</x:t>
        </x:is>
      </x:c>
      <x:c r="K58" t="inlineStr">
        <x:is>
          <x:t xml:space="preserve">2026-03-08</x:t>
        </x:is>
      </x:c>
    </x:row>
    <x:row r="59">
      <x:c r="A59" t="inlineStr">
        <x:is>
          <x:t xml:space="preserve">CI0058</x:t>
        </x:is>
      </x:c>
      <x:c r="B59" t="inlineStr">
        <x:is>
          <x:t xml:space="preserve">joint flare</x:t>
        </x:is>
      </x:c>
      <x:c r="C59" t="inlineStr">
        <x:is>
          <x:t xml:space="preserve">joint flare</x:t>
        </x:is>
      </x:c>
      <x:c r="D59" t="inlineStr">
        <x:is>
          <x:t xml:space="preserve">Pain</x:t>
        </x:is>
      </x:c>
      <x:c r="E59" t="inlineStr">
        <x:is>
          <x:t xml:space="preserve">inflammatory_pain_adult</x:t>
        </x:is>
      </x:c>
      <x:c r="F59" t="inlineStr">
        <x:is>
          <x:t xml:space="preserve">adult</x:t>
        </x:is>
      </x:c>
      <x:c r="G59" t="n">
        <x:v>3</x:v>
      </x:c>
      <x:c r="H59" t="inlineStr">
        <x:is>
          <x:t xml:space="preserve">alias</x:t>
        </x:is>
      </x:c>
      <x:c r="I59" t="inlineStr">
        <x:is>
          <x:t xml:space="preserve">Y</x:t>
        </x:is>
      </x:c>
      <x:c r="J59" t="inlineStr">
        <x:is>
          <x:t xml:space="preserve">expanded common OPD row</x:t>
        </x:is>
      </x:c>
      <x:c r="K59" t="inlineStr">
        <x:is>
          <x:t xml:space="preserve">2026-03-08</x:t>
        </x:is>
      </x:c>
    </x:row>
    <x:row r="60">
      <x:c r="A60" t="inlineStr">
        <x:is>
          <x:t xml:space="preserve">CI0059</x:t>
        </x:is>
      </x:c>
      <x:c r="B60" t="inlineStr">
        <x:is>
          <x:t xml:space="preserve">dry skin</x:t>
        </x:is>
      </x:c>
      <x:c r="C60" t="inlineStr">
        <x:is>
          <x:t xml:space="preserve">dry skin</x:t>
        </x:is>
      </x:c>
      <x:c r="D60" t="inlineStr">
        <x:is>
          <x:t xml:space="preserve">Skin</x:t>
        </x:is>
      </x:c>
      <x:c r="E60" t="inlineStr">
        <x:is>
          <x:t xml:space="preserve">dry_skin_adult</x:t>
        </x:is>
      </x:c>
      <x:c r="F60" t="inlineStr">
        <x:is>
          <x:t xml:space="preserve">adult</x:t>
        </x:is>
      </x:c>
      <x:c r="G60" t="n">
        <x:v>1</x:v>
      </x:c>
      <x:c r="H60" t="inlineStr">
        <x:is>
          <x:t xml:space="preserve">exact</x:t>
        </x:is>
      </x:c>
      <x:c r="I60" t="inlineStr">
        <x:is>
          <x:t xml:space="preserve">Y</x:t>
        </x:is>
      </x:c>
      <x:c r="J60" t="inlineStr">
        <x:is>
          <x:t xml:space="preserve">expanded common OPD row</x:t>
        </x:is>
      </x:c>
      <x:c r="K60" t="inlineStr">
        <x:is>
          <x:t xml:space="preserve">2026-03-08</x:t>
        </x:is>
      </x:c>
    </x:row>
    <x:row r="61">
      <x:c r="A61" t="inlineStr">
        <x:is>
          <x:t xml:space="preserve">CI0060</x:t>
        </x:is>
      </x:c>
      <x:c r="B61" t="inlineStr">
        <x:is>
          <x:t xml:space="preserve">xerosis</x:t>
        </x:is>
      </x:c>
      <x:c r="C61" t="inlineStr">
        <x:is>
          <x:t xml:space="preserve">xerosis</x:t>
        </x:is>
      </x:c>
      <x:c r="D61" t="inlineStr">
        <x:is>
          <x:t xml:space="preserve">Skin</x:t>
        </x:is>
      </x:c>
      <x:c r="E61" t="inlineStr">
        <x:is>
          <x:t xml:space="preserve">dry_skin_adult</x:t>
        </x:is>
      </x:c>
      <x:c r="F61" t="inlineStr">
        <x:is>
          <x:t xml:space="preserve">adult</x:t>
        </x:is>
      </x:c>
      <x:c r="G61" t="n">
        <x:v>2</x:v>
      </x:c>
      <x:c r="H61" t="inlineStr">
        <x:is>
          <x:t xml:space="preserve">alias</x:t>
        </x:is>
      </x:c>
      <x:c r="I61" t="inlineStr">
        <x:is>
          <x:t xml:space="preserve">Y</x:t>
        </x:is>
      </x:c>
      <x:c r="J61" t="inlineStr">
        <x:is>
          <x:t xml:space="preserve">expanded common OPD row</x:t>
        </x:is>
      </x:c>
      <x:c r="K61" t="inlineStr">
        <x:is>
          <x:t xml:space="preserve">2026-03-08</x:t>
        </x:is>
      </x:c>
    </x:row>
    <x:row r="62">
      <x:c r="A62" t="inlineStr">
        <x:is>
          <x:t xml:space="preserve">CI0061</x:t>
        </x:is>
      </x:c>
      <x:c r="B62" t="inlineStr">
        <x:is>
          <x:t xml:space="preserve">rough skin</x:t>
        </x:is>
      </x:c>
      <x:c r="C62" t="inlineStr">
        <x:is>
          <x:t xml:space="preserve">rough skin</x:t>
        </x:is>
      </x:c>
      <x:c r="D62" t="inlineStr">
        <x:is>
          <x:t xml:space="preserve">Skin</x:t>
        </x:is>
      </x:c>
      <x:c r="E62" t="inlineStr">
        <x:is>
          <x:t xml:space="preserve">dry_skin_adult</x:t>
        </x:is>
      </x:c>
      <x:c r="F62" t="inlineStr">
        <x:is>
          <x:t xml:space="preserve">adult</x:t>
        </x:is>
      </x:c>
      <x:c r="G62" t="n">
        <x:v>3</x:v>
      </x:c>
      <x:c r="H62" t="inlineStr">
        <x:is>
          <x:t xml:space="preserve">alias</x:t>
        </x:is>
      </x:c>
      <x:c r="I62" t="inlineStr">
        <x:is>
          <x:t xml:space="preserve">Y</x:t>
        </x:is>
      </x:c>
      <x:c r="J62" t="inlineStr">
        <x:is>
          <x:t xml:space="preserve">expanded common OPD row</x:t>
        </x:is>
      </x:c>
      <x:c r="K62" t="inlineStr">
        <x:is>
          <x:t xml:space="preserve">2026-03-08</x:t>
        </x:is>
      </x:c>
    </x:row>
    <x:row r="63">
      <x:c r="A63" t="inlineStr">
        <x:is>
          <x:t xml:space="preserve">CI0062</x:t>
        </x:is>
      </x:c>
      <x:c r="B63" t="inlineStr">
        <x:is>
          <x:t xml:space="preserve">eczema</x:t>
        </x:is>
      </x:c>
      <x:c r="C63" t="inlineStr">
        <x:is>
          <x:t xml:space="preserve">eczema</x:t>
        </x:is>
      </x:c>
      <x:c r="D63" t="inlineStr">
        <x:is>
          <x:t xml:space="preserve">Skin</x:t>
        </x:is>
      </x:c>
      <x:c r="E63" t="inlineStr">
        <x:is>
          <x:t xml:space="preserve">itchy_dermatitis_adult</x:t>
        </x:is>
      </x:c>
      <x:c r="F63" t="inlineStr">
        <x:is>
          <x:t xml:space="preserve">adult</x:t>
        </x:is>
      </x:c>
      <x:c r="G63" t="n">
        <x:v>1</x:v>
      </x:c>
      <x:c r="H63" t="inlineStr">
        <x:is>
          <x:t xml:space="preserve">exact</x:t>
        </x:is>
      </x:c>
      <x:c r="I63" t="inlineStr">
        <x:is>
          <x:t xml:space="preserve">Y</x:t>
        </x:is>
      </x:c>
      <x:c r="J63" t="inlineStr">
        <x:is>
          <x:t xml:space="preserve">expanded common OPD row</x:t>
        </x:is>
      </x:c>
      <x:c r="K63" t="inlineStr">
        <x:is>
          <x:t xml:space="preserve">2026-03-08</x:t>
        </x:is>
      </x:c>
    </x:row>
    <x:row r="64">
      <x:c r="A64" t="inlineStr">
        <x:is>
          <x:t xml:space="preserve">CI0063</x:t>
        </x:is>
      </x:c>
      <x:c r="B64" t="inlineStr">
        <x:is>
          <x:t xml:space="preserve">itchy dermatitis</x:t>
        </x:is>
      </x:c>
      <x:c r="C64" t="inlineStr">
        <x:is>
          <x:t xml:space="preserve">itchy dermatitis</x:t>
        </x:is>
      </x:c>
      <x:c r="D64" t="inlineStr">
        <x:is>
          <x:t xml:space="preserve">Skin</x:t>
        </x:is>
      </x:c>
      <x:c r="E64" t="inlineStr">
        <x:is>
          <x:t xml:space="preserve">itchy_dermatitis_adult</x:t>
        </x:is>
      </x:c>
      <x:c r="F64" t="inlineStr">
        <x:is>
          <x:t xml:space="preserve">adult</x:t>
        </x:is>
      </x:c>
      <x:c r="G64" t="n">
        <x:v>2</x:v>
      </x:c>
      <x:c r="H64" t="inlineStr">
        <x:is>
          <x:t xml:space="preserve">alias</x:t>
        </x:is>
      </x:c>
      <x:c r="I64" t="inlineStr">
        <x:is>
          <x:t xml:space="preserve">Y</x:t>
        </x:is>
      </x:c>
      <x:c r="J64" t="inlineStr">
        <x:is>
          <x:t xml:space="preserve">expanded common OPD row</x:t>
        </x:is>
      </x:c>
      <x:c r="K64" t="inlineStr">
        <x:is>
          <x:t xml:space="preserve">2026-03-08</x:t>
        </x:is>
      </x:c>
    </x:row>
    <x:row r="65">
      <x:c r="A65" t="inlineStr">
        <x:is>
          <x:t xml:space="preserve">CI0064</x:t>
        </x:is>
      </x:c>
      <x:c r="B65" t="inlineStr">
        <x:is>
          <x:t xml:space="preserve">dermatitis</x:t>
        </x:is>
      </x:c>
      <x:c r="C65" t="inlineStr">
        <x:is>
          <x:t xml:space="preserve">dermatitis</x:t>
        </x:is>
      </x:c>
      <x:c r="D65" t="inlineStr">
        <x:is>
          <x:t xml:space="preserve">Skin</x:t>
        </x:is>
      </x:c>
      <x:c r="E65" t="inlineStr">
        <x:is>
          <x:t xml:space="preserve">itchy_dermatitis_adult</x:t>
        </x:is>
      </x:c>
      <x:c r="F65" t="inlineStr">
        <x:is>
          <x:t xml:space="preserve">adult</x:t>
        </x:is>
      </x:c>
      <x:c r="G65" t="n">
        <x:v>3</x:v>
      </x:c>
      <x:c r="H65" t="inlineStr">
        <x:is>
          <x:t xml:space="preserve">alias</x:t>
        </x:is>
      </x:c>
      <x:c r="I65" t="inlineStr">
        <x:is>
          <x:t xml:space="preserve">Y</x:t>
        </x:is>
      </x:c>
      <x:c r="J65" t="inlineStr">
        <x:is>
          <x:t xml:space="preserve">expanded common OPD row</x:t>
        </x:is>
      </x:c>
      <x:c r="K65" t="inlineStr">
        <x:is>
          <x:t xml:space="preserve">2026-03-08</x:t>
        </x:is>
      </x:c>
    </x:row>
    <x:row r="66">
      <x:c r="A66" t="inlineStr">
        <x:is>
          <x:t xml:space="preserve">CI0065</x:t>
        </x:is>
      </x:c>
      <x:c r="B66" t="inlineStr">
        <x:is>
          <x:t xml:space="preserve">insect bite</x:t>
        </x:is>
      </x:c>
      <x:c r="C66" t="inlineStr">
        <x:is>
          <x:t xml:space="preserve">insect bite</x:t>
        </x:is>
      </x:c>
      <x:c r="D66" t="inlineStr">
        <x:is>
          <x:t xml:space="preserve">Skin</x:t>
        </x:is>
      </x:c>
      <x:c r="E66" t="inlineStr">
        <x:is>
          <x:t xml:space="preserve">insect_bite_reaction_adult</x:t>
        </x:is>
      </x:c>
      <x:c r="F66" t="inlineStr">
        <x:is>
          <x:t xml:space="preserve">adult</x:t>
        </x:is>
      </x:c>
      <x:c r="G66" t="n">
        <x:v>1</x:v>
      </x:c>
      <x:c r="H66" t="inlineStr">
        <x:is>
          <x:t xml:space="preserve">exact</x:t>
        </x:is>
      </x:c>
      <x:c r="I66" t="inlineStr">
        <x:is>
          <x:t xml:space="preserve">Y</x:t>
        </x:is>
      </x:c>
      <x:c r="J66" t="inlineStr">
        <x:is>
          <x:t xml:space="preserve">expanded common OPD row</x:t>
        </x:is>
      </x:c>
      <x:c r="K66" t="inlineStr">
        <x:is>
          <x:t xml:space="preserve">2026-03-08</x:t>
        </x:is>
      </x:c>
    </x:row>
    <x:row r="67">
      <x:c r="A67" t="inlineStr">
        <x:is>
          <x:t xml:space="preserve">CI0066</x:t>
        </x:is>
      </x:c>
      <x:c r="B67" t="inlineStr">
        <x:is>
          <x:t xml:space="preserve">bug bite</x:t>
        </x:is>
      </x:c>
      <x:c r="C67" t="inlineStr">
        <x:is>
          <x:t xml:space="preserve">bug bite</x:t>
        </x:is>
      </x:c>
      <x:c r="D67" t="inlineStr">
        <x:is>
          <x:t xml:space="preserve">Skin</x:t>
        </x:is>
      </x:c>
      <x:c r="E67" t="inlineStr">
        <x:is>
          <x:t xml:space="preserve">insect_bite_reaction_adult</x:t>
        </x:is>
      </x:c>
      <x:c r="F67" t="inlineStr">
        <x:is>
          <x:t xml:space="preserve">adult</x:t>
        </x:is>
      </x:c>
      <x:c r="G67" t="n">
        <x:v>2</x:v>
      </x:c>
      <x:c r="H67" t="inlineStr">
        <x:is>
          <x:t xml:space="preserve">alias</x:t>
        </x:is>
      </x:c>
      <x:c r="I67" t="inlineStr">
        <x:is>
          <x:t xml:space="preserve">Y</x:t>
        </x:is>
      </x:c>
      <x:c r="J67" t="inlineStr">
        <x:is>
          <x:t xml:space="preserve">expanded common OPD row</x:t>
        </x:is>
      </x:c>
      <x:c r="K67" t="inlineStr">
        <x:is>
          <x:t xml:space="preserve">2026-03-08</x:t>
        </x:is>
      </x:c>
    </x:row>
    <x:row r="68">
      <x:c r="A68" t="inlineStr">
        <x:is>
          <x:t xml:space="preserve">CI0067</x:t>
        </x:is>
      </x:c>
      <x:c r="B68" t="inlineStr">
        <x:is>
          <x:t xml:space="preserve">mosquito bite</x:t>
        </x:is>
      </x:c>
      <x:c r="C68" t="inlineStr">
        <x:is>
          <x:t xml:space="preserve">mosquito bite</x:t>
        </x:is>
      </x:c>
      <x:c r="D68" t="inlineStr">
        <x:is>
          <x:t xml:space="preserve">Skin</x:t>
        </x:is>
      </x:c>
      <x:c r="E68" t="inlineStr">
        <x:is>
          <x:t xml:space="preserve">insect_bite_reaction_adult</x:t>
        </x:is>
      </x:c>
      <x:c r="F68" t="inlineStr">
        <x:is>
          <x:t xml:space="preserve">adult</x:t>
        </x:is>
      </x:c>
      <x:c r="G68" t="n">
        <x:v>3</x:v>
      </x:c>
      <x:c r="H68" t="inlineStr">
        <x:is>
          <x:t xml:space="preserve">alias</x:t>
        </x:is>
      </x:c>
      <x:c r="I68" t="inlineStr">
        <x:is>
          <x:t xml:space="preserve">Y</x:t>
        </x:is>
      </x:c>
      <x:c r="J68" t="inlineStr">
        <x:is>
          <x:t xml:space="preserve">expanded common OPD row</x:t>
        </x:is>
      </x:c>
      <x:c r="K68" t="inlineStr">
        <x:is>
          <x:t xml:space="preserve">2026-03-08</x:t>
        </x:is>
      </x:c>
    </x:row>
    <x:row r="69">
      <x:c r="A69" t="inlineStr">
        <x:is>
          <x:t xml:space="preserve">CI0068</x:t>
        </x:is>
      </x:c>
      <x:c r="B69" t="inlineStr">
        <x:is>
          <x:t xml:space="preserve">cold sore</x:t>
        </x:is>
      </x:c>
      <x:c r="C69" t="inlineStr">
        <x:is>
          <x:t xml:space="preserve">cold sore</x:t>
        </x:is>
      </x:c>
      <x:c r="D69" t="inlineStr">
        <x:is>
          <x:t xml:space="preserve">Skin</x:t>
        </x:is>
      </x:c>
      <x:c r="E69" t="inlineStr">
        <x:is>
          <x:t xml:space="preserve">herpes_labialis_adult</x:t>
        </x:is>
      </x:c>
      <x:c r="F69" t="inlineStr">
        <x:is>
          <x:t xml:space="preserve">adult</x:t>
        </x:is>
      </x:c>
      <x:c r="G69" t="n">
        <x:v>1</x:v>
      </x:c>
      <x:c r="H69" t="inlineStr">
        <x:is>
          <x:t xml:space="preserve">exact</x:t>
        </x:is>
      </x:c>
      <x:c r="I69" t="inlineStr">
        <x:is>
          <x:t xml:space="preserve">Y</x:t>
        </x:is>
      </x:c>
      <x:c r="J69" t="inlineStr">
        <x:is>
          <x:t xml:space="preserve">expanded common OPD row</x:t>
        </x:is>
      </x:c>
      <x:c r="K69" t="inlineStr">
        <x:is>
          <x:t xml:space="preserve">2026-03-08</x:t>
        </x:is>
      </x:c>
    </x:row>
    <x:row r="70">
      <x:c r="A70" t="inlineStr">
        <x:is>
          <x:t xml:space="preserve">CI0069</x:t>
        </x:is>
      </x:c>
      <x:c r="B70" t="inlineStr">
        <x:is>
          <x:t xml:space="preserve">herpes labialis</x:t>
        </x:is>
      </x:c>
      <x:c r="C70" t="inlineStr">
        <x:is>
          <x:t xml:space="preserve">herpes labialis</x:t>
        </x:is>
      </x:c>
      <x:c r="D70" t="inlineStr">
        <x:is>
          <x:t xml:space="preserve">Skin</x:t>
        </x:is>
      </x:c>
      <x:c r="E70" t="inlineStr">
        <x:is>
          <x:t xml:space="preserve">herpes_labialis_adult</x:t>
        </x:is>
      </x:c>
      <x:c r="F70" t="inlineStr">
        <x:is>
          <x:t xml:space="preserve">adult</x:t>
        </x:is>
      </x:c>
      <x:c r="G70" t="n">
        <x:v>2</x:v>
      </x:c>
      <x:c r="H70" t="inlineStr">
        <x:is>
          <x:t xml:space="preserve">alias</x:t>
        </x:is>
      </x:c>
      <x:c r="I70" t="inlineStr">
        <x:is>
          <x:t xml:space="preserve">Y</x:t>
        </x:is>
      </x:c>
      <x:c r="J70" t="inlineStr">
        <x:is>
          <x:t xml:space="preserve">expanded common OPD row</x:t>
        </x:is>
      </x:c>
      <x:c r="K70" t="inlineStr">
        <x:is>
          <x:t xml:space="preserve">2026-03-08</x:t>
        </x:is>
      </x:c>
    </x:row>
    <x:row r="71">
      <x:c r="A71" t="inlineStr">
        <x:is>
          <x:t xml:space="preserve">CI0070</x:t>
        </x:is>
      </x:c>
      <x:c r="B71" t="inlineStr">
        <x:is>
          <x:t xml:space="preserve">lip blister</x:t>
        </x:is>
      </x:c>
      <x:c r="C71" t="inlineStr">
        <x:is>
          <x:t xml:space="preserve">lip blister</x:t>
        </x:is>
      </x:c>
      <x:c r="D71" t="inlineStr">
        <x:is>
          <x:t xml:space="preserve">Skin</x:t>
        </x:is>
      </x:c>
      <x:c r="E71" t="inlineStr">
        <x:is>
          <x:t xml:space="preserve">herpes_labialis_adult</x:t>
        </x:is>
      </x:c>
      <x:c r="F71" t="inlineStr">
        <x:is>
          <x:t xml:space="preserve">adult</x:t>
        </x:is>
      </x:c>
      <x:c r="G71" t="n">
        <x:v>3</x:v>
      </x:c>
      <x:c r="H71" t="inlineStr">
        <x:is>
          <x:t xml:space="preserve">alias</x:t>
        </x:is>
      </x:c>
      <x:c r="I71" t="inlineStr">
        <x:is>
          <x:t xml:space="preserve">Y</x:t>
        </x:is>
      </x:c>
      <x:c r="J71" t="inlineStr">
        <x:is>
          <x:t xml:space="preserve">expanded common OPD row</x:t>
        </x:is>
      </x:c>
      <x:c r="K71" t="inlineStr">
        <x:is>
          <x:t xml:space="preserve">2026-03-08</x:t>
        </x:is>
      </x:c>
    </x:row>
    <x:row r="72">
      <x:c r="A72" t="inlineStr">
        <x:is>
          <x:t xml:space="preserve">CI0071</x:t>
        </x:is>
      </x:c>
      <x:c r="B72" t="inlineStr">
        <x:is>
          <x:t xml:space="preserve">shingles</x:t>
        </x:is>
      </x:c>
      <x:c r="C72" t="inlineStr">
        <x:is>
          <x:t xml:space="preserve">shingles</x:t>
        </x:is>
      </x:c>
      <x:c r="D72" t="inlineStr">
        <x:is>
          <x:t xml:space="preserve">Skin</x:t>
        </x:is>
      </x:c>
      <x:c r="E72" t="inlineStr">
        <x:is>
          <x:t xml:space="preserve">herpes_zoster_adult</x:t>
        </x:is>
      </x:c>
      <x:c r="F72" t="inlineStr">
        <x:is>
          <x:t xml:space="preserve">adult</x:t>
        </x:is>
      </x:c>
      <x:c r="G72" t="n">
        <x:v>1</x:v>
      </x:c>
      <x:c r="H72" t="inlineStr">
        <x:is>
          <x:t xml:space="preserve">exact</x:t>
        </x:is>
      </x:c>
      <x:c r="I72" t="inlineStr">
        <x:is>
          <x:t xml:space="preserve">Y</x:t>
        </x:is>
      </x:c>
      <x:c r="J72" t="inlineStr">
        <x:is>
          <x:t xml:space="preserve">expanded common OPD row</x:t>
        </x:is>
      </x:c>
      <x:c r="K72" t="inlineStr">
        <x:is>
          <x:t xml:space="preserve">2026-03-08</x:t>
        </x:is>
      </x:c>
    </x:row>
    <x:row r="73">
      <x:c r="A73" t="inlineStr">
        <x:is>
          <x:t xml:space="preserve">CI0072</x:t>
        </x:is>
      </x:c>
      <x:c r="B73" t="inlineStr">
        <x:is>
          <x:t xml:space="preserve">herpes zoster</x:t>
        </x:is>
      </x:c>
      <x:c r="C73" t="inlineStr">
        <x:is>
          <x:t xml:space="preserve">herpes zoster</x:t>
        </x:is>
      </x:c>
      <x:c r="D73" t="inlineStr">
        <x:is>
          <x:t xml:space="preserve">Skin</x:t>
        </x:is>
      </x:c>
      <x:c r="E73" t="inlineStr">
        <x:is>
          <x:t xml:space="preserve">herpes_zoster_adult</x:t>
        </x:is>
      </x:c>
      <x:c r="F73" t="inlineStr">
        <x:is>
          <x:t xml:space="preserve">adult</x:t>
        </x:is>
      </x:c>
      <x:c r="G73" t="n">
        <x:v>2</x:v>
      </x:c>
      <x:c r="H73" t="inlineStr">
        <x:is>
          <x:t xml:space="preserve">alias</x:t>
        </x:is>
      </x:c>
      <x:c r="I73" t="inlineStr">
        <x:is>
          <x:t xml:space="preserve">Y</x:t>
        </x:is>
      </x:c>
      <x:c r="J73" t="inlineStr">
        <x:is>
          <x:t xml:space="preserve">expanded common OPD row</x:t>
        </x:is>
      </x:c>
      <x:c r="K73" t="inlineStr">
        <x:is>
          <x:t xml:space="preserve">2026-03-08</x:t>
        </x:is>
      </x:c>
    </x:row>
    <x:row r="74">
      <x:c r="A74" t="inlineStr">
        <x:is>
          <x:t xml:space="preserve">CI0073</x:t>
        </x:is>
      </x:c>
      <x:c r="B74" t="inlineStr">
        <x:is>
          <x:t xml:space="preserve">zoster</x:t>
        </x:is>
      </x:c>
      <x:c r="C74" t="inlineStr">
        <x:is>
          <x:t xml:space="preserve">zoster</x:t>
        </x:is>
      </x:c>
      <x:c r="D74" t="inlineStr">
        <x:is>
          <x:t xml:space="preserve">Skin</x:t>
        </x:is>
      </x:c>
      <x:c r="E74" t="inlineStr">
        <x:is>
          <x:t xml:space="preserve">herpes_zoster_adult</x:t>
        </x:is>
      </x:c>
      <x:c r="F74" t="inlineStr">
        <x:is>
          <x:t xml:space="preserve">adult</x:t>
        </x:is>
      </x:c>
      <x:c r="G74" t="n">
        <x:v>3</x:v>
      </x:c>
      <x:c r="H74" t="inlineStr">
        <x:is>
          <x:t xml:space="preserve">alias</x:t>
        </x:is>
      </x:c>
      <x:c r="I74" t="inlineStr">
        <x:is>
          <x:t xml:space="preserve">Y</x:t>
        </x:is>
      </x:c>
      <x:c r="J74" t="inlineStr">
        <x:is>
          <x:t xml:space="preserve">expanded common OPD row</x:t>
        </x:is>
      </x:c>
      <x:c r="K74" t="inlineStr">
        <x:is>
          <x:t xml:space="preserve">2026-03-08</x:t>
        </x:is>
      </x:c>
    </x:row>
    <x:row r="75">
      <x:c r="A75" t="inlineStr">
        <x:is>
          <x:t xml:space="preserve">CI0074</x:t>
        </x:is>
      </x:c>
      <x:c r="B75" t="inlineStr">
        <x:is>
          <x:t xml:space="preserve">fungal rash</x:t>
        </x:is>
      </x:c>
      <x:c r="C75" t="inlineStr">
        <x:is>
          <x:t xml:space="preserve">fungal rash</x:t>
        </x:is>
      </x:c>
      <x:c r="D75" t="inlineStr">
        <x:is>
          <x:t xml:space="preserve">Skin</x:t>
        </x:is>
      </x:c>
      <x:c r="E75" t="inlineStr">
        <x:is>
          <x:t xml:space="preserve">tinea_pruritic_rash_adult</x:t>
        </x:is>
      </x:c>
      <x:c r="F75" t="inlineStr">
        <x:is>
          <x:t xml:space="preserve">adult</x:t>
        </x:is>
      </x:c>
      <x:c r="G75" t="n">
        <x:v>1</x:v>
      </x:c>
      <x:c r="H75" t="inlineStr">
        <x:is>
          <x:t xml:space="preserve">exact</x:t>
        </x:is>
      </x:c>
      <x:c r="I75" t="inlineStr">
        <x:is>
          <x:t xml:space="preserve">Y</x:t>
        </x:is>
      </x:c>
      <x:c r="J75" t="inlineStr">
        <x:is>
          <x:t xml:space="preserve">expanded common OPD row</x:t>
        </x:is>
      </x:c>
      <x:c r="K75" t="inlineStr">
        <x:is>
          <x:t xml:space="preserve">2026-03-08</x:t>
        </x:is>
      </x:c>
    </x:row>
    <x:row r="76">
      <x:c r="A76" t="inlineStr">
        <x:is>
          <x:t xml:space="preserve">CI0075</x:t>
        </x:is>
      </x:c>
      <x:c r="B76" t="inlineStr">
        <x:is>
          <x:t xml:space="preserve">tinea</x:t>
        </x:is>
      </x:c>
      <x:c r="C76" t="inlineStr">
        <x:is>
          <x:t xml:space="preserve">tinea</x:t>
        </x:is>
      </x:c>
      <x:c r="D76" t="inlineStr">
        <x:is>
          <x:t xml:space="preserve">Skin</x:t>
        </x:is>
      </x:c>
      <x:c r="E76" t="inlineStr">
        <x:is>
          <x:t xml:space="preserve">tinea_pruritic_rash_adult</x:t>
        </x:is>
      </x:c>
      <x:c r="F76" t="inlineStr">
        <x:is>
          <x:t xml:space="preserve">adult</x:t>
        </x:is>
      </x:c>
      <x:c r="G76" t="n">
        <x:v>2</x:v>
      </x:c>
      <x:c r="H76" t="inlineStr">
        <x:is>
          <x:t xml:space="preserve">alias</x:t>
        </x:is>
      </x:c>
      <x:c r="I76" t="inlineStr">
        <x:is>
          <x:t xml:space="preserve">Y</x:t>
        </x:is>
      </x:c>
      <x:c r="J76" t="inlineStr">
        <x:is>
          <x:t xml:space="preserve">expanded common OPD row</x:t>
        </x:is>
      </x:c>
      <x:c r="K76" t="inlineStr">
        <x:is>
          <x:t xml:space="preserve">2026-03-08</x:t>
        </x:is>
      </x:c>
    </x:row>
    <x:row r="77">
      <x:c r="A77" t="inlineStr">
        <x:is>
          <x:t xml:space="preserve">CI0076</x:t>
        </x:is>
      </x:c>
      <x:c r="B77" t="inlineStr">
        <x:is>
          <x:t xml:space="preserve">ringworm</x:t>
        </x:is>
      </x:c>
      <x:c r="C77" t="inlineStr">
        <x:is>
          <x:t xml:space="preserve">ringworm</x:t>
        </x:is>
      </x:c>
      <x:c r="D77" t="inlineStr">
        <x:is>
          <x:t xml:space="preserve">Skin</x:t>
        </x:is>
      </x:c>
      <x:c r="E77" t="inlineStr">
        <x:is>
          <x:t xml:space="preserve">tinea_pruritic_rash_adult</x:t>
        </x:is>
      </x:c>
      <x:c r="F77" t="inlineStr">
        <x:is>
          <x:t xml:space="preserve">adult</x:t>
        </x:is>
      </x:c>
      <x:c r="G77" t="n">
        <x:v>3</x:v>
      </x:c>
      <x:c r="H77" t="inlineStr">
        <x:is>
          <x:t xml:space="preserve">alias</x:t>
        </x:is>
      </x:c>
      <x:c r="I77" t="inlineStr">
        <x:is>
          <x:t xml:space="preserve">Y</x:t>
        </x:is>
      </x:c>
      <x:c r="J77" t="inlineStr">
        <x:is>
          <x:t xml:space="preserve">expanded common OPD row</x:t>
        </x:is>
      </x:c>
      <x:c r="K77" t="inlineStr">
        <x:is>
          <x:t xml:space="preserve">2026-03-08</x:t>
        </x:is>
      </x:c>
    </x:row>
    <x:row r="78">
      <x:c r="A78" t="inlineStr">
        <x:is>
          <x:t xml:space="preserve">CI0077</x:t>
        </x:is>
      </x:c>
      <x:c r="B78" t="inlineStr">
        <x:is>
          <x:t xml:space="preserve">oral thrush</x:t>
        </x:is>
      </x:c>
      <x:c r="C78" t="inlineStr">
        <x:is>
          <x:t xml:space="preserve">oral thrush</x:t>
        </x:is>
      </x:c>
      <x:c r="D78" t="inlineStr">
        <x:is>
          <x:t xml:space="preserve">ENT</x:t>
        </x:is>
      </x:c>
      <x:c r="E78" t="inlineStr">
        <x:is>
          <x:t xml:space="preserve">oral_thrush_adult</x:t>
        </x:is>
      </x:c>
      <x:c r="F78" t="inlineStr">
        <x:is>
          <x:t xml:space="preserve">adult</x:t>
        </x:is>
      </x:c>
      <x:c r="G78" t="n">
        <x:v>1</x:v>
      </x:c>
      <x:c r="H78" t="inlineStr">
        <x:is>
          <x:t xml:space="preserve">exact</x:t>
        </x:is>
      </x:c>
      <x:c r="I78" t="inlineStr">
        <x:is>
          <x:t xml:space="preserve">Y</x:t>
        </x:is>
      </x:c>
      <x:c r="J78" t="inlineStr">
        <x:is>
          <x:t xml:space="preserve">expanded common OPD row</x:t>
        </x:is>
      </x:c>
      <x:c r="K78" t="inlineStr">
        <x:is>
          <x:t xml:space="preserve">2026-03-08</x:t>
        </x:is>
      </x:c>
    </x:row>
    <x:row r="79">
      <x:c r="A79" t="inlineStr">
        <x:is>
          <x:t xml:space="preserve">CI0078</x:t>
        </x:is>
      </x:c>
      <x:c r="B79" t="inlineStr">
        <x:is>
          <x:t xml:space="preserve">thrush mouth</x:t>
        </x:is>
      </x:c>
      <x:c r="C79" t="inlineStr">
        <x:is>
          <x:t xml:space="preserve">thrush mouth</x:t>
        </x:is>
      </x:c>
      <x:c r="D79" t="inlineStr">
        <x:is>
          <x:t xml:space="preserve">ENT</x:t>
        </x:is>
      </x:c>
      <x:c r="E79" t="inlineStr">
        <x:is>
          <x:t xml:space="preserve">oral_thrush_adult</x:t>
        </x:is>
      </x:c>
      <x:c r="F79" t="inlineStr">
        <x:is>
          <x:t xml:space="preserve">adult</x:t>
        </x:is>
      </x:c>
      <x:c r="G79" t="n">
        <x:v>2</x:v>
      </x:c>
      <x:c r="H79" t="inlineStr">
        <x:is>
          <x:t xml:space="preserve">alias</x:t>
        </x:is>
      </x:c>
      <x:c r="I79" t="inlineStr">
        <x:is>
          <x:t xml:space="preserve">Y</x:t>
        </x:is>
      </x:c>
      <x:c r="J79" t="inlineStr">
        <x:is>
          <x:t xml:space="preserve">expanded common OPD row</x:t>
        </x:is>
      </x:c>
      <x:c r="K79" t="inlineStr">
        <x:is>
          <x:t xml:space="preserve">2026-03-08</x:t>
        </x:is>
      </x:c>
    </x:row>
    <x:row r="80">
      <x:c r="A80" t="inlineStr">
        <x:is>
          <x:t xml:space="preserve">CI0079</x:t>
        </x:is>
      </x:c>
      <x:c r="B80" t="inlineStr">
        <x:is>
          <x:t xml:space="preserve">white tongue thrush</x:t>
        </x:is>
      </x:c>
      <x:c r="C80" t="inlineStr">
        <x:is>
          <x:t xml:space="preserve">white tongue thrush</x:t>
        </x:is>
      </x:c>
      <x:c r="D80" t="inlineStr">
        <x:is>
          <x:t xml:space="preserve">ENT</x:t>
        </x:is>
      </x:c>
      <x:c r="E80" t="inlineStr">
        <x:is>
          <x:t xml:space="preserve">oral_thrush_adult</x:t>
        </x:is>
      </x:c>
      <x:c r="F80" t="inlineStr">
        <x:is>
          <x:t xml:space="preserve">adult</x:t>
        </x:is>
      </x:c>
      <x:c r="G80" t="n">
        <x:v>3</x:v>
      </x:c>
      <x:c r="H80" t="inlineStr">
        <x:is>
          <x:t xml:space="preserve">alias</x:t>
        </x:is>
      </x:c>
      <x:c r="I80" t="inlineStr">
        <x:is>
          <x:t xml:space="preserve">Y</x:t>
        </x:is>
      </x:c>
      <x:c r="J80" t="inlineStr">
        <x:is>
          <x:t xml:space="preserve">expanded common OPD row</x:t>
        </x:is>
      </x:c>
      <x:c r="K80" t="inlineStr">
        <x:is>
          <x:t xml:space="preserve">2026-03-08</x:t>
        </x:is>
      </x:c>
    </x:row>
    <x:row r="81">
      <x:c r="A81" t="inlineStr">
        <x:is>
          <x:t xml:space="preserve">CI0080</x:t>
        </x:is>
      </x:c>
      <x:c r="B81" t="inlineStr">
        <x:is>
          <x:t xml:space="preserve">minor burn</x:t>
        </x:is>
      </x:c>
      <x:c r="C81" t="inlineStr">
        <x:is>
          <x:t xml:space="preserve">minor burn</x:t>
        </x:is>
      </x:c>
      <x:c r="D81" t="inlineStr">
        <x:is>
          <x:t xml:space="preserve">Skin</x:t>
        </x:is>
      </x:c>
      <x:c r="E81" t="inlineStr">
        <x:is>
          <x:t xml:space="preserve">minor_burn_adult</x:t>
        </x:is>
      </x:c>
      <x:c r="F81" t="inlineStr">
        <x:is>
          <x:t xml:space="preserve">adult</x:t>
        </x:is>
      </x:c>
      <x:c r="G81" t="n">
        <x:v>1</x:v>
      </x:c>
      <x:c r="H81" t="inlineStr">
        <x:is>
          <x:t xml:space="preserve">exact</x:t>
        </x:is>
      </x:c>
      <x:c r="I81" t="inlineStr">
        <x:is>
          <x:t xml:space="preserve">Y</x:t>
        </x:is>
      </x:c>
      <x:c r="J81" t="inlineStr">
        <x:is>
          <x:t xml:space="preserve">expanded common OPD row</x:t>
        </x:is>
      </x:c>
      <x:c r="K81" t="inlineStr">
        <x:is>
          <x:t xml:space="preserve">2026-03-08</x:t>
        </x:is>
      </x:c>
    </x:row>
    <x:row r="82">
      <x:c r="A82" t="inlineStr">
        <x:is>
          <x:t xml:space="preserve">CI0081</x:t>
        </x:is>
      </x:c>
      <x:c r="B82" t="inlineStr">
        <x:is>
          <x:t xml:space="preserve">small burn</x:t>
        </x:is>
      </x:c>
      <x:c r="C82" t="inlineStr">
        <x:is>
          <x:t xml:space="preserve">small burn</x:t>
        </x:is>
      </x:c>
      <x:c r="D82" t="inlineStr">
        <x:is>
          <x:t xml:space="preserve">Skin</x:t>
        </x:is>
      </x:c>
      <x:c r="E82" t="inlineStr">
        <x:is>
          <x:t xml:space="preserve">minor_burn_adult</x:t>
        </x:is>
      </x:c>
      <x:c r="F82" t="inlineStr">
        <x:is>
          <x:t xml:space="preserve">adult</x:t>
        </x:is>
      </x:c>
      <x:c r="G82" t="n">
        <x:v>2</x:v>
      </x:c>
      <x:c r="H82" t="inlineStr">
        <x:is>
          <x:t xml:space="preserve">alias</x:t>
        </x:is>
      </x:c>
      <x:c r="I82" t="inlineStr">
        <x:is>
          <x:t xml:space="preserve">Y</x:t>
        </x:is>
      </x:c>
      <x:c r="J82" t="inlineStr">
        <x:is>
          <x:t xml:space="preserve">expanded common OPD row</x:t>
        </x:is>
      </x:c>
      <x:c r="K82" t="inlineStr">
        <x:is>
          <x:t xml:space="preserve">2026-03-08</x:t>
        </x:is>
      </x:c>
    </x:row>
    <x:row r="83">
      <x:c r="A83" t="inlineStr">
        <x:is>
          <x:t xml:space="preserve">CI0082</x:t>
        </x:is>
      </x:c>
      <x:c r="B83" t="inlineStr">
        <x:is>
          <x:t xml:space="preserve">superficial burn</x:t>
        </x:is>
      </x:c>
      <x:c r="C83" t="inlineStr">
        <x:is>
          <x:t xml:space="preserve">superficial burn</x:t>
        </x:is>
      </x:c>
      <x:c r="D83" t="inlineStr">
        <x:is>
          <x:t xml:space="preserve">Skin</x:t>
        </x:is>
      </x:c>
      <x:c r="E83" t="inlineStr">
        <x:is>
          <x:t xml:space="preserve">minor_burn_adult</x:t>
        </x:is>
      </x:c>
      <x:c r="F83" t="inlineStr">
        <x:is>
          <x:t xml:space="preserve">adult</x:t>
        </x:is>
      </x:c>
      <x:c r="G83" t="n">
        <x:v>3</x:v>
      </x:c>
      <x:c r="H83" t="inlineStr">
        <x:is>
          <x:t xml:space="preserve">alias</x:t>
        </x:is>
      </x:c>
      <x:c r="I83" t="inlineStr">
        <x:is>
          <x:t xml:space="preserve">Y</x:t>
        </x:is>
      </x:c>
      <x:c r="J83" t="inlineStr">
        <x:is>
          <x:t xml:space="preserve">expanded common OPD row</x:t>
        </x:is>
      </x:c>
      <x:c r="K83" t="inlineStr">
        <x:is>
          <x:t xml:space="preserve">2026-03-08</x:t>
        </x:is>
      </x:c>
    </x:row>
    <x:row r="84">
      <x:c r="A84" t="inlineStr">
        <x:is>
          <x:t xml:space="preserve">CI0083</x:t>
        </x:is>
      </x:c>
      <x:c r="B84" t="inlineStr">
        <x:is>
          <x:t xml:space="preserve">minor skin infection</x:t>
        </x:is>
      </x:c>
      <x:c r="C84" t="inlineStr">
        <x:is>
          <x:t xml:space="preserve">minor skin infection</x:t>
        </x:is>
      </x:c>
      <x:c r="D84" t="inlineStr">
        <x:is>
          <x:t xml:space="preserve">Skin</x:t>
        </x:is>
      </x:c>
      <x:c r="E84" t="inlineStr">
        <x:is>
          <x:t xml:space="preserve">minor_skin_infection_topical_adult</x:t>
        </x:is>
      </x:c>
      <x:c r="F84" t="inlineStr">
        <x:is>
          <x:t xml:space="preserve">adult</x:t>
        </x:is>
      </x:c>
      <x:c r="G84" t="n">
        <x:v>1</x:v>
      </x:c>
      <x:c r="H84" t="inlineStr">
        <x:is>
          <x:t xml:space="preserve">exact</x:t>
        </x:is>
      </x:c>
      <x:c r="I84" t="inlineStr">
        <x:is>
          <x:t xml:space="preserve">Y</x:t>
        </x:is>
      </x:c>
      <x:c r="J84" t="inlineStr">
        <x:is>
          <x:t xml:space="preserve">expanded common OPD row</x:t>
        </x:is>
      </x:c>
      <x:c r="K84" t="inlineStr">
        <x:is>
          <x:t xml:space="preserve">2026-03-08</x:t>
        </x:is>
      </x:c>
    </x:row>
    <x:row r="85">
      <x:c r="A85" t="inlineStr">
        <x:is>
          <x:t xml:space="preserve">CI0084</x:t>
        </x:is>
      </x:c>
      <x:c r="B85" t="inlineStr">
        <x:is>
          <x:t xml:space="preserve">small infected wound</x:t>
        </x:is>
      </x:c>
      <x:c r="C85" t="inlineStr">
        <x:is>
          <x:t xml:space="preserve">small infected wound</x:t>
        </x:is>
      </x:c>
      <x:c r="D85" t="inlineStr">
        <x:is>
          <x:t xml:space="preserve">Skin</x:t>
        </x:is>
      </x:c>
      <x:c r="E85" t="inlineStr">
        <x:is>
          <x:t xml:space="preserve">minor_skin_infection_topical_adult</x:t>
        </x:is>
      </x:c>
      <x:c r="F85" t="inlineStr">
        <x:is>
          <x:t xml:space="preserve">adult</x:t>
        </x:is>
      </x:c>
      <x:c r="G85" t="n">
        <x:v>2</x:v>
      </x:c>
      <x:c r="H85" t="inlineStr">
        <x:is>
          <x:t xml:space="preserve">alias</x:t>
        </x:is>
      </x:c>
      <x:c r="I85" t="inlineStr">
        <x:is>
          <x:t xml:space="preserve">Y</x:t>
        </x:is>
      </x:c>
      <x:c r="J85" t="inlineStr">
        <x:is>
          <x:t xml:space="preserve">expanded common OPD row</x:t>
        </x:is>
      </x:c>
      <x:c r="K85" t="inlineStr">
        <x:is>
          <x:t xml:space="preserve">2026-03-08</x:t>
        </x:is>
      </x:c>
    </x:row>
    <x:row r="86">
      <x:c r="A86" t="inlineStr">
        <x:is>
          <x:t xml:space="preserve">CI0085</x:t>
        </x:is>
      </x:c>
      <x:c r="B86" t="inlineStr">
        <x:is>
          <x:t xml:space="preserve">localized skin infection</x:t>
        </x:is>
      </x:c>
      <x:c r="C86" t="inlineStr">
        <x:is>
          <x:t xml:space="preserve">localized skin infection</x:t>
        </x:is>
      </x:c>
      <x:c r="D86" t="inlineStr">
        <x:is>
          <x:t xml:space="preserve">Skin</x:t>
        </x:is>
      </x:c>
      <x:c r="E86" t="inlineStr">
        <x:is>
          <x:t xml:space="preserve">minor_skin_infection_topical_adult</x:t>
        </x:is>
      </x:c>
      <x:c r="F86" t="inlineStr">
        <x:is>
          <x:t xml:space="preserve">adult</x:t>
        </x:is>
      </x:c>
      <x:c r="G86" t="n">
        <x:v>3</x:v>
      </x:c>
      <x:c r="H86" t="inlineStr">
        <x:is>
          <x:t xml:space="preserve">alias</x:t>
        </x:is>
      </x:c>
      <x:c r="I86" t="inlineStr">
        <x:is>
          <x:t xml:space="preserve">Y</x:t>
        </x:is>
      </x:c>
      <x:c r="J86" t="inlineStr">
        <x:is>
          <x:t xml:space="preserve">expanded common OPD row</x:t>
        </x:is>
      </x:c>
      <x:c r="K86" t="inlineStr">
        <x:is>
          <x:t xml:space="preserve">2026-03-08</x:t>
        </x:is>
      </x:c>
    </x:row>
    <x:row r="87">
      <x:c r="A87" t="inlineStr">
        <x:is>
          <x:t xml:space="preserve">CI0086</x:t>
        </x:is>
      </x:c>
      <x:c r="B87" t="inlineStr">
        <x:is>
          <x:t xml:space="preserve">allergic conjunctivitis</x:t>
        </x:is>
      </x:c>
      <x:c r="C87" t="inlineStr">
        <x:is>
          <x:t xml:space="preserve">allergic conjunctivitis</x:t>
        </x:is>
      </x:c>
      <x:c r="D87" t="inlineStr">
        <x:is>
          <x:t xml:space="preserve">Eye</x:t>
        </x:is>
      </x:c>
      <x:c r="E87" t="inlineStr">
        <x:is>
          <x:t xml:space="preserve">allergic_conjunctivitis_adult</x:t>
        </x:is>
      </x:c>
      <x:c r="F87" t="inlineStr">
        <x:is>
          <x:t xml:space="preserve">adult</x:t>
        </x:is>
      </x:c>
      <x:c r="G87" t="n">
        <x:v>1</x:v>
      </x:c>
      <x:c r="H87" t="inlineStr">
        <x:is>
          <x:t xml:space="preserve">exact</x:t>
        </x:is>
      </x:c>
      <x:c r="I87" t="inlineStr">
        <x:is>
          <x:t xml:space="preserve">Y</x:t>
        </x:is>
      </x:c>
      <x:c r="J87" t="inlineStr">
        <x:is>
          <x:t xml:space="preserve">expanded common OPD row</x:t>
        </x:is>
      </x:c>
      <x:c r="K87" t="inlineStr">
        <x:is>
          <x:t xml:space="preserve">2026-03-08</x:t>
        </x:is>
      </x:c>
    </x:row>
    <x:row r="88">
      <x:c r="A88" t="inlineStr">
        <x:is>
          <x:t xml:space="preserve">CI0087</x:t>
        </x:is>
      </x:c>
      <x:c r="B88" t="inlineStr">
        <x:is>
          <x:t xml:space="preserve">itchy red eye allergy</x:t>
        </x:is>
      </x:c>
      <x:c r="C88" t="inlineStr">
        <x:is>
          <x:t xml:space="preserve">itchy red eye allergy</x:t>
        </x:is>
      </x:c>
      <x:c r="D88" t="inlineStr">
        <x:is>
          <x:t xml:space="preserve">Eye</x:t>
        </x:is>
      </x:c>
      <x:c r="E88" t="inlineStr">
        <x:is>
          <x:t xml:space="preserve">allergic_conjunctivitis_adult</x:t>
        </x:is>
      </x:c>
      <x:c r="F88" t="inlineStr">
        <x:is>
          <x:t xml:space="preserve">adult</x:t>
        </x:is>
      </x:c>
      <x:c r="G88" t="n">
        <x:v>2</x:v>
      </x:c>
      <x:c r="H88" t="inlineStr">
        <x:is>
          <x:t xml:space="preserve">alias</x:t>
        </x:is>
      </x:c>
      <x:c r="I88" t="inlineStr">
        <x:is>
          <x:t xml:space="preserve">Y</x:t>
        </x:is>
      </x:c>
      <x:c r="J88" t="inlineStr">
        <x:is>
          <x:t xml:space="preserve">expanded common OPD row</x:t>
        </x:is>
      </x:c>
      <x:c r="K88" t="inlineStr">
        <x:is>
          <x:t xml:space="preserve">2026-03-08</x:t>
        </x:is>
      </x:c>
    </x:row>
    <x:row r="89">
      <x:c r="A89" t="inlineStr">
        <x:is>
          <x:t xml:space="preserve">CI0088</x:t>
        </x:is>
      </x:c>
      <x:c r="B89" t="inlineStr">
        <x:is>
          <x:t xml:space="preserve">itchy watery eyes</x:t>
        </x:is>
      </x:c>
      <x:c r="C89" t="inlineStr">
        <x:is>
          <x:t xml:space="preserve">itchy watery eyes</x:t>
        </x:is>
      </x:c>
      <x:c r="D89" t="inlineStr">
        <x:is>
          <x:t xml:space="preserve">Eye</x:t>
        </x:is>
      </x:c>
      <x:c r="E89" t="inlineStr">
        <x:is>
          <x:t xml:space="preserve">allergic_conjunctivitis_adult</x:t>
        </x:is>
      </x:c>
      <x:c r="F89" t="inlineStr">
        <x:is>
          <x:t xml:space="preserve">adult</x:t>
        </x:is>
      </x:c>
      <x:c r="G89" t="n">
        <x:v>3</x:v>
      </x:c>
      <x:c r="H89" t="inlineStr">
        <x:is>
          <x:t xml:space="preserve">alias</x:t>
        </x:is>
      </x:c>
      <x:c r="I89" t="inlineStr">
        <x:is>
          <x:t xml:space="preserve">Y</x:t>
        </x:is>
      </x:c>
      <x:c r="J89" t="inlineStr">
        <x:is>
          <x:t xml:space="preserve">expanded common OPD row</x:t>
        </x:is>
      </x:c>
      <x:c r="K89" t="inlineStr">
        <x:is>
          <x:t xml:space="preserve">2026-03-08</x:t>
        </x:is>
      </x:c>
    </x:row>
    <x:row r="90">
      <x:c r="A90" t="inlineStr">
        <x:is>
          <x:t xml:space="preserve">CI0089</x:t>
        </x:is>
      </x:c>
      <x:c r="B90" t="inlineStr">
        <x:is>
          <x:t xml:space="preserve">sinusitis</x:t>
        </x:is>
      </x:c>
      <x:c r="C90" t="inlineStr">
        <x:is>
          <x:t xml:space="preserve">sinusitis</x:t>
        </x:is>
      </x:c>
      <x:c r="D90" t="inlineStr">
        <x:is>
          <x:t xml:space="preserve">ENT</x:t>
        </x:is>
      </x:c>
      <x:c r="E90" t="inlineStr">
        <x:is>
          <x:t xml:space="preserve">bacterial_sinusitis_adult</x:t>
        </x:is>
      </x:c>
      <x:c r="F90" t="inlineStr">
        <x:is>
          <x:t xml:space="preserve">adult</x:t>
        </x:is>
      </x:c>
      <x:c r="G90" t="n">
        <x:v>1</x:v>
      </x:c>
      <x:c r="H90" t="inlineStr">
        <x:is>
          <x:t xml:space="preserve">exact</x:t>
        </x:is>
      </x:c>
      <x:c r="I90" t="inlineStr">
        <x:is>
          <x:t xml:space="preserve">Y</x:t>
        </x:is>
      </x:c>
      <x:c r="J90" t="inlineStr">
        <x:is>
          <x:t xml:space="preserve">expanded common OPD row</x:t>
        </x:is>
      </x:c>
      <x:c r="K90" t="inlineStr">
        <x:is>
          <x:t xml:space="preserve">2026-03-08</x:t>
        </x:is>
      </x:c>
    </x:row>
    <x:row r="91">
      <x:c r="A91" t="inlineStr">
        <x:is>
          <x:t xml:space="preserve">CI0090</x:t>
        </x:is>
      </x:c>
      <x:c r="B91" t="inlineStr">
        <x:is>
          <x:t xml:space="preserve">bacterial sinusitis</x:t>
        </x:is>
      </x:c>
      <x:c r="C91" t="inlineStr">
        <x:is>
          <x:t xml:space="preserve">bacterial sinusitis</x:t>
        </x:is>
      </x:c>
      <x:c r="D91" t="inlineStr">
        <x:is>
          <x:t xml:space="preserve">ENT</x:t>
        </x:is>
      </x:c>
      <x:c r="E91" t="inlineStr">
        <x:is>
          <x:t xml:space="preserve">bacterial_sinusitis_adult</x:t>
        </x:is>
      </x:c>
      <x:c r="F91" t="inlineStr">
        <x:is>
          <x:t xml:space="preserve">adult</x:t>
        </x:is>
      </x:c>
      <x:c r="G91" t="n">
        <x:v>2</x:v>
      </x:c>
      <x:c r="H91" t="inlineStr">
        <x:is>
          <x:t xml:space="preserve">alias</x:t>
        </x:is>
      </x:c>
      <x:c r="I91" t="inlineStr">
        <x:is>
          <x:t xml:space="preserve">Y</x:t>
        </x:is>
      </x:c>
      <x:c r="J91" t="inlineStr">
        <x:is>
          <x:t xml:space="preserve">expanded common OPD row</x:t>
        </x:is>
      </x:c>
      <x:c r="K91" t="inlineStr">
        <x:is>
          <x:t xml:space="preserve">2026-03-08</x:t>
        </x:is>
      </x:c>
    </x:row>
    <x:row r="92">
      <x:c r="A92" t="inlineStr">
        <x:is>
          <x:t xml:space="preserve">CI0091</x:t>
        </x:is>
      </x:c>
      <x:c r="B92" t="inlineStr">
        <x:is>
          <x:t xml:space="preserve">sinus infection</x:t>
        </x:is>
      </x:c>
      <x:c r="C92" t="inlineStr">
        <x:is>
          <x:t xml:space="preserve">sinus infection</x:t>
        </x:is>
      </x:c>
      <x:c r="D92" t="inlineStr">
        <x:is>
          <x:t xml:space="preserve">ENT</x:t>
        </x:is>
      </x:c>
      <x:c r="E92" t="inlineStr">
        <x:is>
          <x:t xml:space="preserve">bacterial_sinusitis_adult</x:t>
        </x:is>
      </x:c>
      <x:c r="F92" t="inlineStr">
        <x:is>
          <x:t xml:space="preserve">adult</x:t>
        </x:is>
      </x:c>
      <x:c r="G92" t="n">
        <x:v>3</x:v>
      </x:c>
      <x:c r="H92" t="inlineStr">
        <x:is>
          <x:t xml:space="preserve">alias</x:t>
        </x:is>
      </x:c>
      <x:c r="I92" t="inlineStr">
        <x:is>
          <x:t xml:space="preserve">Y</x:t>
        </x:is>
      </x:c>
      <x:c r="J92" t="inlineStr">
        <x:is>
          <x:t xml:space="preserve">expanded common OPD row</x:t>
        </x:is>
      </x:c>
      <x:c r="K92" t="inlineStr">
        <x:is>
          <x:t xml:space="preserve">2026-03-08</x:t>
        </x:is>
      </x:c>
    </x:row>
    <x:row r="93">
      <x:c r="A93" t="inlineStr">
        <x:is>
          <x:t xml:space="preserve">CI0092</x:t>
        </x:is>
      </x:c>
      <x:c r="B93" t="inlineStr">
        <x:is>
          <x:t xml:space="preserve">bacterial sore throat</x:t>
        </x:is>
      </x:c>
      <x:c r="C93" t="inlineStr">
        <x:is>
          <x:t xml:space="preserve">bacterial sore throat</x:t>
        </x:is>
      </x:c>
      <x:c r="D93" t="inlineStr">
        <x:is>
          <x:t xml:space="preserve">ENT</x:t>
        </x:is>
      </x:c>
      <x:c r="E93" t="inlineStr">
        <x:is>
          <x:t xml:space="preserve">bacterial_pharyngitis_adult</x:t>
        </x:is>
      </x:c>
      <x:c r="F93" t="inlineStr">
        <x:is>
          <x:t xml:space="preserve">adult</x:t>
        </x:is>
      </x:c>
      <x:c r="G93" t="n">
        <x:v>1</x:v>
      </x:c>
      <x:c r="H93" t="inlineStr">
        <x:is>
          <x:t xml:space="preserve">exact</x:t>
        </x:is>
      </x:c>
      <x:c r="I93" t="inlineStr">
        <x:is>
          <x:t xml:space="preserve">Y</x:t>
        </x:is>
      </x:c>
      <x:c r="J93" t="inlineStr">
        <x:is>
          <x:t xml:space="preserve">expanded common OPD row</x:t>
        </x:is>
      </x:c>
      <x:c r="K93" t="inlineStr">
        <x:is>
          <x:t xml:space="preserve">2026-03-08</x:t>
        </x:is>
      </x:c>
    </x:row>
    <x:row r="94">
      <x:c r="A94" t="inlineStr">
        <x:is>
          <x:t xml:space="preserve">CI0093</x:t>
        </x:is>
      </x:c>
      <x:c r="B94" t="inlineStr">
        <x:is>
          <x:t xml:space="preserve">tonsillitis</x:t>
        </x:is>
      </x:c>
      <x:c r="C94" t="inlineStr">
        <x:is>
          <x:t xml:space="preserve">tonsillitis</x:t>
        </x:is>
      </x:c>
      <x:c r="D94" t="inlineStr">
        <x:is>
          <x:t xml:space="preserve">ENT</x:t>
        </x:is>
      </x:c>
      <x:c r="E94" t="inlineStr">
        <x:is>
          <x:t xml:space="preserve">bacterial_pharyngitis_adult</x:t>
        </x:is>
      </x:c>
      <x:c r="F94" t="inlineStr">
        <x:is>
          <x:t xml:space="preserve">adult</x:t>
        </x:is>
      </x:c>
      <x:c r="G94" t="n">
        <x:v>2</x:v>
      </x:c>
      <x:c r="H94" t="inlineStr">
        <x:is>
          <x:t xml:space="preserve">alias</x:t>
        </x:is>
      </x:c>
      <x:c r="I94" t="inlineStr">
        <x:is>
          <x:t xml:space="preserve">Y</x:t>
        </x:is>
      </x:c>
      <x:c r="J94" t="inlineStr">
        <x:is>
          <x:t xml:space="preserve">expanded common OPD row</x:t>
        </x:is>
      </x:c>
      <x:c r="K94" t="inlineStr">
        <x:is>
          <x:t xml:space="preserve">2026-03-08</x:t>
        </x:is>
      </x:c>
    </x:row>
    <x:row r="95">
      <x:c r="A95" t="inlineStr">
        <x:is>
          <x:t xml:space="preserve">CI0094</x:t>
        </x:is>
      </x:c>
      <x:c r="B95" t="inlineStr">
        <x:is>
          <x:t xml:space="preserve">bacterial pharyngitis</x:t>
        </x:is>
      </x:c>
      <x:c r="C95" t="inlineStr">
        <x:is>
          <x:t xml:space="preserve">bacterial pharyngitis</x:t>
        </x:is>
      </x:c>
      <x:c r="D95" t="inlineStr">
        <x:is>
          <x:t xml:space="preserve">ENT</x:t>
        </x:is>
      </x:c>
      <x:c r="E95" t="inlineStr">
        <x:is>
          <x:t xml:space="preserve">bacterial_pharyngitis_adult</x:t>
        </x:is>
      </x:c>
      <x:c r="F95" t="inlineStr">
        <x:is>
          <x:t xml:space="preserve">adult</x:t>
        </x:is>
      </x:c>
      <x:c r="G95" t="n">
        <x:v>3</x:v>
      </x:c>
      <x:c r="H95" t="inlineStr">
        <x:is>
          <x:t xml:space="preserve">alias</x:t>
        </x:is>
      </x:c>
      <x:c r="I95" t="inlineStr">
        <x:is>
          <x:t xml:space="preserve">Y</x:t>
        </x:is>
      </x:c>
      <x:c r="J95" t="inlineStr">
        <x:is>
          <x:t xml:space="preserve">expanded common OPD row</x:t>
        </x:is>
      </x:c>
      <x:c r="K95" t="inlineStr">
        <x:is>
          <x:t xml:space="preserve">2026-03-08</x:t>
        </x:is>
      </x:c>
    </x:row>
    <x:row r="96">
      <x:c r="A96" t="inlineStr">
        <x:is>
          <x:t xml:space="preserve">CI0095</x:t>
        </x:is>
      </x:c>
      <x:c r="B96" t="inlineStr">
        <x:is>
          <x:t xml:space="preserve">saline nasal rinse</x:t>
        </x:is>
      </x:c>
      <x:c r="C96" t="inlineStr">
        <x:is>
          <x:t xml:space="preserve">saline nasal rinse</x:t>
        </x:is>
      </x:c>
      <x:c r="D96" t="inlineStr">
        <x:is>
          <x:t xml:space="preserve">ENT</x:t>
        </x:is>
      </x:c>
      <x:c r="E96" t="inlineStr">
        <x:is>
          <x:t xml:space="preserve">nasal_irrigation_support_adult</x:t>
        </x:is>
      </x:c>
      <x:c r="F96" t="inlineStr">
        <x:is>
          <x:t xml:space="preserve">adult</x:t>
        </x:is>
      </x:c>
      <x:c r="G96" t="n">
        <x:v>1</x:v>
      </x:c>
      <x:c r="H96" t="inlineStr">
        <x:is>
          <x:t xml:space="preserve">exact</x:t>
        </x:is>
      </x:c>
      <x:c r="I96" t="inlineStr">
        <x:is>
          <x:t xml:space="preserve">Y</x:t>
        </x:is>
      </x:c>
      <x:c r="J96" t="inlineStr">
        <x:is>
          <x:t xml:space="preserve">expanded common OPD row</x:t>
        </x:is>
      </x:c>
      <x:c r="K96" t="inlineStr">
        <x:is>
          <x:t xml:space="preserve">2026-03-08</x:t>
        </x:is>
      </x:c>
    </x:row>
    <x:row r="97">
      <x:c r="A97" t="inlineStr">
        <x:is>
          <x:t xml:space="preserve">CI0096</x:t>
        </x:is>
      </x:c>
      <x:c r="B97" t="inlineStr">
        <x:is>
          <x:t xml:space="preserve">nasal wash</x:t>
        </x:is>
      </x:c>
      <x:c r="C97" t="inlineStr">
        <x:is>
          <x:t xml:space="preserve">nasal wash</x:t>
        </x:is>
      </x:c>
      <x:c r="D97" t="inlineStr">
        <x:is>
          <x:t xml:space="preserve">ENT</x:t>
        </x:is>
      </x:c>
      <x:c r="E97" t="inlineStr">
        <x:is>
          <x:t xml:space="preserve">nasal_irrigation_support_adult</x:t>
        </x:is>
      </x:c>
      <x:c r="F97" t="inlineStr">
        <x:is>
          <x:t xml:space="preserve">adult</x:t>
        </x:is>
      </x:c>
      <x:c r="G97" t="n">
        <x:v>2</x:v>
      </x:c>
      <x:c r="H97" t="inlineStr">
        <x:is>
          <x:t xml:space="preserve">alias</x:t>
        </x:is>
      </x:c>
      <x:c r="I97" t="inlineStr">
        <x:is>
          <x:t xml:space="preserve">Y</x:t>
        </x:is>
      </x:c>
      <x:c r="J97" t="inlineStr">
        <x:is>
          <x:t xml:space="preserve">expanded common OPD row</x:t>
        </x:is>
      </x:c>
      <x:c r="K97" t="inlineStr">
        <x:is>
          <x:t xml:space="preserve">2026-03-08</x:t>
        </x:is>
      </x:c>
    </x:row>
    <x:row r="98">
      <x:c r="A98" t="inlineStr">
        <x:is>
          <x:t xml:space="preserve">CI0097</x:t>
        </x:is>
      </x:c>
      <x:c r="B98" t="inlineStr">
        <x:is>
          <x:t xml:space="preserve">nasal irrigation</x:t>
        </x:is>
      </x:c>
      <x:c r="C98" t="inlineStr">
        <x:is>
          <x:t xml:space="preserve">nasal irrigation</x:t>
        </x:is>
      </x:c>
      <x:c r="D98" t="inlineStr">
        <x:is>
          <x:t xml:space="preserve">ENT</x:t>
        </x:is>
      </x:c>
      <x:c r="E98" t="inlineStr">
        <x:is>
          <x:t xml:space="preserve">nasal_irrigation_support_adult</x:t>
        </x:is>
      </x:c>
      <x:c r="F98" t="inlineStr">
        <x:is>
          <x:t xml:space="preserve">adult</x:t>
        </x:is>
      </x:c>
      <x:c r="G98" t="n">
        <x:v>3</x:v>
      </x:c>
      <x:c r="H98" t="inlineStr">
        <x:is>
          <x:t xml:space="preserve">alias</x:t>
        </x:is>
      </x:c>
      <x:c r="I98" t="inlineStr">
        <x:is>
          <x:t xml:space="preserve">Y</x:t>
        </x:is>
      </x:c>
      <x:c r="J98" t="inlineStr">
        <x:is>
          <x:t xml:space="preserve">expanded common OPD row</x:t>
        </x:is>
      </x:c>
      <x:c r="K98" t="inlineStr">
        <x:is>
          <x:t xml:space="preserve">2026-03-08</x:t>
        </x:is>
      </x:c>
    </x:row>
    <x:row r="99">
      <x:c r="A99" t="inlineStr">
        <x:is>
          <x:t xml:space="preserve">CI0098</x:t>
        </x:is>
      </x:c>
      <x:c r="B99" t="inlineStr">
        <x:is>
          <x:t xml:space="preserve">eye lubrication</x:t>
        </x:is>
      </x:c>
      <x:c r="C99" t="inlineStr">
        <x:is>
          <x:t xml:space="preserve">eye lubrication</x:t>
        </x:is>
      </x:c>
      <x:c r="D99" t="inlineStr">
        <x:is>
          <x:t xml:space="preserve">Eye</x:t>
        </x:is>
      </x:c>
      <x:c r="E99" t="inlineStr">
        <x:is>
          <x:t xml:space="preserve">eye_lubrication_adult</x:t>
        </x:is>
      </x:c>
      <x:c r="F99" t="inlineStr">
        <x:is>
          <x:t xml:space="preserve">adult</x:t>
        </x:is>
      </x:c>
      <x:c r="G99" t="n">
        <x:v>1</x:v>
      </x:c>
      <x:c r="H99" t="inlineStr">
        <x:is>
          <x:t xml:space="preserve">exact</x:t>
        </x:is>
      </x:c>
      <x:c r="I99" t="inlineStr">
        <x:is>
          <x:t xml:space="preserve">Y</x:t>
        </x:is>
      </x:c>
      <x:c r="J99" t="inlineStr">
        <x:is>
          <x:t xml:space="preserve">expanded common OPD row</x:t>
        </x:is>
      </x:c>
      <x:c r="K99" t="inlineStr">
        <x:is>
          <x:t xml:space="preserve">2026-03-08</x:t>
        </x:is>
      </x:c>
    </x:row>
    <x:row r="100">
      <x:c r="A100" t="inlineStr">
        <x:is>
          <x:t xml:space="preserve">CI0099</x:t>
        </x:is>
      </x:c>
      <x:c r="B100" t="inlineStr">
        <x:is>
          <x:t xml:space="preserve">lubricant drops</x:t>
        </x:is>
      </x:c>
      <x:c r="C100" t="inlineStr">
        <x:is>
          <x:t xml:space="preserve">lubricant drops</x:t>
        </x:is>
      </x:c>
      <x:c r="D100" t="inlineStr">
        <x:is>
          <x:t xml:space="preserve">Eye</x:t>
        </x:is>
      </x:c>
      <x:c r="E100" t="inlineStr">
        <x:is>
          <x:t xml:space="preserve">eye_lubrication_adult</x:t>
        </x:is>
      </x:c>
      <x:c r="F100" t="inlineStr">
        <x:is>
          <x:t xml:space="preserve">adult</x:t>
        </x:is>
      </x:c>
      <x:c r="G100" t="n">
        <x:v>2</x:v>
      </x:c>
      <x:c r="H100" t="inlineStr">
        <x:is>
          <x:t xml:space="preserve">alias</x:t>
        </x:is>
      </x:c>
      <x:c r="I100" t="inlineStr">
        <x:is>
          <x:t xml:space="preserve">Y</x:t>
        </x:is>
      </x:c>
      <x:c r="J100" t="inlineStr">
        <x:is>
          <x:t xml:space="preserve">expanded common OPD row</x:t>
        </x:is>
      </x:c>
      <x:c r="K100" t="inlineStr">
        <x:is>
          <x:t xml:space="preserve">2026-03-08</x:t>
        </x:is>
      </x:c>
    </x:row>
    <x:row r="101">
      <x:c r="A101" t="inlineStr">
        <x:is>
          <x:t xml:space="preserve">CI0100</x:t>
        </x:is>
      </x:c>
      <x:c r="B101" t="inlineStr">
        <x:is>
          <x:t xml:space="preserve">artificial tears</x:t>
        </x:is>
      </x:c>
      <x:c r="C101" t="inlineStr">
        <x:is>
          <x:t xml:space="preserve">artificial tears</x:t>
        </x:is>
      </x:c>
      <x:c r="D101" t="inlineStr">
        <x:is>
          <x:t xml:space="preserve">Eye</x:t>
        </x:is>
      </x:c>
      <x:c r="E101" t="inlineStr">
        <x:is>
          <x:t xml:space="preserve">eye_lubrication_adult</x:t>
        </x:is>
      </x:c>
      <x:c r="F101" t="inlineStr">
        <x:is>
          <x:t xml:space="preserve">adult</x:t>
        </x:is>
      </x:c>
      <x:c r="G101" t="n">
        <x:v>3</x:v>
      </x:c>
      <x:c r="H101" t="inlineStr">
        <x:is>
          <x:t xml:space="preserve">alias</x:t>
        </x:is>
      </x:c>
      <x:c r="I101" t="inlineStr">
        <x:is>
          <x:t xml:space="preserve">Y</x:t>
        </x:is>
      </x:c>
      <x:c r="J101" t="inlineStr">
        <x:is>
          <x:t xml:space="preserve">expanded common OPD row</x:t>
        </x:is>
      </x:c>
      <x:c r="K101" t="inlineStr">
        <x:is>
          <x:t xml:space="preserve">2026-03-08</x:t>
        </x:is>
      </x:c>
    </x:row>
    <x:row r="102">
      <x:c r="A102" t="inlineStr">
        <x:is>
          <x:t xml:space="preserve">CI0101</x:t>
        </x:is>
      </x:c>
      <x:c r="B102" t="inlineStr">
        <x:is>
          <x:t xml:space="preserve">topical joint pain</x:t>
        </x:is>
      </x:c>
      <x:c r="C102" t="inlineStr">
        <x:is>
          <x:t xml:space="preserve">topical joint pain</x:t>
        </x:is>
      </x:c>
      <x:c r="D102" t="inlineStr">
        <x:is>
          <x:t xml:space="preserve">Pain</x:t>
        </x:is>
      </x:c>
      <x:c r="E102" t="inlineStr">
        <x:is>
          <x:t xml:space="preserve">joint_pain_topical_support_adult</x:t>
        </x:is>
      </x:c>
      <x:c r="F102" t="inlineStr">
        <x:is>
          <x:t xml:space="preserve">adult</x:t>
        </x:is>
      </x:c>
      <x:c r="G102" t="n">
        <x:v>1</x:v>
      </x:c>
      <x:c r="H102" t="inlineStr">
        <x:is>
          <x:t xml:space="preserve">exact</x:t>
        </x:is>
      </x:c>
      <x:c r="I102" t="inlineStr">
        <x:is>
          <x:t xml:space="preserve">Y</x:t>
        </x:is>
      </x:c>
      <x:c r="J102" t="inlineStr">
        <x:is>
          <x:t xml:space="preserve">expanded common OPD row</x:t>
        </x:is>
      </x:c>
      <x:c r="K102" t="inlineStr">
        <x:is>
          <x:t xml:space="preserve">2026-03-08</x:t>
        </x:is>
      </x:c>
    </x:row>
    <x:row r="103">
      <x:c r="A103" t="inlineStr">
        <x:is>
          <x:t xml:space="preserve">CI0102</x:t>
        </x:is>
      </x:c>
      <x:c r="B103" t="inlineStr">
        <x:is>
          <x:t xml:space="preserve">joint pain spray</x:t>
        </x:is>
      </x:c>
      <x:c r="C103" t="inlineStr">
        <x:is>
          <x:t xml:space="preserve">joint pain spray</x:t>
        </x:is>
      </x:c>
      <x:c r="D103" t="inlineStr">
        <x:is>
          <x:t xml:space="preserve">Pain</x:t>
        </x:is>
      </x:c>
      <x:c r="E103" t="inlineStr">
        <x:is>
          <x:t xml:space="preserve">joint_pain_topical_support_adult</x:t>
        </x:is>
      </x:c>
      <x:c r="F103" t="inlineStr">
        <x:is>
          <x:t xml:space="preserve">adult</x:t>
        </x:is>
      </x:c>
      <x:c r="G103" t="n">
        <x:v>2</x:v>
      </x:c>
      <x:c r="H103" t="inlineStr">
        <x:is>
          <x:t xml:space="preserve">alias</x:t>
        </x:is>
      </x:c>
      <x:c r="I103" t="inlineStr">
        <x:is>
          <x:t xml:space="preserve">Y</x:t>
        </x:is>
      </x:c>
      <x:c r="J103" t="inlineStr">
        <x:is>
          <x:t xml:space="preserve">expanded common OPD row</x:t>
        </x:is>
      </x:c>
      <x:c r="K103" t="inlineStr">
        <x:is>
          <x:t xml:space="preserve">2026-03-08</x:t>
        </x:is>
      </x:c>
    </x:row>
    <x:row r="104">
      <x:c r="A104" t="inlineStr">
        <x:is>
          <x:t xml:space="preserve">CI0103</x:t>
        </x:is>
      </x:c>
      <x:c r="B104" t="inlineStr">
        <x:is>
          <x:t xml:space="preserve">local joint pain</x:t>
        </x:is>
      </x:c>
      <x:c r="C104" t="inlineStr">
        <x:is>
          <x:t xml:space="preserve">local joint pain</x:t>
        </x:is>
      </x:c>
      <x:c r="D104" t="inlineStr">
        <x:is>
          <x:t xml:space="preserve">Pain</x:t>
        </x:is>
      </x:c>
      <x:c r="E104" t="inlineStr">
        <x:is>
          <x:t xml:space="preserve">joint_pain_topical_support_adult</x:t>
        </x:is>
      </x:c>
      <x:c r="F104" t="inlineStr">
        <x:is>
          <x:t xml:space="preserve">adult</x:t>
        </x:is>
      </x:c>
      <x:c r="G104" t="n">
        <x:v>3</x:v>
      </x:c>
      <x:c r="H104" t="inlineStr">
        <x:is>
          <x:t xml:space="preserve">alias</x:t>
        </x:is>
      </x:c>
      <x:c r="I104" t="inlineStr">
        <x:is>
          <x:t xml:space="preserve">Y</x:t>
        </x:is>
      </x:c>
      <x:c r="J104" t="inlineStr">
        <x:is>
          <x:t xml:space="preserve">expanded common OPD row</x:t>
        </x:is>
      </x:c>
      <x:c r="K104" t="inlineStr">
        <x:is>
          <x:t xml:space="preserve">2026-03-08</x:t>
        </x:is>
      </x:c>
    </x:row>
    <x:row r="105">
      <x:c r="A105" t="inlineStr">
        <x:is>
          <x:t xml:space="preserve">CI0104</x:t>
        </x:is>
      </x:c>
      <x:c r="B105" t="inlineStr">
        <x:is>
          <x:t xml:space="preserve">belching</x:t>
        </x:is>
      </x:c>
      <x:c r="C105" t="inlineStr">
        <x:is>
          <x:t xml:space="preserve">belching</x:t>
        </x:is>
      </x:c>
      <x:c r="D105" t="inlineStr">
        <x:is>
          <x:t xml:space="preserve">GI</x:t>
        </x:is>
      </x:c>
      <x:c r="E105" t="inlineStr">
        <x:is>
          <x:t xml:space="preserve">gas_belching_adult</x:t>
        </x:is>
      </x:c>
      <x:c r="F105" t="inlineStr">
        <x:is>
          <x:t xml:space="preserve">adult</x:t>
        </x:is>
      </x:c>
      <x:c r="G105" t="n">
        <x:v>1</x:v>
      </x:c>
      <x:c r="H105" t="inlineStr">
        <x:is>
          <x:t xml:space="preserve">exact</x:t>
        </x:is>
      </x:c>
      <x:c r="I105" t="inlineStr">
        <x:is>
          <x:t xml:space="preserve">Y</x:t>
        </x:is>
      </x:c>
      <x:c r="J105" t="inlineStr">
        <x:is>
          <x:t xml:space="preserve">expanded common OPD row</x:t>
        </x:is>
      </x:c>
      <x:c r="K105" t="inlineStr">
        <x:is>
          <x:t xml:space="preserve">2026-03-08</x:t>
        </x:is>
      </x:c>
    </x:row>
    <x:row r="106">
      <x:c r="A106" t="inlineStr">
        <x:is>
          <x:t xml:space="preserve">CI0105</x:t>
        </x:is>
      </x:c>
      <x:c r="B106" t="inlineStr">
        <x:is>
          <x:t xml:space="preserve">gas belching</x:t>
        </x:is>
      </x:c>
      <x:c r="C106" t="inlineStr">
        <x:is>
          <x:t xml:space="preserve">gas belching</x:t>
        </x:is>
      </x:c>
      <x:c r="D106" t="inlineStr">
        <x:is>
          <x:t xml:space="preserve">GI</x:t>
        </x:is>
      </x:c>
      <x:c r="E106" t="inlineStr">
        <x:is>
          <x:t xml:space="preserve">gas_belching_adult</x:t>
        </x:is>
      </x:c>
      <x:c r="F106" t="inlineStr">
        <x:is>
          <x:t xml:space="preserve">adult</x:t>
        </x:is>
      </x:c>
      <x:c r="G106" t="n">
        <x:v>2</x:v>
      </x:c>
      <x:c r="H106" t="inlineStr">
        <x:is>
          <x:t xml:space="preserve">alias</x:t>
        </x:is>
      </x:c>
      <x:c r="I106" t="inlineStr">
        <x:is>
          <x:t xml:space="preserve">Y</x:t>
        </x:is>
      </x:c>
      <x:c r="J106" t="inlineStr">
        <x:is>
          <x:t xml:space="preserve">expanded common OPD row</x:t>
        </x:is>
      </x:c>
      <x:c r="K106" t="inlineStr">
        <x:is>
          <x:t xml:space="preserve">2026-03-08</x:t>
        </x:is>
      </x:c>
    </x:row>
    <x:row r="107">
      <x:c r="A107" t="inlineStr">
        <x:is>
          <x:t xml:space="preserve">CI0106</x:t>
        </x:is>
      </x:c>
      <x:c r="B107" t="inlineStr">
        <x:is>
          <x:t xml:space="preserve">dyspeptic gas</x:t>
        </x:is>
      </x:c>
      <x:c r="C107" t="inlineStr">
        <x:is>
          <x:t xml:space="preserve">dyspeptic gas</x:t>
        </x:is>
      </x:c>
      <x:c r="D107" t="inlineStr">
        <x:is>
          <x:t xml:space="preserve">GI</x:t>
        </x:is>
      </x:c>
      <x:c r="E107" t="inlineStr">
        <x:is>
          <x:t xml:space="preserve">gas_belching_adult</x:t>
        </x:is>
      </x:c>
      <x:c r="F107" t="inlineStr">
        <x:is>
          <x:t xml:space="preserve">adult</x:t>
        </x:is>
      </x:c>
      <x:c r="G107" t="n">
        <x:v>3</x:v>
      </x:c>
      <x:c r="H107" t="inlineStr">
        <x:is>
          <x:t xml:space="preserve">alias</x:t>
        </x:is>
      </x:c>
      <x:c r="I107" t="inlineStr">
        <x:is>
          <x:t xml:space="preserve">Y</x:t>
        </x:is>
      </x:c>
      <x:c r="J107" t="inlineStr">
        <x:is>
          <x:t xml:space="preserve">expanded common OPD row</x:t>
        </x:is>
      </x:c>
      <x:c r="K107" t="inlineStr">
        <x:is>
          <x:t xml:space="preserve">2026-03-08</x:t>
        </x:is>
      </x:c>
    </x:row>
    <x:row r="108">
      <x:c r="A108" t="inlineStr">
        <x:is>
          <x:t xml:space="preserve">CI0107</x:t>
        </x:is>
      </x:c>
      <x:c r="B108" t="inlineStr">
        <x:is>
          <x:t xml:space="preserve">burn aftercare</x:t>
        </x:is>
      </x:c>
      <x:c r="C108" t="inlineStr">
        <x:is>
          <x:t xml:space="preserve">burn aftercare</x:t>
        </x:is>
      </x:c>
      <x:c r="D108" t="inlineStr">
        <x:is>
          <x:t xml:space="preserve">Skin</x:t>
        </x:is>
      </x:c>
      <x:c r="E108" t="inlineStr">
        <x:is>
          <x:t xml:space="preserve">burn_aftercare_minor_adult</x:t>
        </x:is>
      </x:c>
      <x:c r="F108" t="inlineStr">
        <x:is>
          <x:t xml:space="preserve">adult</x:t>
        </x:is>
      </x:c>
      <x:c r="G108" t="n">
        <x:v>1</x:v>
      </x:c>
      <x:c r="H108" t="inlineStr">
        <x:is>
          <x:t xml:space="preserve">exact</x:t>
        </x:is>
      </x:c>
      <x:c r="I108" t="inlineStr">
        <x:is>
          <x:t xml:space="preserve">Y</x:t>
        </x:is>
      </x:c>
      <x:c r="J108" t="inlineStr">
        <x:is>
          <x:t xml:space="preserve">expanded common OPD row</x:t>
        </x:is>
      </x:c>
      <x:c r="K108" t="inlineStr">
        <x:is>
          <x:t xml:space="preserve">2026-03-08</x:t>
        </x:is>
      </x:c>
    </x:row>
    <x:row r="109">
      <x:c r="A109" t="inlineStr">
        <x:is>
          <x:t xml:space="preserve">CI0108</x:t>
        </x:is>
      </x:c>
      <x:c r="B109" t="inlineStr">
        <x:is>
          <x:t xml:space="preserve">burn follow up</x:t>
        </x:is>
      </x:c>
      <x:c r="C109" t="inlineStr">
        <x:is>
          <x:t xml:space="preserve">burn follow up</x:t>
        </x:is>
      </x:c>
      <x:c r="D109" t="inlineStr">
        <x:is>
          <x:t xml:space="preserve">Skin</x:t>
        </x:is>
      </x:c>
      <x:c r="E109" t="inlineStr">
        <x:is>
          <x:t xml:space="preserve">burn_aftercare_minor_adult</x:t>
        </x:is>
      </x:c>
      <x:c r="F109" t="inlineStr">
        <x:is>
          <x:t xml:space="preserve">adult</x:t>
        </x:is>
      </x:c>
      <x:c r="G109" t="n">
        <x:v>2</x:v>
      </x:c>
      <x:c r="H109" t="inlineStr">
        <x:is>
          <x:t xml:space="preserve">alias</x:t>
        </x:is>
      </x:c>
      <x:c r="I109" t="inlineStr">
        <x:is>
          <x:t xml:space="preserve">Y</x:t>
        </x:is>
      </x:c>
      <x:c r="J109" t="inlineStr">
        <x:is>
          <x:t xml:space="preserve">expanded common OPD row</x:t>
        </x:is>
      </x:c>
      <x:c r="K109" t="inlineStr">
        <x:is>
          <x:t xml:space="preserve">2026-03-08</x:t>
        </x:is>
      </x:c>
    </x:row>
    <x:row r="110">
      <x:c r="A110" t="inlineStr">
        <x:is>
          <x:t xml:space="preserve">CI0109</x:t>
        </x:is>
      </x:c>
      <x:c r="B110" t="inlineStr">
        <x:is>
          <x:t xml:space="preserve">healing burn</x:t>
        </x:is>
      </x:c>
      <x:c r="C110" t="inlineStr">
        <x:is>
          <x:t xml:space="preserve">healing burn</x:t>
        </x:is>
      </x:c>
      <x:c r="D110" t="inlineStr">
        <x:is>
          <x:t xml:space="preserve">Skin</x:t>
        </x:is>
      </x:c>
      <x:c r="E110" t="inlineStr">
        <x:is>
          <x:t xml:space="preserve">burn_aftercare_minor_adult</x:t>
        </x:is>
      </x:c>
      <x:c r="F110" t="inlineStr">
        <x:is>
          <x:t xml:space="preserve">adult</x:t>
        </x:is>
      </x:c>
      <x:c r="G110" t="n">
        <x:v>3</x:v>
      </x:c>
      <x:c r="H110" t="inlineStr">
        <x:is>
          <x:t xml:space="preserve">alias</x:t>
        </x:is>
      </x:c>
      <x:c r="I110" t="inlineStr">
        <x:is>
          <x:t xml:space="preserve">Y</x:t>
        </x:is>
      </x:c>
      <x:c r="J110" t="inlineStr">
        <x:is>
          <x:t xml:space="preserve">expanded common OPD row</x:t>
        </x:is>
      </x:c>
      <x:c r="K110" t="inlineStr">
        <x:is>
          <x:t xml:space="preserve">2026-03-08</x:t>
        </x:is>
      </x:c>
    </x:row>
    <x:row r="111">
      <x:c r="A111" t="inlineStr">
        <x:is>
          <x:t xml:space="preserve">CI0110</x:t>
        </x:is>
      </x:c>
      <x:c r="B111" t="inlineStr">
        <x:is>
          <x:t xml:space="preserve">localized itchy rash</x:t>
        </x:is>
      </x:c>
      <x:c r="C111" t="inlineStr">
        <x:is>
          <x:t xml:space="preserve">localized itchy rash</x:t>
        </x:is>
      </x:c>
      <x:c r="D111" t="inlineStr">
        <x:is>
          <x:t xml:space="preserve">Skin</x:t>
        </x:is>
      </x:c>
      <x:c r="E111" t="inlineStr">
        <x:is>
          <x:t xml:space="preserve">itchy_localized_rash_adult</x:t>
        </x:is>
      </x:c>
      <x:c r="F111" t="inlineStr">
        <x:is>
          <x:t xml:space="preserve">adult</x:t>
        </x:is>
      </x:c>
      <x:c r="G111" t="n">
        <x:v>1</x:v>
      </x:c>
      <x:c r="H111" t="inlineStr">
        <x:is>
          <x:t xml:space="preserve">exact</x:t>
        </x:is>
      </x:c>
      <x:c r="I111" t="inlineStr">
        <x:is>
          <x:t xml:space="preserve">Y</x:t>
        </x:is>
      </x:c>
      <x:c r="J111" t="inlineStr">
        <x:is>
          <x:t xml:space="preserve">expanded common OPD row</x:t>
        </x:is>
      </x:c>
      <x:c r="K111" t="inlineStr">
        <x:is>
          <x:t xml:space="preserve">2026-03-08</x:t>
        </x:is>
      </x:c>
    </x:row>
    <x:row r="112">
      <x:c r="A112" t="inlineStr">
        <x:is>
          <x:t xml:space="preserve">CI0111</x:t>
        </x:is>
      </x:c>
      <x:c r="B112" t="inlineStr">
        <x:is>
          <x:t xml:space="preserve">itchy patch</x:t>
        </x:is>
      </x:c>
      <x:c r="C112" t="inlineStr">
        <x:is>
          <x:t xml:space="preserve">itchy patch</x:t>
        </x:is>
      </x:c>
      <x:c r="D112" t="inlineStr">
        <x:is>
          <x:t xml:space="preserve">Skin</x:t>
        </x:is>
      </x:c>
      <x:c r="E112" t="inlineStr">
        <x:is>
          <x:t xml:space="preserve">itchy_localized_rash_adult</x:t>
        </x:is>
      </x:c>
      <x:c r="F112" t="inlineStr">
        <x:is>
          <x:t xml:space="preserve">adult</x:t>
        </x:is>
      </x:c>
      <x:c r="G112" t="n">
        <x:v>2</x:v>
      </x:c>
      <x:c r="H112" t="inlineStr">
        <x:is>
          <x:t xml:space="preserve">alias</x:t>
        </x:is>
      </x:c>
      <x:c r="I112" t="inlineStr">
        <x:is>
          <x:t xml:space="preserve">Y</x:t>
        </x:is>
      </x:c>
      <x:c r="J112" t="inlineStr">
        <x:is>
          <x:t xml:space="preserve">expanded common OPD row</x:t>
        </x:is>
      </x:c>
      <x:c r="K112" t="inlineStr">
        <x:is>
          <x:t xml:space="preserve">2026-03-08</x:t>
        </x:is>
      </x:c>
    </x:row>
    <x:row r="113">
      <x:c r="A113" t="inlineStr">
        <x:is>
          <x:t xml:space="preserve">CI0112</x:t>
        </x:is>
      </x:c>
      <x:c r="B113" t="inlineStr">
        <x:is>
          <x:t xml:space="preserve">itchy skin patch</x:t>
        </x:is>
      </x:c>
      <x:c r="C113" t="inlineStr">
        <x:is>
          <x:t xml:space="preserve">itchy skin patch</x:t>
        </x:is>
      </x:c>
      <x:c r="D113" t="inlineStr">
        <x:is>
          <x:t xml:space="preserve">Skin</x:t>
        </x:is>
      </x:c>
      <x:c r="E113" t="inlineStr">
        <x:is>
          <x:t xml:space="preserve">itchy_localized_rash_adult</x:t>
        </x:is>
      </x:c>
      <x:c r="F113" t="inlineStr">
        <x:is>
          <x:t xml:space="preserve">adult</x:t>
        </x:is>
      </x:c>
      <x:c r="G113" t="n">
        <x:v>3</x:v>
      </x:c>
      <x:c r="H113" t="inlineStr">
        <x:is>
          <x:t xml:space="preserve">alias</x:t>
        </x:is>
      </x:c>
      <x:c r="I113" t="inlineStr">
        <x:is>
          <x:t xml:space="preserve">Y</x:t>
        </x:is>
      </x:c>
      <x:c r="J113" t="inlineStr">
        <x:is>
          <x:t xml:space="preserve">expanded common OPD row</x:t>
        </x:is>
      </x:c>
      <x:c r="K113" t="inlineStr">
        <x:is>
          <x:t xml:space="preserve">2026-03-08</x:t>
        </x:is>
      </x:c>
    </x:row>
    <x:row r="114">
      <x:c r="A114" t="inlineStr">
        <x:is>
          <x:t xml:space="preserve">CI0113</x:t>
        </x:is>
      </x:c>
      <x:c r="B114" t="inlineStr">
        <x:is>
          <x:t xml:space="preserve">allergic rhinitis with congestion</x:t>
        </x:is>
      </x:c>
      <x:c r="C114" t="inlineStr">
        <x:is>
          <x:t xml:space="preserve">allergic rhinitis with congestion</x:t>
        </x:is>
      </x:c>
      <x:c r="D114" t="inlineStr">
        <x:is>
          <x:t xml:space="preserve">ENT</x:t>
        </x:is>
      </x:c>
      <x:c r="E114" t="inlineStr">
        <x:is>
          <x:t xml:space="preserve">allergic_rhinitis_congestion_adult</x:t>
        </x:is>
      </x:c>
      <x:c r="F114" t="inlineStr">
        <x:is>
          <x:t xml:space="preserve">adult</x:t>
        </x:is>
      </x:c>
      <x:c r="G114" t="n">
        <x:v>1</x:v>
      </x:c>
      <x:c r="H114" t="inlineStr">
        <x:is>
          <x:t xml:space="preserve">exact</x:t>
        </x:is>
      </x:c>
      <x:c r="I114" t="inlineStr">
        <x:is>
          <x:t xml:space="preserve">Y</x:t>
        </x:is>
      </x:c>
      <x:c r="J114" t="inlineStr">
        <x:is>
          <x:t xml:space="preserve">v3 added</x:t>
        </x:is>
      </x:c>
      <x:c r="K114" t="inlineStr">
        <x:is>
          <x:t xml:space="preserve">2026-03-08</x:t>
        </x:is>
      </x:c>
    </x:row>
    <x:row r="115">
      <x:c r="A115" t="inlineStr">
        <x:is>
          <x:t xml:space="preserve">CI0114</x:t>
        </x:is>
      </x:c>
      <x:c r="B115" t="inlineStr">
        <x:is>
          <x:t xml:space="preserve">blocked nose allergy</x:t>
        </x:is>
      </x:c>
      <x:c r="C115" t="inlineStr">
        <x:is>
          <x:t xml:space="preserve">blocked nose allergy</x:t>
        </x:is>
      </x:c>
      <x:c r="D115" t="inlineStr">
        <x:is>
          <x:t xml:space="preserve">ENT</x:t>
        </x:is>
      </x:c>
      <x:c r="E115" t="inlineStr">
        <x:is>
          <x:t xml:space="preserve">allergic_rhinitis_congestion_adult</x:t>
        </x:is>
      </x:c>
      <x:c r="F115" t="inlineStr">
        <x:is>
          <x:t xml:space="preserve">adult</x:t>
        </x:is>
      </x:c>
      <x:c r="G115" t="n">
        <x:v>2</x:v>
      </x:c>
      <x:c r="H115" t="inlineStr">
        <x:is>
          <x:t xml:space="preserve">alias</x:t>
        </x:is>
      </x:c>
      <x:c r="I115" t="inlineStr">
        <x:is>
          <x:t xml:space="preserve">Y</x:t>
        </x:is>
      </x:c>
      <x:c r="J115" t="inlineStr">
        <x:is>
          <x:t xml:space="preserve">v3 added</x:t>
        </x:is>
      </x:c>
      <x:c r="K115" t="inlineStr">
        <x:is>
          <x:t xml:space="preserve">2026-03-08</x:t>
        </x:is>
      </x:c>
    </x:row>
    <x:row r="116">
      <x:c r="A116" t="inlineStr">
        <x:is>
          <x:t xml:space="preserve">CI0115</x:t>
        </x:is>
      </x:c>
      <x:c r="B116" t="inlineStr">
        <x:is>
          <x:t xml:space="preserve">allergy nose blocked</x:t>
        </x:is>
      </x:c>
      <x:c r="C116" t="inlineStr">
        <x:is>
          <x:t xml:space="preserve">allergy nose blocked</x:t>
        </x:is>
      </x:c>
      <x:c r="D116" t="inlineStr">
        <x:is>
          <x:t xml:space="preserve">ENT</x:t>
        </x:is>
      </x:c>
      <x:c r="E116" t="inlineStr">
        <x:is>
          <x:t xml:space="preserve">allergic_rhinitis_congestion_adult</x:t>
        </x:is>
      </x:c>
      <x:c r="F116" t="inlineStr">
        <x:is>
          <x:t xml:space="preserve">adult</x:t>
        </x:is>
      </x:c>
      <x:c r="G116" t="n">
        <x:v>3</x:v>
      </x:c>
      <x:c r="H116" t="inlineStr">
        <x:is>
          <x:t xml:space="preserve">alias</x:t>
        </x:is>
      </x:c>
      <x:c r="I116" t="inlineStr">
        <x:is>
          <x:t xml:space="preserve">Y</x:t>
        </x:is>
      </x:c>
      <x:c r="J116" t="inlineStr">
        <x:is>
          <x:t xml:space="preserve">v3 added</x:t>
        </x:is>
      </x:c>
      <x:c r="K116" t="inlineStr">
        <x:is>
          <x:t xml:space="preserve">2026-03-08</x:t>
        </x:is>
      </x:c>
    </x:row>
    <x:row r="117">
      <x:c r="A117" t="inlineStr">
        <x:is>
          <x:t xml:space="preserve">CI0116</x:t>
        </x:is>
      </x:c>
      <x:c r="B117" t="inlineStr">
        <x:is>
          <x:t xml:space="preserve">runny nose and sneezing</x:t>
        </x:is>
      </x:c>
      <x:c r="C117" t="inlineStr">
        <x:is>
          <x:t xml:space="preserve">runny nose and sneezing</x:t>
        </x:is>
      </x:c>
      <x:c r="D117" t="inlineStr">
        <x:is>
          <x:t xml:space="preserve">ENT</x:t>
        </x:is>
      </x:c>
      <x:c r="E117" t="inlineStr">
        <x:is>
          <x:t xml:space="preserve">uri_sneezing_runny_nose_adult</x:t>
        </x:is>
      </x:c>
      <x:c r="F117" t="inlineStr">
        <x:is>
          <x:t xml:space="preserve">adult</x:t>
        </x:is>
      </x:c>
      <x:c r="G117" t="n">
        <x:v>1</x:v>
      </x:c>
      <x:c r="H117" t="inlineStr">
        <x:is>
          <x:t xml:space="preserve">exact</x:t>
        </x:is>
      </x:c>
      <x:c r="I117" t="inlineStr">
        <x:is>
          <x:t xml:space="preserve">Y</x:t>
        </x:is>
      </x:c>
      <x:c r="J117" t="inlineStr">
        <x:is>
          <x:t xml:space="preserve">v3 added</x:t>
        </x:is>
      </x:c>
      <x:c r="K117" t="inlineStr">
        <x:is>
          <x:t xml:space="preserve">2026-03-08</x:t>
        </x:is>
      </x:c>
    </x:row>
    <x:row r="118">
      <x:c r="A118" t="inlineStr">
        <x:is>
          <x:t xml:space="preserve">CI0117</x:t>
        </x:is>
      </x:c>
      <x:c r="B118" t="inlineStr">
        <x:is>
          <x:t xml:space="preserve">uri sneezing runny nose</x:t>
        </x:is>
      </x:c>
      <x:c r="C118" t="inlineStr">
        <x:is>
          <x:t xml:space="preserve">uri sneezing runny nose</x:t>
        </x:is>
      </x:c>
      <x:c r="D118" t="inlineStr">
        <x:is>
          <x:t xml:space="preserve">ENT</x:t>
        </x:is>
      </x:c>
      <x:c r="E118" t="inlineStr">
        <x:is>
          <x:t xml:space="preserve">uri_sneezing_runny_nose_adult</x:t>
        </x:is>
      </x:c>
      <x:c r="F118" t="inlineStr">
        <x:is>
          <x:t xml:space="preserve">adult</x:t>
        </x:is>
      </x:c>
      <x:c r="G118" t="n">
        <x:v>2</x:v>
      </x:c>
      <x:c r="H118" t="inlineStr">
        <x:is>
          <x:t xml:space="preserve">alias</x:t>
        </x:is>
      </x:c>
      <x:c r="I118" t="inlineStr">
        <x:is>
          <x:t xml:space="preserve">Y</x:t>
        </x:is>
      </x:c>
      <x:c r="J118" t="inlineStr">
        <x:is>
          <x:t xml:space="preserve">v3 added</x:t>
        </x:is>
      </x:c>
      <x:c r="K118" t="inlineStr">
        <x:is>
          <x:t xml:space="preserve">2026-03-08</x:t>
        </x:is>
      </x:c>
    </x:row>
    <x:row r="119">
      <x:c r="A119" t="inlineStr">
        <x:is>
          <x:t xml:space="preserve">CI0118</x:t>
        </x:is>
      </x:c>
      <x:c r="B119" t="inlineStr">
        <x:is>
          <x:t xml:space="preserve">common cold runny nose</x:t>
        </x:is>
      </x:c>
      <x:c r="C119" t="inlineStr">
        <x:is>
          <x:t xml:space="preserve">common cold runny nose</x:t>
        </x:is>
      </x:c>
      <x:c r="D119" t="inlineStr">
        <x:is>
          <x:t xml:space="preserve">ENT</x:t>
        </x:is>
      </x:c>
      <x:c r="E119" t="inlineStr">
        <x:is>
          <x:t xml:space="preserve">uri_sneezing_runny_nose_adult</x:t>
        </x:is>
      </x:c>
      <x:c r="F119" t="inlineStr">
        <x:is>
          <x:t xml:space="preserve">adult</x:t>
        </x:is>
      </x:c>
      <x:c r="G119" t="n">
        <x:v>3</x:v>
      </x:c>
      <x:c r="H119" t="inlineStr">
        <x:is>
          <x:t xml:space="preserve">alias</x:t>
        </x:is>
      </x:c>
      <x:c r="I119" t="inlineStr">
        <x:is>
          <x:t xml:space="preserve">Y</x:t>
        </x:is>
      </x:c>
      <x:c r="J119" t="inlineStr">
        <x:is>
          <x:t xml:space="preserve">v3 added</x:t>
        </x:is>
      </x:c>
      <x:c r="K119" t="inlineStr">
        <x:is>
          <x:t xml:space="preserve">2026-03-08</x:t>
        </x:is>
      </x:c>
    </x:row>
    <x:row r="120">
      <x:c r="A120" t="inlineStr">
        <x:is>
          <x:t xml:space="preserve">CI0119</x:t>
        </x:is>
      </x:c>
      <x:c r="B120" t="inlineStr">
        <x:is>
          <x:t xml:space="preserve">viral pharyngitis</x:t>
        </x:is>
      </x:c>
      <x:c r="C120" t="inlineStr">
        <x:is>
          <x:t xml:space="preserve">viral pharyngitis</x:t>
        </x:is>
      </x:c>
      <x:c r="D120" t="inlineStr">
        <x:is>
          <x:t xml:space="preserve">ENT</x:t>
        </x:is>
      </x:c>
      <x:c r="E120" t="inlineStr">
        <x:is>
          <x:t xml:space="preserve">acute_pharyngitis_viral_adult</x:t>
        </x:is>
      </x:c>
      <x:c r="F120" t="inlineStr">
        <x:is>
          <x:t xml:space="preserve">adult</x:t>
        </x:is>
      </x:c>
      <x:c r="G120" t="n">
        <x:v>1</x:v>
      </x:c>
      <x:c r="H120" t="inlineStr">
        <x:is>
          <x:t xml:space="preserve">exact</x:t>
        </x:is>
      </x:c>
      <x:c r="I120" t="inlineStr">
        <x:is>
          <x:t xml:space="preserve">Y</x:t>
        </x:is>
      </x:c>
      <x:c r="J120" t="inlineStr">
        <x:is>
          <x:t xml:space="preserve">v3 added</x:t>
        </x:is>
      </x:c>
      <x:c r="K120" t="inlineStr">
        <x:is>
          <x:t xml:space="preserve">2026-03-08</x:t>
        </x:is>
      </x:c>
    </x:row>
    <x:row r="121">
      <x:c r="A121" t="inlineStr">
        <x:is>
          <x:t xml:space="preserve">CI0120</x:t>
        </x:is>
      </x:c>
      <x:c r="B121" t="inlineStr">
        <x:is>
          <x:t xml:space="preserve">viral sore throat</x:t>
        </x:is>
      </x:c>
      <x:c r="C121" t="inlineStr">
        <x:is>
          <x:t xml:space="preserve">viral sore throat</x:t>
        </x:is>
      </x:c>
      <x:c r="D121" t="inlineStr">
        <x:is>
          <x:t xml:space="preserve">ENT</x:t>
        </x:is>
      </x:c>
      <x:c r="E121" t="inlineStr">
        <x:is>
          <x:t xml:space="preserve">acute_pharyngitis_viral_adult</x:t>
        </x:is>
      </x:c>
      <x:c r="F121" t="inlineStr">
        <x:is>
          <x:t xml:space="preserve">adult</x:t>
        </x:is>
      </x:c>
      <x:c r="G121" t="n">
        <x:v>2</x:v>
      </x:c>
      <x:c r="H121" t="inlineStr">
        <x:is>
          <x:t xml:space="preserve">alias</x:t>
        </x:is>
      </x:c>
      <x:c r="I121" t="inlineStr">
        <x:is>
          <x:t xml:space="preserve">Y</x:t>
        </x:is>
      </x:c>
      <x:c r="J121" t="inlineStr">
        <x:is>
          <x:t xml:space="preserve">v3 added</x:t>
        </x:is>
      </x:c>
      <x:c r="K121" t="inlineStr">
        <x:is>
          <x:t xml:space="preserve">2026-03-08</x:t>
        </x:is>
      </x:c>
    </x:row>
    <x:row r="122">
      <x:c r="A122" t="inlineStr">
        <x:is>
          <x:t xml:space="preserve">CI0121</x:t>
        </x:is>
      </x:c>
      <x:c r="B122" t="inlineStr">
        <x:is>
          <x:t xml:space="preserve">throat irritation</x:t>
        </x:is>
      </x:c>
      <x:c r="C122" t="inlineStr">
        <x:is>
          <x:t xml:space="preserve">throat irritation</x:t>
        </x:is>
      </x:c>
      <x:c r="D122" t="inlineStr">
        <x:is>
          <x:t xml:space="preserve">ENT</x:t>
        </x:is>
      </x:c>
      <x:c r="E122" t="inlineStr">
        <x:is>
          <x:t xml:space="preserve">acute_pharyngitis_viral_adult</x:t>
        </x:is>
      </x:c>
      <x:c r="F122" t="inlineStr">
        <x:is>
          <x:t xml:space="preserve">adult</x:t>
        </x:is>
      </x:c>
      <x:c r="G122" t="n">
        <x:v>3</x:v>
      </x:c>
      <x:c r="H122" t="inlineStr">
        <x:is>
          <x:t xml:space="preserve">alias</x:t>
        </x:is>
      </x:c>
      <x:c r="I122" t="inlineStr">
        <x:is>
          <x:t xml:space="preserve">Y</x:t>
        </x:is>
      </x:c>
      <x:c r="J122" t="inlineStr">
        <x:is>
          <x:t xml:space="preserve">v3 added</x:t>
        </x:is>
      </x:c>
      <x:c r="K122" t="inlineStr">
        <x:is>
          <x:t xml:space="preserve">2026-03-08</x:t>
        </x:is>
      </x:c>
    </x:row>
    <x:row r="123">
      <x:c r="A123" t="inlineStr">
        <x:is>
          <x:t xml:space="preserve">CI0122</x:t>
        </x:is>
      </x:c>
      <x:c r="B123" t="inlineStr">
        <x:is>
          <x:t xml:space="preserve">postnasal drip cough</x:t>
        </x:is>
      </x:c>
      <x:c r="C123" t="inlineStr">
        <x:is>
          <x:t xml:space="preserve">postnasal drip cough</x:t>
        </x:is>
      </x:c>
      <x:c r="D123" t="inlineStr">
        <x:is>
          <x:t xml:space="preserve">ENT</x:t>
        </x:is>
      </x:c>
      <x:c r="E123" t="inlineStr">
        <x:is>
          <x:t xml:space="preserve">postnasal_drip_cough_adult</x:t>
        </x:is>
      </x:c>
      <x:c r="F123" t="inlineStr">
        <x:is>
          <x:t xml:space="preserve">adult</x:t>
        </x:is>
      </x:c>
      <x:c r="G123" t="n">
        <x:v>1</x:v>
      </x:c>
      <x:c r="H123" t="inlineStr">
        <x:is>
          <x:t xml:space="preserve">exact</x:t>
        </x:is>
      </x:c>
      <x:c r="I123" t="inlineStr">
        <x:is>
          <x:t xml:space="preserve">Y</x:t>
        </x:is>
      </x:c>
      <x:c r="J123" t="inlineStr">
        <x:is>
          <x:t xml:space="preserve">v3 added</x:t>
        </x:is>
      </x:c>
      <x:c r="K123" t="inlineStr">
        <x:is>
          <x:t xml:space="preserve">2026-03-08</x:t>
        </x:is>
      </x:c>
    </x:row>
    <x:row r="124">
      <x:c r="A124" t="inlineStr">
        <x:is>
          <x:t xml:space="preserve">CI0123</x:t>
        </x:is>
      </x:c>
      <x:c r="B124" t="inlineStr">
        <x:is>
          <x:t xml:space="preserve">throat clearing cough</x:t>
        </x:is>
      </x:c>
      <x:c r="C124" t="inlineStr">
        <x:is>
          <x:t xml:space="preserve">throat clearing cough</x:t>
        </x:is>
      </x:c>
      <x:c r="D124" t="inlineStr">
        <x:is>
          <x:t xml:space="preserve">ENT</x:t>
        </x:is>
      </x:c>
      <x:c r="E124" t="inlineStr">
        <x:is>
          <x:t xml:space="preserve">postnasal_drip_cough_adult</x:t>
        </x:is>
      </x:c>
      <x:c r="F124" t="inlineStr">
        <x:is>
          <x:t xml:space="preserve">adult</x:t>
        </x:is>
      </x:c>
      <x:c r="G124" t="n">
        <x:v>2</x:v>
      </x:c>
      <x:c r="H124" t="inlineStr">
        <x:is>
          <x:t xml:space="preserve">alias</x:t>
        </x:is>
      </x:c>
      <x:c r="I124" t="inlineStr">
        <x:is>
          <x:t xml:space="preserve">Y</x:t>
        </x:is>
      </x:c>
      <x:c r="J124" t="inlineStr">
        <x:is>
          <x:t xml:space="preserve">v3 added</x:t>
        </x:is>
      </x:c>
      <x:c r="K124" t="inlineStr">
        <x:is>
          <x:t xml:space="preserve">2026-03-08</x:t>
        </x:is>
      </x:c>
    </x:row>
    <x:row r="125">
      <x:c r="A125" t="inlineStr">
        <x:is>
          <x:t xml:space="preserve">CI0124</x:t>
        </x:is>
      </x:c>
      <x:c r="B125" t="inlineStr">
        <x:is>
          <x:t xml:space="preserve">cough from post nasal drip</x:t>
        </x:is>
      </x:c>
      <x:c r="C125" t="inlineStr">
        <x:is>
          <x:t xml:space="preserve">cough from post nasal drip</x:t>
        </x:is>
      </x:c>
      <x:c r="D125" t="inlineStr">
        <x:is>
          <x:t xml:space="preserve">ENT</x:t>
        </x:is>
      </x:c>
      <x:c r="E125" t="inlineStr">
        <x:is>
          <x:t xml:space="preserve">postnasal_drip_cough_adult</x:t>
        </x:is>
      </x:c>
      <x:c r="F125" t="inlineStr">
        <x:is>
          <x:t xml:space="preserve">adult</x:t>
        </x:is>
      </x:c>
      <x:c r="G125" t="n">
        <x:v>3</x:v>
      </x:c>
      <x:c r="H125" t="inlineStr">
        <x:is>
          <x:t xml:space="preserve">alias</x:t>
        </x:is>
      </x:c>
      <x:c r="I125" t="inlineStr">
        <x:is>
          <x:t xml:space="preserve">Y</x:t>
        </x:is>
      </x:c>
      <x:c r="J125" t="inlineStr">
        <x:is>
          <x:t xml:space="preserve">v3 added</x:t>
        </x:is>
      </x:c>
      <x:c r="K125" t="inlineStr">
        <x:is>
          <x:t xml:space="preserve">2026-03-08</x:t>
        </x:is>
      </x:c>
    </x:row>
    <x:row r="126">
      <x:c r="A126" t="inlineStr">
        <x:is>
          <x:t xml:space="preserve">CI0125</x:t>
        </x:is>
      </x:c>
      <x:c r="B126" t="inlineStr">
        <x:is>
          <x:t xml:space="preserve">post viral cough</x:t>
        </x:is>
      </x:c>
      <x:c r="C126" t="inlineStr">
        <x:is>
          <x:t xml:space="preserve">post viral cough</x:t>
        </x:is>
      </x:c>
      <x:c r="D126" t="inlineStr">
        <x:is>
          <x:t xml:space="preserve">ENT</x:t>
        </x:is>
      </x:c>
      <x:c r="E126" t="inlineStr">
        <x:is>
          <x:t xml:space="preserve">post_viral_cough_adult</x:t>
        </x:is>
      </x:c>
      <x:c r="F126" t="inlineStr">
        <x:is>
          <x:t xml:space="preserve">adult</x:t>
        </x:is>
      </x:c>
      <x:c r="G126" t="n">
        <x:v>1</x:v>
      </x:c>
      <x:c r="H126" t="inlineStr">
        <x:is>
          <x:t xml:space="preserve">exact</x:t>
        </x:is>
      </x:c>
      <x:c r="I126" t="inlineStr">
        <x:is>
          <x:t xml:space="preserve">Y</x:t>
        </x:is>
      </x:c>
      <x:c r="J126" t="inlineStr">
        <x:is>
          <x:t xml:space="preserve">v3 added</x:t>
        </x:is>
      </x:c>
      <x:c r="K126" t="inlineStr">
        <x:is>
          <x:t xml:space="preserve">2026-03-08</x:t>
        </x:is>
      </x:c>
    </x:row>
    <x:row r="127">
      <x:c r="A127" t="inlineStr">
        <x:is>
          <x:t xml:space="preserve">CI0126</x:t>
        </x:is>
      </x:c>
      <x:c r="B127" t="inlineStr">
        <x:is>
          <x:t xml:space="preserve">residual cough after cold</x:t>
        </x:is>
      </x:c>
      <x:c r="C127" t="inlineStr">
        <x:is>
          <x:t xml:space="preserve">residual cough after cold</x:t>
        </x:is>
      </x:c>
      <x:c r="D127" t="inlineStr">
        <x:is>
          <x:t xml:space="preserve">ENT</x:t>
        </x:is>
      </x:c>
      <x:c r="E127" t="inlineStr">
        <x:is>
          <x:t xml:space="preserve">post_viral_cough_adult</x:t>
        </x:is>
      </x:c>
      <x:c r="F127" t="inlineStr">
        <x:is>
          <x:t xml:space="preserve">adult</x:t>
        </x:is>
      </x:c>
      <x:c r="G127" t="n">
        <x:v>2</x:v>
      </x:c>
      <x:c r="H127" t="inlineStr">
        <x:is>
          <x:t xml:space="preserve">alias</x:t>
        </x:is>
      </x:c>
      <x:c r="I127" t="inlineStr">
        <x:is>
          <x:t xml:space="preserve">Y</x:t>
        </x:is>
      </x:c>
      <x:c r="J127" t="inlineStr">
        <x:is>
          <x:t xml:space="preserve">v3 added</x:t>
        </x:is>
      </x:c>
      <x:c r="K127" t="inlineStr">
        <x:is>
          <x:t xml:space="preserve">2026-03-08</x:t>
        </x:is>
      </x:c>
    </x:row>
    <x:row r="128">
      <x:c r="A128" t="inlineStr">
        <x:is>
          <x:t xml:space="preserve">CI0127</x:t>
        </x:is>
      </x:c>
      <x:c r="B128" t="inlineStr">
        <x:is>
          <x:t xml:space="preserve">cough after uri</x:t>
        </x:is>
      </x:c>
      <x:c r="C128" t="inlineStr">
        <x:is>
          <x:t xml:space="preserve">cough after uri</x:t>
        </x:is>
      </x:c>
      <x:c r="D128" t="inlineStr">
        <x:is>
          <x:t xml:space="preserve">ENT</x:t>
        </x:is>
      </x:c>
      <x:c r="E128" t="inlineStr">
        <x:is>
          <x:t xml:space="preserve">post_viral_cough_adult</x:t>
        </x:is>
      </x:c>
      <x:c r="F128" t="inlineStr">
        <x:is>
          <x:t xml:space="preserve">adult</x:t>
        </x:is>
      </x:c>
      <x:c r="G128" t="n">
        <x:v>3</x:v>
      </x:c>
      <x:c r="H128" t="inlineStr">
        <x:is>
          <x:t xml:space="preserve">alias</x:t>
        </x:is>
      </x:c>
      <x:c r="I128" t="inlineStr">
        <x:is>
          <x:t xml:space="preserve">Y</x:t>
        </x:is>
      </x:c>
      <x:c r="J128" t="inlineStr">
        <x:is>
          <x:t xml:space="preserve">v3 added</x:t>
        </x:is>
      </x:c>
      <x:c r="K128" t="inlineStr">
        <x:is>
          <x:t xml:space="preserve">2026-03-08</x:t>
        </x:is>
      </x:c>
    </x:row>
    <x:row r="129">
      <x:c r="A129" t="inlineStr">
        <x:is>
          <x:t xml:space="preserve">CI0128</x:t>
        </x:is>
      </x:c>
      <x:c r="B129" t="inlineStr">
        <x:is>
          <x:t xml:space="preserve">laryngitis</x:t>
        </x:is>
      </x:c>
      <x:c r="C129" t="inlineStr">
        <x:is>
          <x:t xml:space="preserve">laryngitis</x:t>
        </x:is>
      </x:c>
      <x:c r="D129" t="inlineStr">
        <x:is>
          <x:t xml:space="preserve">ENT</x:t>
        </x:is>
      </x:c>
      <x:c r="E129" t="inlineStr">
        <x:is>
          <x:t xml:space="preserve">laryngitis_irritation_adult</x:t>
        </x:is>
      </x:c>
      <x:c r="F129" t="inlineStr">
        <x:is>
          <x:t xml:space="preserve">adult</x:t>
        </x:is>
      </x:c>
      <x:c r="G129" t="n">
        <x:v>1</x:v>
      </x:c>
      <x:c r="H129" t="inlineStr">
        <x:is>
          <x:t xml:space="preserve">exact</x:t>
        </x:is>
      </x:c>
      <x:c r="I129" t="inlineStr">
        <x:is>
          <x:t xml:space="preserve">Y</x:t>
        </x:is>
      </x:c>
      <x:c r="J129" t="inlineStr">
        <x:is>
          <x:t xml:space="preserve">v3 added</x:t>
        </x:is>
      </x:c>
      <x:c r="K129" t="inlineStr">
        <x:is>
          <x:t xml:space="preserve">2026-03-08</x:t>
        </x:is>
      </x:c>
    </x:row>
    <x:row r="130">
      <x:c r="A130" t="inlineStr">
        <x:is>
          <x:t xml:space="preserve">CI0129</x:t>
        </x:is>
      </x:c>
      <x:c r="B130" t="inlineStr">
        <x:is>
          <x:t xml:space="preserve">hoarse voice</x:t>
        </x:is>
      </x:c>
      <x:c r="C130" t="inlineStr">
        <x:is>
          <x:t xml:space="preserve">hoarse voice</x:t>
        </x:is>
      </x:c>
      <x:c r="D130" t="inlineStr">
        <x:is>
          <x:t xml:space="preserve">ENT</x:t>
        </x:is>
      </x:c>
      <x:c r="E130" t="inlineStr">
        <x:is>
          <x:t xml:space="preserve">laryngitis_irritation_adult</x:t>
        </x:is>
      </x:c>
      <x:c r="F130" t="inlineStr">
        <x:is>
          <x:t xml:space="preserve">adult</x:t>
        </x:is>
      </x:c>
      <x:c r="G130" t="n">
        <x:v>2</x:v>
      </x:c>
      <x:c r="H130" t="inlineStr">
        <x:is>
          <x:t xml:space="preserve">alias</x:t>
        </x:is>
      </x:c>
      <x:c r="I130" t="inlineStr">
        <x:is>
          <x:t xml:space="preserve">Y</x:t>
        </x:is>
      </x:c>
      <x:c r="J130" t="inlineStr">
        <x:is>
          <x:t xml:space="preserve">v3 added</x:t>
        </x:is>
      </x:c>
      <x:c r="K130" t="inlineStr">
        <x:is>
          <x:t xml:space="preserve">2026-03-08</x:t>
        </x:is>
      </x:c>
    </x:row>
    <x:row r="131">
      <x:c r="A131" t="inlineStr">
        <x:is>
          <x:t xml:space="preserve">CI0130</x:t>
        </x:is>
      </x:c>
      <x:c r="B131" t="inlineStr">
        <x:is>
          <x:t xml:space="preserve">voice irritation</x:t>
        </x:is>
      </x:c>
      <x:c r="C131" t="inlineStr">
        <x:is>
          <x:t xml:space="preserve">voice irritation</x:t>
        </x:is>
      </x:c>
      <x:c r="D131" t="inlineStr">
        <x:is>
          <x:t xml:space="preserve">ENT</x:t>
        </x:is>
      </x:c>
      <x:c r="E131" t="inlineStr">
        <x:is>
          <x:t xml:space="preserve">laryngitis_irritation_adult</x:t>
        </x:is>
      </x:c>
      <x:c r="F131" t="inlineStr">
        <x:is>
          <x:t xml:space="preserve">adult</x:t>
        </x:is>
      </x:c>
      <x:c r="G131" t="n">
        <x:v>3</x:v>
      </x:c>
      <x:c r="H131" t="inlineStr">
        <x:is>
          <x:t xml:space="preserve">alias</x:t>
        </x:is>
      </x:c>
      <x:c r="I131" t="inlineStr">
        <x:is>
          <x:t xml:space="preserve">Y</x:t>
        </x:is>
      </x:c>
      <x:c r="J131" t="inlineStr">
        <x:is>
          <x:t xml:space="preserve">v3 added</x:t>
        </x:is>
      </x:c>
      <x:c r="K131" t="inlineStr">
        <x:is>
          <x:t xml:space="preserve">2026-03-08</x:t>
        </x:is>
      </x:c>
    </x:row>
    <x:row r="132">
      <x:c r="A132" t="inlineStr">
        <x:is>
          <x:t xml:space="preserve">CI0131</x:t>
        </x:is>
      </x:c>
      <x:c r="B132" t="inlineStr">
        <x:is>
          <x:t xml:space="preserve">gastroenteritis</x:t>
        </x:is>
      </x:c>
      <x:c r="C132" t="inlineStr">
        <x:is>
          <x:t xml:space="preserve">gastroenteritis</x:t>
        </x:is>
      </x:c>
      <x:c r="D132" t="inlineStr">
        <x:is>
          <x:t xml:space="preserve">GI</x:t>
        </x:is>
      </x:c>
      <x:c r="E132" t="inlineStr">
        <x:is>
          <x:t xml:space="preserve">gastroenteritis_mild_adult</x:t>
        </x:is>
      </x:c>
      <x:c r="F132" t="inlineStr">
        <x:is>
          <x:t xml:space="preserve">adult</x:t>
        </x:is>
      </x:c>
      <x:c r="G132" t="n">
        <x:v>1</x:v>
      </x:c>
      <x:c r="H132" t="inlineStr">
        <x:is>
          <x:t xml:space="preserve">exact</x:t>
        </x:is>
      </x:c>
      <x:c r="I132" t="inlineStr">
        <x:is>
          <x:t xml:space="preserve">Y</x:t>
        </x:is>
      </x:c>
      <x:c r="J132" t="inlineStr">
        <x:is>
          <x:t xml:space="preserve">v3 added</x:t>
        </x:is>
      </x:c>
      <x:c r="K132" t="inlineStr">
        <x:is>
          <x:t xml:space="preserve">2026-03-08</x:t>
        </x:is>
      </x:c>
    </x:row>
    <x:row r="133">
      <x:c r="A133" t="inlineStr">
        <x:is>
          <x:t xml:space="preserve">CI0132</x:t>
        </x:is>
      </x:c>
      <x:c r="B133" t="inlineStr">
        <x:is>
          <x:t xml:space="preserve">viral gastroenteritis</x:t>
        </x:is>
      </x:c>
      <x:c r="C133" t="inlineStr">
        <x:is>
          <x:t xml:space="preserve">viral gastroenteritis</x:t>
        </x:is>
      </x:c>
      <x:c r="D133" t="inlineStr">
        <x:is>
          <x:t xml:space="preserve">GI</x:t>
        </x:is>
      </x:c>
      <x:c r="E133" t="inlineStr">
        <x:is>
          <x:t xml:space="preserve">gastroenteritis_mild_adult</x:t>
        </x:is>
      </x:c>
      <x:c r="F133" t="inlineStr">
        <x:is>
          <x:t xml:space="preserve">adult</x:t>
        </x:is>
      </x:c>
      <x:c r="G133" t="n">
        <x:v>2</x:v>
      </x:c>
      <x:c r="H133" t="inlineStr">
        <x:is>
          <x:t xml:space="preserve">alias</x:t>
        </x:is>
      </x:c>
      <x:c r="I133" t="inlineStr">
        <x:is>
          <x:t xml:space="preserve">Y</x:t>
        </x:is>
      </x:c>
      <x:c r="J133" t="inlineStr">
        <x:is>
          <x:t xml:space="preserve">v3 added</x:t>
        </x:is>
      </x:c>
      <x:c r="K133" t="inlineStr">
        <x:is>
          <x:t xml:space="preserve">2026-03-08</x:t>
        </x:is>
      </x:c>
    </x:row>
    <x:row r="134">
      <x:c r="A134" t="inlineStr">
        <x:is>
          <x:t xml:space="preserve">CI0133</x:t>
        </x:is>
      </x:c>
      <x:c r="B134" t="inlineStr">
        <x:is>
          <x:t xml:space="preserve">mild diarrhea</x:t>
        </x:is>
      </x:c>
      <x:c r="C134" t="inlineStr">
        <x:is>
          <x:t xml:space="preserve">mild diarrhea</x:t>
        </x:is>
      </x:c>
      <x:c r="D134" t="inlineStr">
        <x:is>
          <x:t xml:space="preserve">GI</x:t>
        </x:is>
      </x:c>
      <x:c r="E134" t="inlineStr">
        <x:is>
          <x:t xml:space="preserve">gastroenteritis_mild_adult</x:t>
        </x:is>
      </x:c>
      <x:c r="F134" t="inlineStr">
        <x:is>
          <x:t xml:space="preserve">adult</x:t>
        </x:is>
      </x:c>
      <x:c r="G134" t="n">
        <x:v>3</x:v>
      </x:c>
      <x:c r="H134" t="inlineStr">
        <x:is>
          <x:t xml:space="preserve">alias</x:t>
        </x:is>
      </x:c>
      <x:c r="I134" t="inlineStr">
        <x:is>
          <x:t xml:space="preserve">Y</x:t>
        </x:is>
      </x:c>
      <x:c r="J134" t="inlineStr">
        <x:is>
          <x:t xml:space="preserve">v3 added</x:t>
        </x:is>
      </x:c>
      <x:c r="K134" t="inlineStr">
        <x:is>
          <x:t xml:space="preserve">2026-03-08</x:t>
        </x:is>
      </x:c>
    </x:row>
    <x:row r="135">
      <x:c r="A135" t="inlineStr">
        <x:is>
          <x:t xml:space="preserve">CI0134</x:t>
        </x:is>
      </x:c>
      <x:c r="B135" t="inlineStr">
        <x:is>
          <x:t xml:space="preserve">traveler diarrhea</x:t>
        </x:is>
      </x:c>
      <x:c r="C135" t="inlineStr">
        <x:is>
          <x:t xml:space="preserve">traveler diarrhea</x:t>
        </x:is>
      </x:c>
      <x:c r="D135" t="inlineStr">
        <x:is>
          <x:t xml:space="preserve">GI</x:t>
        </x:is>
      </x:c>
      <x:c r="E135" t="inlineStr">
        <x:is>
          <x:t xml:space="preserve">traveler_diarrhea_support_adult</x:t>
        </x:is>
      </x:c>
      <x:c r="F135" t="inlineStr">
        <x:is>
          <x:t xml:space="preserve">adult</x:t>
        </x:is>
      </x:c>
      <x:c r="G135" t="n">
        <x:v>1</x:v>
      </x:c>
      <x:c r="H135" t="inlineStr">
        <x:is>
          <x:t xml:space="preserve">exact</x:t>
        </x:is>
      </x:c>
      <x:c r="I135" t="inlineStr">
        <x:is>
          <x:t xml:space="preserve">Y</x:t>
        </x:is>
      </x:c>
      <x:c r="J135" t="inlineStr">
        <x:is>
          <x:t xml:space="preserve">v3 added</x:t>
        </x:is>
      </x:c>
      <x:c r="K135" t="inlineStr">
        <x:is>
          <x:t xml:space="preserve">2026-03-08</x:t>
        </x:is>
      </x:c>
    </x:row>
    <x:row r="136">
      <x:c r="A136" t="inlineStr">
        <x:is>
          <x:t xml:space="preserve">CI0135</x:t>
        </x:is>
      </x:c>
      <x:c r="B136" t="inlineStr">
        <x:is>
          <x:t xml:space="preserve">travel diarrhea</x:t>
        </x:is>
      </x:c>
      <x:c r="C136" t="inlineStr">
        <x:is>
          <x:t xml:space="preserve">travel diarrhea</x:t>
        </x:is>
      </x:c>
      <x:c r="D136" t="inlineStr">
        <x:is>
          <x:t xml:space="preserve">GI</x:t>
        </x:is>
      </x:c>
      <x:c r="E136" t="inlineStr">
        <x:is>
          <x:t xml:space="preserve">traveler_diarrhea_support_adult</x:t>
        </x:is>
      </x:c>
      <x:c r="F136" t="inlineStr">
        <x:is>
          <x:t xml:space="preserve">adult</x:t>
        </x:is>
      </x:c>
      <x:c r="G136" t="n">
        <x:v>2</x:v>
      </x:c>
      <x:c r="H136" t="inlineStr">
        <x:is>
          <x:t xml:space="preserve">alias</x:t>
        </x:is>
      </x:c>
      <x:c r="I136" t="inlineStr">
        <x:is>
          <x:t xml:space="preserve">Y</x:t>
        </x:is>
      </x:c>
      <x:c r="J136" t="inlineStr">
        <x:is>
          <x:t xml:space="preserve">v3 added</x:t>
        </x:is>
      </x:c>
      <x:c r="K136" t="inlineStr">
        <x:is>
          <x:t xml:space="preserve">2026-03-08</x:t>
        </x:is>
      </x:c>
    </x:row>
    <x:row r="137">
      <x:c r="A137" t="inlineStr">
        <x:is>
          <x:t xml:space="preserve">CI0136</x:t>
        </x:is>
      </x:c>
      <x:c r="B137" t="inlineStr">
        <x:is>
          <x:t xml:space="preserve">diarrhea while travelling</x:t>
        </x:is>
      </x:c>
      <x:c r="C137" t="inlineStr">
        <x:is>
          <x:t xml:space="preserve">diarrhea while travelling</x:t>
        </x:is>
      </x:c>
      <x:c r="D137" t="inlineStr">
        <x:is>
          <x:t xml:space="preserve">GI</x:t>
        </x:is>
      </x:c>
      <x:c r="E137" t="inlineStr">
        <x:is>
          <x:t xml:space="preserve">traveler_diarrhea_support_adult</x:t>
        </x:is>
      </x:c>
      <x:c r="F137" t="inlineStr">
        <x:is>
          <x:t xml:space="preserve">adult</x:t>
        </x:is>
      </x:c>
      <x:c r="G137" t="n">
        <x:v>3</x:v>
      </x:c>
      <x:c r="H137" t="inlineStr">
        <x:is>
          <x:t xml:space="preserve">alias</x:t>
        </x:is>
      </x:c>
      <x:c r="I137" t="inlineStr">
        <x:is>
          <x:t xml:space="preserve">Y</x:t>
        </x:is>
      </x:c>
      <x:c r="J137" t="inlineStr">
        <x:is>
          <x:t xml:space="preserve">v3 added</x:t>
        </x:is>
      </x:c>
      <x:c r="K137" t="inlineStr">
        <x:is>
          <x:t xml:space="preserve">2026-03-08</x:t>
        </x:is>
      </x:c>
    </x:row>
    <x:row r="138">
      <x:c r="A138" t="inlineStr">
        <x:is>
          <x:t xml:space="preserve">CI0137</x:t>
        </x:is>
      </x:c>
      <x:c r="B138" t="inlineStr">
        <x:is>
          <x:t xml:space="preserve">functional bloating</x:t>
        </x:is>
      </x:c>
      <x:c r="C138" t="inlineStr">
        <x:is>
          <x:t xml:space="preserve">functional bloating</x:t>
        </x:is>
      </x:c>
      <x:c r="D138" t="inlineStr">
        <x:is>
          <x:t xml:space="preserve">GI</x:t>
        </x:is>
      </x:c>
      <x:c r="E138" t="inlineStr">
        <x:is>
          <x:t xml:space="preserve">functional_bloating_adult</x:t>
        </x:is>
      </x:c>
      <x:c r="F138" t="inlineStr">
        <x:is>
          <x:t xml:space="preserve">adult</x:t>
        </x:is>
      </x:c>
      <x:c r="G138" t="n">
        <x:v>1</x:v>
      </x:c>
      <x:c r="H138" t="inlineStr">
        <x:is>
          <x:t xml:space="preserve">exact</x:t>
        </x:is>
      </x:c>
      <x:c r="I138" t="inlineStr">
        <x:is>
          <x:t xml:space="preserve">Y</x:t>
        </x:is>
      </x:c>
      <x:c r="J138" t="inlineStr">
        <x:is>
          <x:t xml:space="preserve">v3 added</x:t>
        </x:is>
      </x:c>
      <x:c r="K138" t="inlineStr">
        <x:is>
          <x:t xml:space="preserve">2026-03-08</x:t>
        </x:is>
      </x:c>
    </x:row>
    <x:row r="139">
      <x:c r="A139" t="inlineStr">
        <x:is>
          <x:t xml:space="preserve">CI0138</x:t>
        </x:is>
      </x:c>
      <x:c r="B139" t="inlineStr">
        <x:is>
          <x:t xml:space="preserve">flatulence</x:t>
        </x:is>
      </x:c>
      <x:c r="C139" t="inlineStr">
        <x:is>
          <x:t xml:space="preserve">flatulence</x:t>
        </x:is>
      </x:c>
      <x:c r="D139" t="inlineStr">
        <x:is>
          <x:t xml:space="preserve">GI</x:t>
        </x:is>
      </x:c>
      <x:c r="E139" t="inlineStr">
        <x:is>
          <x:t xml:space="preserve">functional_bloating_adult</x:t>
        </x:is>
      </x:c>
      <x:c r="F139" t="inlineStr">
        <x:is>
          <x:t xml:space="preserve">adult</x:t>
        </x:is>
      </x:c>
      <x:c r="G139" t="n">
        <x:v>2</x:v>
      </x:c>
      <x:c r="H139" t="inlineStr">
        <x:is>
          <x:t xml:space="preserve">alias</x:t>
        </x:is>
      </x:c>
      <x:c r="I139" t="inlineStr">
        <x:is>
          <x:t xml:space="preserve">Y</x:t>
        </x:is>
      </x:c>
      <x:c r="J139" t="inlineStr">
        <x:is>
          <x:t xml:space="preserve">v3 added</x:t>
        </x:is>
      </x:c>
      <x:c r="K139" t="inlineStr">
        <x:is>
          <x:t xml:space="preserve">2026-03-08</x:t>
        </x:is>
      </x:c>
    </x:row>
    <x:row r="140">
      <x:c r="A140" t="inlineStr">
        <x:is>
          <x:t xml:space="preserve">CI0139</x:t>
        </x:is>
      </x:c>
      <x:c r="B140" t="inlineStr">
        <x:is>
          <x:t xml:space="preserve">stomach gas bloating</x:t>
        </x:is>
      </x:c>
      <x:c r="C140" t="inlineStr">
        <x:is>
          <x:t xml:space="preserve">stomach gas bloating</x:t>
        </x:is>
      </x:c>
      <x:c r="D140" t="inlineStr">
        <x:is>
          <x:t xml:space="preserve">GI</x:t>
        </x:is>
      </x:c>
      <x:c r="E140" t="inlineStr">
        <x:is>
          <x:t xml:space="preserve">functional_bloating_adult</x:t>
        </x:is>
      </x:c>
      <x:c r="F140" t="inlineStr">
        <x:is>
          <x:t xml:space="preserve">adult</x:t>
        </x:is>
      </x:c>
      <x:c r="G140" t="n">
        <x:v>3</x:v>
      </x:c>
      <x:c r="H140" t="inlineStr">
        <x:is>
          <x:t xml:space="preserve">alias</x:t>
        </x:is>
      </x:c>
      <x:c r="I140" t="inlineStr">
        <x:is>
          <x:t xml:space="preserve">Y</x:t>
        </x:is>
      </x:c>
      <x:c r="J140" t="inlineStr">
        <x:is>
          <x:t xml:space="preserve">v3 added</x:t>
        </x:is>
      </x:c>
      <x:c r="K140" t="inlineStr">
        <x:is>
          <x:t xml:space="preserve">2026-03-08</x:t>
        </x:is>
      </x:c>
    </x:row>
    <x:row r="141">
      <x:c r="A141" t="inlineStr">
        <x:is>
          <x:t xml:space="preserve">CI0140</x:t>
        </x:is>
      </x:c>
      <x:c r="B141" t="inlineStr">
        <x:is>
          <x:t xml:space="preserve">dyspepsia gas</x:t>
        </x:is>
      </x:c>
      <x:c r="C141" t="inlineStr">
        <x:is>
          <x:t xml:space="preserve">dyspepsia gas</x:t>
        </x:is>
      </x:c>
      <x:c r="D141" t="inlineStr">
        <x:is>
          <x:t xml:space="preserve">GI</x:t>
        </x:is>
      </x:c>
      <x:c r="E141" t="inlineStr">
        <x:is>
          <x:t xml:space="preserve">dyspepsia_gas_adult</x:t>
        </x:is>
      </x:c>
      <x:c r="F141" t="inlineStr">
        <x:is>
          <x:t xml:space="preserve">adult</x:t>
        </x:is>
      </x:c>
      <x:c r="G141" t="n">
        <x:v>1</x:v>
      </x:c>
      <x:c r="H141" t="inlineStr">
        <x:is>
          <x:t xml:space="preserve">exact</x:t>
        </x:is>
      </x:c>
      <x:c r="I141" t="inlineStr">
        <x:is>
          <x:t xml:space="preserve">Y</x:t>
        </x:is>
      </x:c>
      <x:c r="J141" t="inlineStr">
        <x:is>
          <x:t xml:space="preserve">v3 added</x:t>
        </x:is>
      </x:c>
      <x:c r="K141" t="inlineStr">
        <x:is>
          <x:t xml:space="preserve">2026-03-08</x:t>
        </x:is>
      </x:c>
    </x:row>
    <x:row r="142">
      <x:c r="A142" t="inlineStr">
        <x:is>
          <x:t xml:space="preserve">CI0141</x:t>
        </x:is>
      </x:c>
      <x:c r="B142" t="inlineStr">
        <x:is>
          <x:t xml:space="preserve">post meal belching</x:t>
        </x:is>
      </x:c>
      <x:c r="C142" t="inlineStr">
        <x:is>
          <x:t xml:space="preserve">post meal belching</x:t>
        </x:is>
      </x:c>
      <x:c r="D142" t="inlineStr">
        <x:is>
          <x:t xml:space="preserve">GI</x:t>
        </x:is>
      </x:c>
      <x:c r="E142" t="inlineStr">
        <x:is>
          <x:t xml:space="preserve">dyspepsia_gas_adult</x:t>
        </x:is>
      </x:c>
      <x:c r="F142" t="inlineStr">
        <x:is>
          <x:t xml:space="preserve">adult</x:t>
        </x:is>
      </x:c>
      <x:c r="G142" t="n">
        <x:v>2</x:v>
      </x:c>
      <x:c r="H142" t="inlineStr">
        <x:is>
          <x:t xml:space="preserve">alias</x:t>
        </x:is>
      </x:c>
      <x:c r="I142" t="inlineStr">
        <x:is>
          <x:t xml:space="preserve">Y</x:t>
        </x:is>
      </x:c>
      <x:c r="J142" t="inlineStr">
        <x:is>
          <x:t xml:space="preserve">v3 added</x:t>
        </x:is>
      </x:c>
      <x:c r="K142" t="inlineStr">
        <x:is>
          <x:t xml:space="preserve">2026-03-08</x:t>
        </x:is>
      </x:c>
    </x:row>
    <x:row r="143">
      <x:c r="A143" t="inlineStr">
        <x:is>
          <x:t xml:space="preserve">CI0142</x:t>
        </x:is>
      </x:c>
      <x:c r="B143" t="inlineStr">
        <x:is>
          <x:t xml:space="preserve">belching after meals</x:t>
        </x:is>
      </x:c>
      <x:c r="C143" t="inlineStr">
        <x:is>
          <x:t xml:space="preserve">belching after meals</x:t>
        </x:is>
      </x:c>
      <x:c r="D143" t="inlineStr">
        <x:is>
          <x:t xml:space="preserve">GI</x:t>
        </x:is>
      </x:c>
      <x:c r="E143" t="inlineStr">
        <x:is>
          <x:t xml:space="preserve">dyspepsia_gas_adult</x:t>
        </x:is>
      </x:c>
      <x:c r="F143" t="inlineStr">
        <x:is>
          <x:t xml:space="preserve">adult</x:t>
        </x:is>
      </x:c>
      <x:c r="G143" t="n">
        <x:v>3</x:v>
      </x:c>
      <x:c r="H143" t="inlineStr">
        <x:is>
          <x:t xml:space="preserve">alias</x:t>
        </x:is>
      </x:c>
      <x:c r="I143" t="inlineStr">
        <x:is>
          <x:t xml:space="preserve">Y</x:t>
        </x:is>
      </x:c>
      <x:c r="J143" t="inlineStr">
        <x:is>
          <x:t xml:space="preserve">v3 added</x:t>
        </x:is>
      </x:c>
      <x:c r="K143" t="inlineStr">
        <x:is>
          <x:t xml:space="preserve">2026-03-08</x:t>
        </x:is>
      </x:c>
    </x:row>
    <x:row r="144">
      <x:c r="A144" t="inlineStr">
        <x:is>
          <x:t xml:space="preserve">CI0143</x:t>
        </x:is>
      </x:c>
      <x:c r="B144" t="inlineStr">
        <x:is>
          <x:t xml:space="preserve">neck shoulder pain</x:t>
        </x:is>
      </x:c>
      <x:c r="C144" t="inlineStr">
        <x:is>
          <x:t xml:space="preserve">neck shoulder pain</x:t>
        </x:is>
      </x:c>
      <x:c r="D144" t="inlineStr">
        <x:is>
          <x:t xml:space="preserve">Pain</x:t>
        </x:is>
      </x:c>
      <x:c r="E144" t="inlineStr">
        <x:is>
          <x:t xml:space="preserve">neck_shoulder_strain_adult</x:t>
        </x:is>
      </x:c>
      <x:c r="F144" t="inlineStr">
        <x:is>
          <x:t xml:space="preserve">adult</x:t>
        </x:is>
      </x:c>
      <x:c r="G144" t="n">
        <x:v>1</x:v>
      </x:c>
      <x:c r="H144" t="inlineStr">
        <x:is>
          <x:t xml:space="preserve">exact</x:t>
        </x:is>
      </x:c>
      <x:c r="I144" t="inlineStr">
        <x:is>
          <x:t xml:space="preserve">Y</x:t>
        </x:is>
      </x:c>
      <x:c r="J144" t="inlineStr">
        <x:is>
          <x:t xml:space="preserve">v3 added</x:t>
        </x:is>
      </x:c>
      <x:c r="K144" t="inlineStr">
        <x:is>
          <x:t xml:space="preserve">2026-03-08</x:t>
        </x:is>
      </x:c>
    </x:row>
    <x:row r="145">
      <x:c r="A145" t="inlineStr">
        <x:is>
          <x:t xml:space="preserve">CI0144</x:t>
        </x:is>
      </x:c>
      <x:c r="B145" t="inlineStr">
        <x:is>
          <x:t xml:space="preserve">shoulder strain</x:t>
        </x:is>
      </x:c>
      <x:c r="C145" t="inlineStr">
        <x:is>
          <x:t xml:space="preserve">shoulder strain</x:t>
        </x:is>
      </x:c>
      <x:c r="D145" t="inlineStr">
        <x:is>
          <x:t xml:space="preserve">Pain</x:t>
        </x:is>
      </x:c>
      <x:c r="E145" t="inlineStr">
        <x:is>
          <x:t xml:space="preserve">neck_shoulder_strain_adult</x:t>
        </x:is>
      </x:c>
      <x:c r="F145" t="inlineStr">
        <x:is>
          <x:t xml:space="preserve">adult</x:t>
        </x:is>
      </x:c>
      <x:c r="G145" t="n">
        <x:v>2</x:v>
      </x:c>
      <x:c r="H145" t="inlineStr">
        <x:is>
          <x:t xml:space="preserve">alias</x:t>
        </x:is>
      </x:c>
      <x:c r="I145" t="inlineStr">
        <x:is>
          <x:t xml:space="preserve">Y</x:t>
        </x:is>
      </x:c>
      <x:c r="J145" t="inlineStr">
        <x:is>
          <x:t xml:space="preserve">v3 added</x:t>
        </x:is>
      </x:c>
      <x:c r="K145" t="inlineStr">
        <x:is>
          <x:t xml:space="preserve">2026-03-08</x:t>
        </x:is>
      </x:c>
    </x:row>
    <x:row r="146">
      <x:c r="A146" t="inlineStr">
        <x:is>
          <x:t xml:space="preserve">CI0145</x:t>
        </x:is>
      </x:c>
      <x:c r="B146" t="inlineStr">
        <x:is>
          <x:t xml:space="preserve">neck strain</x:t>
        </x:is>
      </x:c>
      <x:c r="C146" t="inlineStr">
        <x:is>
          <x:t xml:space="preserve">neck strain</x:t>
        </x:is>
      </x:c>
      <x:c r="D146" t="inlineStr">
        <x:is>
          <x:t xml:space="preserve">Pain</x:t>
        </x:is>
      </x:c>
      <x:c r="E146" t="inlineStr">
        <x:is>
          <x:t xml:space="preserve">neck_shoulder_strain_adult</x:t>
        </x:is>
      </x:c>
      <x:c r="F146" t="inlineStr">
        <x:is>
          <x:t xml:space="preserve">adult</x:t>
        </x:is>
      </x:c>
      <x:c r="G146" t="n">
        <x:v>3</x:v>
      </x:c>
      <x:c r="H146" t="inlineStr">
        <x:is>
          <x:t xml:space="preserve">alias</x:t>
        </x:is>
      </x:c>
      <x:c r="I146" t="inlineStr">
        <x:is>
          <x:t xml:space="preserve">Y</x:t>
        </x:is>
      </x:c>
      <x:c r="J146" t="inlineStr">
        <x:is>
          <x:t xml:space="preserve">v3 added</x:t>
        </x:is>
      </x:c>
      <x:c r="K146" t="inlineStr">
        <x:is>
          <x:t xml:space="preserve">2026-03-08</x:t>
        </x:is>
      </x:c>
    </x:row>
    <x:row r="147">
      <x:c r="A147" t="inlineStr">
        <x:is>
          <x:t xml:space="preserve">CI0146</x:t>
        </x:is>
      </x:c>
      <x:c r="B147" t="inlineStr">
        <x:is>
          <x:t xml:space="preserve">low back pain</x:t>
        </x:is>
      </x:c>
      <x:c r="C147" t="inlineStr">
        <x:is>
          <x:t xml:space="preserve">low back pain</x:t>
        </x:is>
      </x:c>
      <x:c r="D147" t="inlineStr">
        <x:is>
          <x:t xml:space="preserve">Pain</x:t>
        </x:is>
      </x:c>
      <x:c r="E147" t="inlineStr">
        <x:is>
          <x:t xml:space="preserve">low_back_pain_simple_adult</x:t>
        </x:is>
      </x:c>
      <x:c r="F147" t="inlineStr">
        <x:is>
          <x:t xml:space="preserve">adult</x:t>
        </x:is>
      </x:c>
      <x:c r="G147" t="n">
        <x:v>1</x:v>
      </x:c>
      <x:c r="H147" t="inlineStr">
        <x:is>
          <x:t xml:space="preserve">exact</x:t>
        </x:is>
      </x:c>
      <x:c r="I147" t="inlineStr">
        <x:is>
          <x:t xml:space="preserve">Y</x:t>
        </x:is>
      </x:c>
      <x:c r="J147" t="inlineStr">
        <x:is>
          <x:t xml:space="preserve">v3 added</x:t>
        </x:is>
      </x:c>
      <x:c r="K147" t="inlineStr">
        <x:is>
          <x:t xml:space="preserve">2026-03-08</x:t>
        </x:is>
      </x:c>
    </x:row>
    <x:row r="148">
      <x:c r="A148" t="inlineStr">
        <x:is>
          <x:t xml:space="preserve">CI0147</x:t>
        </x:is>
      </x:c>
      <x:c r="B148" t="inlineStr">
        <x:is>
          <x:t xml:space="preserve">simple back pain</x:t>
        </x:is>
      </x:c>
      <x:c r="C148" t="inlineStr">
        <x:is>
          <x:t xml:space="preserve">simple back pain</x:t>
        </x:is>
      </x:c>
      <x:c r="D148" t="inlineStr">
        <x:is>
          <x:t xml:space="preserve">Pain</x:t>
        </x:is>
      </x:c>
      <x:c r="E148" t="inlineStr">
        <x:is>
          <x:t xml:space="preserve">low_back_pain_simple_adult</x:t>
        </x:is>
      </x:c>
      <x:c r="F148" t="inlineStr">
        <x:is>
          <x:t xml:space="preserve">adult</x:t>
        </x:is>
      </x:c>
      <x:c r="G148" t="n">
        <x:v>2</x:v>
      </x:c>
      <x:c r="H148" t="inlineStr">
        <x:is>
          <x:t xml:space="preserve">alias</x:t>
        </x:is>
      </x:c>
      <x:c r="I148" t="inlineStr">
        <x:is>
          <x:t xml:space="preserve">Y</x:t>
        </x:is>
      </x:c>
      <x:c r="J148" t="inlineStr">
        <x:is>
          <x:t xml:space="preserve">v3 added</x:t>
        </x:is>
      </x:c>
      <x:c r="K148" t="inlineStr">
        <x:is>
          <x:t xml:space="preserve">2026-03-08</x:t>
        </x:is>
      </x:c>
    </x:row>
    <x:row r="149">
      <x:c r="A149" t="inlineStr">
        <x:is>
          <x:t xml:space="preserve">CI0148</x:t>
        </x:is>
      </x:c>
      <x:c r="B149" t="inlineStr">
        <x:is>
          <x:t xml:space="preserve">mechanical back pain</x:t>
        </x:is>
      </x:c>
      <x:c r="C149" t="inlineStr">
        <x:is>
          <x:t xml:space="preserve">mechanical back pain</x:t>
        </x:is>
      </x:c>
      <x:c r="D149" t="inlineStr">
        <x:is>
          <x:t xml:space="preserve">Pain</x:t>
        </x:is>
      </x:c>
      <x:c r="E149" t="inlineStr">
        <x:is>
          <x:t xml:space="preserve">low_back_pain_simple_adult</x:t>
        </x:is>
      </x:c>
      <x:c r="F149" t="inlineStr">
        <x:is>
          <x:t xml:space="preserve">adult</x:t>
        </x:is>
      </x:c>
      <x:c r="G149" t="n">
        <x:v>3</x:v>
      </x:c>
      <x:c r="H149" t="inlineStr">
        <x:is>
          <x:t xml:space="preserve">alias</x:t>
        </x:is>
      </x:c>
      <x:c r="I149" t="inlineStr">
        <x:is>
          <x:t xml:space="preserve">Y</x:t>
        </x:is>
      </x:c>
      <x:c r="J149" t="inlineStr">
        <x:is>
          <x:t xml:space="preserve">v3 added</x:t>
        </x:is>
      </x:c>
      <x:c r="K149" t="inlineStr">
        <x:is>
          <x:t xml:space="preserve">2026-03-08</x:t>
        </x:is>
      </x:c>
    </x:row>
    <x:row r="150">
      <x:c r="A150" t="inlineStr">
        <x:is>
          <x:t xml:space="preserve">CI0149</x:t>
        </x:is>
      </x:c>
      <x:c r="B150" t="inlineStr">
        <x:is>
          <x:t xml:space="preserve">sprain</x:t>
        </x:is>
      </x:c>
      <x:c r="C150" t="inlineStr">
        <x:is>
          <x:t xml:space="preserve">sprain</x:t>
        </x:is>
      </x:c>
      <x:c r="D150" t="inlineStr">
        <x:is>
          <x:t xml:space="preserve">Pain</x:t>
        </x:is>
      </x:c>
      <x:c r="E150" t="inlineStr">
        <x:is>
          <x:t xml:space="preserve">sprain_strain_mild_adult</x:t>
        </x:is>
      </x:c>
      <x:c r="F150" t="inlineStr">
        <x:is>
          <x:t xml:space="preserve">adult</x:t>
        </x:is>
      </x:c>
      <x:c r="G150" t="n">
        <x:v>1</x:v>
      </x:c>
      <x:c r="H150" t="inlineStr">
        <x:is>
          <x:t xml:space="preserve">exact</x:t>
        </x:is>
      </x:c>
      <x:c r="I150" t="inlineStr">
        <x:is>
          <x:t xml:space="preserve">Y</x:t>
        </x:is>
      </x:c>
      <x:c r="J150" t="inlineStr">
        <x:is>
          <x:t xml:space="preserve">v3 added</x:t>
        </x:is>
      </x:c>
      <x:c r="K150" t="inlineStr">
        <x:is>
          <x:t xml:space="preserve">2026-03-08</x:t>
        </x:is>
      </x:c>
    </x:row>
    <x:row r="151">
      <x:c r="A151" t="inlineStr">
        <x:is>
          <x:t xml:space="preserve">CI0150</x:t>
        </x:is>
      </x:c>
      <x:c r="B151" t="inlineStr">
        <x:is>
          <x:t xml:space="preserve">mild strain</x:t>
        </x:is>
      </x:c>
      <x:c r="C151" t="inlineStr">
        <x:is>
          <x:t xml:space="preserve">mild strain</x:t>
        </x:is>
      </x:c>
      <x:c r="D151" t="inlineStr">
        <x:is>
          <x:t xml:space="preserve">Pain</x:t>
        </x:is>
      </x:c>
      <x:c r="E151" t="inlineStr">
        <x:is>
          <x:t xml:space="preserve">sprain_strain_mild_adult</x:t>
        </x:is>
      </x:c>
      <x:c r="F151" t="inlineStr">
        <x:is>
          <x:t xml:space="preserve">adult</x:t>
        </x:is>
      </x:c>
      <x:c r="G151" t="n">
        <x:v>2</x:v>
      </x:c>
      <x:c r="H151" t="inlineStr">
        <x:is>
          <x:t xml:space="preserve">alias</x:t>
        </x:is>
      </x:c>
      <x:c r="I151" t="inlineStr">
        <x:is>
          <x:t xml:space="preserve">Y</x:t>
        </x:is>
      </x:c>
      <x:c r="J151" t="inlineStr">
        <x:is>
          <x:t xml:space="preserve">v3 added</x:t>
        </x:is>
      </x:c>
      <x:c r="K151" t="inlineStr">
        <x:is>
          <x:t xml:space="preserve">2026-03-08</x:t>
        </x:is>
      </x:c>
    </x:row>
    <x:row r="152">
      <x:c r="A152" t="inlineStr">
        <x:is>
          <x:t xml:space="preserve">CI0151</x:t>
        </x:is>
      </x:c>
      <x:c r="B152" t="inlineStr">
        <x:is>
          <x:t xml:space="preserve">ankle sprain mild</x:t>
        </x:is>
      </x:c>
      <x:c r="C152" t="inlineStr">
        <x:is>
          <x:t xml:space="preserve">ankle sprain mild</x:t>
        </x:is>
      </x:c>
      <x:c r="D152" t="inlineStr">
        <x:is>
          <x:t xml:space="preserve">Pain</x:t>
        </x:is>
      </x:c>
      <x:c r="E152" t="inlineStr">
        <x:is>
          <x:t xml:space="preserve">sprain_strain_mild_adult</x:t>
        </x:is>
      </x:c>
      <x:c r="F152" t="inlineStr">
        <x:is>
          <x:t xml:space="preserve">adult</x:t>
        </x:is>
      </x:c>
      <x:c r="G152" t="n">
        <x:v>3</x:v>
      </x:c>
      <x:c r="H152" t="inlineStr">
        <x:is>
          <x:t xml:space="preserve">alias</x:t>
        </x:is>
      </x:c>
      <x:c r="I152" t="inlineStr">
        <x:is>
          <x:t xml:space="preserve">Y</x:t>
        </x:is>
      </x:c>
      <x:c r="J152" t="inlineStr">
        <x:is>
          <x:t xml:space="preserve">v3 added</x:t>
        </x:is>
      </x:c>
      <x:c r="K152" t="inlineStr">
        <x:is>
          <x:t xml:space="preserve">2026-03-08</x:t>
        </x:is>
      </x:c>
    </x:row>
    <x:row r="153">
      <x:c r="A153" t="inlineStr">
        <x:is>
          <x:t xml:space="preserve">CI0152</x:t>
        </x:is>
      </x:c>
      <x:c r="B153" t="inlineStr">
        <x:is>
          <x:t xml:space="preserve">knee pain</x:t>
        </x:is>
      </x:c>
      <x:c r="C153" t="inlineStr">
        <x:is>
          <x:t xml:space="preserve">knee pain</x:t>
        </x:is>
      </x:c>
      <x:c r="D153" t="inlineStr">
        <x:is>
          <x:t xml:space="preserve">Pain</x:t>
        </x:is>
      </x:c>
      <x:c r="E153" t="inlineStr">
        <x:is>
          <x:t xml:space="preserve">knee_joint_pain_adult</x:t>
        </x:is>
      </x:c>
      <x:c r="F153" t="inlineStr">
        <x:is>
          <x:t xml:space="preserve">adult</x:t>
        </x:is>
      </x:c>
      <x:c r="G153" t="n">
        <x:v>1</x:v>
      </x:c>
      <x:c r="H153" t="inlineStr">
        <x:is>
          <x:t xml:space="preserve">exact</x:t>
        </x:is>
      </x:c>
      <x:c r="I153" t="inlineStr">
        <x:is>
          <x:t xml:space="preserve">Y</x:t>
        </x:is>
      </x:c>
      <x:c r="J153" t="inlineStr">
        <x:is>
          <x:t xml:space="preserve">v3 added</x:t>
        </x:is>
      </x:c>
      <x:c r="K153" t="inlineStr">
        <x:is>
          <x:t xml:space="preserve">2026-03-08</x:t>
        </x:is>
      </x:c>
    </x:row>
    <x:row r="154">
      <x:c r="A154" t="inlineStr">
        <x:is>
          <x:t xml:space="preserve">CI0153</x:t>
        </x:is>
      </x:c>
      <x:c r="B154" t="inlineStr">
        <x:is>
          <x:t xml:space="preserve">joint pain knee</x:t>
        </x:is>
      </x:c>
      <x:c r="C154" t="inlineStr">
        <x:is>
          <x:t xml:space="preserve">joint pain knee</x:t>
        </x:is>
      </x:c>
      <x:c r="D154" t="inlineStr">
        <x:is>
          <x:t xml:space="preserve">Pain</x:t>
        </x:is>
      </x:c>
      <x:c r="E154" t="inlineStr">
        <x:is>
          <x:t xml:space="preserve">knee_joint_pain_adult</x:t>
        </x:is>
      </x:c>
      <x:c r="F154" t="inlineStr">
        <x:is>
          <x:t xml:space="preserve">adult</x:t>
        </x:is>
      </x:c>
      <x:c r="G154" t="n">
        <x:v>2</x:v>
      </x:c>
      <x:c r="H154" t="inlineStr">
        <x:is>
          <x:t xml:space="preserve">alias</x:t>
        </x:is>
      </x:c>
      <x:c r="I154" t="inlineStr">
        <x:is>
          <x:t xml:space="preserve">Y</x:t>
        </x:is>
      </x:c>
      <x:c r="J154" t="inlineStr">
        <x:is>
          <x:t xml:space="preserve">v3 added</x:t>
        </x:is>
      </x:c>
      <x:c r="K154" t="inlineStr">
        <x:is>
          <x:t xml:space="preserve">2026-03-08</x:t>
        </x:is>
      </x:c>
    </x:row>
    <x:row r="155">
      <x:c r="A155" t="inlineStr">
        <x:is>
          <x:t xml:space="preserve">CI0154</x:t>
        </x:is>
      </x:c>
      <x:c r="B155" t="inlineStr">
        <x:is>
          <x:t xml:space="preserve">localized joint pain</x:t>
        </x:is>
      </x:c>
      <x:c r="C155" t="inlineStr">
        <x:is>
          <x:t xml:space="preserve">localized joint pain</x:t>
        </x:is>
      </x:c>
      <x:c r="D155" t="inlineStr">
        <x:is>
          <x:t xml:space="preserve">Pain</x:t>
        </x:is>
      </x:c>
      <x:c r="E155" t="inlineStr">
        <x:is>
          <x:t xml:space="preserve">knee_joint_pain_adult</x:t>
        </x:is>
      </x:c>
      <x:c r="F155" t="inlineStr">
        <x:is>
          <x:t xml:space="preserve">adult</x:t>
        </x:is>
      </x:c>
      <x:c r="G155" t="n">
        <x:v>3</x:v>
      </x:c>
      <x:c r="H155" t="inlineStr">
        <x:is>
          <x:t xml:space="preserve">alias</x:t>
        </x:is>
      </x:c>
      <x:c r="I155" t="inlineStr">
        <x:is>
          <x:t xml:space="preserve">Y</x:t>
        </x:is>
      </x:c>
      <x:c r="J155" t="inlineStr">
        <x:is>
          <x:t xml:space="preserve">v3 added</x:t>
        </x:is>
      </x:c>
      <x:c r="K155" t="inlineStr">
        <x:is>
          <x:t xml:space="preserve">2026-03-08</x:t>
        </x:is>
      </x:c>
    </x:row>
    <x:row r="156">
      <x:c r="A156" t="inlineStr">
        <x:is>
          <x:t xml:space="preserve">CI0155</x:t>
        </x:is>
      </x:c>
      <x:c r="B156" t="inlineStr">
        <x:is>
          <x:t xml:space="preserve">contact dermatitis</x:t>
        </x:is>
      </x:c>
      <x:c r="C156" t="inlineStr">
        <x:is>
          <x:t xml:space="preserve">contact dermatitis</x:t>
        </x:is>
      </x:c>
      <x:c r="D156" t="inlineStr">
        <x:is>
          <x:t xml:space="preserve">Skin</x:t>
        </x:is>
      </x:c>
      <x:c r="E156" t="inlineStr">
        <x:is>
          <x:t xml:space="preserve">contact_dermatitis_adult</x:t>
        </x:is>
      </x:c>
      <x:c r="F156" t="inlineStr">
        <x:is>
          <x:t xml:space="preserve">adult</x:t>
        </x:is>
      </x:c>
      <x:c r="G156" t="n">
        <x:v>1</x:v>
      </x:c>
      <x:c r="H156" t="inlineStr">
        <x:is>
          <x:t xml:space="preserve">exact</x:t>
        </x:is>
      </x:c>
      <x:c r="I156" t="inlineStr">
        <x:is>
          <x:t xml:space="preserve">Y</x:t>
        </x:is>
      </x:c>
      <x:c r="J156" t="inlineStr">
        <x:is>
          <x:t xml:space="preserve">v3 added</x:t>
        </x:is>
      </x:c>
      <x:c r="K156" t="inlineStr">
        <x:is>
          <x:t xml:space="preserve">2026-03-08</x:t>
        </x:is>
      </x:c>
    </x:row>
    <x:row r="157">
      <x:c r="A157" t="inlineStr">
        <x:is>
          <x:t xml:space="preserve">CI0156</x:t>
        </x:is>
      </x:c>
      <x:c r="B157" t="inlineStr">
        <x:is>
          <x:t xml:space="preserve">irritant dermatitis</x:t>
        </x:is>
      </x:c>
      <x:c r="C157" t="inlineStr">
        <x:is>
          <x:t xml:space="preserve">irritant dermatitis</x:t>
        </x:is>
      </x:c>
      <x:c r="D157" t="inlineStr">
        <x:is>
          <x:t xml:space="preserve">Skin</x:t>
        </x:is>
      </x:c>
      <x:c r="E157" t="inlineStr">
        <x:is>
          <x:t xml:space="preserve">contact_dermatitis_adult</x:t>
        </x:is>
      </x:c>
      <x:c r="F157" t="inlineStr">
        <x:is>
          <x:t xml:space="preserve">adult</x:t>
        </x:is>
      </x:c>
      <x:c r="G157" t="n">
        <x:v>2</x:v>
      </x:c>
      <x:c r="H157" t="inlineStr">
        <x:is>
          <x:t xml:space="preserve">alias</x:t>
        </x:is>
      </x:c>
      <x:c r="I157" t="inlineStr">
        <x:is>
          <x:t xml:space="preserve">Y</x:t>
        </x:is>
      </x:c>
      <x:c r="J157" t="inlineStr">
        <x:is>
          <x:t xml:space="preserve">v3 added</x:t>
        </x:is>
      </x:c>
      <x:c r="K157" t="inlineStr">
        <x:is>
          <x:t xml:space="preserve">2026-03-08</x:t>
        </x:is>
      </x:c>
    </x:row>
    <x:row r="158">
      <x:c r="A158" t="inlineStr">
        <x:is>
          <x:t xml:space="preserve">CI0157</x:t>
        </x:is>
      </x:c>
      <x:c r="B158" t="inlineStr">
        <x:is>
          <x:t xml:space="preserve">allergic contact rash</x:t>
        </x:is>
      </x:c>
      <x:c r="C158" t="inlineStr">
        <x:is>
          <x:t xml:space="preserve">allergic contact rash</x:t>
        </x:is>
      </x:c>
      <x:c r="D158" t="inlineStr">
        <x:is>
          <x:t xml:space="preserve">Skin</x:t>
        </x:is>
      </x:c>
      <x:c r="E158" t="inlineStr">
        <x:is>
          <x:t xml:space="preserve">contact_dermatitis_adult</x:t>
        </x:is>
      </x:c>
      <x:c r="F158" t="inlineStr">
        <x:is>
          <x:t xml:space="preserve">adult</x:t>
        </x:is>
      </x:c>
      <x:c r="G158" t="n">
        <x:v>3</x:v>
      </x:c>
      <x:c r="H158" t="inlineStr">
        <x:is>
          <x:t xml:space="preserve">alias</x:t>
        </x:is>
      </x:c>
      <x:c r="I158" t="inlineStr">
        <x:is>
          <x:t xml:space="preserve">Y</x:t>
        </x:is>
      </x:c>
      <x:c r="J158" t="inlineStr">
        <x:is>
          <x:t xml:space="preserve">v3 added</x:t>
        </x:is>
      </x:c>
      <x:c r="K158" t="inlineStr">
        <x:is>
          <x:t xml:space="preserve">2026-03-08</x:t>
        </x:is>
      </x:c>
    </x:row>
    <x:row r="159">
      <x:c r="A159" t="inlineStr">
        <x:is>
          <x:t xml:space="preserve">CI0158</x:t>
        </x:is>
      </x:c>
      <x:c r="B159" t="inlineStr">
        <x:is>
          <x:t xml:space="preserve">urticaria</x:t>
        </x:is>
      </x:c>
      <x:c r="C159" t="inlineStr">
        <x:is>
          <x:t xml:space="preserve">urticaria</x:t>
        </x:is>
      </x:c>
      <x:c r="D159" t="inlineStr">
        <x:is>
          <x:t xml:space="preserve">Skin</x:t>
        </x:is>
      </x:c>
      <x:c r="E159" t="inlineStr">
        <x:is>
          <x:t xml:space="preserve">urticaria_mild_adult</x:t>
        </x:is>
      </x:c>
      <x:c r="F159" t="inlineStr">
        <x:is>
          <x:t xml:space="preserve">adult</x:t>
        </x:is>
      </x:c>
      <x:c r="G159" t="n">
        <x:v>1</x:v>
      </x:c>
      <x:c r="H159" t="inlineStr">
        <x:is>
          <x:t xml:space="preserve">exact</x:t>
        </x:is>
      </x:c>
      <x:c r="I159" t="inlineStr">
        <x:is>
          <x:t xml:space="preserve">Y</x:t>
        </x:is>
      </x:c>
      <x:c r="J159" t="inlineStr">
        <x:is>
          <x:t xml:space="preserve">v3 added</x:t>
        </x:is>
      </x:c>
      <x:c r="K159" t="inlineStr">
        <x:is>
          <x:t xml:space="preserve">2026-03-08</x:t>
        </x:is>
      </x:c>
    </x:row>
    <x:row r="160">
      <x:c r="A160" t="inlineStr">
        <x:is>
          <x:t xml:space="preserve">CI0159</x:t>
        </x:is>
      </x:c>
      <x:c r="B160" t="inlineStr">
        <x:is>
          <x:t xml:space="preserve">hives</x:t>
        </x:is>
      </x:c>
      <x:c r="C160" t="inlineStr">
        <x:is>
          <x:t xml:space="preserve">hives</x:t>
        </x:is>
      </x:c>
      <x:c r="D160" t="inlineStr">
        <x:is>
          <x:t xml:space="preserve">Skin</x:t>
        </x:is>
      </x:c>
      <x:c r="E160" t="inlineStr">
        <x:is>
          <x:t xml:space="preserve">urticaria_mild_adult</x:t>
        </x:is>
      </x:c>
      <x:c r="F160" t="inlineStr">
        <x:is>
          <x:t xml:space="preserve">adult</x:t>
        </x:is>
      </x:c>
      <x:c r="G160" t="n">
        <x:v>2</x:v>
      </x:c>
      <x:c r="H160" t="inlineStr">
        <x:is>
          <x:t xml:space="preserve">alias</x:t>
        </x:is>
      </x:c>
      <x:c r="I160" t="inlineStr">
        <x:is>
          <x:t xml:space="preserve">Y</x:t>
        </x:is>
      </x:c>
      <x:c r="J160" t="inlineStr">
        <x:is>
          <x:t xml:space="preserve">v3 added</x:t>
        </x:is>
      </x:c>
      <x:c r="K160" t="inlineStr">
        <x:is>
          <x:t xml:space="preserve">2026-03-08</x:t>
        </x:is>
      </x:c>
    </x:row>
    <x:row r="161">
      <x:c r="A161" t="inlineStr">
        <x:is>
          <x:t xml:space="preserve">CI0160</x:t>
        </x:is>
      </x:c>
      <x:c r="B161" t="inlineStr">
        <x:is>
          <x:t xml:space="preserve">allergic wheals</x:t>
        </x:is>
      </x:c>
      <x:c r="C161" t="inlineStr">
        <x:is>
          <x:t xml:space="preserve">allergic wheals</x:t>
        </x:is>
      </x:c>
      <x:c r="D161" t="inlineStr">
        <x:is>
          <x:t xml:space="preserve">Skin</x:t>
        </x:is>
      </x:c>
      <x:c r="E161" t="inlineStr">
        <x:is>
          <x:t xml:space="preserve">urticaria_mild_adult</x:t>
        </x:is>
      </x:c>
      <x:c r="F161" t="inlineStr">
        <x:is>
          <x:t xml:space="preserve">adult</x:t>
        </x:is>
      </x:c>
      <x:c r="G161" t="n">
        <x:v>3</x:v>
      </x:c>
      <x:c r="H161" t="inlineStr">
        <x:is>
          <x:t xml:space="preserve">alias</x:t>
        </x:is>
      </x:c>
      <x:c r="I161" t="inlineStr">
        <x:is>
          <x:t xml:space="preserve">Y</x:t>
        </x:is>
      </x:c>
      <x:c r="J161" t="inlineStr">
        <x:is>
          <x:t xml:space="preserve">v3 added</x:t>
        </x:is>
      </x:c>
      <x:c r="K161" t="inlineStr">
        <x:is>
          <x:t xml:space="preserve">2026-03-08</x:t>
        </x:is>
      </x:c>
    </x:row>
    <x:row r="162">
      <x:c r="A162" t="inlineStr">
        <x:is>
          <x:t xml:space="preserve">CI0161</x:t>
        </x:is>
      </x:c>
      <x:c r="B162" t="inlineStr">
        <x:is>
          <x:t xml:space="preserve">localized pruritus</x:t>
        </x:is>
      </x:c>
      <x:c r="C162" t="inlineStr">
        <x:is>
          <x:t xml:space="preserve">localized pruritus</x:t>
        </x:is>
      </x:c>
      <x:c r="D162" t="inlineStr">
        <x:is>
          <x:t xml:space="preserve">Skin</x:t>
        </x:is>
      </x:c>
      <x:c r="E162" t="inlineStr">
        <x:is>
          <x:t xml:space="preserve">pruritus_localized_adult</x:t>
        </x:is>
      </x:c>
      <x:c r="F162" t="inlineStr">
        <x:is>
          <x:t xml:space="preserve">adult</x:t>
        </x:is>
      </x:c>
      <x:c r="G162" t="n">
        <x:v>1</x:v>
      </x:c>
      <x:c r="H162" t="inlineStr">
        <x:is>
          <x:t xml:space="preserve">exact</x:t>
        </x:is>
      </x:c>
      <x:c r="I162" t="inlineStr">
        <x:is>
          <x:t xml:space="preserve">Y</x:t>
        </x:is>
      </x:c>
      <x:c r="J162" t="inlineStr">
        <x:is>
          <x:t xml:space="preserve">v3 added</x:t>
        </x:is>
      </x:c>
      <x:c r="K162" t="inlineStr">
        <x:is>
          <x:t xml:space="preserve">2026-03-08</x:t>
        </x:is>
      </x:c>
    </x:row>
    <x:row r="163">
      <x:c r="A163" t="inlineStr">
        <x:is>
          <x:t xml:space="preserve">CI0162</x:t>
        </x:is>
      </x:c>
      <x:c r="B163" t="inlineStr">
        <x:is>
          <x:t xml:space="preserve">local itch</x:t>
        </x:is>
      </x:c>
      <x:c r="C163" t="inlineStr">
        <x:is>
          <x:t xml:space="preserve">local itch</x:t>
        </x:is>
      </x:c>
      <x:c r="D163" t="inlineStr">
        <x:is>
          <x:t xml:space="preserve">Skin</x:t>
        </x:is>
      </x:c>
      <x:c r="E163" t="inlineStr">
        <x:is>
          <x:t xml:space="preserve">pruritus_localized_adult</x:t>
        </x:is>
      </x:c>
      <x:c r="F163" t="inlineStr">
        <x:is>
          <x:t xml:space="preserve">adult</x:t>
        </x:is>
      </x:c>
      <x:c r="G163" t="n">
        <x:v>2</x:v>
      </x:c>
      <x:c r="H163" t="inlineStr">
        <x:is>
          <x:t xml:space="preserve">alias</x:t>
        </x:is>
      </x:c>
      <x:c r="I163" t="inlineStr">
        <x:is>
          <x:t xml:space="preserve">Y</x:t>
        </x:is>
      </x:c>
      <x:c r="J163" t="inlineStr">
        <x:is>
          <x:t xml:space="preserve">v3 added</x:t>
        </x:is>
      </x:c>
      <x:c r="K163" t="inlineStr">
        <x:is>
          <x:t xml:space="preserve">2026-03-08</x:t>
        </x:is>
      </x:c>
    </x:row>
    <x:row r="164">
      <x:c r="A164" t="inlineStr">
        <x:is>
          <x:t xml:space="preserve">CI0163</x:t>
        </x:is>
      </x:c>
      <x:c r="B164" t="inlineStr">
        <x:is>
          <x:t xml:space="preserve">itch without rash</x:t>
        </x:is>
      </x:c>
      <x:c r="C164" t="inlineStr">
        <x:is>
          <x:t xml:space="preserve">itch without rash</x:t>
        </x:is>
      </x:c>
      <x:c r="D164" t="inlineStr">
        <x:is>
          <x:t xml:space="preserve">Skin</x:t>
        </x:is>
      </x:c>
      <x:c r="E164" t="inlineStr">
        <x:is>
          <x:t xml:space="preserve">pruritus_localized_adult</x:t>
        </x:is>
      </x:c>
      <x:c r="F164" t="inlineStr">
        <x:is>
          <x:t xml:space="preserve">adult</x:t>
        </x:is>
      </x:c>
      <x:c r="G164" t="n">
        <x:v>3</x:v>
      </x:c>
      <x:c r="H164" t="inlineStr">
        <x:is>
          <x:t xml:space="preserve">alias</x:t>
        </x:is>
      </x:c>
      <x:c r="I164" t="inlineStr">
        <x:is>
          <x:t xml:space="preserve">Y</x:t>
        </x:is>
      </x:c>
      <x:c r="J164" t="inlineStr">
        <x:is>
          <x:t xml:space="preserve">v3 added</x:t>
        </x:is>
      </x:c>
      <x:c r="K164" t="inlineStr">
        <x:is>
          <x:t xml:space="preserve">2026-03-08</x:t>
        </x:is>
      </x:c>
    </x:row>
    <x:row r="165">
      <x:c r="A165" t="inlineStr">
        <x:is>
          <x:t xml:space="preserve">CI0164</x:t>
        </x:is>
      </x:c>
      <x:c r="B165" t="inlineStr">
        <x:is>
          <x:t xml:space="preserve">tinea corporis</x:t>
        </x:is>
      </x:c>
      <x:c r="C165" t="inlineStr">
        <x:is>
          <x:t xml:space="preserve">tinea corporis</x:t>
        </x:is>
      </x:c>
      <x:c r="D165" t="inlineStr">
        <x:is>
          <x:t xml:space="preserve">Skin</x:t>
        </x:is>
      </x:c>
      <x:c r="E165" t="inlineStr">
        <x:is>
          <x:t xml:space="preserve">tinea_corporis_localized_adult</x:t>
        </x:is>
      </x:c>
      <x:c r="F165" t="inlineStr">
        <x:is>
          <x:t xml:space="preserve">adult</x:t>
        </x:is>
      </x:c>
      <x:c r="G165" t="n">
        <x:v>1</x:v>
      </x:c>
      <x:c r="H165" t="inlineStr">
        <x:is>
          <x:t xml:space="preserve">exact</x:t>
        </x:is>
      </x:c>
      <x:c r="I165" t="inlineStr">
        <x:is>
          <x:t xml:space="preserve">Y</x:t>
        </x:is>
      </x:c>
      <x:c r="J165" t="inlineStr">
        <x:is>
          <x:t xml:space="preserve">v3 added</x:t>
        </x:is>
      </x:c>
      <x:c r="K165" t="inlineStr">
        <x:is>
          <x:t xml:space="preserve">2026-03-08</x:t>
        </x:is>
      </x:c>
    </x:row>
    <x:row r="166">
      <x:c r="A166" t="inlineStr">
        <x:is>
          <x:t xml:space="preserve">CI0165</x:t>
        </x:is>
      </x:c>
      <x:c r="B166" t="inlineStr">
        <x:is>
          <x:t xml:space="preserve">ringworm</x:t>
        </x:is>
      </x:c>
      <x:c r="C166" t="inlineStr">
        <x:is>
          <x:t xml:space="preserve">ringworm</x:t>
        </x:is>
      </x:c>
      <x:c r="D166" t="inlineStr">
        <x:is>
          <x:t xml:space="preserve">Skin</x:t>
        </x:is>
      </x:c>
      <x:c r="E166" t="inlineStr">
        <x:is>
          <x:t xml:space="preserve">tinea_corporis_localized_adult</x:t>
        </x:is>
      </x:c>
      <x:c r="F166" t="inlineStr">
        <x:is>
          <x:t xml:space="preserve">adult</x:t>
        </x:is>
      </x:c>
      <x:c r="G166" t="n">
        <x:v>2</x:v>
      </x:c>
      <x:c r="H166" t="inlineStr">
        <x:is>
          <x:t xml:space="preserve">alias</x:t>
        </x:is>
      </x:c>
      <x:c r="I166" t="inlineStr">
        <x:is>
          <x:t xml:space="preserve">Y</x:t>
        </x:is>
      </x:c>
      <x:c r="J166" t="inlineStr">
        <x:is>
          <x:t xml:space="preserve">v3 added</x:t>
        </x:is>
      </x:c>
      <x:c r="K166" t="inlineStr">
        <x:is>
          <x:t xml:space="preserve">2026-03-08</x:t>
        </x:is>
      </x:c>
    </x:row>
    <x:row r="167">
      <x:c r="A167" t="inlineStr">
        <x:is>
          <x:t xml:space="preserve">CI0166</x:t>
        </x:is>
      </x:c>
      <x:c r="B167" t="inlineStr">
        <x:is>
          <x:t xml:space="preserve">fungal body rash</x:t>
        </x:is>
      </x:c>
      <x:c r="C167" t="inlineStr">
        <x:is>
          <x:t xml:space="preserve">fungal body rash</x:t>
        </x:is>
      </x:c>
      <x:c r="D167" t="inlineStr">
        <x:is>
          <x:t xml:space="preserve">Skin</x:t>
        </x:is>
      </x:c>
      <x:c r="E167" t="inlineStr">
        <x:is>
          <x:t xml:space="preserve">tinea_corporis_localized_adult</x:t>
        </x:is>
      </x:c>
      <x:c r="F167" t="inlineStr">
        <x:is>
          <x:t xml:space="preserve">adult</x:t>
        </x:is>
      </x:c>
      <x:c r="G167" t="n">
        <x:v>3</x:v>
      </x:c>
      <x:c r="H167" t="inlineStr">
        <x:is>
          <x:t xml:space="preserve">alias</x:t>
        </x:is>
      </x:c>
      <x:c r="I167" t="inlineStr">
        <x:is>
          <x:t xml:space="preserve">Y</x:t>
        </x:is>
      </x:c>
      <x:c r="J167" t="inlineStr">
        <x:is>
          <x:t xml:space="preserve">v3 added</x:t>
        </x:is>
      </x:c>
      <x:c r="K167" t="inlineStr">
        <x:is>
          <x:t xml:space="preserve">2026-03-08</x:t>
        </x:is>
      </x:c>
    </x:row>
    <x:row r="168">
      <x:c r="A168" t="inlineStr">
        <x:is>
          <x:t xml:space="preserve">CI0167</x:t>
        </x:is>
      </x:c>
      <x:c r="B168" t="inlineStr">
        <x:is>
          <x:t xml:space="preserve">impetigo</x:t>
        </x:is>
      </x:c>
      <x:c r="C168" t="inlineStr">
        <x:is>
          <x:t xml:space="preserve">impetigo</x:t>
        </x:is>
      </x:c>
      <x:c r="D168" t="inlineStr">
        <x:is>
          <x:t xml:space="preserve">Skin</x:t>
        </x:is>
      </x:c>
      <x:c r="E168" t="inlineStr">
        <x:is>
          <x:t xml:space="preserve">impetigo_localized_adult</x:t>
        </x:is>
      </x:c>
      <x:c r="F168" t="inlineStr">
        <x:is>
          <x:t xml:space="preserve">adult</x:t>
        </x:is>
      </x:c>
      <x:c r="G168" t="n">
        <x:v>1</x:v>
      </x:c>
      <x:c r="H168" t="inlineStr">
        <x:is>
          <x:t xml:space="preserve">exact</x:t>
        </x:is>
      </x:c>
      <x:c r="I168" t="inlineStr">
        <x:is>
          <x:t xml:space="preserve">Y</x:t>
        </x:is>
      </x:c>
      <x:c r="J168" t="inlineStr">
        <x:is>
          <x:t xml:space="preserve">v3 added</x:t>
        </x:is>
      </x:c>
      <x:c r="K168" t="inlineStr">
        <x:is>
          <x:t xml:space="preserve">2026-03-08</x:t>
        </x:is>
      </x:c>
    </x:row>
    <x:row r="169">
      <x:c r="A169" t="inlineStr">
        <x:is>
          <x:t xml:space="preserve">CI0168</x:t>
        </x:is>
      </x:c>
      <x:c r="B169" t="inlineStr">
        <x:is>
          <x:t xml:space="preserve">localized skin infection</x:t>
        </x:is>
      </x:c>
      <x:c r="C169" t="inlineStr">
        <x:is>
          <x:t xml:space="preserve">localized skin infection</x:t>
        </x:is>
      </x:c>
      <x:c r="D169" t="inlineStr">
        <x:is>
          <x:t xml:space="preserve">Skin</x:t>
        </x:is>
      </x:c>
      <x:c r="E169" t="inlineStr">
        <x:is>
          <x:t xml:space="preserve">impetigo_localized_adult</x:t>
        </x:is>
      </x:c>
      <x:c r="F169" t="inlineStr">
        <x:is>
          <x:t xml:space="preserve">adult</x:t>
        </x:is>
      </x:c>
      <x:c r="G169" t="n">
        <x:v>2</x:v>
      </x:c>
      <x:c r="H169" t="inlineStr">
        <x:is>
          <x:t xml:space="preserve">alias</x:t>
        </x:is>
      </x:c>
      <x:c r="I169" t="inlineStr">
        <x:is>
          <x:t xml:space="preserve">Y</x:t>
        </x:is>
      </x:c>
      <x:c r="J169" t="inlineStr">
        <x:is>
          <x:t xml:space="preserve">v3 added</x:t>
        </x:is>
      </x:c>
      <x:c r="K169" t="inlineStr">
        <x:is>
          <x:t xml:space="preserve">2026-03-08</x:t>
        </x:is>
      </x:c>
    </x:row>
    <x:row r="170">
      <x:c r="A170" t="inlineStr">
        <x:is>
          <x:t xml:space="preserve">CI0169</x:t>
        </x:is>
      </x:c>
      <x:c r="B170" t="inlineStr">
        <x:is>
          <x:t xml:space="preserve">small bacterial skin lesion</x:t>
        </x:is>
      </x:c>
      <x:c r="C170" t="inlineStr">
        <x:is>
          <x:t xml:space="preserve">small bacterial skin lesion</x:t>
        </x:is>
      </x:c>
      <x:c r="D170" t="inlineStr">
        <x:is>
          <x:t xml:space="preserve">Skin</x:t>
        </x:is>
      </x:c>
      <x:c r="E170" t="inlineStr">
        <x:is>
          <x:t xml:space="preserve">impetigo_localized_adult</x:t>
        </x:is>
      </x:c>
      <x:c r="F170" t="inlineStr">
        <x:is>
          <x:t xml:space="preserve">adult</x:t>
        </x:is>
      </x:c>
      <x:c r="G170" t="n">
        <x:v>3</x:v>
      </x:c>
      <x:c r="H170" t="inlineStr">
        <x:is>
          <x:t xml:space="preserve">alias</x:t>
        </x:is>
      </x:c>
      <x:c r="I170" t="inlineStr">
        <x:is>
          <x:t xml:space="preserve">Y</x:t>
        </x:is>
      </x:c>
      <x:c r="J170" t="inlineStr">
        <x:is>
          <x:t xml:space="preserve">v3 added</x:t>
        </x:is>
      </x:c>
      <x:c r="K170" t="inlineStr">
        <x:is>
          <x:t xml:space="preserve">2026-03-08</x:t>
        </x:is>
      </x:c>
    </x:row>
    <x:row r="171">
      <x:c r="A171" t="inlineStr">
        <x:is>
          <x:t xml:space="preserve">CI0170</x:t>
        </x:is>
      </x:c>
      <x:c r="B171" t="inlineStr">
        <x:is>
          <x:t xml:space="preserve">minor wound care</x:t>
        </x:is>
      </x:c>
      <x:c r="C171" t="inlineStr">
        <x:is>
          <x:t xml:space="preserve">minor wound care</x:t>
        </x:is>
      </x:c>
      <x:c r="D171" t="inlineStr">
        <x:is>
          <x:t xml:space="preserve">Skin</x:t>
        </x:is>
      </x:c>
      <x:c r="E171" t="inlineStr">
        <x:is>
          <x:t xml:space="preserve">minor_wound_care_adult</x:t>
        </x:is>
      </x:c>
      <x:c r="F171" t="inlineStr">
        <x:is>
          <x:t xml:space="preserve">adult</x:t>
        </x:is>
      </x:c>
      <x:c r="G171" t="n">
        <x:v>1</x:v>
      </x:c>
      <x:c r="H171" t="inlineStr">
        <x:is>
          <x:t xml:space="preserve">exact</x:t>
        </x:is>
      </x:c>
      <x:c r="I171" t="inlineStr">
        <x:is>
          <x:t xml:space="preserve">Y</x:t>
        </x:is>
      </x:c>
      <x:c r="J171" t="inlineStr">
        <x:is>
          <x:t xml:space="preserve">v3 added</x:t>
        </x:is>
      </x:c>
      <x:c r="K171" t="inlineStr">
        <x:is>
          <x:t xml:space="preserve">2026-03-08</x:t>
        </x:is>
      </x:c>
    </x:row>
    <x:row r="172">
      <x:c r="A172" t="inlineStr">
        <x:is>
          <x:t xml:space="preserve">CI0171</x:t>
        </x:is>
      </x:c>
      <x:c r="B172" t="inlineStr">
        <x:is>
          <x:t xml:space="preserve">abrasion care</x:t>
        </x:is>
      </x:c>
      <x:c r="C172" t="inlineStr">
        <x:is>
          <x:t xml:space="preserve">abrasion care</x:t>
        </x:is>
      </x:c>
      <x:c r="D172" t="inlineStr">
        <x:is>
          <x:t xml:space="preserve">Skin</x:t>
        </x:is>
      </x:c>
      <x:c r="E172" t="inlineStr">
        <x:is>
          <x:t xml:space="preserve">minor_wound_care_adult</x:t>
        </x:is>
      </x:c>
      <x:c r="F172" t="inlineStr">
        <x:is>
          <x:t xml:space="preserve">adult</x:t>
        </x:is>
      </x:c>
      <x:c r="G172" t="n">
        <x:v>2</x:v>
      </x:c>
      <x:c r="H172" t="inlineStr">
        <x:is>
          <x:t xml:space="preserve">alias</x:t>
        </x:is>
      </x:c>
      <x:c r="I172" t="inlineStr">
        <x:is>
          <x:t xml:space="preserve">Y</x:t>
        </x:is>
      </x:c>
      <x:c r="J172" t="inlineStr">
        <x:is>
          <x:t xml:space="preserve">v3 added</x:t>
        </x:is>
      </x:c>
      <x:c r="K172" t="inlineStr">
        <x:is>
          <x:t xml:space="preserve">2026-03-08</x:t>
        </x:is>
      </x:c>
    </x:row>
    <x:row r="173">
      <x:c r="A173" t="inlineStr">
        <x:is>
          <x:t xml:space="preserve">CI0172</x:t>
        </x:is>
      </x:c>
      <x:c r="B173" t="inlineStr">
        <x:is>
          <x:t xml:space="preserve">small wound support</x:t>
        </x:is>
      </x:c>
      <x:c r="C173" t="inlineStr">
        <x:is>
          <x:t xml:space="preserve">small wound support</x:t>
        </x:is>
      </x:c>
      <x:c r="D173" t="inlineStr">
        <x:is>
          <x:t xml:space="preserve">Skin</x:t>
        </x:is>
      </x:c>
      <x:c r="E173" t="inlineStr">
        <x:is>
          <x:t xml:space="preserve">minor_wound_care_adult</x:t>
        </x:is>
      </x:c>
      <x:c r="F173" t="inlineStr">
        <x:is>
          <x:t xml:space="preserve">adult</x:t>
        </x:is>
      </x:c>
      <x:c r="G173" t="n">
        <x:v>3</x:v>
      </x:c>
      <x:c r="H173" t="inlineStr">
        <x:is>
          <x:t xml:space="preserve">alias</x:t>
        </x:is>
      </x:c>
      <x:c r="I173" t="inlineStr">
        <x:is>
          <x:t xml:space="preserve">Y</x:t>
        </x:is>
      </x:c>
      <x:c r="J173" t="inlineStr">
        <x:is>
          <x:t xml:space="preserve">v3 added</x:t>
        </x:is>
      </x:c>
      <x:c r="K173" t="inlineStr">
        <x:is>
          <x:t xml:space="preserve">2026-03-08</x:t>
        </x:is>
      </x:c>
    </x:row>
    <x:row r="174">
      <x:c r="A174" t="inlineStr">
        <x:is>
          <x:t xml:space="preserve">CI0173</x:t>
        </x:is>
      </x:c>
      <x:c r="B174" t="inlineStr">
        <x:is>
          <x:t xml:space="preserve">screen related dry eye</x:t>
        </x:is>
      </x:c>
      <x:c r="C174" t="inlineStr">
        <x:is>
          <x:t xml:space="preserve">screen related dry eye</x:t>
        </x:is>
      </x:c>
      <x:c r="D174" t="inlineStr">
        <x:is>
          <x:t xml:space="preserve">Eye</x:t>
        </x:is>
      </x:c>
      <x:c r="E174" t="inlineStr">
        <x:is>
          <x:t xml:space="preserve">screen_related_dry_eye_adult</x:t>
        </x:is>
      </x:c>
      <x:c r="F174" t="inlineStr">
        <x:is>
          <x:t xml:space="preserve">adult</x:t>
        </x:is>
      </x:c>
      <x:c r="G174" t="n">
        <x:v>1</x:v>
      </x:c>
      <x:c r="H174" t="inlineStr">
        <x:is>
          <x:t xml:space="preserve">exact</x:t>
        </x:is>
      </x:c>
      <x:c r="I174" t="inlineStr">
        <x:is>
          <x:t xml:space="preserve">Y</x:t>
        </x:is>
      </x:c>
      <x:c r="J174" t="inlineStr">
        <x:is>
          <x:t xml:space="preserve">v3 added</x:t>
        </x:is>
      </x:c>
      <x:c r="K174" t="inlineStr">
        <x:is>
          <x:t xml:space="preserve">2026-03-08</x:t>
        </x:is>
      </x:c>
    </x:row>
    <x:row r="175">
      <x:c r="A175" t="inlineStr">
        <x:is>
          <x:t xml:space="preserve">CI0174</x:t>
        </x:is>
      </x:c>
      <x:c r="B175" t="inlineStr">
        <x:is>
          <x:t xml:space="preserve">computer eye dryness</x:t>
        </x:is>
      </x:c>
      <x:c r="C175" t="inlineStr">
        <x:is>
          <x:t xml:space="preserve">computer eye dryness</x:t>
        </x:is>
      </x:c>
      <x:c r="D175" t="inlineStr">
        <x:is>
          <x:t xml:space="preserve">Eye</x:t>
        </x:is>
      </x:c>
      <x:c r="E175" t="inlineStr">
        <x:is>
          <x:t xml:space="preserve">screen_related_dry_eye_adult</x:t>
        </x:is>
      </x:c>
      <x:c r="F175" t="inlineStr">
        <x:is>
          <x:t xml:space="preserve">adult</x:t>
        </x:is>
      </x:c>
      <x:c r="G175" t="n">
        <x:v>2</x:v>
      </x:c>
      <x:c r="H175" t="inlineStr">
        <x:is>
          <x:t xml:space="preserve">alias</x:t>
        </x:is>
      </x:c>
      <x:c r="I175" t="inlineStr">
        <x:is>
          <x:t xml:space="preserve">Y</x:t>
        </x:is>
      </x:c>
      <x:c r="J175" t="inlineStr">
        <x:is>
          <x:t xml:space="preserve">v3 added</x:t>
        </x:is>
      </x:c>
      <x:c r="K175" t="inlineStr">
        <x:is>
          <x:t xml:space="preserve">2026-03-08</x:t>
        </x:is>
      </x:c>
    </x:row>
    <x:row r="176">
      <x:c r="A176" t="inlineStr">
        <x:is>
          <x:t xml:space="preserve">CI0175</x:t>
        </x:is>
      </x:c>
      <x:c r="B176" t="inlineStr">
        <x:is>
          <x:t xml:space="preserve">dry eye from screen</x:t>
        </x:is>
      </x:c>
      <x:c r="C176" t="inlineStr">
        <x:is>
          <x:t xml:space="preserve">dry eye from screen</x:t>
        </x:is>
      </x:c>
      <x:c r="D176" t="inlineStr">
        <x:is>
          <x:t xml:space="preserve">Eye</x:t>
        </x:is>
      </x:c>
      <x:c r="E176" t="inlineStr">
        <x:is>
          <x:t xml:space="preserve">screen_related_dry_eye_adult</x:t>
        </x:is>
      </x:c>
      <x:c r="F176" t="inlineStr">
        <x:is>
          <x:t xml:space="preserve">adult</x:t>
        </x:is>
      </x:c>
      <x:c r="G176" t="n">
        <x:v>3</x:v>
      </x:c>
      <x:c r="H176" t="inlineStr">
        <x:is>
          <x:t xml:space="preserve">alias</x:t>
        </x:is>
      </x:c>
      <x:c r="I176" t="inlineStr">
        <x:is>
          <x:t xml:space="preserve">Y</x:t>
        </x:is>
      </x:c>
      <x:c r="J176" t="inlineStr">
        <x:is>
          <x:t xml:space="preserve">v3 added</x:t>
        </x:is>
      </x:c>
      <x:c r="K176" t="inlineStr">
        <x:is>
          <x:t xml:space="preserve">2026-03-08</x:t>
        </x:is>
      </x:c>
    </x:row>
    <x:row r="177">
      <x:c r="A177" t="inlineStr">
        <x:is>
          <x:t xml:space="preserve">CI0176</x:t>
        </x:is>
      </x:c>
      <x:c r="B177" t="inlineStr">
        <x:is>
          <x:t xml:space="preserve">aphthous ulcer</x:t>
        </x:is>
      </x:c>
      <x:c r="C177" t="inlineStr">
        <x:is>
          <x:t xml:space="preserve">aphthous ulcer</x:t>
        </x:is>
      </x:c>
      <x:c r="D177" t="inlineStr">
        <x:is>
          <x:t xml:space="preserve">Oral</x:t>
        </x:is>
      </x:c>
      <x:c r="E177" t="inlineStr">
        <x:is>
          <x:t xml:space="preserve">aphthous_ulcer_pain_adult</x:t>
        </x:is>
      </x:c>
      <x:c r="F177" t="inlineStr">
        <x:is>
          <x:t xml:space="preserve">adult</x:t>
        </x:is>
      </x:c>
      <x:c r="G177" t="n">
        <x:v>1</x:v>
      </x:c>
      <x:c r="H177" t="inlineStr">
        <x:is>
          <x:t xml:space="preserve">exact</x:t>
        </x:is>
      </x:c>
      <x:c r="I177" t="inlineStr">
        <x:is>
          <x:t xml:space="preserve">Y</x:t>
        </x:is>
      </x:c>
      <x:c r="J177" t="inlineStr">
        <x:is>
          <x:t xml:space="preserve">v3 added</x:t>
        </x:is>
      </x:c>
      <x:c r="K177" t="inlineStr">
        <x:is>
          <x:t xml:space="preserve">2026-03-08</x:t>
        </x:is>
      </x:c>
    </x:row>
    <x:row r="178">
      <x:c r="A178" t="inlineStr">
        <x:is>
          <x:t xml:space="preserve">CI0177</x:t>
        </x:is>
      </x:c>
      <x:c r="B178" t="inlineStr">
        <x:is>
          <x:t xml:space="preserve">painful mouth ulcer</x:t>
        </x:is>
      </x:c>
      <x:c r="C178" t="inlineStr">
        <x:is>
          <x:t xml:space="preserve">painful mouth ulcer</x:t>
        </x:is>
      </x:c>
      <x:c r="D178" t="inlineStr">
        <x:is>
          <x:t xml:space="preserve">Oral</x:t>
        </x:is>
      </x:c>
      <x:c r="E178" t="inlineStr">
        <x:is>
          <x:t xml:space="preserve">aphthous_ulcer_pain_adult</x:t>
        </x:is>
      </x:c>
      <x:c r="F178" t="inlineStr">
        <x:is>
          <x:t xml:space="preserve">adult</x:t>
        </x:is>
      </x:c>
      <x:c r="G178" t="n">
        <x:v>2</x:v>
      </x:c>
      <x:c r="H178" t="inlineStr">
        <x:is>
          <x:t xml:space="preserve">alias</x:t>
        </x:is>
      </x:c>
      <x:c r="I178" t="inlineStr">
        <x:is>
          <x:t xml:space="preserve">Y</x:t>
        </x:is>
      </x:c>
      <x:c r="J178" t="inlineStr">
        <x:is>
          <x:t xml:space="preserve">v3 added</x:t>
        </x:is>
      </x:c>
      <x:c r="K178" t="inlineStr">
        <x:is>
          <x:t xml:space="preserve">2026-03-08</x:t>
        </x:is>
      </x:c>
    </x:row>
    <x:row r="179">
      <x:c r="A179" t="inlineStr">
        <x:is>
          <x:t xml:space="preserve">CI0178</x:t>
        </x:is>
      </x:c>
      <x:c r="B179" t="inlineStr">
        <x:is>
          <x:t xml:space="preserve">canker sore</x:t>
        </x:is>
      </x:c>
      <x:c r="C179" t="inlineStr">
        <x:is>
          <x:t xml:space="preserve">canker sore</x:t>
        </x:is>
      </x:c>
      <x:c r="D179" t="inlineStr">
        <x:is>
          <x:t xml:space="preserve">Oral</x:t>
        </x:is>
      </x:c>
      <x:c r="E179" t="inlineStr">
        <x:is>
          <x:t xml:space="preserve">aphthous_ulcer_pain_adult</x:t>
        </x:is>
      </x:c>
      <x:c r="F179" t="inlineStr">
        <x:is>
          <x:t xml:space="preserve">adult</x:t>
        </x:is>
      </x:c>
      <x:c r="G179" t="n">
        <x:v>3</x:v>
      </x:c>
      <x:c r="H179" t="inlineStr">
        <x:is>
          <x:t xml:space="preserve">alias</x:t>
        </x:is>
      </x:c>
      <x:c r="I179" t="inlineStr">
        <x:is>
          <x:t xml:space="preserve">Y</x:t>
        </x:is>
      </x:c>
      <x:c r="J179" t="inlineStr">
        <x:is>
          <x:t xml:space="preserve">v3 added</x:t>
        </x:is>
      </x:c>
      <x:c r="K179" t="inlineStr">
        <x:is>
          <x:t xml:space="preserve">2026-03-08</x:t>
        </x:is>
      </x:c>
    </x:row>
    <x:row r="180">
      <x:c r="A180" t="inlineStr">
        <x:is>
          <x:t xml:space="preserve">CI0179</x:t>
        </x:is>
      </x:c>
      <x:c r="B180" t="inlineStr">
        <x:is>
          <x:t xml:space="preserve">nasal dryness</x:t>
        </x:is>
      </x:c>
      <x:c r="C180" t="inlineStr">
        <x:is>
          <x:t xml:space="preserve">nasal dryness</x:t>
        </x:is>
      </x:c>
      <x:c r="D180" t="inlineStr">
        <x:is>
          <x:t xml:space="preserve">ENT</x:t>
        </x:is>
      </x:c>
      <x:c r="E180" t="inlineStr">
        <x:is>
          <x:t xml:space="preserve">nasal_dryness_irritation_adult</x:t>
        </x:is>
      </x:c>
      <x:c r="F180" t="inlineStr">
        <x:is>
          <x:t xml:space="preserve">adult</x:t>
        </x:is>
      </x:c>
      <x:c r="G180" t="n">
        <x:v>1</x:v>
      </x:c>
      <x:c r="H180" t="inlineStr">
        <x:is>
          <x:t xml:space="preserve">exact</x:t>
        </x:is>
      </x:c>
      <x:c r="I180" t="inlineStr">
        <x:is>
          <x:t xml:space="preserve">Y</x:t>
        </x:is>
      </x:c>
      <x:c r="J180" t="inlineStr">
        <x:is>
          <x:t xml:space="preserve">v3 added</x:t>
        </x:is>
      </x:c>
      <x:c r="K180" t="inlineStr">
        <x:is>
          <x:t xml:space="preserve">2026-03-08</x:t>
        </x:is>
      </x:c>
    </x:row>
    <x:row r="181">
      <x:c r="A181" t="inlineStr">
        <x:is>
          <x:t xml:space="preserve">CI0180</x:t>
        </x:is>
      </x:c>
      <x:c r="B181" t="inlineStr">
        <x:is>
          <x:t xml:space="preserve">dry irritated nose</x:t>
        </x:is>
      </x:c>
      <x:c r="C181" t="inlineStr">
        <x:is>
          <x:t xml:space="preserve">dry irritated nose</x:t>
        </x:is>
      </x:c>
      <x:c r="D181" t="inlineStr">
        <x:is>
          <x:t xml:space="preserve">ENT</x:t>
        </x:is>
      </x:c>
      <x:c r="E181" t="inlineStr">
        <x:is>
          <x:t xml:space="preserve">nasal_dryness_irritation_adult</x:t>
        </x:is>
      </x:c>
      <x:c r="F181" t="inlineStr">
        <x:is>
          <x:t xml:space="preserve">adult</x:t>
        </x:is>
      </x:c>
      <x:c r="G181" t="n">
        <x:v>2</x:v>
      </x:c>
      <x:c r="H181" t="inlineStr">
        <x:is>
          <x:t xml:space="preserve">alias</x:t>
        </x:is>
      </x:c>
      <x:c r="I181" t="inlineStr">
        <x:is>
          <x:t xml:space="preserve">Y</x:t>
        </x:is>
      </x:c>
      <x:c r="J181" t="inlineStr">
        <x:is>
          <x:t xml:space="preserve">v3 added</x:t>
        </x:is>
      </x:c>
      <x:c r="K181" t="inlineStr">
        <x:is>
          <x:t xml:space="preserve">2026-03-08</x:t>
        </x:is>
      </x:c>
    </x:row>
    <x:row r="182">
      <x:c r="A182" t="inlineStr">
        <x:is>
          <x:t xml:space="preserve">CI0181</x:t>
        </x:is>
      </x:c>
      <x:c r="B182" t="inlineStr">
        <x:is>
          <x:t xml:space="preserve">nose dryness irritation</x:t>
        </x:is>
      </x:c>
      <x:c r="C182" t="inlineStr">
        <x:is>
          <x:t xml:space="preserve">nose dryness irritation</x:t>
        </x:is>
      </x:c>
      <x:c r="D182" t="inlineStr">
        <x:is>
          <x:t xml:space="preserve">ENT</x:t>
        </x:is>
      </x:c>
      <x:c r="E182" t="inlineStr">
        <x:is>
          <x:t xml:space="preserve">nasal_dryness_irritation_adult</x:t>
        </x:is>
      </x:c>
      <x:c r="F182" t="inlineStr">
        <x:is>
          <x:t xml:space="preserve">adult</x:t>
        </x:is>
      </x:c>
      <x:c r="G182" t="n">
        <x:v>3</x:v>
      </x:c>
      <x:c r="H182" t="inlineStr">
        <x:is>
          <x:t xml:space="preserve">alias</x:t>
        </x:is>
      </x:c>
      <x:c r="I182" t="inlineStr">
        <x:is>
          <x:t xml:space="preserve">Y</x:t>
        </x:is>
      </x:c>
      <x:c r="J182" t="inlineStr">
        <x:is>
          <x:t xml:space="preserve">v3 added</x:t>
        </x:is>
      </x:c>
      <x:c r="K182" t="inlineStr">
        <x:is>
          <x:t xml:space="preserve">2026-03-08</x:t>
        </x:is>
      </x:c>
    </x:row>
    <x:row r="183">
      <x:c r="A183" t="inlineStr">
        <x:is>
          <x:t xml:space="preserve">CI0182</x:t>
        </x:is>
      </x:c>
      <x:c r="B183" t="inlineStr">
        <x:is>
          <x:t xml:space="preserve">mild wet cough support</x:t>
        </x:is>
      </x:c>
      <x:c r="C183" t="inlineStr">
        <x:is>
          <x:t xml:space="preserve">mild wet cough support</x:t>
        </x:is>
      </x:c>
      <x:c r="D183" t="inlineStr">
        <x:is>
          <x:t xml:space="preserve">ENT</x:t>
        </x:is>
      </x:c>
      <x:c r="E183" t="inlineStr">
        <x:is>
          <x:t xml:space="preserve">mild_mucolytic_support_adult</x:t>
        </x:is>
      </x:c>
      <x:c r="F183" t="inlineStr">
        <x:is>
          <x:t xml:space="preserve">adult</x:t>
        </x:is>
      </x:c>
      <x:c r="G183" t="n">
        <x:v>1</x:v>
      </x:c>
      <x:c r="H183" t="inlineStr">
        <x:is>
          <x:t xml:space="preserve">exact</x:t>
        </x:is>
      </x:c>
      <x:c r="I183" t="inlineStr">
        <x:is>
          <x:t xml:space="preserve">Y</x:t>
        </x:is>
      </x:c>
      <x:c r="J183" t="inlineStr">
        <x:is>
          <x:t xml:space="preserve">v3 added</x:t>
        </x:is>
      </x:c>
      <x:c r="K183" t="inlineStr">
        <x:is>
          <x:t xml:space="preserve">2026-03-08</x:t>
        </x:is>
      </x:c>
    </x:row>
    <x:row r="184">
      <x:c r="A184" t="inlineStr">
        <x:is>
          <x:t xml:space="preserve">CI0183</x:t>
        </x:is>
      </x:c>
      <x:c r="B184" t="inlineStr">
        <x:is>
          <x:t xml:space="preserve">mucolytic support</x:t>
        </x:is>
      </x:c>
      <x:c r="C184" t="inlineStr">
        <x:is>
          <x:t xml:space="preserve">mucolytic support</x:t>
        </x:is>
      </x:c>
      <x:c r="D184" t="inlineStr">
        <x:is>
          <x:t xml:space="preserve">ENT</x:t>
        </x:is>
      </x:c>
      <x:c r="E184" t="inlineStr">
        <x:is>
          <x:t xml:space="preserve">mild_mucolytic_support_adult</x:t>
        </x:is>
      </x:c>
      <x:c r="F184" t="inlineStr">
        <x:is>
          <x:t xml:space="preserve">adult</x:t>
        </x:is>
      </x:c>
      <x:c r="G184" t="n">
        <x:v>2</x:v>
      </x:c>
      <x:c r="H184" t="inlineStr">
        <x:is>
          <x:t xml:space="preserve">alias</x:t>
        </x:is>
      </x:c>
      <x:c r="I184" t="inlineStr">
        <x:is>
          <x:t xml:space="preserve">Y</x:t>
        </x:is>
      </x:c>
      <x:c r="J184" t="inlineStr">
        <x:is>
          <x:t xml:space="preserve">v3 added</x:t>
        </x:is>
      </x:c>
      <x:c r="K184" t="inlineStr">
        <x:is>
          <x:t xml:space="preserve">2026-03-08</x:t>
        </x:is>
      </x:c>
    </x:row>
    <x:row r="185">
      <x:c r="A185" t="inlineStr">
        <x:is>
          <x:t xml:space="preserve">CI0184</x:t>
        </x:is>
      </x:c>
      <x:c r="B185" t="inlineStr">
        <x:is>
          <x:t xml:space="preserve">phlegm support</x:t>
        </x:is>
      </x:c>
      <x:c r="C185" t="inlineStr">
        <x:is>
          <x:t xml:space="preserve">phlegm support</x:t>
        </x:is>
      </x:c>
      <x:c r="D185" t="inlineStr">
        <x:is>
          <x:t xml:space="preserve">ENT</x:t>
        </x:is>
      </x:c>
      <x:c r="E185" t="inlineStr">
        <x:is>
          <x:t xml:space="preserve">mild_mucolytic_support_adult</x:t>
        </x:is>
      </x:c>
      <x:c r="F185" t="inlineStr">
        <x:is>
          <x:t xml:space="preserve">adult</x:t>
        </x:is>
      </x:c>
      <x:c r="G185" t="n">
        <x:v>3</x:v>
      </x:c>
      <x:c r="H185" t="inlineStr">
        <x:is>
          <x:t xml:space="preserve">alias</x:t>
        </x:is>
      </x:c>
      <x:c r="I185" t="inlineStr">
        <x:is>
          <x:t xml:space="preserve">Y</x:t>
        </x:is>
      </x:c>
      <x:c r="J185" t="inlineStr">
        <x:is>
          <x:t xml:space="preserve">v3 added</x:t>
        </x:is>
      </x:c>
      <x:c r="K185" t="inlineStr">
        <x:is>
          <x:t xml:space="preserve">2026-03-08</x:t>
        </x:is>
      </x:c>
    </x:row>
    <x:row r="186">
      <x:c r="A186" t="inlineStr">
        <x:is>
          <x:t xml:space="preserve">CI0185</x:t>
        </x:is>
      </x:c>
      <x:c r="B186" t="inlineStr">
        <x:is>
          <x:t xml:space="preserve">tonsil irritation</x:t>
        </x:is>
      </x:c>
      <x:c r="C186" t="inlineStr">
        <x:is>
          <x:t xml:space="preserve">tonsil irritation</x:t>
        </x:is>
      </x:c>
      <x:c r="D186" t="inlineStr">
        <x:is>
          <x:t xml:space="preserve">ENT</x:t>
        </x:is>
      </x:c>
      <x:c r="E186" t="inlineStr">
        <x:is>
          <x:t xml:space="preserve">tonsillar_inflammation_support_adult</x:t>
        </x:is>
      </x:c>
      <x:c r="F186" t="inlineStr">
        <x:is>
          <x:t xml:space="preserve">adult</x:t>
        </x:is>
      </x:c>
      <x:c r="G186" t="n">
        <x:v>1</x:v>
      </x:c>
      <x:c r="H186" t="inlineStr">
        <x:is>
          <x:t xml:space="preserve">exact</x:t>
        </x:is>
      </x:c>
      <x:c r="I186" t="inlineStr">
        <x:is>
          <x:t xml:space="preserve">Y</x:t>
        </x:is>
      </x:c>
      <x:c r="J186" t="inlineStr">
        <x:is>
          <x:t xml:space="preserve">v3 added</x:t>
        </x:is>
      </x:c>
      <x:c r="K186" t="inlineStr">
        <x:is>
          <x:t xml:space="preserve">2026-03-08</x:t>
        </x:is>
      </x:c>
    </x:row>
    <x:row r="187">
      <x:c r="A187" t="inlineStr">
        <x:is>
          <x:t xml:space="preserve">CI0186</x:t>
        </x:is>
      </x:c>
      <x:c r="B187" t="inlineStr">
        <x:is>
          <x:t xml:space="preserve">tonsil pain mild</x:t>
        </x:is>
      </x:c>
      <x:c r="C187" t="inlineStr">
        <x:is>
          <x:t xml:space="preserve">tonsil pain mild</x:t>
        </x:is>
      </x:c>
      <x:c r="D187" t="inlineStr">
        <x:is>
          <x:t xml:space="preserve">ENT</x:t>
        </x:is>
      </x:c>
      <x:c r="E187" t="inlineStr">
        <x:is>
          <x:t xml:space="preserve">tonsillar_inflammation_support_adult</x:t>
        </x:is>
      </x:c>
      <x:c r="F187" t="inlineStr">
        <x:is>
          <x:t xml:space="preserve">adult</x:t>
        </x:is>
      </x:c>
      <x:c r="G187" t="n">
        <x:v>2</x:v>
      </x:c>
      <x:c r="H187" t="inlineStr">
        <x:is>
          <x:t xml:space="preserve">alias</x:t>
        </x:is>
      </x:c>
      <x:c r="I187" t="inlineStr">
        <x:is>
          <x:t xml:space="preserve">Y</x:t>
        </x:is>
      </x:c>
      <x:c r="J187" t="inlineStr">
        <x:is>
          <x:t xml:space="preserve">v3 added</x:t>
        </x:is>
      </x:c>
      <x:c r="K187" t="inlineStr">
        <x:is>
          <x:t xml:space="preserve">2026-03-08</x:t>
        </x:is>
      </x:c>
    </x:row>
    <x:row r="188">
      <x:c r="A188" t="inlineStr">
        <x:is>
          <x:t xml:space="preserve">CI0187</x:t>
        </x:is>
      </x:c>
      <x:c r="B188" t="inlineStr">
        <x:is>
          <x:t xml:space="preserve">tonsillar inflammation</x:t>
        </x:is>
      </x:c>
      <x:c r="C188" t="inlineStr">
        <x:is>
          <x:t xml:space="preserve">tonsillar inflammation</x:t>
        </x:is>
      </x:c>
      <x:c r="D188" t="inlineStr">
        <x:is>
          <x:t xml:space="preserve">ENT</x:t>
        </x:is>
      </x:c>
      <x:c r="E188" t="inlineStr">
        <x:is>
          <x:t xml:space="preserve">tonsillar_inflammation_support_adult</x:t>
        </x:is>
      </x:c>
      <x:c r="F188" t="inlineStr">
        <x:is>
          <x:t xml:space="preserve">adult</x:t>
        </x:is>
      </x:c>
      <x:c r="G188" t="n">
        <x:v>3</x:v>
      </x:c>
      <x:c r="H188" t="inlineStr">
        <x:is>
          <x:t xml:space="preserve">alias</x:t>
        </x:is>
      </x:c>
      <x:c r="I188" t="inlineStr">
        <x:is>
          <x:t xml:space="preserve">Y</x:t>
        </x:is>
      </x:c>
      <x:c r="J188" t="inlineStr">
        <x:is>
          <x:t xml:space="preserve">v3 added</x:t>
        </x:is>
      </x:c>
      <x:c r="K188" t="inlineStr">
        <x:is>
          <x:t xml:space="preserve">2026-03-08</x:t>
        </x:is>
      </x:c>
    </x:row>
    <x:row r="189">
      <x:c r="A189" t="inlineStr">
        <x:is>
          <x:t xml:space="preserve">CI0188</x:t>
        </x:is>
      </x:c>
      <x:c r="B189" t="inlineStr">
        <x:is>
          <x:t xml:space="preserve">dry itchy eczema</x:t>
        </x:is>
      </x:c>
      <x:c r="C189" t="inlineStr">
        <x:is>
          <x:t xml:space="preserve">dry itchy eczema</x:t>
        </x:is>
      </x:c>
      <x:c r="D189" t="inlineStr">
        <x:is>
          <x:t xml:space="preserve">Skin</x:t>
        </x:is>
      </x:c>
      <x:c r="E189" t="inlineStr">
        <x:is>
          <x:t xml:space="preserve">eczema_dry_pruritic_adult</x:t>
        </x:is>
      </x:c>
      <x:c r="F189" t="inlineStr">
        <x:is>
          <x:t xml:space="preserve">adult</x:t>
        </x:is>
      </x:c>
      <x:c r="G189" t="n">
        <x:v>1</x:v>
      </x:c>
      <x:c r="H189" t="inlineStr">
        <x:is>
          <x:t xml:space="preserve">exact</x:t>
        </x:is>
      </x:c>
      <x:c r="I189" t="inlineStr">
        <x:is>
          <x:t xml:space="preserve">Y</x:t>
        </x:is>
      </x:c>
      <x:c r="J189" t="inlineStr">
        <x:is>
          <x:t xml:space="preserve">v3 added</x:t>
        </x:is>
      </x:c>
      <x:c r="K189" t="inlineStr">
        <x:is>
          <x:t xml:space="preserve">2026-03-08</x:t>
        </x:is>
      </x:c>
    </x:row>
    <x:row r="190">
      <x:c r="A190" t="inlineStr">
        <x:is>
          <x:t xml:space="preserve">CI0189</x:t>
        </x:is>
      </x:c>
      <x:c r="B190" t="inlineStr">
        <x:is>
          <x:t xml:space="preserve">eczema dry itchy</x:t>
        </x:is>
      </x:c>
      <x:c r="C190" t="inlineStr">
        <x:is>
          <x:t xml:space="preserve">eczema dry itchy</x:t>
        </x:is>
      </x:c>
      <x:c r="D190" t="inlineStr">
        <x:is>
          <x:t xml:space="preserve">Skin</x:t>
        </x:is>
      </x:c>
      <x:c r="E190" t="inlineStr">
        <x:is>
          <x:t xml:space="preserve">eczema_dry_pruritic_adult</x:t>
        </x:is>
      </x:c>
      <x:c r="F190" t="inlineStr">
        <x:is>
          <x:t xml:space="preserve">adult</x:t>
        </x:is>
      </x:c>
      <x:c r="G190" t="n">
        <x:v>2</x:v>
      </x:c>
      <x:c r="H190" t="inlineStr">
        <x:is>
          <x:t xml:space="preserve">alias</x:t>
        </x:is>
      </x:c>
      <x:c r="I190" t="inlineStr">
        <x:is>
          <x:t xml:space="preserve">Y</x:t>
        </x:is>
      </x:c>
      <x:c r="J190" t="inlineStr">
        <x:is>
          <x:t xml:space="preserve">v3 added</x:t>
        </x:is>
      </x:c>
      <x:c r="K190" t="inlineStr">
        <x:is>
          <x:t xml:space="preserve">2026-03-08</x:t>
        </x:is>
      </x:c>
    </x:row>
    <x:row r="191">
      <x:c r="A191" t="inlineStr">
        <x:is>
          <x:t xml:space="preserve">CI0190</x:t>
        </x:is>
      </x:c>
      <x:c r="B191" t="inlineStr">
        <x:is>
          <x:t xml:space="preserve">xerotic eczema</x:t>
        </x:is>
      </x:c>
      <x:c r="C191" t="inlineStr">
        <x:is>
          <x:t xml:space="preserve">xerotic eczema</x:t>
        </x:is>
      </x:c>
      <x:c r="D191" t="inlineStr">
        <x:is>
          <x:t xml:space="preserve">Skin</x:t>
        </x:is>
      </x:c>
      <x:c r="E191" t="inlineStr">
        <x:is>
          <x:t xml:space="preserve">eczema_dry_pruritic_adult</x:t>
        </x:is>
      </x:c>
      <x:c r="F191" t="inlineStr">
        <x:is>
          <x:t xml:space="preserve">adult</x:t>
        </x:is>
      </x:c>
      <x:c r="G191" t="n">
        <x:v>3</x:v>
      </x:c>
      <x:c r="H191" t="inlineStr">
        <x:is>
          <x:t xml:space="preserve">alias</x:t>
        </x:is>
      </x:c>
      <x:c r="I191" t="inlineStr">
        <x:is>
          <x:t xml:space="preserve">Y</x:t>
        </x:is>
      </x:c>
      <x:c r="J191" t="inlineStr">
        <x:is>
          <x:t xml:space="preserve">v3 added</x:t>
        </x:is>
      </x:c>
      <x:c r="K191" t="inlineStr">
        <x:is>
          <x:t xml:space="preserve">2026-03-08</x:t>
        </x:is>
      </x:c>
    </x:row>
    <x:row r="192">
      <x:c r="A192" t="inlineStr">
        <x:is>
          <x:t xml:space="preserve">CI0191</x:t>
        </x:is>
      </x:c>
      <x:c r="B192" t="inlineStr">
        <x:is>
          <x:t xml:space="preserve">localized muscle ache</x:t>
        </x:is>
      </x:c>
      <x:c r="C192" t="inlineStr">
        <x:is>
          <x:t xml:space="preserve">localized muscle ache</x:t>
        </x:is>
      </x:c>
      <x:c r="D192" t="inlineStr">
        <x:is>
          <x:t xml:space="preserve">Pain</x:t>
        </x:is>
      </x:c>
      <x:c r="E192" t="inlineStr">
        <x:is>
          <x:t xml:space="preserve">localized_muscle_ache_support_adult</x:t>
        </x:is>
      </x:c>
      <x:c r="F192" t="inlineStr">
        <x:is>
          <x:t xml:space="preserve">adult</x:t>
        </x:is>
      </x:c>
      <x:c r="G192" t="n">
        <x:v>1</x:v>
      </x:c>
      <x:c r="H192" t="inlineStr">
        <x:is>
          <x:t xml:space="preserve">exact</x:t>
        </x:is>
      </x:c>
      <x:c r="I192" t="inlineStr">
        <x:is>
          <x:t xml:space="preserve">Y</x:t>
        </x:is>
      </x:c>
      <x:c r="J192" t="inlineStr">
        <x:is>
          <x:t xml:space="preserve">v3 added</x:t>
        </x:is>
      </x:c>
      <x:c r="K192" t="inlineStr">
        <x:is>
          <x:t xml:space="preserve">2026-03-08</x:t>
        </x:is>
      </x:c>
    </x:row>
    <x:row r="193">
      <x:c r="A193" t="inlineStr">
        <x:is>
          <x:t xml:space="preserve">CI0192</x:t>
        </x:is>
      </x:c>
      <x:c r="B193" t="inlineStr">
        <x:is>
          <x:t xml:space="preserve">muscle ache topical</x:t>
        </x:is>
      </x:c>
      <x:c r="C193" t="inlineStr">
        <x:is>
          <x:t xml:space="preserve">muscle ache topical</x:t>
        </x:is>
      </x:c>
      <x:c r="D193" t="inlineStr">
        <x:is>
          <x:t xml:space="preserve">Pain</x:t>
        </x:is>
      </x:c>
      <x:c r="E193" t="inlineStr">
        <x:is>
          <x:t xml:space="preserve">localized_muscle_ache_support_adult</x:t>
        </x:is>
      </x:c>
      <x:c r="F193" t="inlineStr">
        <x:is>
          <x:t xml:space="preserve">adult</x:t>
        </x:is>
      </x:c>
      <x:c r="G193" t="n">
        <x:v>2</x:v>
      </x:c>
      <x:c r="H193" t="inlineStr">
        <x:is>
          <x:t xml:space="preserve">alias</x:t>
        </x:is>
      </x:c>
      <x:c r="I193" t="inlineStr">
        <x:is>
          <x:t xml:space="preserve">Y</x:t>
        </x:is>
      </x:c>
      <x:c r="J193" t="inlineStr">
        <x:is>
          <x:t xml:space="preserve">v3 added</x:t>
        </x:is>
      </x:c>
      <x:c r="K193" t="inlineStr">
        <x:is>
          <x:t xml:space="preserve">2026-03-08</x:t>
        </x:is>
      </x:c>
    </x:row>
    <x:row r="194">
      <x:c r="A194" t="inlineStr">
        <x:is>
          <x:t xml:space="preserve">CI0193</x:t>
        </x:is>
      </x:c>
      <x:c r="B194" t="inlineStr">
        <x:is>
          <x:t xml:space="preserve">muscle pain local</x:t>
        </x:is>
      </x:c>
      <x:c r="C194" t="inlineStr">
        <x:is>
          <x:t xml:space="preserve">muscle pain local</x:t>
        </x:is>
      </x:c>
      <x:c r="D194" t="inlineStr">
        <x:is>
          <x:t xml:space="preserve">Pain</x:t>
        </x:is>
      </x:c>
      <x:c r="E194" t="inlineStr">
        <x:is>
          <x:t xml:space="preserve">localized_muscle_ache_support_adult</x:t>
        </x:is>
      </x:c>
      <x:c r="F194" t="inlineStr">
        <x:is>
          <x:t xml:space="preserve">adult</x:t>
        </x:is>
      </x:c>
      <x:c r="G194" t="n">
        <x:v>3</x:v>
      </x:c>
      <x:c r="H194" t="inlineStr">
        <x:is>
          <x:t xml:space="preserve">alias</x:t>
        </x:is>
      </x:c>
      <x:c r="I194" t="inlineStr">
        <x:is>
          <x:t xml:space="preserve">Y</x:t>
        </x:is>
      </x:c>
      <x:c r="J194" t="inlineStr">
        <x:is>
          <x:t xml:space="preserve">v3 added</x:t>
        </x:is>
      </x:c>
      <x:c r="K194" t="inlineStr">
        <x:is>
          <x:t xml:space="preserve">2026-03-08</x:t>
        </x:is>
      </x:c>
    </x:row>
    <x:row r="195">
      <x:c r="A195" t="inlineStr">
        <x:is>
          <x:t xml:space="preserve">CI0194</x:t>
        </x:is>
      </x:c>
      <x:c r="B195" t="inlineStr">
        <x:is>
          <x:t xml:space="preserve">watery red eye</x:t>
        </x:is>
      </x:c>
      <x:c r="C195" t="inlineStr">
        <x:is>
          <x:t xml:space="preserve">watery red eye</x:t>
        </x:is>
      </x:c>
      <x:c r="D195" t="inlineStr">
        <x:is>
          <x:t xml:space="preserve">Eye</x:t>
        </x:is>
      </x:c>
      <x:c r="E195" t="inlineStr">
        <x:is>
          <x:t xml:space="preserve">watery_red_eye_nonpurulent_adult</x:t>
        </x:is>
      </x:c>
      <x:c r="F195" t="inlineStr">
        <x:is>
          <x:t xml:space="preserve">adult</x:t>
        </x:is>
      </x:c>
      <x:c r="G195" t="n">
        <x:v>1</x:v>
      </x:c>
      <x:c r="H195" t="inlineStr">
        <x:is>
          <x:t xml:space="preserve">exact</x:t>
        </x:is>
      </x:c>
      <x:c r="I195" t="inlineStr">
        <x:is>
          <x:t xml:space="preserve">Y</x:t>
        </x:is>
      </x:c>
      <x:c r="J195" t="inlineStr">
        <x:is>
          <x:t xml:space="preserve">v4 added</x:t>
        </x:is>
      </x:c>
      <x:c r="K195" t="inlineStr">
        <x:is>
          <x:t xml:space="preserve">2026-03-08</x:t>
        </x:is>
      </x:c>
    </x:row>
    <x:row r="196">
      <x:c r="A196" t="inlineStr">
        <x:is>
          <x:t xml:space="preserve">CI0195</x:t>
        </x:is>
      </x:c>
      <x:c r="B196" t="inlineStr">
        <x:is>
          <x:t xml:space="preserve">non purulent red eye</x:t>
        </x:is>
      </x:c>
      <x:c r="C196" t="inlineStr">
        <x:is>
          <x:t xml:space="preserve">non purulent red eye</x:t>
        </x:is>
      </x:c>
      <x:c r="D196" t="inlineStr">
        <x:is>
          <x:t xml:space="preserve">Eye</x:t>
        </x:is>
      </x:c>
      <x:c r="E196" t="inlineStr">
        <x:is>
          <x:t xml:space="preserve">watery_red_eye_nonpurulent_adult</x:t>
        </x:is>
      </x:c>
      <x:c r="F196" t="inlineStr">
        <x:is>
          <x:t xml:space="preserve">adult</x:t>
        </x:is>
      </x:c>
      <x:c r="G196" t="n">
        <x:v>2</x:v>
      </x:c>
      <x:c r="H196" t="inlineStr">
        <x:is>
          <x:t xml:space="preserve">alias</x:t>
        </x:is>
      </x:c>
      <x:c r="I196" t="inlineStr">
        <x:is>
          <x:t xml:space="preserve">Y</x:t>
        </x:is>
      </x:c>
      <x:c r="J196" t="inlineStr">
        <x:is>
          <x:t xml:space="preserve">v4 added</x:t>
        </x:is>
      </x:c>
      <x:c r="K196" t="inlineStr">
        <x:is>
          <x:t xml:space="preserve">2026-03-08</x:t>
        </x:is>
      </x:c>
    </x:row>
    <x:row r="197">
      <x:c r="A197" t="inlineStr">
        <x:is>
          <x:t xml:space="preserve">CI0196</x:t>
        </x:is>
      </x:c>
      <x:c r="B197" t="inlineStr">
        <x:is>
          <x:t xml:space="preserve">red watery eye</x:t>
        </x:is>
      </x:c>
      <x:c r="C197" t="inlineStr">
        <x:is>
          <x:t xml:space="preserve">red watery eye</x:t>
        </x:is>
      </x:c>
      <x:c r="D197" t="inlineStr">
        <x:is>
          <x:t xml:space="preserve">Eye</x:t>
        </x:is>
      </x:c>
      <x:c r="E197" t="inlineStr">
        <x:is>
          <x:t xml:space="preserve">watery_red_eye_nonpurulent_adult</x:t>
        </x:is>
      </x:c>
      <x:c r="F197" t="inlineStr">
        <x:is>
          <x:t xml:space="preserve">adult</x:t>
        </x:is>
      </x:c>
      <x:c r="G197" t="n">
        <x:v>3</x:v>
      </x:c>
      <x:c r="H197" t="inlineStr">
        <x:is>
          <x:t xml:space="preserve">alias</x:t>
        </x:is>
      </x:c>
      <x:c r="I197" t="inlineStr">
        <x:is>
          <x:t xml:space="preserve">Y</x:t>
        </x:is>
      </x:c>
      <x:c r="J197" t="inlineStr">
        <x:is>
          <x:t xml:space="preserve">v4 added</x:t>
        </x:is>
      </x:c>
      <x:c r="K197" t="inlineStr">
        <x:is>
          <x:t xml:space="preserve">2026-03-08</x:t>
        </x:is>
      </x:c>
    </x:row>
    <x:row r="198">
      <x:c r="A198" t="inlineStr">
        <x:is>
          <x:t xml:space="preserve">CI0197</x:t>
        </x:is>
      </x:c>
      <x:c r="B198" t="inlineStr">
        <x:is>
          <x:t xml:space="preserve">contact lens dry eye</x:t>
        </x:is>
      </x:c>
      <x:c r="C198" t="inlineStr">
        <x:is>
          <x:t xml:space="preserve">contact lens dry eye</x:t>
        </x:is>
      </x:c>
      <x:c r="D198" t="inlineStr">
        <x:is>
          <x:t xml:space="preserve">Eye</x:t>
        </x:is>
      </x:c>
      <x:c r="E198" t="inlineStr">
        <x:is>
          <x:t xml:space="preserve">contact_lens_dry_eye_support_adult</x:t>
        </x:is>
      </x:c>
      <x:c r="F198" t="inlineStr">
        <x:is>
          <x:t xml:space="preserve">adult</x:t>
        </x:is>
      </x:c>
      <x:c r="G198" t="n">
        <x:v>1</x:v>
      </x:c>
      <x:c r="H198" t="inlineStr">
        <x:is>
          <x:t xml:space="preserve">exact</x:t>
        </x:is>
      </x:c>
      <x:c r="I198" t="inlineStr">
        <x:is>
          <x:t xml:space="preserve">Y</x:t>
        </x:is>
      </x:c>
      <x:c r="J198" t="inlineStr">
        <x:is>
          <x:t xml:space="preserve">v4 added</x:t>
        </x:is>
      </x:c>
      <x:c r="K198" t="inlineStr">
        <x:is>
          <x:t xml:space="preserve">2026-03-08</x:t>
        </x:is>
      </x:c>
    </x:row>
    <x:row r="199">
      <x:c r="A199" t="inlineStr">
        <x:is>
          <x:t xml:space="preserve">CI0198</x:t>
        </x:is>
      </x:c>
      <x:c r="B199" t="inlineStr">
        <x:is>
          <x:t xml:space="preserve">dry eye contact lens</x:t>
        </x:is>
      </x:c>
      <x:c r="C199" t="inlineStr">
        <x:is>
          <x:t xml:space="preserve">dry eye contact lens</x:t>
        </x:is>
      </x:c>
      <x:c r="D199" t="inlineStr">
        <x:is>
          <x:t xml:space="preserve">Eye</x:t>
        </x:is>
      </x:c>
      <x:c r="E199" t="inlineStr">
        <x:is>
          <x:t xml:space="preserve">contact_lens_dry_eye_support_adult</x:t>
        </x:is>
      </x:c>
      <x:c r="F199" t="inlineStr">
        <x:is>
          <x:t xml:space="preserve">adult</x:t>
        </x:is>
      </x:c>
      <x:c r="G199" t="n">
        <x:v>2</x:v>
      </x:c>
      <x:c r="H199" t="inlineStr">
        <x:is>
          <x:t xml:space="preserve">alias</x:t>
        </x:is>
      </x:c>
      <x:c r="I199" t="inlineStr">
        <x:is>
          <x:t xml:space="preserve">Y</x:t>
        </x:is>
      </x:c>
      <x:c r="J199" t="inlineStr">
        <x:is>
          <x:t xml:space="preserve">v4 added</x:t>
        </x:is>
      </x:c>
      <x:c r="K199" t="inlineStr">
        <x:is>
          <x:t xml:space="preserve">2026-03-08</x:t>
        </x:is>
      </x:c>
    </x:row>
    <x:row r="200">
      <x:c r="A200" t="inlineStr">
        <x:is>
          <x:t xml:space="preserve">CI0199</x:t>
        </x:is>
      </x:c>
      <x:c r="B200" t="inlineStr">
        <x:is>
          <x:t xml:space="preserve">lens irritation</x:t>
        </x:is>
      </x:c>
      <x:c r="C200" t="inlineStr">
        <x:is>
          <x:t xml:space="preserve">lens irritation</x:t>
        </x:is>
      </x:c>
      <x:c r="D200" t="inlineStr">
        <x:is>
          <x:t xml:space="preserve">Eye</x:t>
        </x:is>
      </x:c>
      <x:c r="E200" t="inlineStr">
        <x:is>
          <x:t xml:space="preserve">contact_lens_dry_eye_support_adult</x:t>
        </x:is>
      </x:c>
      <x:c r="F200" t="inlineStr">
        <x:is>
          <x:t xml:space="preserve">adult</x:t>
        </x:is>
      </x:c>
      <x:c r="G200" t="n">
        <x:v>3</x:v>
      </x:c>
      <x:c r="H200" t="inlineStr">
        <x:is>
          <x:t xml:space="preserve">alias</x:t>
        </x:is>
      </x:c>
      <x:c r="I200" t="inlineStr">
        <x:is>
          <x:t xml:space="preserve">Y</x:t>
        </x:is>
      </x:c>
      <x:c r="J200" t="inlineStr">
        <x:is>
          <x:t xml:space="preserve">v4 added</x:t>
        </x:is>
      </x:c>
      <x:c r="K200" t="inlineStr">
        <x:is>
          <x:t xml:space="preserve">2026-03-08</x:t>
        </x:is>
      </x:c>
    </x:row>
    <x:row r="201">
      <x:c r="A201" t="inlineStr">
        <x:is>
          <x:t xml:space="preserve">CI0200</x:t>
        </x:is>
      </x:c>
      <x:c r="B201" t="inlineStr">
        <x:is>
          <x:t xml:space="preserve">eye wash</x:t>
        </x:is>
      </x:c>
      <x:c r="C201" t="inlineStr">
        <x:is>
          <x:t xml:space="preserve">eye wash</x:t>
        </x:is>
      </x:c>
      <x:c r="D201" t="inlineStr">
        <x:is>
          <x:t xml:space="preserve">Eye</x:t>
        </x:is>
      </x:c>
      <x:c r="E201" t="inlineStr">
        <x:is>
          <x:t xml:space="preserve">eye_wash_support_adult</x:t>
        </x:is>
      </x:c>
      <x:c r="F201" t="inlineStr">
        <x:is>
          <x:t xml:space="preserve">adult</x:t>
        </x:is>
      </x:c>
      <x:c r="G201" t="n">
        <x:v>1</x:v>
      </x:c>
      <x:c r="H201" t="inlineStr">
        <x:is>
          <x:t xml:space="preserve">exact</x:t>
        </x:is>
      </x:c>
      <x:c r="I201" t="inlineStr">
        <x:is>
          <x:t xml:space="preserve">Y</x:t>
        </x:is>
      </x:c>
      <x:c r="J201" t="inlineStr">
        <x:is>
          <x:t xml:space="preserve">v4 added</x:t>
        </x:is>
      </x:c>
      <x:c r="K201" t="inlineStr">
        <x:is>
          <x:t xml:space="preserve">2026-03-08</x:t>
        </x:is>
      </x:c>
    </x:row>
    <x:row r="202">
      <x:c r="A202" t="inlineStr">
        <x:is>
          <x:t xml:space="preserve">CI0201</x:t>
        </x:is>
      </x:c>
      <x:c r="B202" t="inlineStr">
        <x:is>
          <x:t xml:space="preserve">wash eye</x:t>
        </x:is>
      </x:c>
      <x:c r="C202" t="inlineStr">
        <x:is>
          <x:t xml:space="preserve">wash eye</x:t>
        </x:is>
      </x:c>
      <x:c r="D202" t="inlineStr">
        <x:is>
          <x:t xml:space="preserve">Eye</x:t>
        </x:is>
      </x:c>
      <x:c r="E202" t="inlineStr">
        <x:is>
          <x:t xml:space="preserve">eye_wash_support_adult</x:t>
        </x:is>
      </x:c>
      <x:c r="F202" t="inlineStr">
        <x:is>
          <x:t xml:space="preserve">adult</x:t>
        </x:is>
      </x:c>
      <x:c r="G202" t="n">
        <x:v>2</x:v>
      </x:c>
      <x:c r="H202" t="inlineStr">
        <x:is>
          <x:t xml:space="preserve">alias</x:t>
        </x:is>
      </x:c>
      <x:c r="I202" t="inlineStr">
        <x:is>
          <x:t xml:space="preserve">Y</x:t>
        </x:is>
      </x:c>
      <x:c r="J202" t="inlineStr">
        <x:is>
          <x:t xml:space="preserve">v4 added</x:t>
        </x:is>
      </x:c>
      <x:c r="K202" t="inlineStr">
        <x:is>
          <x:t xml:space="preserve">2026-03-08</x:t>
        </x:is>
      </x:c>
    </x:row>
    <x:row r="203">
      <x:c r="A203" t="inlineStr">
        <x:is>
          <x:t xml:space="preserve">CI0202</x:t>
        </x:is>
      </x:c>
      <x:c r="B203" t="inlineStr">
        <x:is>
          <x:t xml:space="preserve">eye rinse</x:t>
        </x:is>
      </x:c>
      <x:c r="C203" t="inlineStr">
        <x:is>
          <x:t xml:space="preserve">eye rinse</x:t>
        </x:is>
      </x:c>
      <x:c r="D203" t="inlineStr">
        <x:is>
          <x:t xml:space="preserve">Eye</x:t>
        </x:is>
      </x:c>
      <x:c r="E203" t="inlineStr">
        <x:is>
          <x:t xml:space="preserve">eye_wash_support_adult</x:t>
        </x:is>
      </x:c>
      <x:c r="F203" t="inlineStr">
        <x:is>
          <x:t xml:space="preserve">adult</x:t>
        </x:is>
      </x:c>
      <x:c r="G203" t="n">
        <x:v>3</x:v>
      </x:c>
      <x:c r="H203" t="inlineStr">
        <x:is>
          <x:t xml:space="preserve">alias</x:t>
        </x:is>
      </x:c>
      <x:c r="I203" t="inlineStr">
        <x:is>
          <x:t xml:space="preserve">Y</x:t>
        </x:is>
      </x:c>
      <x:c r="J203" t="inlineStr">
        <x:is>
          <x:t xml:space="preserve">v4 added</x:t>
        </x:is>
      </x:c>
      <x:c r="K203" t="inlineStr">
        <x:is>
          <x:t xml:space="preserve">2026-03-08</x:t>
        </x:is>
      </x:c>
    </x:row>
    <x:row r="204">
      <x:c r="A204" t="inlineStr">
        <x:is>
          <x:t xml:space="preserve">CI0203</x:t>
        </x:is>
      </x:c>
      <x:c r="B204" t="inlineStr">
        <x:is>
          <x:t xml:space="preserve">foreign body irritation</x:t>
        </x:is>
      </x:c>
      <x:c r="C204" t="inlineStr">
        <x:is>
          <x:t xml:space="preserve">foreign body irritation</x:t>
        </x:is>
      </x:c>
      <x:c r="D204" t="inlineStr">
        <x:is>
          <x:t xml:space="preserve">Eye</x:t>
        </x:is>
      </x:c>
      <x:c r="E204" t="inlineStr">
        <x:is>
          <x:t xml:space="preserve">foreign_body_irritation_followup_adult</x:t>
        </x:is>
      </x:c>
      <x:c r="F204" t="inlineStr">
        <x:is>
          <x:t xml:space="preserve">adult</x:t>
        </x:is>
      </x:c>
      <x:c r="G204" t="n">
        <x:v>1</x:v>
      </x:c>
      <x:c r="H204" t="inlineStr">
        <x:is>
          <x:t xml:space="preserve">exact</x:t>
        </x:is>
      </x:c>
      <x:c r="I204" t="inlineStr">
        <x:is>
          <x:t xml:space="preserve">Y</x:t>
        </x:is>
      </x:c>
      <x:c r="J204" t="inlineStr">
        <x:is>
          <x:t xml:space="preserve">v4 added</x:t>
        </x:is>
      </x:c>
      <x:c r="K204" t="inlineStr">
        <x:is>
          <x:t xml:space="preserve">2026-03-08</x:t>
        </x:is>
      </x:c>
    </x:row>
    <x:row r="205">
      <x:c r="A205" t="inlineStr">
        <x:is>
          <x:t xml:space="preserve">CI0204</x:t>
        </x:is>
      </x:c>
      <x:c r="B205" t="inlineStr">
        <x:is>
          <x:t xml:space="preserve">eye irritation follow up</x:t>
        </x:is>
      </x:c>
      <x:c r="C205" t="inlineStr">
        <x:is>
          <x:t xml:space="preserve">eye irritation follow up</x:t>
        </x:is>
      </x:c>
      <x:c r="D205" t="inlineStr">
        <x:is>
          <x:t xml:space="preserve">Eye</x:t>
        </x:is>
      </x:c>
      <x:c r="E205" t="inlineStr">
        <x:is>
          <x:t xml:space="preserve">foreign_body_irritation_followup_adult</x:t>
        </x:is>
      </x:c>
      <x:c r="F205" t="inlineStr">
        <x:is>
          <x:t xml:space="preserve">adult</x:t>
        </x:is>
      </x:c>
      <x:c r="G205" t="n">
        <x:v>2</x:v>
      </x:c>
      <x:c r="H205" t="inlineStr">
        <x:is>
          <x:t xml:space="preserve">alias</x:t>
        </x:is>
      </x:c>
      <x:c r="I205" t="inlineStr">
        <x:is>
          <x:t xml:space="preserve">Y</x:t>
        </x:is>
      </x:c>
      <x:c r="J205" t="inlineStr">
        <x:is>
          <x:t xml:space="preserve">v4 added</x:t>
        </x:is>
      </x:c>
      <x:c r="K205" t="inlineStr">
        <x:is>
          <x:t xml:space="preserve">2026-03-08</x:t>
        </x:is>
      </x:c>
    </x:row>
    <x:row r="206">
      <x:c r="A206" t="inlineStr">
        <x:is>
          <x:t xml:space="preserve">CI0205</x:t>
        </x:is>
      </x:c>
      <x:c r="B206" t="inlineStr">
        <x:is>
          <x:t xml:space="preserve">after dust eye irritation</x:t>
        </x:is>
      </x:c>
      <x:c r="C206" t="inlineStr">
        <x:is>
          <x:t xml:space="preserve">after dust eye irritation</x:t>
        </x:is>
      </x:c>
      <x:c r="D206" t="inlineStr">
        <x:is>
          <x:t xml:space="preserve">Eye</x:t>
        </x:is>
      </x:c>
      <x:c r="E206" t="inlineStr">
        <x:is>
          <x:t xml:space="preserve">foreign_body_irritation_followup_adult</x:t>
        </x:is>
      </x:c>
      <x:c r="F206" t="inlineStr">
        <x:is>
          <x:t xml:space="preserve">adult</x:t>
        </x:is>
      </x:c>
      <x:c r="G206" t="n">
        <x:v>3</x:v>
      </x:c>
      <x:c r="H206" t="inlineStr">
        <x:is>
          <x:t xml:space="preserve">alias</x:t>
        </x:is>
      </x:c>
      <x:c r="I206" t="inlineStr">
        <x:is>
          <x:t xml:space="preserve">Y</x:t>
        </x:is>
      </x:c>
      <x:c r="J206" t="inlineStr">
        <x:is>
          <x:t xml:space="preserve">v4 added</x:t>
        </x:is>
      </x:c>
      <x:c r="K206" t="inlineStr">
        <x:is>
          <x:t xml:space="preserve">2026-03-08</x:t>
        </x:is>
      </x:c>
    </x:row>
    <x:row r="207">
      <x:c r="A207" t="inlineStr">
        <x:is>
          <x:t xml:space="preserve">CI0206</x:t>
        </x:is>
      </x:c>
      <x:c r="B207" t="inlineStr">
        <x:is>
          <x:t xml:space="preserve">eye irritation child</x:t>
        </x:is>
      </x:c>
      <x:c r="C207" t="inlineStr">
        <x:is>
          <x:t xml:space="preserve">eye irritation child</x:t>
        </x:is>
      </x:c>
      <x:c r="D207" t="inlineStr">
        <x:is>
          <x:t xml:space="preserve">Eye</x:t>
        </x:is>
      </x:c>
      <x:c r="E207" t="inlineStr">
        <x:is>
          <x:t xml:space="preserve">eye_irritation_peds</x:t>
        </x:is>
      </x:c>
      <x:c r="F207" t="inlineStr">
        <x:is>
          <x:t xml:space="preserve">peds</x:t>
        </x:is>
      </x:c>
      <x:c r="G207" t="n">
        <x:v>1</x:v>
      </x:c>
      <x:c r="H207" t="inlineStr">
        <x:is>
          <x:t xml:space="preserve">exact</x:t>
        </x:is>
      </x:c>
      <x:c r="I207" t="inlineStr">
        <x:is>
          <x:t xml:space="preserve">Y</x:t>
        </x:is>
      </x:c>
      <x:c r="J207" t="inlineStr">
        <x:is>
          <x:t xml:space="preserve">v4 added</x:t>
        </x:is>
      </x:c>
      <x:c r="K207" t="inlineStr">
        <x:is>
          <x:t xml:space="preserve">2026-03-08</x:t>
        </x:is>
      </x:c>
    </x:row>
    <x:row r="208">
      <x:c r="A208" t="inlineStr">
        <x:is>
          <x:t xml:space="preserve">CI0207</x:t>
        </x:is>
      </x:c>
      <x:c r="B208" t="inlineStr">
        <x:is>
          <x:t xml:space="preserve">eye irritation kid</x:t>
        </x:is>
      </x:c>
      <x:c r="C208" t="inlineStr">
        <x:is>
          <x:t xml:space="preserve">eye irritation kid</x:t>
        </x:is>
      </x:c>
      <x:c r="D208" t="inlineStr">
        <x:is>
          <x:t xml:space="preserve">Eye</x:t>
        </x:is>
      </x:c>
      <x:c r="E208" t="inlineStr">
        <x:is>
          <x:t xml:space="preserve">eye_irritation_peds</x:t>
        </x:is>
      </x:c>
      <x:c r="F208" t="inlineStr">
        <x:is>
          <x:t xml:space="preserve">peds</x:t>
        </x:is>
      </x:c>
      <x:c r="G208" t="n">
        <x:v>2</x:v>
      </x:c>
      <x:c r="H208" t="inlineStr">
        <x:is>
          <x:t xml:space="preserve">alias</x:t>
        </x:is>
      </x:c>
      <x:c r="I208" t="inlineStr">
        <x:is>
          <x:t xml:space="preserve">Y</x:t>
        </x:is>
      </x:c>
      <x:c r="J208" t="inlineStr">
        <x:is>
          <x:t xml:space="preserve">v4 added</x:t>
        </x:is>
      </x:c>
      <x:c r="K208" t="inlineStr">
        <x:is>
          <x:t xml:space="preserve">2026-03-08</x:t>
        </x:is>
      </x:c>
    </x:row>
    <x:row r="209">
      <x:c r="A209" t="inlineStr">
        <x:is>
          <x:t xml:space="preserve">CI0208</x:t>
        </x:is>
      </x:c>
      <x:c r="B209" t="inlineStr">
        <x:is>
          <x:t xml:space="preserve">dust in eye child</x:t>
        </x:is>
      </x:c>
      <x:c r="C209" t="inlineStr">
        <x:is>
          <x:t xml:space="preserve">dust in eye child</x:t>
        </x:is>
      </x:c>
      <x:c r="D209" t="inlineStr">
        <x:is>
          <x:t xml:space="preserve">Eye</x:t>
        </x:is>
      </x:c>
      <x:c r="E209" t="inlineStr">
        <x:is>
          <x:t xml:space="preserve">eye_irritation_peds</x:t>
        </x:is>
      </x:c>
      <x:c r="F209" t="inlineStr">
        <x:is>
          <x:t xml:space="preserve">peds</x:t>
        </x:is>
      </x:c>
      <x:c r="G209" t="n">
        <x:v>3</x:v>
      </x:c>
      <x:c r="H209" t="inlineStr">
        <x:is>
          <x:t xml:space="preserve">alias</x:t>
        </x:is>
      </x:c>
      <x:c r="I209" t="inlineStr">
        <x:is>
          <x:t xml:space="preserve">Y</x:t>
        </x:is>
      </x:c>
      <x:c r="J209" t="inlineStr">
        <x:is>
          <x:t xml:space="preserve">v4 added</x:t>
        </x:is>
      </x:c>
      <x:c r="K209" t="inlineStr">
        <x:is>
          <x:t xml:space="preserve">2026-03-08</x:t>
        </x:is>
      </x:c>
    </x:row>
    <x:row r="210">
      <x:c r="A210" t="inlineStr">
        <x:is>
          <x:t xml:space="preserve">CI0209</x:t>
        </x:is>
      </x:c>
      <x:c r="B210" t="inlineStr">
        <x:is>
          <x:t xml:space="preserve">dry eye child</x:t>
        </x:is>
      </x:c>
      <x:c r="C210" t="inlineStr">
        <x:is>
          <x:t xml:space="preserve">dry eye child</x:t>
        </x:is>
      </x:c>
      <x:c r="D210" t="inlineStr">
        <x:is>
          <x:t xml:space="preserve">Eye</x:t>
        </x:is>
      </x:c>
      <x:c r="E210" t="inlineStr">
        <x:is>
          <x:t xml:space="preserve">dry_eye_peds_support</x:t>
        </x:is>
      </x:c>
      <x:c r="F210" t="inlineStr">
        <x:is>
          <x:t xml:space="preserve">peds</x:t>
        </x:is>
      </x:c>
      <x:c r="G210" t="n">
        <x:v>1</x:v>
      </x:c>
      <x:c r="H210" t="inlineStr">
        <x:is>
          <x:t xml:space="preserve">exact</x:t>
        </x:is>
      </x:c>
      <x:c r="I210" t="inlineStr">
        <x:is>
          <x:t xml:space="preserve">Y</x:t>
        </x:is>
      </x:c>
      <x:c r="J210" t="inlineStr">
        <x:is>
          <x:t xml:space="preserve">v4 added</x:t>
        </x:is>
      </x:c>
      <x:c r="K210" t="inlineStr">
        <x:is>
          <x:t xml:space="preserve">2026-03-08</x:t>
        </x:is>
      </x:c>
    </x:row>
    <x:row r="211">
      <x:c r="A211" t="inlineStr">
        <x:is>
          <x:t xml:space="preserve">CI0210</x:t>
        </x:is>
      </x:c>
      <x:c r="B211" t="inlineStr">
        <x:is>
          <x:t xml:space="preserve">child dry eye</x:t>
        </x:is>
      </x:c>
      <x:c r="C211" t="inlineStr">
        <x:is>
          <x:t xml:space="preserve">child dry eye</x:t>
        </x:is>
      </x:c>
      <x:c r="D211" t="inlineStr">
        <x:is>
          <x:t xml:space="preserve">Eye</x:t>
        </x:is>
      </x:c>
      <x:c r="E211" t="inlineStr">
        <x:is>
          <x:t xml:space="preserve">dry_eye_peds_support</x:t>
        </x:is>
      </x:c>
      <x:c r="F211" t="inlineStr">
        <x:is>
          <x:t xml:space="preserve">peds</x:t>
        </x:is>
      </x:c>
      <x:c r="G211" t="n">
        <x:v>2</x:v>
      </x:c>
      <x:c r="H211" t="inlineStr">
        <x:is>
          <x:t xml:space="preserve">alias</x:t>
        </x:is>
      </x:c>
      <x:c r="I211" t="inlineStr">
        <x:is>
          <x:t xml:space="preserve">Y</x:t>
        </x:is>
      </x:c>
      <x:c r="J211" t="inlineStr">
        <x:is>
          <x:t xml:space="preserve">v4 added</x:t>
        </x:is>
      </x:c>
      <x:c r="K211" t="inlineStr">
        <x:is>
          <x:t xml:space="preserve">2026-03-08</x:t>
        </x:is>
      </x:c>
    </x:row>
    <x:row r="212">
      <x:c r="A212" t="inlineStr">
        <x:is>
          <x:t xml:space="preserve">CI0211</x:t>
        </x:is>
      </x:c>
      <x:c r="B212" t="inlineStr">
        <x:is>
          <x:t xml:space="preserve">eye dryness child</x:t>
        </x:is>
      </x:c>
      <x:c r="C212" t="inlineStr">
        <x:is>
          <x:t xml:space="preserve">eye dryness child</x:t>
        </x:is>
      </x:c>
      <x:c r="D212" t="inlineStr">
        <x:is>
          <x:t xml:space="preserve">Eye</x:t>
        </x:is>
      </x:c>
      <x:c r="E212" t="inlineStr">
        <x:is>
          <x:t xml:space="preserve">dry_eye_peds_support</x:t>
        </x:is>
      </x:c>
      <x:c r="F212" t="inlineStr">
        <x:is>
          <x:t xml:space="preserve">peds</x:t>
        </x:is>
      </x:c>
      <x:c r="G212" t="n">
        <x:v>3</x:v>
      </x:c>
      <x:c r="H212" t="inlineStr">
        <x:is>
          <x:t xml:space="preserve">alias</x:t>
        </x:is>
      </x:c>
      <x:c r="I212" t="inlineStr">
        <x:is>
          <x:t xml:space="preserve">Y</x:t>
        </x:is>
      </x:c>
      <x:c r="J212" t="inlineStr">
        <x:is>
          <x:t xml:space="preserve">v4 added</x:t>
        </x:is>
      </x:c>
      <x:c r="K212" t="inlineStr">
        <x:is>
          <x:t xml:space="preserve">2026-03-08</x:t>
        </x:is>
      </x:c>
    </x:row>
    <x:row r="213">
      <x:c r="A213" t="inlineStr">
        <x:is>
          <x:t xml:space="preserve">CI0212</x:t>
        </x:is>
      </x:c>
      <x:c r="B213" t="inlineStr">
        <x:is>
          <x:t xml:space="preserve">abrasion</x:t>
        </x:is>
      </x:c>
      <x:c r="C213" t="inlineStr">
        <x:is>
          <x:t xml:space="preserve">abrasion</x:t>
        </x:is>
      </x:c>
      <x:c r="D213" t="inlineStr">
        <x:is>
          <x:t xml:space="preserve">Skin</x:t>
        </x:is>
      </x:c>
      <x:c r="E213" t="inlineStr">
        <x:is>
          <x:t xml:space="preserve">superficial_abrasion_adult</x:t>
        </x:is>
      </x:c>
      <x:c r="F213" t="inlineStr">
        <x:is>
          <x:t xml:space="preserve">adult</x:t>
        </x:is>
      </x:c>
      <x:c r="G213" t="n">
        <x:v>1</x:v>
      </x:c>
      <x:c r="H213" t="inlineStr">
        <x:is>
          <x:t xml:space="preserve">exact</x:t>
        </x:is>
      </x:c>
      <x:c r="I213" t="inlineStr">
        <x:is>
          <x:t xml:space="preserve">Y</x:t>
        </x:is>
      </x:c>
      <x:c r="J213" t="inlineStr">
        <x:is>
          <x:t xml:space="preserve">v4 added</x:t>
        </x:is>
      </x:c>
      <x:c r="K213" t="inlineStr">
        <x:is>
          <x:t xml:space="preserve">2026-03-08</x:t>
        </x:is>
      </x:c>
    </x:row>
    <x:row r="214">
      <x:c r="A214" t="inlineStr">
        <x:is>
          <x:t xml:space="preserve">CI0213</x:t>
        </x:is>
      </x:c>
      <x:c r="B214" t="inlineStr">
        <x:is>
          <x:t xml:space="preserve">superficial abrasion</x:t>
        </x:is>
      </x:c>
      <x:c r="C214" t="inlineStr">
        <x:is>
          <x:t xml:space="preserve">superficial abrasion</x:t>
        </x:is>
      </x:c>
      <x:c r="D214" t="inlineStr">
        <x:is>
          <x:t xml:space="preserve">Skin</x:t>
        </x:is>
      </x:c>
      <x:c r="E214" t="inlineStr">
        <x:is>
          <x:t xml:space="preserve">superficial_abrasion_adult</x:t>
        </x:is>
      </x:c>
      <x:c r="F214" t="inlineStr">
        <x:is>
          <x:t xml:space="preserve">adult</x:t>
        </x:is>
      </x:c>
      <x:c r="G214" t="n">
        <x:v>2</x:v>
      </x:c>
      <x:c r="H214" t="inlineStr">
        <x:is>
          <x:t xml:space="preserve">alias</x:t>
        </x:is>
      </x:c>
      <x:c r="I214" t="inlineStr">
        <x:is>
          <x:t xml:space="preserve">Y</x:t>
        </x:is>
      </x:c>
      <x:c r="J214" t="inlineStr">
        <x:is>
          <x:t xml:space="preserve">v4 added</x:t>
        </x:is>
      </x:c>
      <x:c r="K214" t="inlineStr">
        <x:is>
          <x:t xml:space="preserve">2026-03-08</x:t>
        </x:is>
      </x:c>
    </x:row>
    <x:row r="215">
      <x:c r="A215" t="inlineStr">
        <x:is>
          <x:t xml:space="preserve">CI0214</x:t>
        </x:is>
      </x:c>
      <x:c r="B215" t="inlineStr">
        <x:is>
          <x:t xml:space="preserve">scrape wound</x:t>
        </x:is>
      </x:c>
      <x:c r="C215" t="inlineStr">
        <x:is>
          <x:t xml:space="preserve">scrape wound</x:t>
        </x:is>
      </x:c>
      <x:c r="D215" t="inlineStr">
        <x:is>
          <x:t xml:space="preserve">Skin</x:t>
        </x:is>
      </x:c>
      <x:c r="E215" t="inlineStr">
        <x:is>
          <x:t xml:space="preserve">superficial_abrasion_adult</x:t>
        </x:is>
      </x:c>
      <x:c r="F215" t="inlineStr">
        <x:is>
          <x:t xml:space="preserve">adult</x:t>
        </x:is>
      </x:c>
      <x:c r="G215" t="n">
        <x:v>3</x:v>
      </x:c>
      <x:c r="H215" t="inlineStr">
        <x:is>
          <x:t xml:space="preserve">alias</x:t>
        </x:is>
      </x:c>
      <x:c r="I215" t="inlineStr">
        <x:is>
          <x:t xml:space="preserve">Y</x:t>
        </x:is>
      </x:c>
      <x:c r="J215" t="inlineStr">
        <x:is>
          <x:t xml:space="preserve">v4 added</x:t>
        </x:is>
      </x:c>
      <x:c r="K215" t="inlineStr">
        <x:is>
          <x:t xml:space="preserve">2026-03-08</x:t>
        </x:is>
      </x:c>
    </x:row>
    <x:row r="216">
      <x:c r="A216" t="inlineStr">
        <x:is>
          <x:t xml:space="preserve">CI0215</x:t>
        </x:is>
      </x:c>
      <x:c r="B216" t="inlineStr">
        <x:is>
          <x:t xml:space="preserve">minor cut care</x:t>
        </x:is>
      </x:c>
      <x:c r="C216" t="inlineStr">
        <x:is>
          <x:t xml:space="preserve">minor cut care</x:t>
        </x:is>
      </x:c>
      <x:c r="D216" t="inlineStr">
        <x:is>
          <x:t xml:space="preserve">Skin</x:t>
        </x:is>
      </x:c>
      <x:c r="E216" t="inlineStr">
        <x:is>
          <x:t xml:space="preserve">minor_cut_wound_care_adult</x:t>
        </x:is>
      </x:c>
      <x:c r="F216" t="inlineStr">
        <x:is>
          <x:t xml:space="preserve">adult</x:t>
        </x:is>
      </x:c>
      <x:c r="G216" t="n">
        <x:v>1</x:v>
      </x:c>
      <x:c r="H216" t="inlineStr">
        <x:is>
          <x:t xml:space="preserve">exact</x:t>
        </x:is>
      </x:c>
      <x:c r="I216" t="inlineStr">
        <x:is>
          <x:t xml:space="preserve">Y</x:t>
        </x:is>
      </x:c>
      <x:c r="J216" t="inlineStr">
        <x:is>
          <x:t xml:space="preserve">v4 added</x:t>
        </x:is>
      </x:c>
      <x:c r="K216" t="inlineStr">
        <x:is>
          <x:t xml:space="preserve">2026-03-08</x:t>
        </x:is>
      </x:c>
    </x:row>
    <x:row r="217">
      <x:c r="A217" t="inlineStr">
        <x:is>
          <x:t xml:space="preserve">CI0216</x:t>
        </x:is>
      </x:c>
      <x:c r="B217" t="inlineStr">
        <x:is>
          <x:t xml:space="preserve">small cut support</x:t>
        </x:is>
      </x:c>
      <x:c r="C217" t="inlineStr">
        <x:is>
          <x:t xml:space="preserve">small cut support</x:t>
        </x:is>
      </x:c>
      <x:c r="D217" t="inlineStr">
        <x:is>
          <x:t xml:space="preserve">Skin</x:t>
        </x:is>
      </x:c>
      <x:c r="E217" t="inlineStr">
        <x:is>
          <x:t xml:space="preserve">minor_cut_wound_care_adult</x:t>
        </x:is>
      </x:c>
      <x:c r="F217" t="inlineStr">
        <x:is>
          <x:t xml:space="preserve">adult</x:t>
        </x:is>
      </x:c>
      <x:c r="G217" t="n">
        <x:v>2</x:v>
      </x:c>
      <x:c r="H217" t="inlineStr">
        <x:is>
          <x:t xml:space="preserve">alias</x:t>
        </x:is>
      </x:c>
      <x:c r="I217" t="inlineStr">
        <x:is>
          <x:t xml:space="preserve">Y</x:t>
        </x:is>
      </x:c>
      <x:c r="J217" t="inlineStr">
        <x:is>
          <x:t xml:space="preserve">v4 added</x:t>
        </x:is>
      </x:c>
      <x:c r="K217" t="inlineStr">
        <x:is>
          <x:t xml:space="preserve">2026-03-08</x:t>
        </x:is>
      </x:c>
    </x:row>
    <x:row r="218">
      <x:c r="A218" t="inlineStr">
        <x:is>
          <x:t xml:space="preserve">CI0217</x:t>
        </x:is>
      </x:c>
      <x:c r="B218" t="inlineStr">
        <x:is>
          <x:t xml:space="preserve">small wound care</x:t>
        </x:is>
      </x:c>
      <x:c r="C218" t="inlineStr">
        <x:is>
          <x:t xml:space="preserve">small wound care</x:t>
        </x:is>
      </x:c>
      <x:c r="D218" t="inlineStr">
        <x:is>
          <x:t xml:space="preserve">Skin</x:t>
        </x:is>
      </x:c>
      <x:c r="E218" t="inlineStr">
        <x:is>
          <x:t xml:space="preserve">minor_cut_wound_care_adult</x:t>
        </x:is>
      </x:c>
      <x:c r="F218" t="inlineStr">
        <x:is>
          <x:t xml:space="preserve">adult</x:t>
        </x:is>
      </x:c>
      <x:c r="G218" t="n">
        <x:v>3</x:v>
      </x:c>
      <x:c r="H218" t="inlineStr">
        <x:is>
          <x:t xml:space="preserve">alias</x:t>
        </x:is>
      </x:c>
      <x:c r="I218" t="inlineStr">
        <x:is>
          <x:t xml:space="preserve">Y</x:t>
        </x:is>
      </x:c>
      <x:c r="J218" t="inlineStr">
        <x:is>
          <x:t xml:space="preserve">v4 added</x:t>
        </x:is>
      </x:c>
      <x:c r="K218" t="inlineStr">
        <x:is>
          <x:t xml:space="preserve">2026-03-08</x:t>
        </x:is>
      </x:c>
    </x:row>
    <x:row r="219">
      <x:c r="A219" t="inlineStr">
        <x:is>
          <x:t xml:space="preserve">CI0218</x:t>
        </x:is>
      </x:c>
      <x:c r="B219" t="inlineStr">
        <x:is>
          <x:t xml:space="preserve">insect bite swelling</x:t>
        </x:is>
      </x:c>
      <x:c r="C219" t="inlineStr">
        <x:is>
          <x:t xml:space="preserve">insect bite swelling</x:t>
        </x:is>
      </x:c>
      <x:c r="D219" t="inlineStr">
        <x:is>
          <x:t xml:space="preserve">Skin</x:t>
        </x:is>
      </x:c>
      <x:c r="E219" t="inlineStr">
        <x:is>
          <x:t xml:space="preserve">insect_bite_swelling_adult</x:t>
        </x:is>
      </x:c>
      <x:c r="F219" t="inlineStr">
        <x:is>
          <x:t xml:space="preserve">adult</x:t>
        </x:is>
      </x:c>
      <x:c r="G219" t="n">
        <x:v>1</x:v>
      </x:c>
      <x:c r="H219" t="inlineStr">
        <x:is>
          <x:t xml:space="preserve">exact</x:t>
        </x:is>
      </x:c>
      <x:c r="I219" t="inlineStr">
        <x:is>
          <x:t xml:space="preserve">Y</x:t>
        </x:is>
      </x:c>
      <x:c r="J219" t="inlineStr">
        <x:is>
          <x:t xml:space="preserve">v4 added</x:t>
        </x:is>
      </x:c>
      <x:c r="K219" t="inlineStr">
        <x:is>
          <x:t xml:space="preserve">2026-03-08</x:t>
        </x:is>
      </x:c>
    </x:row>
    <x:row r="220">
      <x:c r="A220" t="inlineStr">
        <x:is>
          <x:t xml:space="preserve">CI0219</x:t>
        </x:is>
      </x:c>
      <x:c r="B220" t="inlineStr">
        <x:is>
          <x:t xml:space="preserve">swollen mosquito bite</x:t>
        </x:is>
      </x:c>
      <x:c r="C220" t="inlineStr">
        <x:is>
          <x:t xml:space="preserve">swollen mosquito bite</x:t>
        </x:is>
      </x:c>
      <x:c r="D220" t="inlineStr">
        <x:is>
          <x:t xml:space="preserve">Skin</x:t>
        </x:is>
      </x:c>
      <x:c r="E220" t="inlineStr">
        <x:is>
          <x:t xml:space="preserve">insect_bite_swelling_adult</x:t>
        </x:is>
      </x:c>
      <x:c r="F220" t="inlineStr">
        <x:is>
          <x:t xml:space="preserve">adult</x:t>
        </x:is>
      </x:c>
      <x:c r="G220" t="n">
        <x:v>2</x:v>
      </x:c>
      <x:c r="H220" t="inlineStr">
        <x:is>
          <x:t xml:space="preserve">alias</x:t>
        </x:is>
      </x:c>
      <x:c r="I220" t="inlineStr">
        <x:is>
          <x:t xml:space="preserve">Y</x:t>
        </x:is>
      </x:c>
      <x:c r="J220" t="inlineStr">
        <x:is>
          <x:t xml:space="preserve">v4 added</x:t>
        </x:is>
      </x:c>
      <x:c r="K220" t="inlineStr">
        <x:is>
          <x:t xml:space="preserve">2026-03-08</x:t>
        </x:is>
      </x:c>
    </x:row>
    <x:row r="221">
      <x:c r="A221" t="inlineStr">
        <x:is>
          <x:t xml:space="preserve">CI0220</x:t>
        </x:is>
      </x:c>
      <x:c r="B221" t="inlineStr">
        <x:is>
          <x:t xml:space="preserve">bug bite swelling</x:t>
        </x:is>
      </x:c>
      <x:c r="C221" t="inlineStr">
        <x:is>
          <x:t xml:space="preserve">bug bite swelling</x:t>
        </x:is>
      </x:c>
      <x:c r="D221" t="inlineStr">
        <x:is>
          <x:t xml:space="preserve">Skin</x:t>
        </x:is>
      </x:c>
      <x:c r="E221" t="inlineStr">
        <x:is>
          <x:t xml:space="preserve">insect_bite_swelling_adult</x:t>
        </x:is>
      </x:c>
      <x:c r="F221" t="inlineStr">
        <x:is>
          <x:t xml:space="preserve">adult</x:t>
        </x:is>
      </x:c>
      <x:c r="G221" t="n">
        <x:v>3</x:v>
      </x:c>
      <x:c r="H221" t="inlineStr">
        <x:is>
          <x:t xml:space="preserve">alias</x:t>
        </x:is>
      </x:c>
      <x:c r="I221" t="inlineStr">
        <x:is>
          <x:t xml:space="preserve">Y</x:t>
        </x:is>
      </x:c>
      <x:c r="J221" t="inlineStr">
        <x:is>
          <x:t xml:space="preserve">v4 added</x:t>
        </x:is>
      </x:c>
      <x:c r="K221" t="inlineStr">
        <x:is>
          <x:t xml:space="preserve">2026-03-08</x:t>
        </x:is>
      </x:c>
    </x:row>
    <x:row r="222">
      <x:c r="A222" t="inlineStr">
        <x:is>
          <x:t xml:space="preserve">CI0221</x:t>
        </x:is>
      </x:c>
      <x:c r="B222" t="inlineStr">
        <x:is>
          <x:t xml:space="preserve">sensitive area eczema</x:t>
        </x:is>
      </x:c>
      <x:c r="C222" t="inlineStr">
        <x:is>
          <x:t xml:space="preserve">sensitive area eczema</x:t>
        </x:is>
      </x:c>
      <x:c r="D222" t="inlineStr">
        <x:is>
          <x:t xml:space="preserve">Skin</x:t>
        </x:is>
      </x:c>
      <x:c r="E222" t="inlineStr">
        <x:is>
          <x:t xml:space="preserve">localized_eczema_sensitive_area_adult</x:t>
        </x:is>
      </x:c>
      <x:c r="F222" t="inlineStr">
        <x:is>
          <x:t xml:space="preserve">adult</x:t>
        </x:is>
      </x:c>
      <x:c r="G222" t="n">
        <x:v>1</x:v>
      </x:c>
      <x:c r="H222" t="inlineStr">
        <x:is>
          <x:t xml:space="preserve">exact</x:t>
        </x:is>
      </x:c>
      <x:c r="I222" t="inlineStr">
        <x:is>
          <x:t xml:space="preserve">Y</x:t>
        </x:is>
      </x:c>
      <x:c r="J222" t="inlineStr">
        <x:is>
          <x:t xml:space="preserve">v4 added</x:t>
        </x:is>
      </x:c>
      <x:c r="K222" t="inlineStr">
        <x:is>
          <x:t xml:space="preserve">2026-03-08</x:t>
        </x:is>
      </x:c>
    </x:row>
    <x:row r="223">
      <x:c r="A223" t="inlineStr">
        <x:is>
          <x:t xml:space="preserve">CI0222</x:t>
        </x:is>
      </x:c>
      <x:c r="B223" t="inlineStr">
        <x:is>
          <x:t xml:space="preserve">mild eczema patch</x:t>
        </x:is>
      </x:c>
      <x:c r="C223" t="inlineStr">
        <x:is>
          <x:t xml:space="preserve">mild eczema patch</x:t>
        </x:is>
      </x:c>
      <x:c r="D223" t="inlineStr">
        <x:is>
          <x:t xml:space="preserve">Skin</x:t>
        </x:is>
      </x:c>
      <x:c r="E223" t="inlineStr">
        <x:is>
          <x:t xml:space="preserve">localized_eczema_sensitive_area_adult</x:t>
        </x:is>
      </x:c>
      <x:c r="F223" t="inlineStr">
        <x:is>
          <x:t xml:space="preserve">adult</x:t>
        </x:is>
      </x:c>
      <x:c r="G223" t="n">
        <x:v>2</x:v>
      </x:c>
      <x:c r="H223" t="inlineStr">
        <x:is>
          <x:t xml:space="preserve">alias</x:t>
        </x:is>
      </x:c>
      <x:c r="I223" t="inlineStr">
        <x:is>
          <x:t xml:space="preserve">Y</x:t>
        </x:is>
      </x:c>
      <x:c r="J223" t="inlineStr">
        <x:is>
          <x:t xml:space="preserve">v4 added</x:t>
        </x:is>
      </x:c>
      <x:c r="K223" t="inlineStr">
        <x:is>
          <x:t xml:space="preserve">2026-03-08</x:t>
        </x:is>
      </x:c>
    </x:row>
    <x:row r="224">
      <x:c r="A224" t="inlineStr">
        <x:is>
          <x:t xml:space="preserve">CI0223</x:t>
        </x:is>
      </x:c>
      <x:c r="B224" t="inlineStr">
        <x:is>
          <x:t xml:space="preserve">small eczema patch</x:t>
        </x:is>
      </x:c>
      <x:c r="C224" t="inlineStr">
        <x:is>
          <x:t xml:space="preserve">small eczema patch</x:t>
        </x:is>
      </x:c>
      <x:c r="D224" t="inlineStr">
        <x:is>
          <x:t xml:space="preserve">Skin</x:t>
        </x:is>
      </x:c>
      <x:c r="E224" t="inlineStr">
        <x:is>
          <x:t xml:space="preserve">localized_eczema_sensitive_area_adult</x:t>
        </x:is>
      </x:c>
      <x:c r="F224" t="inlineStr">
        <x:is>
          <x:t xml:space="preserve">adult</x:t>
        </x:is>
      </x:c>
      <x:c r="G224" t="n">
        <x:v>3</x:v>
      </x:c>
      <x:c r="H224" t="inlineStr">
        <x:is>
          <x:t xml:space="preserve">alias</x:t>
        </x:is>
      </x:c>
      <x:c r="I224" t="inlineStr">
        <x:is>
          <x:t xml:space="preserve">Y</x:t>
        </x:is>
      </x:c>
      <x:c r="J224" t="inlineStr">
        <x:is>
          <x:t xml:space="preserve">v4 added</x:t>
        </x:is>
      </x:c>
      <x:c r="K224" t="inlineStr">
        <x:is>
          <x:t xml:space="preserve">2026-03-08</x:t>
        </x:is>
      </x:c>
    </x:row>
    <x:row r="225">
      <x:c r="A225" t="inlineStr">
        <x:is>
          <x:t xml:space="preserve">CI0224</x:t>
        </x:is>
      </x:c>
      <x:c r="B225" t="inlineStr">
        <x:is>
          <x:t xml:space="preserve">insect bite child</x:t>
        </x:is>
      </x:c>
      <x:c r="C225" t="inlineStr">
        <x:is>
          <x:t xml:space="preserve">insect bite child</x:t>
        </x:is>
      </x:c>
      <x:c r="D225" t="inlineStr">
        <x:is>
          <x:t xml:space="preserve">Skin</x:t>
        </x:is>
      </x:c>
      <x:c r="E225" t="inlineStr">
        <x:is>
          <x:t xml:space="preserve">insect_bite_peds</x:t>
        </x:is>
      </x:c>
      <x:c r="F225" t="inlineStr">
        <x:is>
          <x:t xml:space="preserve">peds</x:t>
        </x:is>
      </x:c>
      <x:c r="G225" t="n">
        <x:v>1</x:v>
      </x:c>
      <x:c r="H225" t="inlineStr">
        <x:is>
          <x:t xml:space="preserve">exact</x:t>
        </x:is>
      </x:c>
      <x:c r="I225" t="inlineStr">
        <x:is>
          <x:t xml:space="preserve">Y</x:t>
        </x:is>
      </x:c>
      <x:c r="J225" t="inlineStr">
        <x:is>
          <x:t xml:space="preserve">v4 added</x:t>
        </x:is>
      </x:c>
      <x:c r="K225" t="inlineStr">
        <x:is>
          <x:t xml:space="preserve">2026-03-08</x:t>
        </x:is>
      </x:c>
    </x:row>
    <x:row r="226">
      <x:c r="A226" t="inlineStr">
        <x:is>
          <x:t xml:space="preserve">CI0225</x:t>
        </x:is>
      </x:c>
      <x:c r="B226" t="inlineStr">
        <x:is>
          <x:t xml:space="preserve">bug bite kid</x:t>
        </x:is>
      </x:c>
      <x:c r="C226" t="inlineStr">
        <x:is>
          <x:t xml:space="preserve">bug bite kid</x:t>
        </x:is>
      </x:c>
      <x:c r="D226" t="inlineStr">
        <x:is>
          <x:t xml:space="preserve">Skin</x:t>
        </x:is>
      </x:c>
      <x:c r="E226" t="inlineStr">
        <x:is>
          <x:t xml:space="preserve">insect_bite_peds</x:t>
        </x:is>
      </x:c>
      <x:c r="F226" t="inlineStr">
        <x:is>
          <x:t xml:space="preserve">peds</x:t>
        </x:is>
      </x:c>
      <x:c r="G226" t="n">
        <x:v>2</x:v>
      </x:c>
      <x:c r="H226" t="inlineStr">
        <x:is>
          <x:t xml:space="preserve">alias</x:t>
        </x:is>
      </x:c>
      <x:c r="I226" t="inlineStr">
        <x:is>
          <x:t xml:space="preserve">Y</x:t>
        </x:is>
      </x:c>
      <x:c r="J226" t="inlineStr">
        <x:is>
          <x:t xml:space="preserve">v4 added</x:t>
        </x:is>
      </x:c>
      <x:c r="K226" t="inlineStr">
        <x:is>
          <x:t xml:space="preserve">2026-03-08</x:t>
        </x:is>
      </x:c>
    </x:row>
    <x:row r="227">
      <x:c r="A227" t="inlineStr">
        <x:is>
          <x:t xml:space="preserve">CI0226</x:t>
        </x:is>
      </x:c>
      <x:c r="B227" t="inlineStr">
        <x:is>
          <x:t xml:space="preserve">mosquito bite child</x:t>
        </x:is>
      </x:c>
      <x:c r="C227" t="inlineStr">
        <x:is>
          <x:t xml:space="preserve">mosquito bite child</x:t>
        </x:is>
      </x:c>
      <x:c r="D227" t="inlineStr">
        <x:is>
          <x:t xml:space="preserve">Skin</x:t>
        </x:is>
      </x:c>
      <x:c r="E227" t="inlineStr">
        <x:is>
          <x:t xml:space="preserve">insect_bite_peds</x:t>
        </x:is>
      </x:c>
      <x:c r="F227" t="inlineStr">
        <x:is>
          <x:t xml:space="preserve">peds</x:t>
        </x:is>
      </x:c>
      <x:c r="G227" t="n">
        <x:v>3</x:v>
      </x:c>
      <x:c r="H227" t="inlineStr">
        <x:is>
          <x:t xml:space="preserve">alias</x:t>
        </x:is>
      </x:c>
      <x:c r="I227" t="inlineStr">
        <x:is>
          <x:t xml:space="preserve">Y</x:t>
        </x:is>
      </x:c>
      <x:c r="J227" t="inlineStr">
        <x:is>
          <x:t xml:space="preserve">v4 added</x:t>
        </x:is>
      </x:c>
      <x:c r="K227" t="inlineStr">
        <x:is>
          <x:t xml:space="preserve">2026-03-08</x:t>
        </x:is>
      </x:c>
    </x:row>
    <x:row r="228">
      <x:c r="A228" t="inlineStr">
        <x:is>
          <x:t xml:space="preserve">CI0227</x:t>
        </x:is>
      </x:c>
      <x:c r="B228" t="inlineStr">
        <x:is>
          <x:t xml:space="preserve">eczema child</x:t>
        </x:is>
      </x:c>
      <x:c r="C228" t="inlineStr">
        <x:is>
          <x:t xml:space="preserve">eczema child</x:t>
        </x:is>
      </x:c>
      <x:c r="D228" t="inlineStr">
        <x:is>
          <x:t xml:space="preserve">Skin</x:t>
        </x:is>
      </x:c>
      <x:c r="E228" t="inlineStr">
        <x:is>
          <x:t xml:space="preserve">localized_eczema_peds</x:t>
        </x:is>
      </x:c>
      <x:c r="F228" t="inlineStr">
        <x:is>
          <x:t xml:space="preserve">peds</x:t>
        </x:is>
      </x:c>
      <x:c r="G228" t="n">
        <x:v>1</x:v>
      </x:c>
      <x:c r="H228" t="inlineStr">
        <x:is>
          <x:t xml:space="preserve">exact</x:t>
        </x:is>
      </x:c>
      <x:c r="I228" t="inlineStr">
        <x:is>
          <x:t xml:space="preserve">Y</x:t>
        </x:is>
      </x:c>
      <x:c r="J228" t="inlineStr">
        <x:is>
          <x:t xml:space="preserve">v4 added</x:t>
        </x:is>
      </x:c>
      <x:c r="K228" t="inlineStr">
        <x:is>
          <x:t xml:space="preserve">2026-03-08</x:t>
        </x:is>
      </x:c>
    </x:row>
    <x:row r="229">
      <x:c r="A229" t="inlineStr">
        <x:is>
          <x:t xml:space="preserve">CI0228</x:t>
        </x:is>
      </x:c>
      <x:c r="B229" t="inlineStr">
        <x:is>
          <x:t xml:space="preserve">itchy eczema child</x:t>
        </x:is>
      </x:c>
      <x:c r="C229" t="inlineStr">
        <x:is>
          <x:t xml:space="preserve">itchy eczema child</x:t>
        </x:is>
      </x:c>
      <x:c r="D229" t="inlineStr">
        <x:is>
          <x:t xml:space="preserve">Skin</x:t>
        </x:is>
      </x:c>
      <x:c r="E229" t="inlineStr">
        <x:is>
          <x:t xml:space="preserve">localized_eczema_peds</x:t>
        </x:is>
      </x:c>
      <x:c r="F229" t="inlineStr">
        <x:is>
          <x:t xml:space="preserve">peds</x:t>
        </x:is>
      </x:c>
      <x:c r="G229" t="n">
        <x:v>2</x:v>
      </x:c>
      <x:c r="H229" t="inlineStr">
        <x:is>
          <x:t xml:space="preserve">alias</x:t>
        </x:is>
      </x:c>
      <x:c r="I229" t="inlineStr">
        <x:is>
          <x:t xml:space="preserve">Y</x:t>
        </x:is>
      </x:c>
      <x:c r="J229" t="inlineStr">
        <x:is>
          <x:t xml:space="preserve">v4 added</x:t>
        </x:is>
      </x:c>
      <x:c r="K229" t="inlineStr">
        <x:is>
          <x:t xml:space="preserve">2026-03-08</x:t>
        </x:is>
      </x:c>
    </x:row>
    <x:row r="230">
      <x:c r="A230" t="inlineStr">
        <x:is>
          <x:t xml:space="preserve">CI0229</x:t>
        </x:is>
      </x:c>
      <x:c r="B230" t="inlineStr">
        <x:is>
          <x:t xml:space="preserve">localized eczema child</x:t>
        </x:is>
      </x:c>
      <x:c r="C230" t="inlineStr">
        <x:is>
          <x:t xml:space="preserve">localized eczema child</x:t>
        </x:is>
      </x:c>
      <x:c r="D230" t="inlineStr">
        <x:is>
          <x:t xml:space="preserve">Skin</x:t>
        </x:is>
      </x:c>
      <x:c r="E230" t="inlineStr">
        <x:is>
          <x:t xml:space="preserve">localized_eczema_peds</x:t>
        </x:is>
      </x:c>
      <x:c r="F230" t="inlineStr">
        <x:is>
          <x:t xml:space="preserve">peds</x:t>
        </x:is>
      </x:c>
      <x:c r="G230" t="n">
        <x:v>3</x:v>
      </x:c>
      <x:c r="H230" t="inlineStr">
        <x:is>
          <x:t xml:space="preserve">alias</x:t>
        </x:is>
      </x:c>
      <x:c r="I230" t="inlineStr">
        <x:is>
          <x:t xml:space="preserve">Y</x:t>
        </x:is>
      </x:c>
      <x:c r="J230" t="inlineStr">
        <x:is>
          <x:t xml:space="preserve">v4 added</x:t>
        </x:is>
      </x:c>
      <x:c r="K230" t="inlineStr">
        <x:is>
          <x:t xml:space="preserve">2026-03-08</x:t>
        </x:is>
      </x:c>
    </x:row>
    <x:row r="231">
      <x:c r="A231" t="inlineStr">
        <x:is>
          <x:t xml:space="preserve">CI0230</x:t>
        </x:is>
      </x:c>
      <x:c r="B231" t="inlineStr">
        <x:is>
          <x:t xml:space="preserve">indigestion after meal</x:t>
        </x:is>
      </x:c>
      <x:c r="C231" t="inlineStr">
        <x:is>
          <x:t xml:space="preserve">indigestion after meal</x:t>
        </x:is>
      </x:c>
      <x:c r="D231" t="inlineStr">
        <x:is>
          <x:t xml:space="preserve">GI</x:t>
        </x:is>
      </x:c>
      <x:c r="E231" t="inlineStr">
        <x:is>
          <x:t xml:space="preserve">indigestion_postmeal_adult</x:t>
        </x:is>
      </x:c>
      <x:c r="F231" t="inlineStr">
        <x:is>
          <x:t xml:space="preserve">adult</x:t>
        </x:is>
      </x:c>
      <x:c r="G231" t="n">
        <x:v>1</x:v>
      </x:c>
      <x:c r="H231" t="inlineStr">
        <x:is>
          <x:t xml:space="preserve">exact</x:t>
        </x:is>
      </x:c>
      <x:c r="I231" t="inlineStr">
        <x:is>
          <x:t xml:space="preserve">Y</x:t>
        </x:is>
      </x:c>
      <x:c r="J231" t="inlineStr">
        <x:is>
          <x:t xml:space="preserve">v4 added</x:t>
        </x:is>
      </x:c>
      <x:c r="K231" t="inlineStr">
        <x:is>
          <x:t xml:space="preserve">2026-03-08</x:t>
        </x:is>
      </x:c>
    </x:row>
    <x:row r="232">
      <x:c r="A232" t="inlineStr">
        <x:is>
          <x:t xml:space="preserve">CI0231</x:t>
        </x:is>
      </x:c>
      <x:c r="B232" t="inlineStr">
        <x:is>
          <x:t xml:space="preserve">post meal indigestion</x:t>
        </x:is>
      </x:c>
      <x:c r="C232" t="inlineStr">
        <x:is>
          <x:t xml:space="preserve">post meal indigestion</x:t>
        </x:is>
      </x:c>
      <x:c r="D232" t="inlineStr">
        <x:is>
          <x:t xml:space="preserve">GI</x:t>
        </x:is>
      </x:c>
      <x:c r="E232" t="inlineStr">
        <x:is>
          <x:t xml:space="preserve">indigestion_postmeal_adult</x:t>
        </x:is>
      </x:c>
      <x:c r="F232" t="inlineStr">
        <x:is>
          <x:t xml:space="preserve">adult</x:t>
        </x:is>
      </x:c>
      <x:c r="G232" t="n">
        <x:v>2</x:v>
      </x:c>
      <x:c r="H232" t="inlineStr">
        <x:is>
          <x:t xml:space="preserve">alias</x:t>
        </x:is>
      </x:c>
      <x:c r="I232" t="inlineStr">
        <x:is>
          <x:t xml:space="preserve">Y</x:t>
        </x:is>
      </x:c>
      <x:c r="J232" t="inlineStr">
        <x:is>
          <x:t xml:space="preserve">v4 added</x:t>
        </x:is>
      </x:c>
      <x:c r="K232" t="inlineStr">
        <x:is>
          <x:t xml:space="preserve">2026-03-08</x:t>
        </x:is>
      </x:c>
    </x:row>
    <x:row r="233">
      <x:c r="A233" t="inlineStr">
        <x:is>
          <x:t xml:space="preserve">CI0232</x:t>
        </x:is>
      </x:c>
      <x:c r="B233" t="inlineStr">
        <x:is>
          <x:t xml:space="preserve">after meal dyspepsia</x:t>
        </x:is>
      </x:c>
      <x:c r="C233" t="inlineStr">
        <x:is>
          <x:t xml:space="preserve">after meal dyspepsia</x:t>
        </x:is>
      </x:c>
      <x:c r="D233" t="inlineStr">
        <x:is>
          <x:t xml:space="preserve">GI</x:t>
        </x:is>
      </x:c>
      <x:c r="E233" t="inlineStr">
        <x:is>
          <x:t xml:space="preserve">indigestion_postmeal_adult</x:t>
        </x:is>
      </x:c>
      <x:c r="F233" t="inlineStr">
        <x:is>
          <x:t xml:space="preserve">adult</x:t>
        </x:is>
      </x:c>
      <x:c r="G233" t="n">
        <x:v>3</x:v>
      </x:c>
      <x:c r="H233" t="inlineStr">
        <x:is>
          <x:t xml:space="preserve">alias</x:t>
        </x:is>
      </x:c>
      <x:c r="I233" t="inlineStr">
        <x:is>
          <x:t xml:space="preserve">Y</x:t>
        </x:is>
      </x:c>
      <x:c r="J233" t="inlineStr">
        <x:is>
          <x:t xml:space="preserve">v4 added</x:t>
        </x:is>
      </x:c>
      <x:c r="K233" t="inlineStr">
        <x:is>
          <x:t xml:space="preserve">2026-03-08</x:t>
        </x:is>
      </x:c>
    </x:row>
    <x:row r="234">
      <x:c r="A234" t="inlineStr">
        <x:is>
          <x:t xml:space="preserve">CI0233</x:t>
        </x:is>
      </x:c>
      <x:c r="B234" t="inlineStr">
        <x:is>
          <x:t xml:space="preserve">digestive aid</x:t>
        </x:is>
      </x:c>
      <x:c r="C234" t="inlineStr">
        <x:is>
          <x:t xml:space="preserve">digestive aid</x:t>
        </x:is>
      </x:c>
      <x:c r="D234" t="inlineStr">
        <x:is>
          <x:t xml:space="preserve">GI</x:t>
        </x:is>
      </x:c>
      <x:c r="E234" t="inlineStr">
        <x:is>
          <x:t xml:space="preserve">digestive_aid_postmeal_adult</x:t>
        </x:is>
      </x:c>
      <x:c r="F234" t="inlineStr">
        <x:is>
          <x:t xml:space="preserve">adult</x:t>
        </x:is>
      </x:c>
      <x:c r="G234" t="n">
        <x:v>1</x:v>
      </x:c>
      <x:c r="H234" t="inlineStr">
        <x:is>
          <x:t xml:space="preserve">exact</x:t>
        </x:is>
      </x:c>
      <x:c r="I234" t="inlineStr">
        <x:is>
          <x:t xml:space="preserve">Y</x:t>
        </x:is>
      </x:c>
      <x:c r="J234" t="inlineStr">
        <x:is>
          <x:t xml:space="preserve">v4 added</x:t>
        </x:is>
      </x:c>
      <x:c r="K234" t="inlineStr">
        <x:is>
          <x:t xml:space="preserve">2026-03-08</x:t>
        </x:is>
      </x:c>
    </x:row>
    <x:row r="235">
      <x:c r="A235" t="inlineStr">
        <x:is>
          <x:t xml:space="preserve">CI0234</x:t>
        </x:is>
      </x:c>
      <x:c r="B235" t="inlineStr">
        <x:is>
          <x:t xml:space="preserve">after meal digestive aid</x:t>
        </x:is>
      </x:c>
      <x:c r="C235" t="inlineStr">
        <x:is>
          <x:t xml:space="preserve">after meal digestive aid</x:t>
        </x:is>
      </x:c>
      <x:c r="D235" t="inlineStr">
        <x:is>
          <x:t xml:space="preserve">GI</x:t>
        </x:is>
      </x:c>
      <x:c r="E235" t="inlineStr">
        <x:is>
          <x:t xml:space="preserve">digestive_aid_postmeal_adult</x:t>
        </x:is>
      </x:c>
      <x:c r="F235" t="inlineStr">
        <x:is>
          <x:t xml:space="preserve">adult</x:t>
        </x:is>
      </x:c>
      <x:c r="G235" t="n">
        <x:v>2</x:v>
      </x:c>
      <x:c r="H235" t="inlineStr">
        <x:is>
          <x:t xml:space="preserve">alias</x:t>
        </x:is>
      </x:c>
      <x:c r="I235" t="inlineStr">
        <x:is>
          <x:t xml:space="preserve">Y</x:t>
        </x:is>
      </x:c>
      <x:c r="J235" t="inlineStr">
        <x:is>
          <x:t xml:space="preserve">v4 added</x:t>
        </x:is>
      </x:c>
      <x:c r="K235" t="inlineStr">
        <x:is>
          <x:t xml:space="preserve">2026-03-08</x:t>
        </x:is>
      </x:c>
    </x:row>
    <x:row r="236">
      <x:c r="A236" t="inlineStr">
        <x:is>
          <x:t xml:space="preserve">CI0235</x:t>
        </x:is>
      </x:c>
      <x:c r="B236" t="inlineStr">
        <x:is>
          <x:t xml:space="preserve">post meal fullness support</x:t>
        </x:is>
      </x:c>
      <x:c r="C236" t="inlineStr">
        <x:is>
          <x:t xml:space="preserve">post meal fullness support</x:t>
        </x:is>
      </x:c>
      <x:c r="D236" t="inlineStr">
        <x:is>
          <x:t xml:space="preserve">GI</x:t>
        </x:is>
      </x:c>
      <x:c r="E236" t="inlineStr">
        <x:is>
          <x:t xml:space="preserve">digestive_aid_postmeal_adult</x:t>
        </x:is>
      </x:c>
      <x:c r="F236" t="inlineStr">
        <x:is>
          <x:t xml:space="preserve">adult</x:t>
        </x:is>
      </x:c>
      <x:c r="G236" t="n">
        <x:v>3</x:v>
      </x:c>
      <x:c r="H236" t="inlineStr">
        <x:is>
          <x:t xml:space="preserve">alias</x:t>
        </x:is>
      </x:c>
      <x:c r="I236" t="inlineStr">
        <x:is>
          <x:t xml:space="preserve">Y</x:t>
        </x:is>
      </x:c>
      <x:c r="J236" t="inlineStr">
        <x:is>
          <x:t xml:space="preserve">v4 added</x:t>
        </x:is>
      </x:c>
      <x:c r="K236" t="inlineStr">
        <x:is>
          <x:t xml:space="preserve">2026-03-08</x:t>
        </x:is>
      </x:c>
    </x:row>
    <x:row r="237">
      <x:c r="A237" t="inlineStr">
        <x:is>
          <x:t xml:space="preserve">CI0236</x:t>
        </x:is>
      </x:c>
      <x:c r="B237" t="inlineStr">
        <x:is>
          <x:t xml:space="preserve">abdominal gas child</x:t>
        </x:is>
      </x:c>
      <x:c r="C237" t="inlineStr">
        <x:is>
          <x:t xml:space="preserve">abdominal gas child</x:t>
        </x:is>
      </x:c>
      <x:c r="D237" t="inlineStr">
        <x:is>
          <x:t xml:space="preserve">GI</x:t>
        </x:is>
      </x:c>
      <x:c r="E237" t="inlineStr">
        <x:is>
          <x:t xml:space="preserve">abdominal_gas_peds</x:t>
        </x:is>
      </x:c>
      <x:c r="F237" t="inlineStr">
        <x:is>
          <x:t xml:space="preserve">peds</x:t>
        </x:is>
      </x:c>
      <x:c r="G237" t="n">
        <x:v>1</x:v>
      </x:c>
      <x:c r="H237" t="inlineStr">
        <x:is>
          <x:t xml:space="preserve">exact</x:t>
        </x:is>
      </x:c>
      <x:c r="I237" t="inlineStr">
        <x:is>
          <x:t xml:space="preserve">Y</x:t>
        </x:is>
      </x:c>
      <x:c r="J237" t="inlineStr">
        <x:is>
          <x:t xml:space="preserve">v4 added</x:t>
        </x:is>
      </x:c>
      <x:c r="K237" t="inlineStr">
        <x:is>
          <x:t xml:space="preserve">2026-03-08</x:t>
        </x:is>
      </x:c>
    </x:row>
    <x:row r="238">
      <x:c r="A238" t="inlineStr">
        <x:is>
          <x:t xml:space="preserve">CI0237</x:t>
        </x:is>
      </x:c>
      <x:c r="B238" t="inlineStr">
        <x:is>
          <x:t xml:space="preserve">child bloating gas</x:t>
        </x:is>
      </x:c>
      <x:c r="C238" t="inlineStr">
        <x:is>
          <x:t xml:space="preserve">child bloating gas</x:t>
        </x:is>
      </x:c>
      <x:c r="D238" t="inlineStr">
        <x:is>
          <x:t xml:space="preserve">GI</x:t>
        </x:is>
      </x:c>
      <x:c r="E238" t="inlineStr">
        <x:is>
          <x:t xml:space="preserve">abdominal_gas_peds</x:t>
        </x:is>
      </x:c>
      <x:c r="F238" t="inlineStr">
        <x:is>
          <x:t xml:space="preserve">peds</x:t>
        </x:is>
      </x:c>
      <x:c r="G238" t="n">
        <x:v>2</x:v>
      </x:c>
      <x:c r="H238" t="inlineStr">
        <x:is>
          <x:t xml:space="preserve">alias</x:t>
        </x:is>
      </x:c>
      <x:c r="I238" t="inlineStr">
        <x:is>
          <x:t xml:space="preserve">Y</x:t>
        </x:is>
      </x:c>
      <x:c r="J238" t="inlineStr">
        <x:is>
          <x:t xml:space="preserve">v4 added</x:t>
        </x:is>
      </x:c>
      <x:c r="K238" t="inlineStr">
        <x:is>
          <x:t xml:space="preserve">2026-03-08</x:t>
        </x:is>
      </x:c>
    </x:row>
    <x:row r="239">
      <x:c r="A239" t="inlineStr">
        <x:is>
          <x:t xml:space="preserve">CI0238</x:t>
        </x:is>
      </x:c>
      <x:c r="B239" t="inlineStr">
        <x:is>
          <x:t xml:space="preserve">gas child</x:t>
        </x:is>
      </x:c>
      <x:c r="C239" t="inlineStr">
        <x:is>
          <x:t xml:space="preserve">gas child</x:t>
        </x:is>
      </x:c>
      <x:c r="D239" t="inlineStr">
        <x:is>
          <x:t xml:space="preserve">GI</x:t>
        </x:is>
      </x:c>
      <x:c r="E239" t="inlineStr">
        <x:is>
          <x:t xml:space="preserve">abdominal_gas_peds</x:t>
        </x:is>
      </x:c>
      <x:c r="F239" t="inlineStr">
        <x:is>
          <x:t xml:space="preserve">peds</x:t>
        </x:is>
      </x:c>
      <x:c r="G239" t="n">
        <x:v>3</x:v>
      </x:c>
      <x:c r="H239" t="inlineStr">
        <x:is>
          <x:t xml:space="preserve">alias</x:t>
        </x:is>
      </x:c>
      <x:c r="I239" t="inlineStr">
        <x:is>
          <x:t xml:space="preserve">Y</x:t>
        </x:is>
      </x:c>
      <x:c r="J239" t="inlineStr">
        <x:is>
          <x:t xml:space="preserve">v4 added</x:t>
        </x:is>
      </x:c>
      <x:c r="K239" t="inlineStr">
        <x:is>
          <x:t xml:space="preserve">2026-03-08</x:t>
        </x:is>
      </x:c>
    </x:row>
    <x:row r="240">
      <x:c r="A240" t="inlineStr">
        <x:is>
          <x:t xml:space="preserve">CI0239</x:t>
        </x:is>
      </x:c>
      <x:c r="B240" t="inlineStr">
        <x:is>
          <x:t xml:space="preserve">abdominal colic child</x:t>
        </x:is>
      </x:c>
      <x:c r="C240" t="inlineStr">
        <x:is>
          <x:t xml:space="preserve">abdominal colic child</x:t>
        </x:is>
      </x:c>
      <x:c r="D240" t="inlineStr">
        <x:is>
          <x:t xml:space="preserve">GI</x:t>
        </x:is>
      </x:c>
      <x:c r="E240" t="inlineStr">
        <x:is>
          <x:t xml:space="preserve">abdominal_colic_peds</x:t>
        </x:is>
      </x:c>
      <x:c r="F240" t="inlineStr">
        <x:is>
          <x:t xml:space="preserve">peds</x:t>
        </x:is>
      </x:c>
      <x:c r="G240" t="n">
        <x:v>1</x:v>
      </x:c>
      <x:c r="H240" t="inlineStr">
        <x:is>
          <x:t xml:space="preserve">exact</x:t>
        </x:is>
      </x:c>
      <x:c r="I240" t="inlineStr">
        <x:is>
          <x:t xml:space="preserve">Y</x:t>
        </x:is>
      </x:c>
      <x:c r="J240" t="inlineStr">
        <x:is>
          <x:t xml:space="preserve">v4 added</x:t>
        </x:is>
      </x:c>
      <x:c r="K240" t="inlineStr">
        <x:is>
          <x:t xml:space="preserve">2026-03-08</x:t>
        </x:is>
      </x:c>
    </x:row>
    <x:row r="241">
      <x:c r="A241" t="inlineStr">
        <x:is>
          <x:t xml:space="preserve">CI0240</x:t>
        </x:is>
      </x:c>
      <x:c r="B241" t="inlineStr">
        <x:is>
          <x:t xml:space="preserve">stomach cramp child</x:t>
        </x:is>
      </x:c>
      <x:c r="C241" t="inlineStr">
        <x:is>
          <x:t xml:space="preserve">stomach cramp child</x:t>
        </x:is>
      </x:c>
      <x:c r="D241" t="inlineStr">
        <x:is>
          <x:t xml:space="preserve">GI</x:t>
        </x:is>
      </x:c>
      <x:c r="E241" t="inlineStr">
        <x:is>
          <x:t xml:space="preserve">abdominal_colic_peds</x:t>
        </x:is>
      </x:c>
      <x:c r="F241" t="inlineStr">
        <x:is>
          <x:t xml:space="preserve">peds</x:t>
        </x:is>
      </x:c>
      <x:c r="G241" t="n">
        <x:v>2</x:v>
      </x:c>
      <x:c r="H241" t="inlineStr">
        <x:is>
          <x:t xml:space="preserve">alias</x:t>
        </x:is>
      </x:c>
      <x:c r="I241" t="inlineStr">
        <x:is>
          <x:t xml:space="preserve">Y</x:t>
        </x:is>
      </x:c>
      <x:c r="J241" t="inlineStr">
        <x:is>
          <x:t xml:space="preserve">v4 added</x:t>
        </x:is>
      </x:c>
      <x:c r="K241" t="inlineStr">
        <x:is>
          <x:t xml:space="preserve">2026-03-08</x:t>
        </x:is>
      </x:c>
    </x:row>
    <x:row r="242">
      <x:c r="A242" t="inlineStr">
        <x:is>
          <x:t xml:space="preserve">CI0241</x:t>
        </x:is>
      </x:c>
      <x:c r="B242" t="inlineStr">
        <x:is>
          <x:t xml:space="preserve">colic child</x:t>
        </x:is>
      </x:c>
      <x:c r="C242" t="inlineStr">
        <x:is>
          <x:t xml:space="preserve">colic child</x:t>
        </x:is>
      </x:c>
      <x:c r="D242" t="inlineStr">
        <x:is>
          <x:t xml:space="preserve">GI</x:t>
        </x:is>
      </x:c>
      <x:c r="E242" t="inlineStr">
        <x:is>
          <x:t xml:space="preserve">abdominal_colic_peds</x:t>
        </x:is>
      </x:c>
      <x:c r="F242" t="inlineStr">
        <x:is>
          <x:t xml:space="preserve">peds</x:t>
        </x:is>
      </x:c>
      <x:c r="G242" t="n">
        <x:v>3</x:v>
      </x:c>
      <x:c r="H242" t="inlineStr">
        <x:is>
          <x:t xml:space="preserve">alias</x:t>
        </x:is>
      </x:c>
      <x:c r="I242" t="inlineStr">
        <x:is>
          <x:t xml:space="preserve">Y</x:t>
        </x:is>
      </x:c>
      <x:c r="J242" t="inlineStr">
        <x:is>
          <x:t xml:space="preserve">v4 added</x:t>
        </x:is>
      </x:c>
      <x:c r="K242" t="inlineStr">
        <x:is>
          <x:t xml:space="preserve">2026-03-08</x:t>
        </x:is>
      </x:c>
    </x:row>
    <x:row r="243">
      <x:c r="A243" t="inlineStr">
        <x:is>
          <x:t xml:space="preserve">CI0242</x:t>
        </x:is>
      </x:c>
      <x:c r="B243" t="inlineStr">
        <x:is>
          <x:t xml:space="preserve">gastroenteritis child</x:t>
        </x:is>
      </x:c>
      <x:c r="C243" t="inlineStr">
        <x:is>
          <x:t xml:space="preserve">gastroenteritis child</x:t>
        </x:is>
      </x:c>
      <x:c r="D243" t="inlineStr">
        <x:is>
          <x:t xml:space="preserve">GI</x:t>
        </x:is>
      </x:c>
      <x:c r="E243" t="inlineStr">
        <x:is>
          <x:t xml:space="preserve">acute_gastroenteritis_peds_mild</x:t>
        </x:is>
      </x:c>
      <x:c r="F243" t="inlineStr">
        <x:is>
          <x:t xml:space="preserve">peds</x:t>
        </x:is>
      </x:c>
      <x:c r="G243" t="n">
        <x:v>1</x:v>
      </x:c>
      <x:c r="H243" t="inlineStr">
        <x:is>
          <x:t xml:space="preserve">exact</x:t>
        </x:is>
      </x:c>
      <x:c r="I243" t="inlineStr">
        <x:is>
          <x:t xml:space="preserve">Y</x:t>
        </x:is>
      </x:c>
      <x:c r="J243" t="inlineStr">
        <x:is>
          <x:t xml:space="preserve">v4 added</x:t>
        </x:is>
      </x:c>
      <x:c r="K243" t="inlineStr">
        <x:is>
          <x:t xml:space="preserve">2026-03-08</x:t>
        </x:is>
      </x:c>
    </x:row>
    <x:row r="244">
      <x:c r="A244" t="inlineStr">
        <x:is>
          <x:t xml:space="preserve">CI0243</x:t>
        </x:is>
      </x:c>
      <x:c r="B244" t="inlineStr">
        <x:is>
          <x:t xml:space="preserve">child gastroenteritis</x:t>
        </x:is>
      </x:c>
      <x:c r="C244" t="inlineStr">
        <x:is>
          <x:t xml:space="preserve">child gastroenteritis</x:t>
        </x:is>
      </x:c>
      <x:c r="D244" t="inlineStr">
        <x:is>
          <x:t xml:space="preserve">GI</x:t>
        </x:is>
      </x:c>
      <x:c r="E244" t="inlineStr">
        <x:is>
          <x:t xml:space="preserve">acute_gastroenteritis_peds_mild</x:t>
        </x:is>
      </x:c>
      <x:c r="F244" t="inlineStr">
        <x:is>
          <x:t xml:space="preserve">peds</x:t>
        </x:is>
      </x:c>
      <x:c r="G244" t="n">
        <x:v>2</x:v>
      </x:c>
      <x:c r="H244" t="inlineStr">
        <x:is>
          <x:t xml:space="preserve">alias</x:t>
        </x:is>
      </x:c>
      <x:c r="I244" t="inlineStr">
        <x:is>
          <x:t xml:space="preserve">Y</x:t>
        </x:is>
      </x:c>
      <x:c r="J244" t="inlineStr">
        <x:is>
          <x:t xml:space="preserve">v4 added</x:t>
        </x:is>
      </x:c>
      <x:c r="K244" t="inlineStr">
        <x:is>
          <x:t xml:space="preserve">2026-03-08</x:t>
        </x:is>
      </x:c>
    </x:row>
    <x:row r="245">
      <x:c r="A245" t="inlineStr">
        <x:is>
          <x:t xml:space="preserve">CI0244</x:t>
        </x:is>
      </x:c>
      <x:c r="B245" t="inlineStr">
        <x:is>
          <x:t xml:space="preserve">mild diarrhea child</x:t>
        </x:is>
      </x:c>
      <x:c r="C245" t="inlineStr">
        <x:is>
          <x:t xml:space="preserve">mild diarrhea child</x:t>
        </x:is>
      </x:c>
      <x:c r="D245" t="inlineStr">
        <x:is>
          <x:t xml:space="preserve">GI</x:t>
        </x:is>
      </x:c>
      <x:c r="E245" t="inlineStr">
        <x:is>
          <x:t xml:space="preserve">acute_gastroenteritis_peds_mild</x:t>
        </x:is>
      </x:c>
      <x:c r="F245" t="inlineStr">
        <x:is>
          <x:t xml:space="preserve">peds</x:t>
        </x:is>
      </x:c>
      <x:c r="G245" t="n">
        <x:v>3</x:v>
      </x:c>
      <x:c r="H245" t="inlineStr">
        <x:is>
          <x:t xml:space="preserve">alias</x:t>
        </x:is>
      </x:c>
      <x:c r="I245" t="inlineStr">
        <x:is>
          <x:t xml:space="preserve">Y</x:t>
        </x:is>
      </x:c>
      <x:c r="J245" t="inlineStr">
        <x:is>
          <x:t xml:space="preserve">v4 added</x:t>
        </x:is>
      </x:c>
      <x:c r="K245" t="inlineStr">
        <x:is>
          <x:t xml:space="preserve">2026-03-08</x:t>
        </x:is>
      </x:c>
    </x:row>
    <x:row r="246">
      <x:c r="A246" t="inlineStr">
        <x:is>
          <x:t xml:space="preserve">CI0245</x:t>
        </x:is>
      </x:c>
      <x:c r="B246" t="inlineStr">
        <x:is>
          <x:t xml:space="preserve">rehydration diarrhea child</x:t>
        </x:is>
      </x:c>
      <x:c r="C246" t="inlineStr">
        <x:is>
          <x:t xml:space="preserve">rehydration diarrhea child</x:t>
        </x:is>
      </x:c>
      <x:c r="D246" t="inlineStr">
        <x:is>
          <x:t xml:space="preserve">GI</x:t>
        </x:is>
      </x:c>
      <x:c r="E246" t="inlineStr">
        <x:is>
          <x:t xml:space="preserve">acute_watery_diarrhea_peds_rehydration</x:t>
        </x:is>
      </x:c>
      <x:c r="F246" t="inlineStr">
        <x:is>
          <x:t xml:space="preserve">peds</x:t>
        </x:is>
      </x:c>
      <x:c r="G246" t="n">
        <x:v>1</x:v>
      </x:c>
      <x:c r="H246" t="inlineStr">
        <x:is>
          <x:t xml:space="preserve">exact</x:t>
        </x:is>
      </x:c>
      <x:c r="I246" t="inlineStr">
        <x:is>
          <x:t xml:space="preserve">Y</x:t>
        </x:is>
      </x:c>
      <x:c r="J246" t="inlineStr">
        <x:is>
          <x:t xml:space="preserve">v4 added</x:t>
        </x:is>
      </x:c>
      <x:c r="K246" t="inlineStr">
        <x:is>
          <x:t xml:space="preserve">2026-03-08</x:t>
        </x:is>
      </x:c>
    </x:row>
    <x:row r="247">
      <x:c r="A247" t="inlineStr">
        <x:is>
          <x:t xml:space="preserve">CI0246</x:t>
        </x:is>
      </x:c>
      <x:c r="B247" t="inlineStr">
        <x:is>
          <x:t xml:space="preserve">child ors support</x:t>
        </x:is>
      </x:c>
      <x:c r="C247" t="inlineStr">
        <x:is>
          <x:t xml:space="preserve">child ors support</x:t>
        </x:is>
      </x:c>
      <x:c r="D247" t="inlineStr">
        <x:is>
          <x:t xml:space="preserve">GI</x:t>
        </x:is>
      </x:c>
      <x:c r="E247" t="inlineStr">
        <x:is>
          <x:t xml:space="preserve">acute_watery_diarrhea_peds_rehydration</x:t>
        </x:is>
      </x:c>
      <x:c r="F247" t="inlineStr">
        <x:is>
          <x:t xml:space="preserve">peds</x:t>
        </x:is>
      </x:c>
      <x:c r="G247" t="n">
        <x:v>2</x:v>
      </x:c>
      <x:c r="H247" t="inlineStr">
        <x:is>
          <x:t xml:space="preserve">alias</x:t>
        </x:is>
      </x:c>
      <x:c r="I247" t="inlineStr">
        <x:is>
          <x:t xml:space="preserve">Y</x:t>
        </x:is>
      </x:c>
      <x:c r="J247" t="inlineStr">
        <x:is>
          <x:t xml:space="preserve">v4 added</x:t>
        </x:is>
      </x:c>
      <x:c r="K247" t="inlineStr">
        <x:is>
          <x:t xml:space="preserve">2026-03-08</x:t>
        </x:is>
      </x:c>
    </x:row>
    <x:row r="248">
      <x:c r="A248" t="inlineStr">
        <x:is>
          <x:t xml:space="preserve">CI0247</x:t>
        </x:is>
      </x:c>
      <x:c r="B248" t="inlineStr">
        <x:is>
          <x:t xml:space="preserve">watery diarrhea child rehydration</x:t>
        </x:is>
      </x:c>
      <x:c r="C248" t="inlineStr">
        <x:is>
          <x:t xml:space="preserve">watery diarrhea child rehydration</x:t>
        </x:is>
      </x:c>
      <x:c r="D248" t="inlineStr">
        <x:is>
          <x:t xml:space="preserve">GI</x:t>
        </x:is>
      </x:c>
      <x:c r="E248" t="inlineStr">
        <x:is>
          <x:t xml:space="preserve">acute_watery_diarrhea_peds_rehydration</x:t>
        </x:is>
      </x:c>
      <x:c r="F248" t="inlineStr">
        <x:is>
          <x:t xml:space="preserve">peds</x:t>
        </x:is>
      </x:c>
      <x:c r="G248" t="n">
        <x:v>3</x:v>
      </x:c>
      <x:c r="H248" t="inlineStr">
        <x:is>
          <x:t xml:space="preserve">alias</x:t>
        </x:is>
      </x:c>
      <x:c r="I248" t="inlineStr">
        <x:is>
          <x:t xml:space="preserve">Y</x:t>
        </x:is>
      </x:c>
      <x:c r="J248" t="inlineStr">
        <x:is>
          <x:t xml:space="preserve">v4 added</x:t>
        </x:is>
      </x:c>
      <x:c r="K248" t="inlineStr">
        <x:is>
          <x:t xml:space="preserve">2026-03-08</x:t>
        </x:is>
      </x:c>
    </x:row>
    <x:row r="249">
      <x:c r="A249" t="inlineStr">
        <x:is>
          <x:t xml:space="preserve">CI0248</x:t>
        </x:is>
      </x:c>
      <x:c r="B249" t="inlineStr">
        <x:is>
          <x:t xml:space="preserve">allergic rhinitis child</x:t>
        </x:is>
      </x:c>
      <x:c r="C249" t="inlineStr">
        <x:is>
          <x:t xml:space="preserve">allergic rhinitis child</x:t>
        </x:is>
      </x:c>
      <x:c r="D249" t="inlineStr">
        <x:is>
          <x:t xml:space="preserve">ENT</x:t>
        </x:is>
      </x:c>
      <x:c r="E249" t="inlineStr">
        <x:is>
          <x:t xml:space="preserve">allergic_rhinitis_peds</x:t>
        </x:is>
      </x:c>
      <x:c r="F249" t="inlineStr">
        <x:is>
          <x:t xml:space="preserve">peds</x:t>
        </x:is>
      </x:c>
      <x:c r="G249" t="n">
        <x:v>1</x:v>
      </x:c>
      <x:c r="H249" t="inlineStr">
        <x:is>
          <x:t xml:space="preserve">exact</x:t>
        </x:is>
      </x:c>
      <x:c r="I249" t="inlineStr">
        <x:is>
          <x:t xml:space="preserve">Y</x:t>
        </x:is>
      </x:c>
      <x:c r="J249" t="inlineStr">
        <x:is>
          <x:t xml:space="preserve">v4 added</x:t>
        </x:is>
      </x:c>
      <x:c r="K249" t="inlineStr">
        <x:is>
          <x:t xml:space="preserve">2026-03-08</x:t>
        </x:is>
      </x:c>
    </x:row>
    <x:row r="250">
      <x:c r="A250" t="inlineStr">
        <x:is>
          <x:t xml:space="preserve">CI0249</x:t>
        </x:is>
      </x:c>
      <x:c r="B250" t="inlineStr">
        <x:is>
          <x:t xml:space="preserve">child allergic rhinitis</x:t>
        </x:is>
      </x:c>
      <x:c r="C250" t="inlineStr">
        <x:is>
          <x:t xml:space="preserve">child allergic rhinitis</x:t>
        </x:is>
      </x:c>
      <x:c r="D250" t="inlineStr">
        <x:is>
          <x:t xml:space="preserve">ENT</x:t>
        </x:is>
      </x:c>
      <x:c r="E250" t="inlineStr">
        <x:is>
          <x:t xml:space="preserve">allergic_rhinitis_peds</x:t>
        </x:is>
      </x:c>
      <x:c r="F250" t="inlineStr">
        <x:is>
          <x:t xml:space="preserve">peds</x:t>
        </x:is>
      </x:c>
      <x:c r="G250" t="n">
        <x:v>2</x:v>
      </x:c>
      <x:c r="H250" t="inlineStr">
        <x:is>
          <x:t xml:space="preserve">alias</x:t>
        </x:is>
      </x:c>
      <x:c r="I250" t="inlineStr">
        <x:is>
          <x:t xml:space="preserve">Y</x:t>
        </x:is>
      </x:c>
      <x:c r="J250" t="inlineStr">
        <x:is>
          <x:t xml:space="preserve">v4 added</x:t>
        </x:is>
      </x:c>
      <x:c r="K250" t="inlineStr">
        <x:is>
          <x:t xml:space="preserve">2026-03-08</x:t>
        </x:is>
      </x:c>
    </x:row>
    <x:row r="251">
      <x:c r="A251" t="inlineStr">
        <x:is>
          <x:t xml:space="preserve">CI0250</x:t>
        </x:is>
      </x:c>
      <x:c r="B251" t="inlineStr">
        <x:is>
          <x:t xml:space="preserve">runny nose allergy child</x:t>
        </x:is>
      </x:c>
      <x:c r="C251" t="inlineStr">
        <x:is>
          <x:t xml:space="preserve">runny nose allergy child</x:t>
        </x:is>
      </x:c>
      <x:c r="D251" t="inlineStr">
        <x:is>
          <x:t xml:space="preserve">ENT</x:t>
        </x:is>
      </x:c>
      <x:c r="E251" t="inlineStr">
        <x:is>
          <x:t xml:space="preserve">allergic_rhinitis_peds</x:t>
        </x:is>
      </x:c>
      <x:c r="F251" t="inlineStr">
        <x:is>
          <x:t xml:space="preserve">peds</x:t>
        </x:is>
      </x:c>
      <x:c r="G251" t="n">
        <x:v>3</x:v>
      </x:c>
      <x:c r="H251" t="inlineStr">
        <x:is>
          <x:t xml:space="preserve">alias</x:t>
        </x:is>
      </x:c>
      <x:c r="I251" t="inlineStr">
        <x:is>
          <x:t xml:space="preserve">Y</x:t>
        </x:is>
      </x:c>
      <x:c r="J251" t="inlineStr">
        <x:is>
          <x:t xml:space="preserve">v4 added</x:t>
        </x:is>
      </x:c>
      <x:c r="K251" t="inlineStr">
        <x:is>
          <x:t xml:space="preserve">2026-03-08</x:t>
        </x:is>
      </x:c>
    </x:row>
    <x:row r="252">
      <x:c r="A252" t="inlineStr">
        <x:is>
          <x:t xml:space="preserve">CI0251</x:t>
        </x:is>
      </x:c>
      <x:c r="B252" t="inlineStr">
        <x:is>
          <x:t xml:space="preserve">wet cough child</x:t>
        </x:is>
      </x:c>
      <x:c r="C252" t="inlineStr">
        <x:is>
          <x:t xml:space="preserve">wet cough child</x:t>
        </x:is>
      </x:c>
      <x:c r="D252" t="inlineStr">
        <x:is>
          <x:t xml:space="preserve">ENT</x:t>
        </x:is>
      </x:c>
      <x:c r="E252" t="inlineStr">
        <x:is>
          <x:t xml:space="preserve">uri_wet_cough_peds</x:t>
        </x:is>
      </x:c>
      <x:c r="F252" t="inlineStr">
        <x:is>
          <x:t xml:space="preserve">peds</x:t>
        </x:is>
      </x:c>
      <x:c r="G252" t="n">
        <x:v>1</x:v>
      </x:c>
      <x:c r="H252" t="inlineStr">
        <x:is>
          <x:t xml:space="preserve">exact</x:t>
        </x:is>
      </x:c>
      <x:c r="I252" t="inlineStr">
        <x:is>
          <x:t xml:space="preserve">Y</x:t>
        </x:is>
      </x:c>
      <x:c r="J252" t="inlineStr">
        <x:is>
          <x:t xml:space="preserve">v4 added</x:t>
        </x:is>
      </x:c>
      <x:c r="K252" t="inlineStr">
        <x:is>
          <x:t xml:space="preserve">2026-03-08</x:t>
        </x:is>
      </x:c>
    </x:row>
    <x:row r="253">
      <x:c r="A253" t="inlineStr">
        <x:is>
          <x:t xml:space="preserve">CI0252</x:t>
        </x:is>
      </x:c>
      <x:c r="B253" t="inlineStr">
        <x:is>
          <x:t xml:space="preserve">uri wet cough child</x:t>
        </x:is>
      </x:c>
      <x:c r="C253" t="inlineStr">
        <x:is>
          <x:t xml:space="preserve">uri wet cough child</x:t>
        </x:is>
      </x:c>
      <x:c r="D253" t="inlineStr">
        <x:is>
          <x:t xml:space="preserve">ENT</x:t>
        </x:is>
      </x:c>
      <x:c r="E253" t="inlineStr">
        <x:is>
          <x:t xml:space="preserve">uri_wet_cough_peds</x:t>
        </x:is>
      </x:c>
      <x:c r="F253" t="inlineStr">
        <x:is>
          <x:t xml:space="preserve">peds</x:t>
        </x:is>
      </x:c>
      <x:c r="G253" t="n">
        <x:v>2</x:v>
      </x:c>
      <x:c r="H253" t="inlineStr">
        <x:is>
          <x:t xml:space="preserve">alias</x:t>
        </x:is>
      </x:c>
      <x:c r="I253" t="inlineStr">
        <x:is>
          <x:t xml:space="preserve">Y</x:t>
        </x:is>
      </x:c>
      <x:c r="J253" t="inlineStr">
        <x:is>
          <x:t xml:space="preserve">v4 added</x:t>
        </x:is>
      </x:c>
      <x:c r="K253" t="inlineStr">
        <x:is>
          <x:t xml:space="preserve">2026-03-08</x:t>
        </x:is>
      </x:c>
    </x:row>
    <x:row r="254">
      <x:c r="A254" t="inlineStr">
        <x:is>
          <x:t xml:space="preserve">CI0253</x:t>
        </x:is>
      </x:c>
      <x:c r="B254" t="inlineStr">
        <x:is>
          <x:t xml:space="preserve">productive cough child</x:t>
        </x:is>
      </x:c>
      <x:c r="C254" t="inlineStr">
        <x:is>
          <x:t xml:space="preserve">productive cough child</x:t>
        </x:is>
      </x:c>
      <x:c r="D254" t="inlineStr">
        <x:is>
          <x:t xml:space="preserve">ENT</x:t>
        </x:is>
      </x:c>
      <x:c r="E254" t="inlineStr">
        <x:is>
          <x:t xml:space="preserve">uri_wet_cough_peds</x:t>
        </x:is>
      </x:c>
      <x:c r="F254" t="inlineStr">
        <x:is>
          <x:t xml:space="preserve">peds</x:t>
        </x:is>
      </x:c>
      <x:c r="G254" t="n">
        <x:v>3</x:v>
      </x:c>
      <x:c r="H254" t="inlineStr">
        <x:is>
          <x:t xml:space="preserve">alias</x:t>
        </x:is>
      </x:c>
      <x:c r="I254" t="inlineStr">
        <x:is>
          <x:t xml:space="preserve">Y</x:t>
        </x:is>
      </x:c>
      <x:c r="J254" t="inlineStr">
        <x:is>
          <x:t xml:space="preserve">v4 added</x:t>
        </x:is>
      </x:c>
      <x:c r="K254" t="inlineStr">
        <x:is>
          <x:t xml:space="preserve">2026-03-08</x:t>
        </x:is>
      </x:c>
    </x:row>
    <x:row r="255">
      <x:c r="A255" t="inlineStr">
        <x:is>
          <x:t xml:space="preserve">CI0254</x:t>
        </x:is>
      </x:c>
      <x:c r="B255" t="inlineStr">
        <x:is>
          <x:t xml:space="preserve">post uri cough child</x:t>
        </x:is>
      </x:c>
      <x:c r="C255" t="inlineStr">
        <x:is>
          <x:t xml:space="preserve">post uri cough child</x:t>
        </x:is>
      </x:c>
      <x:c r="D255" t="inlineStr">
        <x:is>
          <x:t xml:space="preserve">ENT</x:t>
        </x:is>
      </x:c>
      <x:c r="E255" t="inlineStr">
        <x:is>
          <x:t xml:space="preserve">post_uri_cough_peds</x:t>
        </x:is>
      </x:c>
      <x:c r="F255" t="inlineStr">
        <x:is>
          <x:t xml:space="preserve">peds</x:t>
        </x:is>
      </x:c>
      <x:c r="G255" t="n">
        <x:v>1</x:v>
      </x:c>
      <x:c r="H255" t="inlineStr">
        <x:is>
          <x:t xml:space="preserve">exact</x:t>
        </x:is>
      </x:c>
      <x:c r="I255" t="inlineStr">
        <x:is>
          <x:t xml:space="preserve">Y</x:t>
        </x:is>
      </x:c>
      <x:c r="J255" t="inlineStr">
        <x:is>
          <x:t xml:space="preserve">v4 added</x:t>
        </x:is>
      </x:c>
      <x:c r="K255" t="inlineStr">
        <x:is>
          <x:t xml:space="preserve">2026-03-08</x:t>
        </x:is>
      </x:c>
    </x:row>
    <x:row r="256">
      <x:c r="A256" t="inlineStr">
        <x:is>
          <x:t xml:space="preserve">CI0255</x:t>
        </x:is>
      </x:c>
      <x:c r="B256" t="inlineStr">
        <x:is>
          <x:t xml:space="preserve">residual cough child</x:t>
        </x:is>
      </x:c>
      <x:c r="C256" t="inlineStr">
        <x:is>
          <x:t xml:space="preserve">residual cough child</x:t>
        </x:is>
      </x:c>
      <x:c r="D256" t="inlineStr">
        <x:is>
          <x:t xml:space="preserve">ENT</x:t>
        </x:is>
      </x:c>
      <x:c r="E256" t="inlineStr">
        <x:is>
          <x:t xml:space="preserve">post_uri_cough_peds</x:t>
        </x:is>
      </x:c>
      <x:c r="F256" t="inlineStr">
        <x:is>
          <x:t xml:space="preserve">peds</x:t>
        </x:is>
      </x:c>
      <x:c r="G256" t="n">
        <x:v>2</x:v>
      </x:c>
      <x:c r="H256" t="inlineStr">
        <x:is>
          <x:t xml:space="preserve">alias</x:t>
        </x:is>
      </x:c>
      <x:c r="I256" t="inlineStr">
        <x:is>
          <x:t xml:space="preserve">Y</x:t>
        </x:is>
      </x:c>
      <x:c r="J256" t="inlineStr">
        <x:is>
          <x:t xml:space="preserve">v4 added</x:t>
        </x:is>
      </x:c>
      <x:c r="K256" t="inlineStr">
        <x:is>
          <x:t xml:space="preserve">2026-03-08</x:t>
        </x:is>
      </x:c>
    </x:row>
    <x:row r="257">
      <x:c r="A257" t="inlineStr">
        <x:is>
          <x:t xml:space="preserve">CI0256</x:t>
        </x:is>
      </x:c>
      <x:c r="B257" t="inlineStr">
        <x:is>
          <x:t xml:space="preserve">cough after cold child</x:t>
        </x:is>
      </x:c>
      <x:c r="C257" t="inlineStr">
        <x:is>
          <x:t xml:space="preserve">cough after cold child</x:t>
        </x:is>
      </x:c>
      <x:c r="D257" t="inlineStr">
        <x:is>
          <x:t xml:space="preserve">ENT</x:t>
        </x:is>
      </x:c>
      <x:c r="E257" t="inlineStr">
        <x:is>
          <x:t xml:space="preserve">post_uri_cough_peds</x:t>
        </x:is>
      </x:c>
      <x:c r="F257" t="inlineStr">
        <x:is>
          <x:t xml:space="preserve">peds</x:t>
        </x:is>
      </x:c>
      <x:c r="G257" t="n">
        <x:v>3</x:v>
      </x:c>
      <x:c r="H257" t="inlineStr">
        <x:is>
          <x:t xml:space="preserve">alias</x:t>
        </x:is>
      </x:c>
      <x:c r="I257" t="inlineStr">
        <x:is>
          <x:t xml:space="preserve">Y</x:t>
        </x:is>
      </x:c>
      <x:c r="J257" t="inlineStr">
        <x:is>
          <x:t xml:space="preserve">v4 added</x:t>
        </x:is>
      </x:c>
      <x:c r="K257" t="inlineStr">
        <x:is>
          <x:t xml:space="preserve">2026-03-08</x:t>
        </x:is>
      </x:c>
    </x:row>
    <x:row r="258">
      <x:c r="A258" t="inlineStr">
        <x:is>
          <x:t xml:space="preserve">CI0257</x:t>
        </x:is>
      </x:c>
      <x:c r="B258" t="inlineStr">
        <x:is>
          <x:t xml:space="preserve">nasal irritation child</x:t>
        </x:is>
      </x:c>
      <x:c r="C258" t="inlineStr">
        <x:is>
          <x:t xml:space="preserve">nasal irritation child</x:t>
        </x:is>
      </x:c>
      <x:c r="D258" t="inlineStr">
        <x:is>
          <x:t xml:space="preserve">ENT</x:t>
        </x:is>
      </x:c>
      <x:c r="E258" t="inlineStr">
        <x:is>
          <x:t xml:space="preserve">nasal_irritation_peds</x:t>
        </x:is>
      </x:c>
      <x:c r="F258" t="inlineStr">
        <x:is>
          <x:t xml:space="preserve">peds</x:t>
        </x:is>
      </x:c>
      <x:c r="G258" t="n">
        <x:v>1</x:v>
      </x:c>
      <x:c r="H258" t="inlineStr">
        <x:is>
          <x:t xml:space="preserve">exact</x:t>
        </x:is>
      </x:c>
      <x:c r="I258" t="inlineStr">
        <x:is>
          <x:t xml:space="preserve">Y</x:t>
        </x:is>
      </x:c>
      <x:c r="J258" t="inlineStr">
        <x:is>
          <x:t xml:space="preserve">v4 added</x:t>
        </x:is>
      </x:c>
      <x:c r="K258" t="inlineStr">
        <x:is>
          <x:t xml:space="preserve">2026-03-08</x:t>
        </x:is>
      </x:c>
    </x:row>
    <x:row r="259">
      <x:c r="A259" t="inlineStr">
        <x:is>
          <x:t xml:space="preserve">CI0258</x:t>
        </x:is>
      </x:c>
      <x:c r="B259" t="inlineStr">
        <x:is>
          <x:t xml:space="preserve">dry nose child</x:t>
        </x:is>
      </x:c>
      <x:c r="C259" t="inlineStr">
        <x:is>
          <x:t xml:space="preserve">dry nose child</x:t>
        </x:is>
      </x:c>
      <x:c r="D259" t="inlineStr">
        <x:is>
          <x:t xml:space="preserve">ENT</x:t>
        </x:is>
      </x:c>
      <x:c r="E259" t="inlineStr">
        <x:is>
          <x:t xml:space="preserve">nasal_irritation_peds</x:t>
        </x:is>
      </x:c>
      <x:c r="F259" t="inlineStr">
        <x:is>
          <x:t xml:space="preserve">peds</x:t>
        </x:is>
      </x:c>
      <x:c r="G259" t="n">
        <x:v>2</x:v>
      </x:c>
      <x:c r="H259" t="inlineStr">
        <x:is>
          <x:t xml:space="preserve">alias</x:t>
        </x:is>
      </x:c>
      <x:c r="I259" t="inlineStr">
        <x:is>
          <x:t xml:space="preserve">Y</x:t>
        </x:is>
      </x:c>
      <x:c r="J259" t="inlineStr">
        <x:is>
          <x:t xml:space="preserve">v4 added</x:t>
        </x:is>
      </x:c>
      <x:c r="K259" t="inlineStr">
        <x:is>
          <x:t xml:space="preserve">2026-03-08</x:t>
        </x:is>
      </x:c>
    </x:row>
    <x:row r="260">
      <x:c r="A260" t="inlineStr">
        <x:is>
          <x:t xml:space="preserve">CI0259</x:t>
        </x:is>
      </x:c>
      <x:c r="B260" t="inlineStr">
        <x:is>
          <x:t xml:space="preserve">child nasal dryness</x:t>
        </x:is>
      </x:c>
      <x:c r="C260" t="inlineStr">
        <x:is>
          <x:t xml:space="preserve">child nasal dryness</x:t>
        </x:is>
      </x:c>
      <x:c r="D260" t="inlineStr">
        <x:is>
          <x:t xml:space="preserve">ENT</x:t>
        </x:is>
      </x:c>
      <x:c r="E260" t="inlineStr">
        <x:is>
          <x:t xml:space="preserve">nasal_irritation_peds</x:t>
        </x:is>
      </x:c>
      <x:c r="F260" t="inlineStr">
        <x:is>
          <x:t xml:space="preserve">peds</x:t>
        </x:is>
      </x:c>
      <x:c r="G260" t="n">
        <x:v>3</x:v>
      </x:c>
      <x:c r="H260" t="inlineStr">
        <x:is>
          <x:t xml:space="preserve">alias</x:t>
        </x:is>
      </x:c>
      <x:c r="I260" t="inlineStr">
        <x:is>
          <x:t xml:space="preserve">Y</x:t>
        </x:is>
      </x:c>
      <x:c r="J260" t="inlineStr">
        <x:is>
          <x:t xml:space="preserve">v4 added</x:t>
        </x:is>
      </x:c>
      <x:c r="K260" t="inlineStr">
        <x:is>
          <x:t xml:space="preserve">2026-03-08</x:t>
        </x:is>
      </x:c>
    </x:row>
    <x:row r="261">
      <x:c r="A261" t="inlineStr">
        <x:is>
          <x:t xml:space="preserve">CI0260</x:t>
        </x:is>
      </x:c>
      <x:c r="B261" t="inlineStr">
        <x:is>
          <x:t xml:space="preserve">oral thrush child</x:t>
        </x:is>
      </x:c>
      <x:c r="C261" t="inlineStr">
        <x:is>
          <x:t xml:space="preserve">oral thrush child</x:t>
        </x:is>
      </x:c>
      <x:c r="D261" t="inlineStr">
        <x:is>
          <x:t xml:space="preserve">Oral</x:t>
        </x:is>
      </x:c>
      <x:c r="E261" t="inlineStr">
        <x:is>
          <x:t xml:space="preserve">oral_thrush_peds</x:t>
        </x:is>
      </x:c>
      <x:c r="F261" t="inlineStr">
        <x:is>
          <x:t xml:space="preserve">peds</x:t>
        </x:is>
      </x:c>
      <x:c r="G261" t="n">
        <x:v>1</x:v>
      </x:c>
      <x:c r="H261" t="inlineStr">
        <x:is>
          <x:t xml:space="preserve">exact</x:t>
        </x:is>
      </x:c>
      <x:c r="I261" t="inlineStr">
        <x:is>
          <x:t xml:space="preserve">Y</x:t>
        </x:is>
      </x:c>
      <x:c r="J261" t="inlineStr">
        <x:is>
          <x:t xml:space="preserve">v4 added</x:t>
        </x:is>
      </x:c>
      <x:c r="K261" t="inlineStr">
        <x:is>
          <x:t xml:space="preserve">2026-03-08</x:t>
        </x:is>
      </x:c>
    </x:row>
    <x:row r="262">
      <x:c r="A262" t="inlineStr">
        <x:is>
          <x:t xml:space="preserve">CI0261</x:t>
        </x:is>
      </x:c>
      <x:c r="B262" t="inlineStr">
        <x:is>
          <x:t xml:space="preserve">thrush child</x:t>
        </x:is>
      </x:c>
      <x:c r="C262" t="inlineStr">
        <x:is>
          <x:t xml:space="preserve">thrush child</x:t>
        </x:is>
      </x:c>
      <x:c r="D262" t="inlineStr">
        <x:is>
          <x:t xml:space="preserve">Oral</x:t>
        </x:is>
      </x:c>
      <x:c r="E262" t="inlineStr">
        <x:is>
          <x:t xml:space="preserve">oral_thrush_peds</x:t>
        </x:is>
      </x:c>
      <x:c r="F262" t="inlineStr">
        <x:is>
          <x:t xml:space="preserve">peds</x:t>
        </x:is>
      </x:c>
      <x:c r="G262" t="n">
        <x:v>2</x:v>
      </x:c>
      <x:c r="H262" t="inlineStr">
        <x:is>
          <x:t xml:space="preserve">alias</x:t>
        </x:is>
      </x:c>
      <x:c r="I262" t="inlineStr">
        <x:is>
          <x:t xml:space="preserve">Y</x:t>
        </x:is>
      </x:c>
      <x:c r="J262" t="inlineStr">
        <x:is>
          <x:t xml:space="preserve">v4 added</x:t>
        </x:is>
      </x:c>
      <x:c r="K262" t="inlineStr">
        <x:is>
          <x:t xml:space="preserve">2026-03-08</x:t>
        </x:is>
      </x:c>
    </x:row>
    <x:row r="263">
      <x:c r="A263" t="inlineStr">
        <x:is>
          <x:t xml:space="preserve">CI0262</x:t>
        </x:is>
      </x:c>
      <x:c r="B263" t="inlineStr">
        <x:is>
          <x:t xml:space="preserve">white tongue thrush child</x:t>
        </x:is>
      </x:c>
      <x:c r="C263" t="inlineStr">
        <x:is>
          <x:t xml:space="preserve">white tongue thrush child</x:t>
        </x:is>
      </x:c>
      <x:c r="D263" t="inlineStr">
        <x:is>
          <x:t xml:space="preserve">Oral</x:t>
        </x:is>
      </x:c>
      <x:c r="E263" t="inlineStr">
        <x:is>
          <x:t xml:space="preserve">oral_thrush_peds</x:t>
        </x:is>
      </x:c>
      <x:c r="F263" t="inlineStr">
        <x:is>
          <x:t xml:space="preserve">peds</x:t>
        </x:is>
      </x:c>
      <x:c r="G263" t="n">
        <x:v>3</x:v>
      </x:c>
      <x:c r="H263" t="inlineStr">
        <x:is>
          <x:t xml:space="preserve">alias</x:t>
        </x:is>
      </x:c>
      <x:c r="I263" t="inlineStr">
        <x:is>
          <x:t xml:space="preserve">Y</x:t>
        </x:is>
      </x:c>
      <x:c r="J263" t="inlineStr">
        <x:is>
          <x:t xml:space="preserve">v4 added</x:t>
        </x:is>
      </x:c>
      <x:c r="K263" t="inlineStr">
        <x:is>
          <x:t xml:space="preserve">2026-03-08</x:t>
        </x:is>
      </x:c>
    </x:row>
    <x:row r="264">
      <x:c r="A264" t="inlineStr">
        <x:is>
          <x:t xml:space="preserve">CI0263</x:t>
        </x:is>
      </x:c>
      <x:c r="B264" t="inlineStr">
        <x:is>
          <x:t xml:space="preserve">fever child support</x:t>
        </x:is>
      </x:c>
      <x:c r="C264" t="inlineStr">
        <x:is>
          <x:t xml:space="preserve">fever child support</x:t>
        </x:is>
      </x:c>
      <x:c r="D264" t="inlineStr">
        <x:is>
          <x:t xml:space="preserve">General</x:t>
        </x:is>
      </x:c>
      <x:c r="E264" t="inlineStr">
        <x:is>
          <x:t xml:space="preserve">viral_fever_peds_support</x:t>
        </x:is>
      </x:c>
      <x:c r="F264" t="inlineStr">
        <x:is>
          <x:t xml:space="preserve">peds</x:t>
        </x:is>
      </x:c>
      <x:c r="G264" t="n">
        <x:v>1</x:v>
      </x:c>
      <x:c r="H264" t="inlineStr">
        <x:is>
          <x:t xml:space="preserve">exact</x:t>
        </x:is>
      </x:c>
      <x:c r="I264" t="inlineStr">
        <x:is>
          <x:t xml:space="preserve">Y</x:t>
        </x:is>
      </x:c>
      <x:c r="J264" t="inlineStr">
        <x:is>
          <x:t xml:space="preserve">v4 added</x:t>
        </x:is>
      </x:c>
      <x:c r="K264" t="inlineStr">
        <x:is>
          <x:t xml:space="preserve">2026-03-08</x:t>
        </x:is>
      </x:c>
    </x:row>
    <x:row r="265">
      <x:c r="A265" t="inlineStr">
        <x:is>
          <x:t xml:space="preserve">CI0264</x:t>
        </x:is>
      </x:c>
      <x:c r="B265" t="inlineStr">
        <x:is>
          <x:t xml:space="preserve">viral fever child</x:t>
        </x:is>
      </x:c>
      <x:c r="C265" t="inlineStr">
        <x:is>
          <x:t xml:space="preserve">viral fever child</x:t>
        </x:is>
      </x:c>
      <x:c r="D265" t="inlineStr">
        <x:is>
          <x:t xml:space="preserve">General</x:t>
        </x:is>
      </x:c>
      <x:c r="E265" t="inlineStr">
        <x:is>
          <x:t xml:space="preserve">viral_fever_peds_support</x:t>
        </x:is>
      </x:c>
      <x:c r="F265" t="inlineStr">
        <x:is>
          <x:t xml:space="preserve">peds</x:t>
        </x:is>
      </x:c>
      <x:c r="G265" t="n">
        <x:v>2</x:v>
      </x:c>
      <x:c r="H265" t="inlineStr">
        <x:is>
          <x:t xml:space="preserve">alias</x:t>
        </x:is>
      </x:c>
      <x:c r="I265" t="inlineStr">
        <x:is>
          <x:t xml:space="preserve">Y</x:t>
        </x:is>
      </x:c>
      <x:c r="J265" t="inlineStr">
        <x:is>
          <x:t xml:space="preserve">v4 added</x:t>
        </x:is>
      </x:c>
      <x:c r="K265" t="inlineStr">
        <x:is>
          <x:t xml:space="preserve">2026-03-08</x:t>
        </x:is>
      </x:c>
    </x:row>
    <x:row r="266">
      <x:c r="A266" t="inlineStr">
        <x:is>
          <x:t xml:space="preserve">CI0265</x:t>
        </x:is>
      </x:c>
      <x:c r="B266" t="inlineStr">
        <x:is>
          <x:t xml:space="preserve">child fever support</x:t>
        </x:is>
      </x:c>
      <x:c r="C266" t="inlineStr">
        <x:is>
          <x:t xml:space="preserve">child fever support</x:t>
        </x:is>
      </x:c>
      <x:c r="D266" t="inlineStr">
        <x:is>
          <x:t xml:space="preserve">General</x:t>
        </x:is>
      </x:c>
      <x:c r="E266" t="inlineStr">
        <x:is>
          <x:t xml:space="preserve">viral_fever_peds_support</x:t>
        </x:is>
      </x:c>
      <x:c r="F266" t="inlineStr">
        <x:is>
          <x:t xml:space="preserve">peds</x:t>
        </x:is>
      </x:c>
      <x:c r="G266" t="n">
        <x:v>3</x:v>
      </x:c>
      <x:c r="H266" t="inlineStr">
        <x:is>
          <x:t xml:space="preserve">alias</x:t>
        </x:is>
      </x:c>
      <x:c r="I266" t="inlineStr">
        <x:is>
          <x:t xml:space="preserve">Y</x:t>
        </x:is>
      </x:c>
      <x:c r="J266" t="inlineStr">
        <x:is>
          <x:t xml:space="preserve">v4 added</x:t>
        </x:is>
      </x:c>
      <x:c r="K266" t="inlineStr">
        <x:is>
          <x:t xml:space="preserve">2026-03-08</x:t>
        </x:is>
      </x:c>
    </x:row>
    <x:row r="267">
      <x:c r="A267" t="inlineStr">
        <x:is>
          <x:t xml:space="preserve">CI0266</x:t>
        </x:is>
      </x:c>
      <x:c r="B267" t="inlineStr">
        <x:is>
          <x:t xml:space="preserve">bacterial conjunctivitis</x:t>
        </x:is>
      </x:c>
      <x:c r="C267" t="inlineStr">
        <x:is>
          <x:t xml:space="preserve">bacterial conjunctivitis</x:t>
        </x:is>
      </x:c>
      <x:c r="D267" t="inlineStr">
        <x:is>
          <x:t xml:space="preserve">Eye</x:t>
        </x:is>
      </x:c>
      <x:c r="E267" t="inlineStr">
        <x:is>
          <x:t xml:space="preserve">bacterial_conjunctivitis_adult</x:t>
        </x:is>
      </x:c>
      <x:c r="F267" t="inlineStr">
        <x:is>
          <x:t xml:space="preserve">adult</x:t>
        </x:is>
      </x:c>
      <x:c r="G267" t="n">
        <x:v>1</x:v>
      </x:c>
      <x:c r="H267" t="inlineStr">
        <x:is>
          <x:t xml:space="preserve">exact</x:t>
        </x:is>
      </x:c>
      <x:c r="I267" t="inlineStr">
        <x:is>
          <x:t xml:space="preserve">Y</x:t>
        </x:is>
      </x:c>
      <x:c r="J267" t="inlineStr">
        <x:is>
          <x:t xml:space="preserve">v5 added</x:t>
        </x:is>
      </x:c>
      <x:c r="K267" t="inlineStr">
        <x:is>
          <x:t xml:space="preserve">2026-03-08</x:t>
        </x:is>
      </x:c>
    </x:row>
    <x:row r="268">
      <x:c r="A268" t="inlineStr">
        <x:is>
          <x:t xml:space="preserve">CI0267</x:t>
        </x:is>
      </x:c>
      <x:c r="B268" t="inlineStr">
        <x:is>
          <x:t xml:space="preserve">sticky eye discharge</x:t>
        </x:is>
      </x:c>
      <x:c r="C268" t="inlineStr">
        <x:is>
          <x:t xml:space="preserve">sticky eye discharge</x:t>
        </x:is>
      </x:c>
      <x:c r="D268" t="inlineStr">
        <x:is>
          <x:t xml:space="preserve">Eye</x:t>
        </x:is>
      </x:c>
      <x:c r="E268" t="inlineStr">
        <x:is>
          <x:t xml:space="preserve">bacterial_conjunctivitis_adult</x:t>
        </x:is>
      </x:c>
      <x:c r="F268" t="inlineStr">
        <x:is>
          <x:t xml:space="preserve">adult</x:t>
        </x:is>
      </x:c>
      <x:c r="G268" t="n">
        <x:v>2</x:v>
      </x:c>
      <x:c r="H268" t="inlineStr">
        <x:is>
          <x:t xml:space="preserve">alias</x:t>
        </x:is>
      </x:c>
      <x:c r="I268" t="inlineStr">
        <x:is>
          <x:t xml:space="preserve">Y</x:t>
        </x:is>
      </x:c>
      <x:c r="J268" t="inlineStr">
        <x:is>
          <x:t xml:space="preserve">v5 added</x:t>
        </x:is>
      </x:c>
      <x:c r="K268" t="inlineStr">
        <x:is>
          <x:t xml:space="preserve">2026-03-08</x:t>
        </x:is>
      </x:c>
    </x:row>
    <x:row r="269">
      <x:c r="A269" t="inlineStr">
        <x:is>
          <x:t xml:space="preserve">CI0268</x:t>
        </x:is>
      </x:c>
      <x:c r="B269" t="inlineStr">
        <x:is>
          <x:t xml:space="preserve">purulent red eye</x:t>
        </x:is>
      </x:c>
      <x:c r="C269" t="inlineStr">
        <x:is>
          <x:t xml:space="preserve">purulent red eye</x:t>
        </x:is>
      </x:c>
      <x:c r="D269" t="inlineStr">
        <x:is>
          <x:t xml:space="preserve">Eye</x:t>
        </x:is>
      </x:c>
      <x:c r="E269" t="inlineStr">
        <x:is>
          <x:t xml:space="preserve">bacterial_conjunctivitis_adult</x:t>
        </x:is>
      </x:c>
      <x:c r="F269" t="inlineStr">
        <x:is>
          <x:t xml:space="preserve">adult</x:t>
        </x:is>
      </x:c>
      <x:c r="G269" t="n">
        <x:v>3</x:v>
      </x:c>
      <x:c r="H269" t="inlineStr">
        <x:is>
          <x:t xml:space="preserve">alias</x:t>
        </x:is>
      </x:c>
      <x:c r="I269" t="inlineStr">
        <x:is>
          <x:t xml:space="preserve">Y</x:t>
        </x:is>
      </x:c>
      <x:c r="J269" t="inlineStr">
        <x:is>
          <x:t xml:space="preserve">v5 added</x:t>
        </x:is>
      </x:c>
      <x:c r="K269" t="inlineStr">
        <x:is>
          <x:t xml:space="preserve">2026-03-08</x:t>
        </x:is>
      </x:c>
    </x:row>
    <x:row r="270">
      <x:c r="A270" t="inlineStr">
        <x:is>
          <x:t xml:space="preserve">CI0269</x:t>
        </x:is>
      </x:c>
      <x:c r="B270" t="inlineStr">
        <x:is>
          <x:t xml:space="preserve">bacterial conjunctivitis child</x:t>
        </x:is>
      </x:c>
      <x:c r="C270" t="inlineStr">
        <x:is>
          <x:t xml:space="preserve">bacterial conjunctivitis child</x:t>
        </x:is>
      </x:c>
      <x:c r="D270" t="inlineStr">
        <x:is>
          <x:t xml:space="preserve">Eye</x:t>
        </x:is>
      </x:c>
      <x:c r="E270" t="inlineStr">
        <x:is>
          <x:t xml:space="preserve">bacterial_conjunctivitis_peds</x:t>
        </x:is>
      </x:c>
      <x:c r="F270" t="inlineStr">
        <x:is>
          <x:t xml:space="preserve">peds</x:t>
        </x:is>
      </x:c>
      <x:c r="G270" t="n">
        <x:v>1</x:v>
      </x:c>
      <x:c r="H270" t="inlineStr">
        <x:is>
          <x:t xml:space="preserve">exact</x:t>
        </x:is>
      </x:c>
      <x:c r="I270" t="inlineStr">
        <x:is>
          <x:t xml:space="preserve">Y</x:t>
        </x:is>
      </x:c>
      <x:c r="J270" t="inlineStr">
        <x:is>
          <x:t xml:space="preserve">v5 added</x:t>
        </x:is>
      </x:c>
      <x:c r="K270" t="inlineStr">
        <x:is>
          <x:t xml:space="preserve">2026-03-08</x:t>
        </x:is>
      </x:c>
    </x:row>
    <x:row r="271">
      <x:c r="A271" t="inlineStr">
        <x:is>
          <x:t xml:space="preserve">CI0270</x:t>
        </x:is>
      </x:c>
      <x:c r="B271" t="inlineStr">
        <x:is>
          <x:t xml:space="preserve">sticky eye child</x:t>
        </x:is>
      </x:c>
      <x:c r="C271" t="inlineStr">
        <x:is>
          <x:t xml:space="preserve">sticky eye child</x:t>
        </x:is>
      </x:c>
      <x:c r="D271" t="inlineStr">
        <x:is>
          <x:t xml:space="preserve">Eye</x:t>
        </x:is>
      </x:c>
      <x:c r="E271" t="inlineStr">
        <x:is>
          <x:t xml:space="preserve">bacterial_conjunctivitis_peds</x:t>
        </x:is>
      </x:c>
      <x:c r="F271" t="inlineStr">
        <x:is>
          <x:t xml:space="preserve">peds</x:t>
        </x:is>
      </x:c>
      <x:c r="G271" t="n">
        <x:v>2</x:v>
      </x:c>
      <x:c r="H271" t="inlineStr">
        <x:is>
          <x:t xml:space="preserve">alias</x:t>
        </x:is>
      </x:c>
      <x:c r="I271" t="inlineStr">
        <x:is>
          <x:t xml:space="preserve">Y</x:t>
        </x:is>
      </x:c>
      <x:c r="J271" t="inlineStr">
        <x:is>
          <x:t xml:space="preserve">v5 added</x:t>
        </x:is>
      </x:c>
      <x:c r="K271" t="inlineStr">
        <x:is>
          <x:t xml:space="preserve">2026-03-08</x:t>
        </x:is>
      </x:c>
    </x:row>
    <x:row r="272">
      <x:c r="A272" t="inlineStr">
        <x:is>
          <x:t xml:space="preserve">CI0271</x:t>
        </x:is>
      </x:c>
      <x:c r="B272" t="inlineStr">
        <x:is>
          <x:t xml:space="preserve">purulent eye discharge child</x:t>
        </x:is>
      </x:c>
      <x:c r="C272" t="inlineStr">
        <x:is>
          <x:t xml:space="preserve">purulent eye discharge child</x:t>
        </x:is>
      </x:c>
      <x:c r="D272" t="inlineStr">
        <x:is>
          <x:t xml:space="preserve">Eye</x:t>
        </x:is>
      </x:c>
      <x:c r="E272" t="inlineStr">
        <x:is>
          <x:t xml:space="preserve">bacterial_conjunctivitis_peds</x:t>
        </x:is>
      </x:c>
      <x:c r="F272" t="inlineStr">
        <x:is>
          <x:t xml:space="preserve">peds</x:t>
        </x:is>
      </x:c>
      <x:c r="G272" t="n">
        <x:v>3</x:v>
      </x:c>
      <x:c r="H272" t="inlineStr">
        <x:is>
          <x:t xml:space="preserve">alias</x:t>
        </x:is>
      </x:c>
      <x:c r="I272" t="inlineStr">
        <x:is>
          <x:t xml:space="preserve">Y</x:t>
        </x:is>
      </x:c>
      <x:c r="J272" t="inlineStr">
        <x:is>
          <x:t xml:space="preserve">v5 added</x:t>
        </x:is>
      </x:c>
      <x:c r="K272" t="inlineStr">
        <x:is>
          <x:t xml:space="preserve">2026-03-08</x:t>
        </x:is>
      </x:c>
    </x:row>
    <x:row r="273">
      <x:c r="A273" t="inlineStr">
        <x:is>
          <x:t xml:space="preserve">CI0272</x:t>
        </x:is>
      </x:c>
      <x:c r="B273" t="inlineStr">
        <x:is>
          <x:t xml:space="preserve">stye bacterial</x:t>
        </x:is>
      </x:c>
      <x:c r="C273" t="inlineStr">
        <x:is>
          <x:t xml:space="preserve">stye bacterial</x:t>
        </x:is>
      </x:c>
      <x:c r="D273" t="inlineStr">
        <x:is>
          <x:t xml:space="preserve">Eye</x:t>
        </x:is>
      </x:c>
      <x:c r="E273" t="inlineStr">
        <x:is>
          <x:t xml:space="preserve">bacterial_eyelid_infection_adult</x:t>
        </x:is>
      </x:c>
      <x:c r="F273" t="inlineStr">
        <x:is>
          <x:t xml:space="preserve">adult</x:t>
        </x:is>
      </x:c>
      <x:c r="G273" t="n">
        <x:v>1</x:v>
      </x:c>
      <x:c r="H273" t="inlineStr">
        <x:is>
          <x:t xml:space="preserve">exact</x:t>
        </x:is>
      </x:c>
      <x:c r="I273" t="inlineStr">
        <x:is>
          <x:t xml:space="preserve">Y</x:t>
        </x:is>
      </x:c>
      <x:c r="J273" t="inlineStr">
        <x:is>
          <x:t xml:space="preserve">v5 added</x:t>
        </x:is>
      </x:c>
      <x:c r="K273" t="inlineStr">
        <x:is>
          <x:t xml:space="preserve">2026-03-08</x:t>
        </x:is>
      </x:c>
    </x:row>
    <x:row r="274">
      <x:c r="A274" t="inlineStr">
        <x:is>
          <x:t xml:space="preserve">CI0273</x:t>
        </x:is>
      </x:c>
      <x:c r="B274" t="inlineStr">
        <x:is>
          <x:t xml:space="preserve">eyelid infection</x:t>
        </x:is>
      </x:c>
      <x:c r="C274" t="inlineStr">
        <x:is>
          <x:t xml:space="preserve">eyelid infection</x:t>
        </x:is>
      </x:c>
      <x:c r="D274" t="inlineStr">
        <x:is>
          <x:t xml:space="preserve">Eye</x:t>
        </x:is>
      </x:c>
      <x:c r="E274" t="inlineStr">
        <x:is>
          <x:t xml:space="preserve">bacterial_eyelid_infection_adult</x:t>
        </x:is>
      </x:c>
      <x:c r="F274" t="inlineStr">
        <x:is>
          <x:t xml:space="preserve">adult</x:t>
        </x:is>
      </x:c>
      <x:c r="G274" t="n">
        <x:v>2</x:v>
      </x:c>
      <x:c r="H274" t="inlineStr">
        <x:is>
          <x:t xml:space="preserve">alias</x:t>
        </x:is>
      </x:c>
      <x:c r="I274" t="inlineStr">
        <x:is>
          <x:t xml:space="preserve">Y</x:t>
        </x:is>
      </x:c>
      <x:c r="J274" t="inlineStr">
        <x:is>
          <x:t xml:space="preserve">v5 added</x:t>
        </x:is>
      </x:c>
      <x:c r="K274" t="inlineStr">
        <x:is>
          <x:t xml:space="preserve">2026-03-08</x:t>
        </x:is>
      </x:c>
    </x:row>
    <x:row r="275">
      <x:c r="A275" t="inlineStr">
        <x:is>
          <x:t xml:space="preserve">CI0274</x:t>
        </x:is>
      </x:c>
      <x:c r="B275" t="inlineStr">
        <x:is>
          <x:t xml:space="preserve">infected stye</x:t>
        </x:is>
      </x:c>
      <x:c r="C275" t="inlineStr">
        <x:is>
          <x:t xml:space="preserve">infected stye</x:t>
        </x:is>
      </x:c>
      <x:c r="D275" t="inlineStr">
        <x:is>
          <x:t xml:space="preserve">Eye</x:t>
        </x:is>
      </x:c>
      <x:c r="E275" t="inlineStr">
        <x:is>
          <x:t xml:space="preserve">bacterial_eyelid_infection_adult</x:t>
        </x:is>
      </x:c>
      <x:c r="F275" t="inlineStr">
        <x:is>
          <x:t xml:space="preserve">adult</x:t>
        </x:is>
      </x:c>
      <x:c r="G275" t="n">
        <x:v>3</x:v>
      </x:c>
      <x:c r="H275" t="inlineStr">
        <x:is>
          <x:t xml:space="preserve">alias</x:t>
        </x:is>
      </x:c>
      <x:c r="I275" t="inlineStr">
        <x:is>
          <x:t xml:space="preserve">Y</x:t>
        </x:is>
      </x:c>
      <x:c r="J275" t="inlineStr">
        <x:is>
          <x:t xml:space="preserve">v5 added</x:t>
        </x:is>
      </x:c>
      <x:c r="K275" t="inlineStr">
        <x:is>
          <x:t xml:space="preserve">2026-03-08</x:t>
        </x:is>
      </x:c>
    </x:row>
    <x:row r="276">
      <x:c r="A276" t="inlineStr">
        <x:is>
          <x:t xml:space="preserve">CI0275</x:t>
        </x:is>
      </x:c>
      <x:c r="B276" t="inlineStr">
        <x:is>
          <x:t xml:space="preserve">stye child</x:t>
        </x:is>
      </x:c>
      <x:c r="C276" t="inlineStr">
        <x:is>
          <x:t xml:space="preserve">stye child</x:t>
        </x:is>
      </x:c>
      <x:c r="D276" t="inlineStr">
        <x:is>
          <x:t xml:space="preserve">Eye</x:t>
        </x:is>
      </x:c>
      <x:c r="E276" t="inlineStr">
        <x:is>
          <x:t xml:space="preserve">bacterial_eyelid_infection_peds</x:t>
        </x:is>
      </x:c>
      <x:c r="F276" t="inlineStr">
        <x:is>
          <x:t xml:space="preserve">peds</x:t>
        </x:is>
      </x:c>
      <x:c r="G276" t="n">
        <x:v>1</x:v>
      </x:c>
      <x:c r="H276" t="inlineStr">
        <x:is>
          <x:t xml:space="preserve">exact</x:t>
        </x:is>
      </x:c>
      <x:c r="I276" t="inlineStr">
        <x:is>
          <x:t xml:space="preserve">Y</x:t>
        </x:is>
      </x:c>
      <x:c r="J276" t="inlineStr">
        <x:is>
          <x:t xml:space="preserve">v5 added</x:t>
        </x:is>
      </x:c>
      <x:c r="K276" t="inlineStr">
        <x:is>
          <x:t xml:space="preserve">2026-03-08</x:t>
        </x:is>
      </x:c>
    </x:row>
    <x:row r="277">
      <x:c r="A277" t="inlineStr">
        <x:is>
          <x:t xml:space="preserve">CI0276</x:t>
        </x:is>
      </x:c>
      <x:c r="B277" t="inlineStr">
        <x:is>
          <x:t xml:space="preserve">eyelid infection child</x:t>
        </x:is>
      </x:c>
      <x:c r="C277" t="inlineStr">
        <x:is>
          <x:t xml:space="preserve">eyelid infection child</x:t>
        </x:is>
      </x:c>
      <x:c r="D277" t="inlineStr">
        <x:is>
          <x:t xml:space="preserve">Eye</x:t>
        </x:is>
      </x:c>
      <x:c r="E277" t="inlineStr">
        <x:is>
          <x:t xml:space="preserve">bacterial_eyelid_infection_peds</x:t>
        </x:is>
      </x:c>
      <x:c r="F277" t="inlineStr">
        <x:is>
          <x:t xml:space="preserve">peds</x:t>
        </x:is>
      </x:c>
      <x:c r="G277" t="n">
        <x:v>2</x:v>
      </x:c>
      <x:c r="H277" t="inlineStr">
        <x:is>
          <x:t xml:space="preserve">alias</x:t>
        </x:is>
      </x:c>
      <x:c r="I277" t="inlineStr">
        <x:is>
          <x:t xml:space="preserve">Y</x:t>
        </x:is>
      </x:c>
      <x:c r="J277" t="inlineStr">
        <x:is>
          <x:t xml:space="preserve">v5 added</x:t>
        </x:is>
      </x:c>
      <x:c r="K277" t="inlineStr">
        <x:is>
          <x:t xml:space="preserve">2026-03-08</x:t>
        </x:is>
      </x:c>
    </x:row>
    <x:row r="278">
      <x:c r="A278" t="inlineStr">
        <x:is>
          <x:t xml:space="preserve">CI0277</x:t>
        </x:is>
      </x:c>
      <x:c r="B278" t="inlineStr">
        <x:is>
          <x:t xml:space="preserve">infected stye child</x:t>
        </x:is>
      </x:c>
      <x:c r="C278" t="inlineStr">
        <x:is>
          <x:t xml:space="preserve">infected stye child</x:t>
        </x:is>
      </x:c>
      <x:c r="D278" t="inlineStr">
        <x:is>
          <x:t xml:space="preserve">Eye</x:t>
        </x:is>
      </x:c>
      <x:c r="E278" t="inlineStr">
        <x:is>
          <x:t xml:space="preserve">bacterial_eyelid_infection_peds</x:t>
        </x:is>
      </x:c>
      <x:c r="F278" t="inlineStr">
        <x:is>
          <x:t xml:space="preserve">peds</x:t>
        </x:is>
      </x:c>
      <x:c r="G278" t="n">
        <x:v>3</x:v>
      </x:c>
      <x:c r="H278" t="inlineStr">
        <x:is>
          <x:t xml:space="preserve">alias</x:t>
        </x:is>
      </x:c>
      <x:c r="I278" t="inlineStr">
        <x:is>
          <x:t xml:space="preserve">Y</x:t>
        </x:is>
      </x:c>
      <x:c r="J278" t="inlineStr">
        <x:is>
          <x:t xml:space="preserve">v5 added</x:t>
        </x:is>
      </x:c>
      <x:c r="K278" t="inlineStr">
        <x:is>
          <x:t xml:space="preserve">2026-03-08</x:t>
        </x:is>
      </x:c>
    </x:row>
    <x:row r="279">
      <x:c r="A279" t="inlineStr">
        <x:is>
          <x:t xml:space="preserve">CI0278</x:t>
        </x:is>
      </x:c>
      <x:c r="B279" t="inlineStr">
        <x:is>
          <x:t xml:space="preserve">bacterial sinusitis child</x:t>
        </x:is>
      </x:c>
      <x:c r="C279" t="inlineStr">
        <x:is>
          <x:t xml:space="preserve">bacterial sinusitis child</x:t>
        </x:is>
      </x:c>
      <x:c r="D279" t="inlineStr">
        <x:is>
          <x:t xml:space="preserve">ENT</x:t>
        </x:is>
      </x:c>
      <x:c r="E279" t="inlineStr">
        <x:is>
          <x:t xml:space="preserve">bacterial_sinusitis_peds</x:t>
        </x:is>
      </x:c>
      <x:c r="F279" t="inlineStr">
        <x:is>
          <x:t xml:space="preserve">peds</x:t>
        </x:is>
      </x:c>
      <x:c r="G279" t="n">
        <x:v>1</x:v>
      </x:c>
      <x:c r="H279" t="inlineStr">
        <x:is>
          <x:t xml:space="preserve">exact</x:t>
        </x:is>
      </x:c>
      <x:c r="I279" t="inlineStr">
        <x:is>
          <x:t xml:space="preserve">Y</x:t>
        </x:is>
      </x:c>
      <x:c r="J279" t="inlineStr">
        <x:is>
          <x:t xml:space="preserve">v5 added</x:t>
        </x:is>
      </x:c>
      <x:c r="K279" t="inlineStr">
        <x:is>
          <x:t xml:space="preserve">2026-03-08</x:t>
        </x:is>
      </x:c>
    </x:row>
    <x:row r="280">
      <x:c r="A280" t="inlineStr">
        <x:is>
          <x:t xml:space="preserve">CI0279</x:t>
        </x:is>
      </x:c>
      <x:c r="B280" t="inlineStr">
        <x:is>
          <x:t xml:space="preserve">sinus infection child</x:t>
        </x:is>
      </x:c>
      <x:c r="C280" t="inlineStr">
        <x:is>
          <x:t xml:space="preserve">sinus infection child</x:t>
        </x:is>
      </x:c>
      <x:c r="D280" t="inlineStr">
        <x:is>
          <x:t xml:space="preserve">ENT</x:t>
        </x:is>
      </x:c>
      <x:c r="E280" t="inlineStr">
        <x:is>
          <x:t xml:space="preserve">bacterial_sinusitis_peds</x:t>
        </x:is>
      </x:c>
      <x:c r="F280" t="inlineStr">
        <x:is>
          <x:t xml:space="preserve">peds</x:t>
        </x:is>
      </x:c>
      <x:c r="G280" t="n">
        <x:v>2</x:v>
      </x:c>
      <x:c r="H280" t="inlineStr">
        <x:is>
          <x:t xml:space="preserve">alias</x:t>
        </x:is>
      </x:c>
      <x:c r="I280" t="inlineStr">
        <x:is>
          <x:t xml:space="preserve">Y</x:t>
        </x:is>
      </x:c>
      <x:c r="J280" t="inlineStr">
        <x:is>
          <x:t xml:space="preserve">v5 added</x:t>
        </x:is>
      </x:c>
      <x:c r="K280" t="inlineStr">
        <x:is>
          <x:t xml:space="preserve">2026-03-08</x:t>
        </x:is>
      </x:c>
    </x:row>
    <x:row r="281">
      <x:c r="A281" t="inlineStr">
        <x:is>
          <x:t xml:space="preserve">CI0280</x:t>
        </x:is>
      </x:c>
      <x:c r="B281" t="inlineStr">
        <x:is>
          <x:t xml:space="preserve">purulent sinus child</x:t>
        </x:is>
      </x:c>
      <x:c r="C281" t="inlineStr">
        <x:is>
          <x:t xml:space="preserve">purulent sinus child</x:t>
        </x:is>
      </x:c>
      <x:c r="D281" t="inlineStr">
        <x:is>
          <x:t xml:space="preserve">ENT</x:t>
        </x:is>
      </x:c>
      <x:c r="E281" t="inlineStr">
        <x:is>
          <x:t xml:space="preserve">bacterial_sinusitis_peds</x:t>
        </x:is>
      </x:c>
      <x:c r="F281" t="inlineStr">
        <x:is>
          <x:t xml:space="preserve">peds</x:t>
        </x:is>
      </x:c>
      <x:c r="G281" t="n">
        <x:v>3</x:v>
      </x:c>
      <x:c r="H281" t="inlineStr">
        <x:is>
          <x:t xml:space="preserve">alias</x:t>
        </x:is>
      </x:c>
      <x:c r="I281" t="inlineStr">
        <x:is>
          <x:t xml:space="preserve">Y</x:t>
        </x:is>
      </x:c>
      <x:c r="J281" t="inlineStr">
        <x:is>
          <x:t xml:space="preserve">v5 added</x:t>
        </x:is>
      </x:c>
      <x:c r="K281" t="inlineStr">
        <x:is>
          <x:t xml:space="preserve">2026-03-08</x:t>
        </x:is>
      </x:c>
    </x:row>
    <x:row r="282">
      <x:c r="A282" t="inlineStr">
        <x:is>
          <x:t xml:space="preserve">CI0281</x:t>
        </x:is>
      </x:c>
      <x:c r="B282" t="inlineStr">
        <x:is>
          <x:t xml:space="preserve">bacterial sore throat child</x:t>
        </x:is>
      </x:c>
      <x:c r="C282" t="inlineStr">
        <x:is>
          <x:t xml:space="preserve">bacterial sore throat child</x:t>
        </x:is>
      </x:c>
      <x:c r="D282" t="inlineStr">
        <x:is>
          <x:t xml:space="preserve">ENT</x:t>
        </x:is>
      </x:c>
      <x:c r="E282" t="inlineStr">
        <x:is>
          <x:t xml:space="preserve">bacterial_pharyngitis_peds</x:t>
        </x:is>
      </x:c>
      <x:c r="F282" t="inlineStr">
        <x:is>
          <x:t xml:space="preserve">peds</x:t>
        </x:is>
      </x:c>
      <x:c r="G282" t="n">
        <x:v>1</x:v>
      </x:c>
      <x:c r="H282" t="inlineStr">
        <x:is>
          <x:t xml:space="preserve">exact</x:t>
        </x:is>
      </x:c>
      <x:c r="I282" t="inlineStr">
        <x:is>
          <x:t xml:space="preserve">Y</x:t>
        </x:is>
      </x:c>
      <x:c r="J282" t="inlineStr">
        <x:is>
          <x:t xml:space="preserve">v5 added</x:t>
        </x:is>
      </x:c>
      <x:c r="K282" t="inlineStr">
        <x:is>
          <x:t xml:space="preserve">2026-03-08</x:t>
        </x:is>
      </x:c>
    </x:row>
    <x:row r="283">
      <x:c r="A283" t="inlineStr">
        <x:is>
          <x:t xml:space="preserve">CI0282</x:t>
        </x:is>
      </x:c>
      <x:c r="B283" t="inlineStr">
        <x:is>
          <x:t xml:space="preserve">tonsillitis child bacterial</x:t>
        </x:is>
      </x:c>
      <x:c r="C283" t="inlineStr">
        <x:is>
          <x:t xml:space="preserve">tonsillitis child bacterial</x:t>
        </x:is>
      </x:c>
      <x:c r="D283" t="inlineStr">
        <x:is>
          <x:t xml:space="preserve">ENT</x:t>
        </x:is>
      </x:c>
      <x:c r="E283" t="inlineStr">
        <x:is>
          <x:t xml:space="preserve">bacterial_pharyngitis_peds</x:t>
        </x:is>
      </x:c>
      <x:c r="F283" t="inlineStr">
        <x:is>
          <x:t xml:space="preserve">peds</x:t>
        </x:is>
      </x:c>
      <x:c r="G283" t="n">
        <x:v>2</x:v>
      </x:c>
      <x:c r="H283" t="inlineStr">
        <x:is>
          <x:t xml:space="preserve">alias</x:t>
        </x:is>
      </x:c>
      <x:c r="I283" t="inlineStr">
        <x:is>
          <x:t xml:space="preserve">Y</x:t>
        </x:is>
      </x:c>
      <x:c r="J283" t="inlineStr">
        <x:is>
          <x:t xml:space="preserve">v5 added</x:t>
        </x:is>
      </x:c>
      <x:c r="K283" t="inlineStr">
        <x:is>
          <x:t xml:space="preserve">2026-03-08</x:t>
        </x:is>
      </x:c>
    </x:row>
    <x:row r="284">
      <x:c r="A284" t="inlineStr">
        <x:is>
          <x:t xml:space="preserve">CI0283</x:t>
        </x:is>
      </x:c>
      <x:c r="B284" t="inlineStr">
        <x:is>
          <x:t xml:space="preserve">exudative throat child</x:t>
        </x:is>
      </x:c>
      <x:c r="C284" t="inlineStr">
        <x:is>
          <x:t xml:space="preserve">exudative throat child</x:t>
        </x:is>
      </x:c>
      <x:c r="D284" t="inlineStr">
        <x:is>
          <x:t xml:space="preserve">ENT</x:t>
        </x:is>
      </x:c>
      <x:c r="E284" t="inlineStr">
        <x:is>
          <x:t xml:space="preserve">bacterial_pharyngitis_peds</x:t>
        </x:is>
      </x:c>
      <x:c r="F284" t="inlineStr">
        <x:is>
          <x:t xml:space="preserve">peds</x:t>
        </x:is>
      </x:c>
      <x:c r="G284" t="n">
        <x:v>3</x:v>
      </x:c>
      <x:c r="H284" t="inlineStr">
        <x:is>
          <x:t xml:space="preserve">alias</x:t>
        </x:is>
      </x:c>
      <x:c r="I284" t="inlineStr">
        <x:is>
          <x:t xml:space="preserve">Y</x:t>
        </x:is>
      </x:c>
      <x:c r="J284" t="inlineStr">
        <x:is>
          <x:t xml:space="preserve">v5 added</x:t>
        </x:is>
      </x:c>
      <x:c r="K284" t="inlineStr">
        <x:is>
          <x:t xml:space="preserve">2026-03-08</x:t>
        </x:is>
      </x:c>
    </x:row>
    <x:row r="285">
      <x:c r="A285" t="inlineStr">
        <x:is>
          <x:t xml:space="preserve">CI0284</x:t>
        </x:is>
      </x:c>
      <x:c r="B285" t="inlineStr">
        <x:is>
          <x:t xml:space="preserve">roxithromycin option</x:t>
        </x:is>
      </x:c>
      <x:c r="C285" t="inlineStr">
        <x:is>
          <x:t xml:space="preserve">roxithromycin option</x:t>
        </x:is>
      </x:c>
      <x:c r="D285" t="inlineStr">
        <x:is>
          <x:t xml:space="preserve">ENT</x:t>
        </x:is>
      </x:c>
      <x:c r="E285" t="inlineStr">
        <x:is>
          <x:t xml:space="preserve">macrolide_respiratory_bacterial_adult</x:t>
        </x:is>
      </x:c>
      <x:c r="F285" t="inlineStr">
        <x:is>
          <x:t xml:space="preserve">adult</x:t>
        </x:is>
      </x:c>
      <x:c r="G285" t="n">
        <x:v>1</x:v>
      </x:c>
      <x:c r="H285" t="inlineStr">
        <x:is>
          <x:t xml:space="preserve">exact</x:t>
        </x:is>
      </x:c>
      <x:c r="I285" t="inlineStr">
        <x:is>
          <x:t xml:space="preserve">Y</x:t>
        </x:is>
      </x:c>
      <x:c r="J285" t="inlineStr">
        <x:is>
          <x:t xml:space="preserve">v5 added</x:t>
        </x:is>
      </x:c>
      <x:c r="K285" t="inlineStr">
        <x:is>
          <x:t xml:space="preserve">2026-03-08</x:t>
        </x:is>
      </x:c>
    </x:row>
    <x:row r="286">
      <x:c r="A286" t="inlineStr">
        <x:is>
          <x:t xml:space="preserve">CI0285</x:t>
        </x:is>
      </x:c>
      <x:c r="B286" t="inlineStr">
        <x:is>
          <x:t xml:space="preserve">b roxi support</x:t>
        </x:is>
      </x:c>
      <x:c r="C286" t="inlineStr">
        <x:is>
          <x:t xml:space="preserve">b roxi support</x:t>
        </x:is>
      </x:c>
      <x:c r="D286" t="inlineStr">
        <x:is>
          <x:t xml:space="preserve">ENT</x:t>
        </x:is>
      </x:c>
      <x:c r="E286" t="inlineStr">
        <x:is>
          <x:t xml:space="preserve">macrolide_respiratory_bacterial_adult</x:t>
        </x:is>
      </x:c>
      <x:c r="F286" t="inlineStr">
        <x:is>
          <x:t xml:space="preserve">adult</x:t>
        </x:is>
      </x:c>
      <x:c r="G286" t="n">
        <x:v>2</x:v>
      </x:c>
      <x:c r="H286" t="inlineStr">
        <x:is>
          <x:t xml:space="preserve">alias</x:t>
        </x:is>
      </x:c>
      <x:c r="I286" t="inlineStr">
        <x:is>
          <x:t xml:space="preserve">Y</x:t>
        </x:is>
      </x:c>
      <x:c r="J286" t="inlineStr">
        <x:is>
          <x:t xml:space="preserve">v5 added</x:t>
        </x:is>
      </x:c>
      <x:c r="K286" t="inlineStr">
        <x:is>
          <x:t xml:space="preserve">2026-03-08</x:t>
        </x:is>
      </x:c>
    </x:row>
    <x:row r="287">
      <x:c r="A287" t="inlineStr">
        <x:is>
          <x:t xml:space="preserve">CI0286</x:t>
        </x:is>
      </x:c>
      <x:c r="B287" t="inlineStr">
        <x:is>
          <x:t xml:space="preserve">macrolide respiratory bacterial</x:t>
        </x:is>
      </x:c>
      <x:c r="C287" t="inlineStr">
        <x:is>
          <x:t xml:space="preserve">macrolide respiratory bacterial</x:t>
        </x:is>
      </x:c>
      <x:c r="D287" t="inlineStr">
        <x:is>
          <x:t xml:space="preserve">ENT</x:t>
        </x:is>
      </x:c>
      <x:c r="E287" t="inlineStr">
        <x:is>
          <x:t xml:space="preserve">macrolide_respiratory_bacterial_adult</x:t>
        </x:is>
      </x:c>
      <x:c r="F287" t="inlineStr">
        <x:is>
          <x:t xml:space="preserve">adult</x:t>
        </x:is>
      </x:c>
      <x:c r="G287" t="n">
        <x:v>3</x:v>
      </x:c>
      <x:c r="H287" t="inlineStr">
        <x:is>
          <x:t xml:space="preserve">alias</x:t>
        </x:is>
      </x:c>
      <x:c r="I287" t="inlineStr">
        <x:is>
          <x:t xml:space="preserve">Y</x:t>
        </x:is>
      </x:c>
      <x:c r="J287" t="inlineStr">
        <x:is>
          <x:t xml:space="preserve">v5 added</x:t>
        </x:is>
      </x:c>
      <x:c r="K287" t="inlineStr">
        <x:is>
          <x:t xml:space="preserve">2026-03-08</x:t>
        </x:is>
      </x:c>
    </x:row>
    <x:row r="288">
      <x:c r="A288" t="inlineStr">
        <x:is>
          <x:t xml:space="preserve">CI0287</x:t>
        </x:is>
      </x:c>
      <x:c r="B288" t="inlineStr">
        <x:is>
          <x:t xml:space="preserve">dental infection</x:t>
        </x:is>
      </x:c>
      <x:c r="C288" t="inlineStr">
        <x:is>
          <x:t xml:space="preserve">dental infection</x:t>
        </x:is>
      </x:c>
      <x:c r="D288" t="inlineStr">
        <x:is>
          <x:t xml:space="preserve">Oral</x:t>
        </x:is>
      </x:c>
      <x:c r="E288" t="inlineStr">
        <x:is>
          <x:t xml:space="preserve">dental_infection_support_adult</x:t>
        </x:is>
      </x:c>
      <x:c r="F288" t="inlineStr">
        <x:is>
          <x:t xml:space="preserve">adult</x:t>
        </x:is>
      </x:c>
      <x:c r="G288" t="n">
        <x:v>1</x:v>
      </x:c>
      <x:c r="H288" t="inlineStr">
        <x:is>
          <x:t xml:space="preserve">exact</x:t>
        </x:is>
      </x:c>
      <x:c r="I288" t="inlineStr">
        <x:is>
          <x:t xml:space="preserve">Y</x:t>
        </x:is>
      </x:c>
      <x:c r="J288" t="inlineStr">
        <x:is>
          <x:t xml:space="preserve">v5 added</x:t>
        </x:is>
      </x:c>
      <x:c r="K288" t="inlineStr">
        <x:is>
          <x:t xml:space="preserve">2026-03-08</x:t>
        </x:is>
      </x:c>
    </x:row>
    <x:row r="289">
      <x:c r="A289" t="inlineStr">
        <x:is>
          <x:t xml:space="preserve">CI0288</x:t>
        </x:is>
      </x:c>
      <x:c r="B289" t="inlineStr">
        <x:is>
          <x:t xml:space="preserve">gum infection</x:t>
        </x:is>
      </x:c>
      <x:c r="C289" t="inlineStr">
        <x:is>
          <x:t xml:space="preserve">gum infection</x:t>
        </x:is>
      </x:c>
      <x:c r="D289" t="inlineStr">
        <x:is>
          <x:t xml:space="preserve">Oral</x:t>
        </x:is>
      </x:c>
      <x:c r="E289" t="inlineStr">
        <x:is>
          <x:t xml:space="preserve">dental_infection_support_adult</x:t>
        </x:is>
      </x:c>
      <x:c r="F289" t="inlineStr">
        <x:is>
          <x:t xml:space="preserve">adult</x:t>
        </x:is>
      </x:c>
      <x:c r="G289" t="n">
        <x:v>2</x:v>
      </x:c>
      <x:c r="H289" t="inlineStr">
        <x:is>
          <x:t xml:space="preserve">alias</x:t>
        </x:is>
      </x:c>
      <x:c r="I289" t="inlineStr">
        <x:is>
          <x:t xml:space="preserve">Y</x:t>
        </x:is>
      </x:c>
      <x:c r="J289" t="inlineStr">
        <x:is>
          <x:t xml:space="preserve">v5 added</x:t>
        </x:is>
      </x:c>
      <x:c r="K289" t="inlineStr">
        <x:is>
          <x:t xml:space="preserve">2026-03-08</x:t>
        </x:is>
      </x:c>
    </x:row>
    <x:row r="290">
      <x:c r="A290" t="inlineStr">
        <x:is>
          <x:t xml:space="preserve">CI0289</x:t>
        </x:is>
      </x:c>
      <x:c r="B290" t="inlineStr">
        <x:is>
          <x:t xml:space="preserve">tooth infection</x:t>
        </x:is>
      </x:c>
      <x:c r="C290" t="inlineStr">
        <x:is>
          <x:t xml:space="preserve">tooth infection</x:t>
        </x:is>
      </x:c>
      <x:c r="D290" t="inlineStr">
        <x:is>
          <x:t xml:space="preserve">Oral</x:t>
        </x:is>
      </x:c>
      <x:c r="E290" t="inlineStr">
        <x:is>
          <x:t xml:space="preserve">dental_infection_support_adult</x:t>
        </x:is>
      </x:c>
      <x:c r="F290" t="inlineStr">
        <x:is>
          <x:t xml:space="preserve">adult</x:t>
        </x:is>
      </x:c>
      <x:c r="G290" t="n">
        <x:v>3</x:v>
      </x:c>
      <x:c r="H290" t="inlineStr">
        <x:is>
          <x:t xml:space="preserve">alias</x:t>
        </x:is>
      </x:c>
      <x:c r="I290" t="inlineStr">
        <x:is>
          <x:t xml:space="preserve">Y</x:t>
        </x:is>
      </x:c>
      <x:c r="J290" t="inlineStr">
        <x:is>
          <x:t xml:space="preserve">v5 added</x:t>
        </x:is>
      </x:c>
      <x:c r="K290" t="inlineStr">
        <x:is>
          <x:t xml:space="preserve">2026-03-08</x:t>
        </x:is>
      </x:c>
    </x:row>
    <x:row r="291">
      <x:c r="A291" t="inlineStr">
        <x:is>
          <x:t xml:space="preserve">CI0290</x:t>
        </x:is>
      </x:c>
      <x:c r="B291" t="inlineStr">
        <x:is>
          <x:t xml:space="preserve">infected insect bite</x:t>
        </x:is>
      </x:c>
      <x:c r="C291" t="inlineStr">
        <x:is>
          <x:t xml:space="preserve">infected insect bite</x:t>
        </x:is>
      </x:c>
      <x:c r="D291" t="inlineStr">
        <x:is>
          <x:t xml:space="preserve">Skin</x:t>
        </x:is>
      </x:c>
      <x:c r="E291" t="inlineStr">
        <x:is>
          <x:t xml:space="preserve">infected_insect_bite_adult</x:t>
        </x:is>
      </x:c>
      <x:c r="F291" t="inlineStr">
        <x:is>
          <x:t xml:space="preserve">adult</x:t>
        </x:is>
      </x:c>
      <x:c r="G291" t="n">
        <x:v>1</x:v>
      </x:c>
      <x:c r="H291" t="inlineStr">
        <x:is>
          <x:t xml:space="preserve">exact</x:t>
        </x:is>
      </x:c>
      <x:c r="I291" t="inlineStr">
        <x:is>
          <x:t xml:space="preserve">Y</x:t>
        </x:is>
      </x:c>
      <x:c r="J291" t="inlineStr">
        <x:is>
          <x:t xml:space="preserve">v5 added</x:t>
        </x:is>
      </x:c>
      <x:c r="K291" t="inlineStr">
        <x:is>
          <x:t xml:space="preserve">2026-03-08</x:t>
        </x:is>
      </x:c>
    </x:row>
    <x:row r="292">
      <x:c r="A292" t="inlineStr">
        <x:is>
          <x:t xml:space="preserve">CI0291</x:t>
        </x:is>
      </x:c>
      <x:c r="B292" t="inlineStr">
        <x:is>
          <x:t xml:space="preserve">infected mosquito bite</x:t>
        </x:is>
      </x:c>
      <x:c r="C292" t="inlineStr">
        <x:is>
          <x:t xml:space="preserve">infected mosquito bite</x:t>
        </x:is>
      </x:c>
      <x:c r="D292" t="inlineStr">
        <x:is>
          <x:t xml:space="preserve">Skin</x:t>
        </x:is>
      </x:c>
      <x:c r="E292" t="inlineStr">
        <x:is>
          <x:t xml:space="preserve">infected_insect_bite_adult</x:t>
        </x:is>
      </x:c>
      <x:c r="F292" t="inlineStr">
        <x:is>
          <x:t xml:space="preserve">adult</x:t>
        </x:is>
      </x:c>
      <x:c r="G292" t="n">
        <x:v>2</x:v>
      </x:c>
      <x:c r="H292" t="inlineStr">
        <x:is>
          <x:t xml:space="preserve">alias</x:t>
        </x:is>
      </x:c>
      <x:c r="I292" t="inlineStr">
        <x:is>
          <x:t xml:space="preserve">Y</x:t>
        </x:is>
      </x:c>
      <x:c r="J292" t="inlineStr">
        <x:is>
          <x:t xml:space="preserve">v5 added</x:t>
        </x:is>
      </x:c>
      <x:c r="K292" t="inlineStr">
        <x:is>
          <x:t xml:space="preserve">2026-03-08</x:t>
        </x:is>
      </x:c>
    </x:row>
    <x:row r="293">
      <x:c r="A293" t="inlineStr">
        <x:is>
          <x:t xml:space="preserve">CI0292</x:t>
        </x:is>
      </x:c>
      <x:c r="B293" t="inlineStr">
        <x:is>
          <x:t xml:space="preserve">bite cellulitis small</x:t>
        </x:is>
      </x:c>
      <x:c r="C293" t="inlineStr">
        <x:is>
          <x:t xml:space="preserve">bite cellulitis small</x:t>
        </x:is>
      </x:c>
      <x:c r="D293" t="inlineStr">
        <x:is>
          <x:t xml:space="preserve">Skin</x:t>
        </x:is>
      </x:c>
      <x:c r="E293" t="inlineStr">
        <x:is>
          <x:t xml:space="preserve">infected_insect_bite_adult</x:t>
        </x:is>
      </x:c>
      <x:c r="F293" t="inlineStr">
        <x:is>
          <x:t xml:space="preserve">adult</x:t>
        </x:is>
      </x:c>
      <x:c r="G293" t="n">
        <x:v>3</x:v>
      </x:c>
      <x:c r="H293" t="inlineStr">
        <x:is>
          <x:t xml:space="preserve">alias</x:t>
        </x:is>
      </x:c>
      <x:c r="I293" t="inlineStr">
        <x:is>
          <x:t xml:space="preserve">Y</x:t>
        </x:is>
      </x:c>
      <x:c r="J293" t="inlineStr">
        <x:is>
          <x:t xml:space="preserve">v5 added</x:t>
        </x:is>
      </x:c>
      <x:c r="K293" t="inlineStr">
        <x:is>
          <x:t xml:space="preserve">2026-03-08</x:t>
        </x:is>
      </x:c>
    </x:row>
    <x:row r="294">
      <x:c r="A294" t="inlineStr">
        <x:is>
          <x:t xml:space="preserve">CI0293</x:t>
        </x:is>
      </x:c>
      <x:c r="B294" t="inlineStr">
        <x:is>
          <x:t xml:space="preserve">infected insect bite child</x:t>
        </x:is>
      </x:c>
      <x:c r="C294" t="inlineStr">
        <x:is>
          <x:t xml:space="preserve">infected insect bite child</x:t>
        </x:is>
      </x:c>
      <x:c r="D294" t="inlineStr">
        <x:is>
          <x:t xml:space="preserve">Skin</x:t>
        </x:is>
      </x:c>
      <x:c r="E294" t="inlineStr">
        <x:is>
          <x:t xml:space="preserve">infected_insect_bite_peds</x:t>
        </x:is>
      </x:c>
      <x:c r="F294" t="inlineStr">
        <x:is>
          <x:t xml:space="preserve">peds</x:t>
        </x:is>
      </x:c>
      <x:c r="G294" t="n">
        <x:v>1</x:v>
      </x:c>
      <x:c r="H294" t="inlineStr">
        <x:is>
          <x:t xml:space="preserve">exact</x:t>
        </x:is>
      </x:c>
      <x:c r="I294" t="inlineStr">
        <x:is>
          <x:t xml:space="preserve">Y</x:t>
        </x:is>
      </x:c>
      <x:c r="J294" t="inlineStr">
        <x:is>
          <x:t xml:space="preserve">v5 added</x:t>
        </x:is>
      </x:c>
      <x:c r="K294" t="inlineStr">
        <x:is>
          <x:t xml:space="preserve">2026-03-08</x:t>
        </x:is>
      </x:c>
    </x:row>
    <x:row r="295">
      <x:c r="A295" t="inlineStr">
        <x:is>
          <x:t xml:space="preserve">CI0294</x:t>
        </x:is>
      </x:c>
      <x:c r="B295" t="inlineStr">
        <x:is>
          <x:t xml:space="preserve">infected bite child</x:t>
        </x:is>
      </x:c>
      <x:c r="C295" t="inlineStr">
        <x:is>
          <x:t xml:space="preserve">infected bite child</x:t>
        </x:is>
      </x:c>
      <x:c r="D295" t="inlineStr">
        <x:is>
          <x:t xml:space="preserve">Skin</x:t>
        </x:is>
      </x:c>
      <x:c r="E295" t="inlineStr">
        <x:is>
          <x:t xml:space="preserve">infected_insect_bite_peds</x:t>
        </x:is>
      </x:c>
      <x:c r="F295" t="inlineStr">
        <x:is>
          <x:t xml:space="preserve">peds</x:t>
        </x:is>
      </x:c>
      <x:c r="G295" t="n">
        <x:v>2</x:v>
      </x:c>
      <x:c r="H295" t="inlineStr">
        <x:is>
          <x:t xml:space="preserve">alias</x:t>
        </x:is>
      </x:c>
      <x:c r="I295" t="inlineStr">
        <x:is>
          <x:t xml:space="preserve">Y</x:t>
        </x:is>
      </x:c>
      <x:c r="J295" t="inlineStr">
        <x:is>
          <x:t xml:space="preserve">v5 added</x:t>
        </x:is>
      </x:c>
      <x:c r="K295" t="inlineStr">
        <x:is>
          <x:t xml:space="preserve">2026-03-08</x:t>
        </x:is>
      </x:c>
    </x:row>
    <x:row r="296">
      <x:c r="A296" t="inlineStr">
        <x:is>
          <x:t xml:space="preserve">CI0295</x:t>
        </x:is>
      </x:c>
      <x:c r="B296" t="inlineStr">
        <x:is>
          <x:t xml:space="preserve">red infected bug bite child</x:t>
        </x:is>
      </x:c>
      <x:c r="C296" t="inlineStr">
        <x:is>
          <x:t xml:space="preserve">red infected bug bite child</x:t>
        </x:is>
      </x:c>
      <x:c r="D296" t="inlineStr">
        <x:is>
          <x:t xml:space="preserve">Skin</x:t>
        </x:is>
      </x:c>
      <x:c r="E296" t="inlineStr">
        <x:is>
          <x:t xml:space="preserve">infected_insect_bite_peds</x:t>
        </x:is>
      </x:c>
      <x:c r="F296" t="inlineStr">
        <x:is>
          <x:t xml:space="preserve">peds</x:t>
        </x:is>
      </x:c>
      <x:c r="G296" t="n">
        <x:v>3</x:v>
      </x:c>
      <x:c r="H296" t="inlineStr">
        <x:is>
          <x:t xml:space="preserve">alias</x:t>
        </x:is>
      </x:c>
      <x:c r="I296" t="inlineStr">
        <x:is>
          <x:t xml:space="preserve">Y</x:t>
        </x:is>
      </x:c>
      <x:c r="J296" t="inlineStr">
        <x:is>
          <x:t xml:space="preserve">v5 added</x:t>
        </x:is>
      </x:c>
      <x:c r="K296" t="inlineStr">
        <x:is>
          <x:t xml:space="preserve">2026-03-08</x:t>
        </x:is>
      </x:c>
    </x:row>
    <x:row r="297">
      <x:c r="A297" t="inlineStr">
        <x:is>
          <x:t xml:space="preserve">CI0296</x:t>
        </x:is>
      </x:c>
      <x:c r="B297" t="inlineStr">
        <x:is>
          <x:t xml:space="preserve">mild cellulitis</x:t>
        </x:is>
      </x:c>
      <x:c r="C297" t="inlineStr">
        <x:is>
          <x:t xml:space="preserve">mild cellulitis</x:t>
        </x:is>
      </x:c>
      <x:c r="D297" t="inlineStr">
        <x:is>
          <x:t xml:space="preserve">Skin</x:t>
        </x:is>
      </x:c>
      <x:c r="E297" t="inlineStr">
        <x:is>
          <x:t xml:space="preserve">cellulitis_mild_adult</x:t>
        </x:is>
      </x:c>
      <x:c r="F297" t="inlineStr">
        <x:is>
          <x:t xml:space="preserve">adult</x:t>
        </x:is>
      </x:c>
      <x:c r="G297" t="n">
        <x:v>1</x:v>
      </x:c>
      <x:c r="H297" t="inlineStr">
        <x:is>
          <x:t xml:space="preserve">exact</x:t>
        </x:is>
      </x:c>
      <x:c r="I297" t="inlineStr">
        <x:is>
          <x:t xml:space="preserve">Y</x:t>
        </x:is>
      </x:c>
      <x:c r="J297" t="inlineStr">
        <x:is>
          <x:t xml:space="preserve">v5 added</x:t>
        </x:is>
      </x:c>
      <x:c r="K297" t="inlineStr">
        <x:is>
          <x:t xml:space="preserve">2026-03-08</x:t>
        </x:is>
      </x:c>
    </x:row>
    <x:row r="298">
      <x:c r="A298" t="inlineStr">
        <x:is>
          <x:t xml:space="preserve">CI0297</x:t>
        </x:is>
      </x:c>
      <x:c r="B298" t="inlineStr">
        <x:is>
          <x:t xml:space="preserve">localized cellulitis</x:t>
        </x:is>
      </x:c>
      <x:c r="C298" t="inlineStr">
        <x:is>
          <x:t xml:space="preserve">localized cellulitis</x:t>
        </x:is>
      </x:c>
      <x:c r="D298" t="inlineStr">
        <x:is>
          <x:t xml:space="preserve">Skin</x:t>
        </x:is>
      </x:c>
      <x:c r="E298" t="inlineStr">
        <x:is>
          <x:t xml:space="preserve">cellulitis_mild_adult</x:t>
        </x:is>
      </x:c>
      <x:c r="F298" t="inlineStr">
        <x:is>
          <x:t xml:space="preserve">adult</x:t>
        </x:is>
      </x:c>
      <x:c r="G298" t="n">
        <x:v>2</x:v>
      </x:c>
      <x:c r="H298" t="inlineStr">
        <x:is>
          <x:t xml:space="preserve">alias</x:t>
        </x:is>
      </x:c>
      <x:c r="I298" t="inlineStr">
        <x:is>
          <x:t xml:space="preserve">Y</x:t>
        </x:is>
      </x:c>
      <x:c r="J298" t="inlineStr">
        <x:is>
          <x:t xml:space="preserve">v5 added</x:t>
        </x:is>
      </x:c>
      <x:c r="K298" t="inlineStr">
        <x:is>
          <x:t xml:space="preserve">2026-03-08</x:t>
        </x:is>
      </x:c>
    </x:row>
    <x:row r="299">
      <x:c r="A299" t="inlineStr">
        <x:is>
          <x:t xml:space="preserve">CI0298</x:t>
        </x:is>
      </x:c>
      <x:c r="B299" t="inlineStr">
        <x:is>
          <x:t xml:space="preserve">skin infection cellulitis</x:t>
        </x:is>
      </x:c>
      <x:c r="C299" t="inlineStr">
        <x:is>
          <x:t xml:space="preserve">skin infection cellulitis</x:t>
        </x:is>
      </x:c>
      <x:c r="D299" t="inlineStr">
        <x:is>
          <x:t xml:space="preserve">Skin</x:t>
        </x:is>
      </x:c>
      <x:c r="E299" t="inlineStr">
        <x:is>
          <x:t xml:space="preserve">cellulitis_mild_adult</x:t>
        </x:is>
      </x:c>
      <x:c r="F299" t="inlineStr">
        <x:is>
          <x:t xml:space="preserve">adult</x:t>
        </x:is>
      </x:c>
      <x:c r="G299" t="n">
        <x:v>3</x:v>
      </x:c>
      <x:c r="H299" t="inlineStr">
        <x:is>
          <x:t xml:space="preserve">alias</x:t>
        </x:is>
      </x:c>
      <x:c r="I299" t="inlineStr">
        <x:is>
          <x:t xml:space="preserve">Y</x:t>
        </x:is>
      </x:c>
      <x:c r="J299" t="inlineStr">
        <x:is>
          <x:t xml:space="preserve">v5 added</x:t>
        </x:is>
      </x:c>
      <x:c r="K299" t="inlineStr">
        <x:is>
          <x:t xml:space="preserve">2026-03-08</x:t>
        </x:is>
      </x:c>
    </x:row>
    <x:row r="300">
      <x:c r="A300" t="inlineStr">
        <x:is>
          <x:t xml:space="preserve">CI0299</x:t>
        </x:is>
      </x:c>
      <x:c r="B300" t="inlineStr">
        <x:is>
          <x:t xml:space="preserve">impetigo oral antibiotic</x:t>
        </x:is>
      </x:c>
      <x:c r="C300" t="inlineStr">
        <x:is>
          <x:t xml:space="preserve">impetigo oral antibiotic</x:t>
        </x:is>
      </x:c>
      <x:c r="D300" t="inlineStr">
        <x:is>
          <x:t xml:space="preserve">Skin</x:t>
        </x:is>
      </x:c>
      <x:c r="E300" t="inlineStr">
        <x:is>
          <x:t xml:space="preserve">impetigo_oral_antibiotic_adult</x:t>
        </x:is>
      </x:c>
      <x:c r="F300" t="inlineStr">
        <x:is>
          <x:t xml:space="preserve">adult</x:t>
        </x:is>
      </x:c>
      <x:c r="G300" t="n">
        <x:v>1</x:v>
      </x:c>
      <x:c r="H300" t="inlineStr">
        <x:is>
          <x:t xml:space="preserve">exact</x:t>
        </x:is>
      </x:c>
      <x:c r="I300" t="inlineStr">
        <x:is>
          <x:t xml:space="preserve">Y</x:t>
        </x:is>
      </x:c>
      <x:c r="J300" t="inlineStr">
        <x:is>
          <x:t xml:space="preserve">v5 added</x:t>
        </x:is>
      </x:c>
      <x:c r="K300" t="inlineStr">
        <x:is>
          <x:t xml:space="preserve">2026-03-08</x:t>
        </x:is>
      </x:c>
    </x:row>
    <x:row r="301">
      <x:c r="A301" t="inlineStr">
        <x:is>
          <x:t xml:space="preserve">CI0300</x:t>
        </x:is>
      </x:c>
      <x:c r="B301" t="inlineStr">
        <x:is>
          <x:t xml:space="preserve">extensive impetigo</x:t>
        </x:is>
      </x:c>
      <x:c r="C301" t="inlineStr">
        <x:is>
          <x:t xml:space="preserve">extensive impetigo</x:t>
        </x:is>
      </x:c>
      <x:c r="D301" t="inlineStr">
        <x:is>
          <x:t xml:space="preserve">Skin</x:t>
        </x:is>
      </x:c>
      <x:c r="E301" t="inlineStr">
        <x:is>
          <x:t xml:space="preserve">impetigo_oral_antibiotic_adult</x:t>
        </x:is>
      </x:c>
      <x:c r="F301" t="inlineStr">
        <x:is>
          <x:t xml:space="preserve">adult</x:t>
        </x:is>
      </x:c>
      <x:c r="G301" t="n">
        <x:v>2</x:v>
      </x:c>
      <x:c r="H301" t="inlineStr">
        <x:is>
          <x:t xml:space="preserve">alias</x:t>
        </x:is>
      </x:c>
      <x:c r="I301" t="inlineStr">
        <x:is>
          <x:t xml:space="preserve">Y</x:t>
        </x:is>
      </x:c>
      <x:c r="J301" t="inlineStr">
        <x:is>
          <x:t xml:space="preserve">v5 added</x:t>
        </x:is>
      </x:c>
      <x:c r="K301" t="inlineStr">
        <x:is>
          <x:t xml:space="preserve">2026-03-08</x:t>
        </x:is>
      </x:c>
    </x:row>
    <x:row r="302">
      <x:c r="A302" t="inlineStr">
        <x:is>
          <x:t xml:space="preserve">CI0301</x:t>
        </x:is>
      </x:c>
      <x:c r="B302" t="inlineStr">
        <x:is>
          <x:t xml:space="preserve">impetigo widespread</x:t>
        </x:is>
      </x:c>
      <x:c r="C302" t="inlineStr">
        <x:is>
          <x:t xml:space="preserve">impetigo widespread</x:t>
        </x:is>
      </x:c>
      <x:c r="D302" t="inlineStr">
        <x:is>
          <x:t xml:space="preserve">Skin</x:t>
        </x:is>
      </x:c>
      <x:c r="E302" t="inlineStr">
        <x:is>
          <x:t xml:space="preserve">impetigo_oral_antibiotic_adult</x:t>
        </x:is>
      </x:c>
      <x:c r="F302" t="inlineStr">
        <x:is>
          <x:t xml:space="preserve">adult</x:t>
        </x:is>
      </x:c>
      <x:c r="G302" t="n">
        <x:v>3</x:v>
      </x:c>
      <x:c r="H302" t="inlineStr">
        <x:is>
          <x:t xml:space="preserve">alias</x:t>
        </x:is>
      </x:c>
      <x:c r="I302" t="inlineStr">
        <x:is>
          <x:t xml:space="preserve">Y</x:t>
        </x:is>
      </x:c>
      <x:c r="J302" t="inlineStr">
        <x:is>
          <x:t xml:space="preserve">v5 added</x:t>
        </x:is>
      </x:c>
      <x:c r="K302" t="inlineStr">
        <x:is>
          <x:t xml:space="preserve">2026-03-08</x:t>
        </x:is>
      </x:c>
    </x:row>
    <x:row r="303">
      <x:c r="A303" t="inlineStr">
        <x:is>
          <x:t xml:space="preserve">CI0302</x:t>
        </x:is>
      </x:c>
      <x:c r="B303" t="inlineStr">
        <x:is>
          <x:t xml:space="preserve">folliculitis</x:t>
        </x:is>
      </x:c>
      <x:c r="C303" t="inlineStr">
        <x:is>
          <x:t xml:space="preserve">folliculitis</x:t>
        </x:is>
      </x:c>
      <x:c r="D303" t="inlineStr">
        <x:is>
          <x:t xml:space="preserve">Skin</x:t>
        </x:is>
      </x:c>
      <x:c r="E303" t="inlineStr">
        <x:is>
          <x:t xml:space="preserve">localized_folliculitis_adult</x:t>
        </x:is>
      </x:c>
      <x:c r="F303" t="inlineStr">
        <x:is>
          <x:t xml:space="preserve">adult</x:t>
        </x:is>
      </x:c>
      <x:c r="G303" t="n">
        <x:v>1</x:v>
      </x:c>
      <x:c r="H303" t="inlineStr">
        <x:is>
          <x:t xml:space="preserve">exact</x:t>
        </x:is>
      </x:c>
      <x:c r="I303" t="inlineStr">
        <x:is>
          <x:t xml:space="preserve">Y</x:t>
        </x:is>
      </x:c>
      <x:c r="J303" t="inlineStr">
        <x:is>
          <x:t xml:space="preserve">v5 added</x:t>
        </x:is>
      </x:c>
      <x:c r="K303" t="inlineStr">
        <x:is>
          <x:t xml:space="preserve">2026-03-08</x:t>
        </x:is>
      </x:c>
    </x:row>
    <x:row r="304">
      <x:c r="A304" t="inlineStr">
        <x:is>
          <x:t xml:space="preserve">CI0303</x:t>
        </x:is>
      </x:c>
      <x:c r="B304" t="inlineStr">
        <x:is>
          <x:t xml:space="preserve">infected hair follicle</x:t>
        </x:is>
      </x:c>
      <x:c r="C304" t="inlineStr">
        <x:is>
          <x:t xml:space="preserve">infected hair follicle</x:t>
        </x:is>
      </x:c>
      <x:c r="D304" t="inlineStr">
        <x:is>
          <x:t xml:space="preserve">Skin</x:t>
        </x:is>
      </x:c>
      <x:c r="E304" t="inlineStr">
        <x:is>
          <x:t xml:space="preserve">localized_folliculitis_adult</x:t>
        </x:is>
      </x:c>
      <x:c r="F304" t="inlineStr">
        <x:is>
          <x:t xml:space="preserve">adult</x:t>
        </x:is>
      </x:c>
      <x:c r="G304" t="n">
        <x:v>2</x:v>
      </x:c>
      <x:c r="H304" t="inlineStr">
        <x:is>
          <x:t xml:space="preserve">alias</x:t>
        </x:is>
      </x:c>
      <x:c r="I304" t="inlineStr">
        <x:is>
          <x:t xml:space="preserve">Y</x:t>
        </x:is>
      </x:c>
      <x:c r="J304" t="inlineStr">
        <x:is>
          <x:t xml:space="preserve">v5 added</x:t>
        </x:is>
      </x:c>
      <x:c r="K304" t="inlineStr">
        <x:is>
          <x:t xml:space="preserve">2026-03-08</x:t>
        </x:is>
      </x:c>
    </x:row>
    <x:row r="305">
      <x:c r="A305" t="inlineStr">
        <x:is>
          <x:t xml:space="preserve">CI0304</x:t>
        </x:is>
      </x:c>
      <x:c r="B305" t="inlineStr">
        <x:is>
          <x:t xml:space="preserve">small pustule folliculitis</x:t>
        </x:is>
      </x:c>
      <x:c r="C305" t="inlineStr">
        <x:is>
          <x:t xml:space="preserve">small pustule folliculitis</x:t>
        </x:is>
      </x:c>
      <x:c r="D305" t="inlineStr">
        <x:is>
          <x:t xml:space="preserve">Skin</x:t>
        </x:is>
      </x:c>
      <x:c r="E305" t="inlineStr">
        <x:is>
          <x:t xml:space="preserve">localized_folliculitis_adult</x:t>
        </x:is>
      </x:c>
      <x:c r="F305" t="inlineStr">
        <x:is>
          <x:t xml:space="preserve">adult</x:t>
        </x:is>
      </x:c>
      <x:c r="G305" t="n">
        <x:v>3</x:v>
      </x:c>
      <x:c r="H305" t="inlineStr">
        <x:is>
          <x:t xml:space="preserve">alias</x:t>
        </x:is>
      </x:c>
      <x:c r="I305" t="inlineStr">
        <x:is>
          <x:t xml:space="preserve">Y</x:t>
        </x:is>
      </x:c>
      <x:c r="J305" t="inlineStr">
        <x:is>
          <x:t xml:space="preserve">v5 added</x:t>
        </x:is>
      </x:c>
      <x:c r="K305" t="inlineStr">
        <x:is>
          <x:t xml:space="preserve">2026-03-08</x:t>
        </x:is>
      </x:c>
    </x:row>
    <x:row r="306">
      <x:c r="A306" t="inlineStr">
        <x:is>
          <x:t xml:space="preserve">CI0305</x:t>
        </x:is>
      </x:c>
      <x:c r="B306" t="inlineStr">
        <x:is>
          <x:t xml:space="preserve">infected abrasion</x:t>
        </x:is>
      </x:c>
      <x:c r="C306" t="inlineStr">
        <x:is>
          <x:t xml:space="preserve">infected abrasion</x:t>
        </x:is>
      </x:c>
      <x:c r="D306" t="inlineStr">
        <x:is>
          <x:t xml:space="preserve">Skin</x:t>
        </x:is>
      </x:c>
      <x:c r="E306" t="inlineStr">
        <x:is>
          <x:t xml:space="preserve">infected_abrasion_adult</x:t>
        </x:is>
      </x:c>
      <x:c r="F306" t="inlineStr">
        <x:is>
          <x:t xml:space="preserve">adult</x:t>
        </x:is>
      </x:c>
      <x:c r="G306" t="n">
        <x:v>1</x:v>
      </x:c>
      <x:c r="H306" t="inlineStr">
        <x:is>
          <x:t xml:space="preserve">exact</x:t>
        </x:is>
      </x:c>
      <x:c r="I306" t="inlineStr">
        <x:is>
          <x:t xml:space="preserve">Y</x:t>
        </x:is>
      </x:c>
      <x:c r="J306" t="inlineStr">
        <x:is>
          <x:t xml:space="preserve">v5 added</x:t>
        </x:is>
      </x:c>
      <x:c r="K306" t="inlineStr">
        <x:is>
          <x:t xml:space="preserve">2026-03-08</x:t>
        </x:is>
      </x:c>
    </x:row>
    <x:row r="307">
      <x:c r="A307" t="inlineStr">
        <x:is>
          <x:t xml:space="preserve">CI0306</x:t>
        </x:is>
      </x:c>
      <x:c r="B307" t="inlineStr">
        <x:is>
          <x:t xml:space="preserve">abrasion infected</x:t>
        </x:is>
      </x:c>
      <x:c r="C307" t="inlineStr">
        <x:is>
          <x:t xml:space="preserve">abrasion infected</x:t>
        </x:is>
      </x:c>
      <x:c r="D307" t="inlineStr">
        <x:is>
          <x:t xml:space="preserve">Skin</x:t>
        </x:is>
      </x:c>
      <x:c r="E307" t="inlineStr">
        <x:is>
          <x:t xml:space="preserve">infected_abrasion_adult</x:t>
        </x:is>
      </x:c>
      <x:c r="F307" t="inlineStr">
        <x:is>
          <x:t xml:space="preserve">adult</x:t>
        </x:is>
      </x:c>
      <x:c r="G307" t="n">
        <x:v>2</x:v>
      </x:c>
      <x:c r="H307" t="inlineStr">
        <x:is>
          <x:t xml:space="preserve">alias</x:t>
        </x:is>
      </x:c>
      <x:c r="I307" t="inlineStr">
        <x:is>
          <x:t xml:space="preserve">Y</x:t>
        </x:is>
      </x:c>
      <x:c r="J307" t="inlineStr">
        <x:is>
          <x:t xml:space="preserve">v5 added</x:t>
        </x:is>
      </x:c>
      <x:c r="K307" t="inlineStr">
        <x:is>
          <x:t xml:space="preserve">2026-03-08</x:t>
        </x:is>
      </x:c>
    </x:row>
    <x:row r="308">
      <x:c r="A308" t="inlineStr">
        <x:is>
          <x:t xml:space="preserve">CI0307</x:t>
        </x:is>
      </x:c>
      <x:c r="B308" t="inlineStr">
        <x:is>
          <x:t xml:space="preserve">infected scrape</x:t>
        </x:is>
      </x:c>
      <x:c r="C308" t="inlineStr">
        <x:is>
          <x:t xml:space="preserve">infected scrape</x:t>
        </x:is>
      </x:c>
      <x:c r="D308" t="inlineStr">
        <x:is>
          <x:t xml:space="preserve">Skin</x:t>
        </x:is>
      </x:c>
      <x:c r="E308" t="inlineStr">
        <x:is>
          <x:t xml:space="preserve">infected_abrasion_adult</x:t>
        </x:is>
      </x:c>
      <x:c r="F308" t="inlineStr">
        <x:is>
          <x:t xml:space="preserve">adult</x:t>
        </x:is>
      </x:c>
      <x:c r="G308" t="n">
        <x:v>3</x:v>
      </x:c>
      <x:c r="H308" t="inlineStr">
        <x:is>
          <x:t xml:space="preserve">alias</x:t>
        </x:is>
      </x:c>
      <x:c r="I308" t="inlineStr">
        <x:is>
          <x:t xml:space="preserve">Y</x:t>
        </x:is>
      </x:c>
      <x:c r="J308" t="inlineStr">
        <x:is>
          <x:t xml:space="preserve">v5 added</x:t>
        </x:is>
      </x:c>
      <x:c r="K308" t="inlineStr">
        <x:is>
          <x:t xml:space="preserve">2026-03-08</x:t>
        </x:is>
      </x:c>
    </x:row>
    <x:row r="309">
      <x:c r="A309" t="inlineStr">
        <x:is>
          <x:t xml:space="preserve">CI0308</x:t>
        </x:is>
      </x:c>
      <x:c r="B309" t="inlineStr">
        <x:is>
          <x:t xml:space="preserve">infected eczema</x:t>
        </x:is>
      </x:c>
      <x:c r="C309" t="inlineStr">
        <x:is>
          <x:t xml:space="preserve">infected eczema</x:t>
        </x:is>
      </x:c>
      <x:c r="D309" t="inlineStr">
        <x:is>
          <x:t xml:space="preserve">Skin</x:t>
        </x:is>
      </x:c>
      <x:c r="E309" t="inlineStr">
        <x:is>
          <x:t xml:space="preserve">infected_eczema_localized_adult</x:t>
        </x:is>
      </x:c>
      <x:c r="F309" t="inlineStr">
        <x:is>
          <x:t xml:space="preserve">adult</x:t>
        </x:is>
      </x:c>
      <x:c r="G309" t="n">
        <x:v>1</x:v>
      </x:c>
      <x:c r="H309" t="inlineStr">
        <x:is>
          <x:t xml:space="preserve">exact</x:t>
        </x:is>
      </x:c>
      <x:c r="I309" t="inlineStr">
        <x:is>
          <x:t xml:space="preserve">Y</x:t>
        </x:is>
      </x:c>
      <x:c r="J309" t="inlineStr">
        <x:is>
          <x:t xml:space="preserve">v5 added</x:t>
        </x:is>
      </x:c>
      <x:c r="K309" t="inlineStr">
        <x:is>
          <x:t xml:space="preserve">2026-03-08</x:t>
        </x:is>
      </x:c>
    </x:row>
    <x:row r="310">
      <x:c r="A310" t="inlineStr">
        <x:is>
          <x:t xml:space="preserve">CI0309</x:t>
        </x:is>
      </x:c>
      <x:c r="B310" t="inlineStr">
        <x:is>
          <x:t xml:space="preserve">infected dermatitis</x:t>
        </x:is>
      </x:c>
      <x:c r="C310" t="inlineStr">
        <x:is>
          <x:t xml:space="preserve">infected dermatitis</x:t>
        </x:is>
      </x:c>
      <x:c r="D310" t="inlineStr">
        <x:is>
          <x:t xml:space="preserve">Skin</x:t>
        </x:is>
      </x:c>
      <x:c r="E310" t="inlineStr">
        <x:is>
          <x:t xml:space="preserve">infected_eczema_localized_adult</x:t>
        </x:is>
      </x:c>
      <x:c r="F310" t="inlineStr">
        <x:is>
          <x:t xml:space="preserve">adult</x:t>
        </x:is>
      </x:c>
      <x:c r="G310" t="n">
        <x:v>2</x:v>
      </x:c>
      <x:c r="H310" t="inlineStr">
        <x:is>
          <x:t xml:space="preserve">alias</x:t>
        </x:is>
      </x:c>
      <x:c r="I310" t="inlineStr">
        <x:is>
          <x:t xml:space="preserve">Y</x:t>
        </x:is>
      </x:c>
      <x:c r="J310" t="inlineStr">
        <x:is>
          <x:t xml:space="preserve">v5 added</x:t>
        </x:is>
      </x:c>
      <x:c r="K310" t="inlineStr">
        <x:is>
          <x:t xml:space="preserve">2026-03-08</x:t>
        </x:is>
      </x:c>
    </x:row>
    <x:row r="311">
      <x:c r="A311" t="inlineStr">
        <x:is>
          <x:t xml:space="preserve">CI0310</x:t>
        </x:is>
      </x:c>
      <x:c r="B311" t="inlineStr">
        <x:is>
          <x:t xml:space="preserve">eczema with infection</x:t>
        </x:is>
      </x:c>
      <x:c r="C311" t="inlineStr">
        <x:is>
          <x:t xml:space="preserve">eczema with infection</x:t>
        </x:is>
      </x:c>
      <x:c r="D311" t="inlineStr">
        <x:is>
          <x:t xml:space="preserve">Skin</x:t>
        </x:is>
      </x:c>
      <x:c r="E311" t="inlineStr">
        <x:is>
          <x:t xml:space="preserve">infected_eczema_localized_adult</x:t>
        </x:is>
      </x:c>
      <x:c r="F311" t="inlineStr">
        <x:is>
          <x:t xml:space="preserve">adult</x:t>
        </x:is>
      </x:c>
      <x:c r="G311" t="n">
        <x:v>3</x:v>
      </x:c>
      <x:c r="H311" t="inlineStr">
        <x:is>
          <x:t xml:space="preserve">alias</x:t>
        </x:is>
      </x:c>
      <x:c r="I311" t="inlineStr">
        <x:is>
          <x:t xml:space="preserve">Y</x:t>
        </x:is>
      </x:c>
      <x:c r="J311" t="inlineStr">
        <x:is>
          <x:t xml:space="preserve">v5 added</x:t>
        </x:is>
      </x:c>
      <x:c r="K311" t="inlineStr">
        <x:is>
          <x:t xml:space="preserve">2026-03-08</x:t>
        </x:is>
      </x:c>
    </x:row>
    <x:row r="312">
      <x:c r="A312" t="inlineStr">
        <x:is>
          <x:t xml:space="preserve">CI0311</x:t>
        </x:is>
      </x:c>
      <x:c r="B312" t="inlineStr">
        <x:is>
          <x:t xml:space="preserve">uncomplicated uti</x:t>
        </x:is>
      </x:c>
      <x:c r="C312" t="inlineStr">
        <x:is>
          <x:t xml:space="preserve">uncomplicated uti</x:t>
        </x:is>
      </x:c>
      <x:c r="D312" t="inlineStr">
        <x:is>
          <x:t xml:space="preserve">GU</x:t>
        </x:is>
      </x:c>
      <x:c r="E312" t="inlineStr">
        <x:is>
          <x:t xml:space="preserve">uncomplicated_uti_adult</x:t>
        </x:is>
      </x:c>
      <x:c r="F312" t="inlineStr">
        <x:is>
          <x:t xml:space="preserve">adult</x:t>
        </x:is>
      </x:c>
      <x:c r="G312" t="n">
        <x:v>1</x:v>
      </x:c>
      <x:c r="H312" t="inlineStr">
        <x:is>
          <x:t xml:space="preserve">exact</x:t>
        </x:is>
      </x:c>
      <x:c r="I312" t="inlineStr">
        <x:is>
          <x:t xml:space="preserve">Y</x:t>
        </x:is>
      </x:c>
      <x:c r="J312" t="inlineStr">
        <x:is>
          <x:t xml:space="preserve">v5 added</x:t>
        </x:is>
      </x:c>
      <x:c r="K312" t="inlineStr">
        <x:is>
          <x:t xml:space="preserve">2026-03-08</x:t>
        </x:is>
      </x:c>
    </x:row>
    <x:row r="313">
      <x:c r="A313" t="inlineStr">
        <x:is>
          <x:t xml:space="preserve">CI0312</x:t>
        </x:is>
      </x:c>
      <x:c r="B313" t="inlineStr">
        <x:is>
          <x:t xml:space="preserve">cystitis</x:t>
        </x:is>
      </x:c>
      <x:c r="C313" t="inlineStr">
        <x:is>
          <x:t xml:space="preserve">cystitis</x:t>
        </x:is>
      </x:c>
      <x:c r="D313" t="inlineStr">
        <x:is>
          <x:t xml:space="preserve">GU</x:t>
        </x:is>
      </x:c>
      <x:c r="E313" t="inlineStr">
        <x:is>
          <x:t xml:space="preserve">uncomplicated_uti_adult</x:t>
        </x:is>
      </x:c>
      <x:c r="F313" t="inlineStr">
        <x:is>
          <x:t xml:space="preserve">adult</x:t>
        </x:is>
      </x:c>
      <x:c r="G313" t="n">
        <x:v>2</x:v>
      </x:c>
      <x:c r="H313" t="inlineStr">
        <x:is>
          <x:t xml:space="preserve">alias</x:t>
        </x:is>
      </x:c>
      <x:c r="I313" t="inlineStr">
        <x:is>
          <x:t xml:space="preserve">Y</x:t>
        </x:is>
      </x:c>
      <x:c r="J313" t="inlineStr">
        <x:is>
          <x:t xml:space="preserve">v5 added</x:t>
        </x:is>
      </x:c>
      <x:c r="K313" t="inlineStr">
        <x:is>
          <x:t xml:space="preserve">2026-03-08</x:t>
        </x:is>
      </x:c>
    </x:row>
    <x:row r="314">
      <x:c r="A314" t="inlineStr">
        <x:is>
          <x:t xml:space="preserve">CI0313</x:t>
        </x:is>
      </x:c>
      <x:c r="B314" t="inlineStr">
        <x:is>
          <x:t xml:space="preserve">urine infection lower</x:t>
        </x:is>
      </x:c>
      <x:c r="C314" t="inlineStr">
        <x:is>
          <x:t xml:space="preserve">urine infection lower</x:t>
        </x:is>
      </x:c>
      <x:c r="D314" t="inlineStr">
        <x:is>
          <x:t xml:space="preserve">GU</x:t>
        </x:is>
      </x:c>
      <x:c r="E314" t="inlineStr">
        <x:is>
          <x:t xml:space="preserve">uncomplicated_uti_adult</x:t>
        </x:is>
      </x:c>
      <x:c r="F314" t="inlineStr">
        <x:is>
          <x:t xml:space="preserve">adult</x:t>
        </x:is>
      </x:c>
      <x:c r="G314" t="n">
        <x:v>3</x:v>
      </x:c>
      <x:c r="H314" t="inlineStr">
        <x:is>
          <x:t xml:space="preserve">alias</x:t>
        </x:is>
      </x:c>
      <x:c r="I314" t="inlineStr">
        <x:is>
          <x:t xml:space="preserve">Y</x:t>
        </x:is>
      </x:c>
      <x:c r="J314" t="inlineStr">
        <x:is>
          <x:t xml:space="preserve">v5 added</x:t>
        </x:is>
      </x:c>
      <x:c r="K314" t="inlineStr">
        <x:is>
          <x:t xml:space="preserve">2026-03-08</x:t>
        </x:is>
      </x:c>
    </x:row>
    <x:row r="315">
      <x:c r="A315" t="inlineStr">
        <x:is>
          <x:t xml:space="preserve">CI0314</x:t>
        </x:is>
      </x:c>
      <x:c r="B315" t="inlineStr">
        <x:is>
          <x:t xml:space="preserve">topical eye antibiotic</x:t>
        </x:is>
      </x:c>
      <x:c r="C315" t="inlineStr">
        <x:is>
          <x:t xml:space="preserve">topical eye antibiotic</x:t>
        </x:is>
      </x:c>
      <x:c r="D315" t="inlineStr">
        <x:is>
          <x:t xml:space="preserve">Eye</x:t>
        </x:is>
      </x:c>
      <x:c r="E315" t="inlineStr">
        <x:is>
          <x:t xml:space="preserve">topical_eye_antibiotic_support_adult</x:t>
        </x:is>
      </x:c>
      <x:c r="F315" t="inlineStr">
        <x:is>
          <x:t xml:space="preserve">adult</x:t>
        </x:is>
      </x:c>
      <x:c r="G315" t="n">
        <x:v>1</x:v>
      </x:c>
      <x:c r="H315" t="inlineStr">
        <x:is>
          <x:t xml:space="preserve">exact</x:t>
        </x:is>
      </x:c>
      <x:c r="I315" t="inlineStr">
        <x:is>
          <x:t xml:space="preserve">Y</x:t>
        </x:is>
      </x:c>
      <x:c r="J315" t="inlineStr">
        <x:is>
          <x:t xml:space="preserve">v5 added</x:t>
        </x:is>
      </x:c>
      <x:c r="K315" t="inlineStr">
        <x:is>
          <x:t xml:space="preserve">2026-03-08</x:t>
        </x:is>
      </x:c>
    </x:row>
    <x:row r="316">
      <x:c r="A316" t="inlineStr">
        <x:is>
          <x:t xml:space="preserve">CI0315</x:t>
        </x:is>
      </x:c>
      <x:c r="B316" t="inlineStr">
        <x:is>
          <x:t xml:space="preserve">eye antibiotic support</x:t>
        </x:is>
      </x:c>
      <x:c r="C316" t="inlineStr">
        <x:is>
          <x:t xml:space="preserve">eye antibiotic support</x:t>
        </x:is>
      </x:c>
      <x:c r="D316" t="inlineStr">
        <x:is>
          <x:t xml:space="preserve">Eye</x:t>
        </x:is>
      </x:c>
      <x:c r="E316" t="inlineStr">
        <x:is>
          <x:t xml:space="preserve">topical_eye_antibiotic_support_adult</x:t>
        </x:is>
      </x:c>
      <x:c r="F316" t="inlineStr">
        <x:is>
          <x:t xml:space="preserve">adult</x:t>
        </x:is>
      </x:c>
      <x:c r="G316" t="n">
        <x:v>2</x:v>
      </x:c>
      <x:c r="H316" t="inlineStr">
        <x:is>
          <x:t xml:space="preserve">alias</x:t>
        </x:is>
      </x:c>
      <x:c r="I316" t="inlineStr">
        <x:is>
          <x:t xml:space="preserve">Y</x:t>
        </x:is>
      </x:c>
      <x:c r="J316" t="inlineStr">
        <x:is>
          <x:t xml:space="preserve">v5 added</x:t>
        </x:is>
      </x:c>
      <x:c r="K316" t="inlineStr">
        <x:is>
          <x:t xml:space="preserve">2026-03-08</x:t>
        </x:is>
      </x:c>
    </x:row>
    <x:row r="317">
      <x:c r="A317" t="inlineStr">
        <x:is>
          <x:t xml:space="preserve">CI0316</x:t>
        </x:is>
      </x:c>
      <x:c r="B317" t="inlineStr">
        <x:is>
          <x:t xml:space="preserve">bacterial eye drop option</x:t>
        </x:is>
      </x:c>
      <x:c r="C317" t="inlineStr">
        <x:is>
          <x:t xml:space="preserve">bacterial eye drop option</x:t>
        </x:is>
      </x:c>
      <x:c r="D317" t="inlineStr">
        <x:is>
          <x:t xml:space="preserve">Eye</x:t>
        </x:is>
      </x:c>
      <x:c r="E317" t="inlineStr">
        <x:is>
          <x:t xml:space="preserve">topical_eye_antibiotic_support_adult</x:t>
        </x:is>
      </x:c>
      <x:c r="F317" t="inlineStr">
        <x:is>
          <x:t xml:space="preserve">adult</x:t>
        </x:is>
      </x:c>
      <x:c r="G317" t="n">
        <x:v>3</x:v>
      </x:c>
      <x:c r="H317" t="inlineStr">
        <x:is>
          <x:t xml:space="preserve">alias</x:t>
        </x:is>
      </x:c>
      <x:c r="I317" t="inlineStr">
        <x:is>
          <x:t xml:space="preserve">Y</x:t>
        </x:is>
      </x:c>
      <x:c r="J317" t="inlineStr">
        <x:is>
          <x:t xml:space="preserve">v5 added</x:t>
        </x:is>
      </x:c>
      <x:c r="K317" t="inlineStr">
        <x:is>
          <x:t xml:space="preserve">2026-03-08</x:t>
        </x:is>
      </x:c>
    </x:row>
    <x:row r="318">
      <x:c r="A318" t="inlineStr">
        <x:is>
          <x:t xml:space="preserve">CI0317</x:t>
        </x:is>
      </x:c>
      <x:c r="B318" t="inlineStr">
        <x:is>
          <x:t xml:space="preserve">skin infection child topical</x:t>
        </x:is>
      </x:c>
      <x:c r="C318" t="inlineStr">
        <x:is>
          <x:t xml:space="preserve">skin infection child topical</x:t>
        </x:is>
      </x:c>
      <x:c r="D318" t="inlineStr">
        <x:is>
          <x:t xml:space="preserve">Skin</x:t>
        </x:is>
      </x:c>
      <x:c r="E318" t="inlineStr">
        <x:is>
          <x:t xml:space="preserve">bacterial_skin_infection_topical_peds</x:t>
        </x:is>
      </x:c>
      <x:c r="F318" t="inlineStr">
        <x:is>
          <x:t xml:space="preserve">peds</x:t>
        </x:is>
      </x:c>
      <x:c r="G318" t="n">
        <x:v>1</x:v>
      </x:c>
      <x:c r="H318" t="inlineStr">
        <x:is>
          <x:t xml:space="preserve">exact</x:t>
        </x:is>
      </x:c>
      <x:c r="I318" t="inlineStr">
        <x:is>
          <x:t xml:space="preserve">Y</x:t>
        </x:is>
      </x:c>
      <x:c r="J318" t="inlineStr">
        <x:is>
          <x:t xml:space="preserve">v5 added</x:t>
        </x:is>
      </x:c>
      <x:c r="K318" t="inlineStr">
        <x:is>
          <x:t xml:space="preserve">2026-03-08</x:t>
        </x:is>
      </x:c>
    </x:row>
    <x:row r="319">
      <x:c r="A319" t="inlineStr">
        <x:is>
          <x:t xml:space="preserve">CI0318</x:t>
        </x:is>
      </x:c>
      <x:c r="B319" t="inlineStr">
        <x:is>
          <x:t xml:space="preserve">topical skin antibiotic child</x:t>
        </x:is>
      </x:c>
      <x:c r="C319" t="inlineStr">
        <x:is>
          <x:t xml:space="preserve">topical skin antibiotic child</x:t>
        </x:is>
      </x:c>
      <x:c r="D319" t="inlineStr">
        <x:is>
          <x:t xml:space="preserve">Skin</x:t>
        </x:is>
      </x:c>
      <x:c r="E319" t="inlineStr">
        <x:is>
          <x:t xml:space="preserve">bacterial_skin_infection_topical_peds</x:t>
        </x:is>
      </x:c>
      <x:c r="F319" t="inlineStr">
        <x:is>
          <x:t xml:space="preserve">peds</x:t>
        </x:is>
      </x:c>
      <x:c r="G319" t="n">
        <x:v>2</x:v>
      </x:c>
      <x:c r="H319" t="inlineStr">
        <x:is>
          <x:t xml:space="preserve">alias</x:t>
        </x:is>
      </x:c>
      <x:c r="I319" t="inlineStr">
        <x:is>
          <x:t xml:space="preserve">Y</x:t>
        </x:is>
      </x:c>
      <x:c r="J319" t="inlineStr">
        <x:is>
          <x:t xml:space="preserve">v5 added</x:t>
        </x:is>
      </x:c>
      <x:c r="K319" t="inlineStr">
        <x:is>
          <x:t xml:space="preserve">2026-03-08</x:t>
        </x:is>
      </x:c>
    </x:row>
    <x:row r="320">
      <x:c r="A320" t="inlineStr">
        <x:is>
          <x:t xml:space="preserve">CI0319</x:t>
        </x:is>
      </x:c>
      <x:c r="B320" t="inlineStr">
        <x:is>
          <x:t xml:space="preserve">localized skin infection child</x:t>
        </x:is>
      </x:c>
      <x:c r="C320" t="inlineStr">
        <x:is>
          <x:t xml:space="preserve">localized skin infection child</x:t>
        </x:is>
      </x:c>
      <x:c r="D320" t="inlineStr">
        <x:is>
          <x:t xml:space="preserve">Skin</x:t>
        </x:is>
      </x:c>
      <x:c r="E320" t="inlineStr">
        <x:is>
          <x:t xml:space="preserve">bacterial_skin_infection_topical_peds</x:t>
        </x:is>
      </x:c>
      <x:c r="F320" t="inlineStr">
        <x:is>
          <x:t xml:space="preserve">peds</x:t>
        </x:is>
      </x:c>
      <x:c r="G320" t="n">
        <x:v>3</x:v>
      </x:c>
      <x:c r="H320" t="inlineStr">
        <x:is>
          <x:t xml:space="preserve">alias</x:t>
        </x:is>
      </x:c>
      <x:c r="I320" t="inlineStr">
        <x:is>
          <x:t xml:space="preserve">Y</x:t>
        </x:is>
      </x:c>
      <x:c r="J320" t="inlineStr">
        <x:is>
          <x:t xml:space="preserve">v5 added</x:t>
        </x:is>
      </x:c>
      <x:c r="K320" t="inlineStr">
        <x:is>
          <x:t xml:space="preserve">2026-03-08</x:t>
        </x:is>
      </x:c>
    </x:row>
    <x:row r="321">
      <x:c r="A321" t="inlineStr">
        <x:is>
          <x:t xml:space="preserve">CI0320</x:t>
        </x:is>
      </x:c>
      <x:c r="B321" t="inlineStr">
        <x:is>
          <x:t xml:space="preserve">topical skin antibiotic</x:t>
        </x:is>
      </x:c>
      <x:c r="C321" t="inlineStr">
        <x:is>
          <x:t xml:space="preserve">topical skin antibiotic</x:t>
        </x:is>
      </x:c>
      <x:c r="D321" t="inlineStr">
        <x:is>
          <x:t xml:space="preserve">Skin</x:t>
        </x:is>
      </x:c>
      <x:c r="E321" t="inlineStr">
        <x:is>
          <x:t xml:space="preserve">bacterial_skin_infection_topical_adult</x:t>
        </x:is>
      </x:c>
      <x:c r="F321" t="inlineStr">
        <x:is>
          <x:t xml:space="preserve">adult</x:t>
        </x:is>
      </x:c>
      <x:c r="G321" t="n">
        <x:v>1</x:v>
      </x:c>
      <x:c r="H321" t="inlineStr">
        <x:is>
          <x:t xml:space="preserve">exact</x:t>
        </x:is>
      </x:c>
      <x:c r="I321" t="inlineStr">
        <x:is>
          <x:t xml:space="preserve">Y</x:t>
        </x:is>
      </x:c>
      <x:c r="J321" t="inlineStr">
        <x:is>
          <x:t xml:space="preserve">v5 added</x:t>
        </x:is>
      </x:c>
      <x:c r="K321" t="inlineStr">
        <x:is>
          <x:t xml:space="preserve">2026-03-08</x:t>
        </x:is>
      </x:c>
    </x:row>
    <x:row r="322">
      <x:c r="A322" t="inlineStr">
        <x:is>
          <x:t xml:space="preserve">CI0321</x:t>
        </x:is>
      </x:c>
      <x:c r="B322" t="inlineStr">
        <x:is>
          <x:t xml:space="preserve">topical bacterial skin support</x:t>
        </x:is>
      </x:c>
      <x:c r="C322" t="inlineStr">
        <x:is>
          <x:t xml:space="preserve">topical bacterial skin support</x:t>
        </x:is>
      </x:c>
      <x:c r="D322" t="inlineStr">
        <x:is>
          <x:t xml:space="preserve">Skin</x:t>
        </x:is>
      </x:c>
      <x:c r="E322" t="inlineStr">
        <x:is>
          <x:t xml:space="preserve">bacterial_skin_infection_topical_adult</x:t>
        </x:is>
      </x:c>
      <x:c r="F322" t="inlineStr">
        <x:is>
          <x:t xml:space="preserve">adult</x:t>
        </x:is>
      </x:c>
      <x:c r="G322" t="n">
        <x:v>2</x:v>
      </x:c>
      <x:c r="H322" t="inlineStr">
        <x:is>
          <x:t xml:space="preserve">alias</x:t>
        </x:is>
      </x:c>
      <x:c r="I322" t="inlineStr">
        <x:is>
          <x:t xml:space="preserve">Y</x:t>
        </x:is>
      </x:c>
      <x:c r="J322" t="inlineStr">
        <x:is>
          <x:t xml:space="preserve">v5 added</x:t>
        </x:is>
      </x:c>
      <x:c r="K322" t="inlineStr">
        <x:is>
          <x:t xml:space="preserve">2026-03-08</x:t>
        </x:is>
      </x:c>
    </x:row>
    <x:row r="323">
      <x:c r="A323" t="inlineStr">
        <x:is>
          <x:t xml:space="preserve">CI0322</x:t>
        </x:is>
      </x:c>
      <x:c r="B323" t="inlineStr">
        <x:is>
          <x:t xml:space="preserve">localized bacterial skin lesion</x:t>
        </x:is>
      </x:c>
      <x:c r="C323" t="inlineStr">
        <x:is>
          <x:t xml:space="preserve">localized bacterial skin lesion</x:t>
        </x:is>
      </x:c>
      <x:c r="D323" t="inlineStr">
        <x:is>
          <x:t xml:space="preserve">Skin</x:t>
        </x:is>
      </x:c>
      <x:c r="E323" t="inlineStr">
        <x:is>
          <x:t xml:space="preserve">bacterial_skin_infection_topical_adult</x:t>
        </x:is>
      </x:c>
      <x:c r="F323" t="inlineStr">
        <x:is>
          <x:t xml:space="preserve">adult</x:t>
        </x:is>
      </x:c>
      <x:c r="G323" t="n">
        <x:v>3</x:v>
      </x:c>
      <x:c r="H323" t="inlineStr">
        <x:is>
          <x:t xml:space="preserve">alias</x:t>
        </x:is>
      </x:c>
      <x:c r="I323" t="inlineStr">
        <x:is>
          <x:t xml:space="preserve">Y</x:t>
        </x:is>
      </x:c>
      <x:c r="J323" t="inlineStr">
        <x:is>
          <x:t xml:space="preserve">v5 added</x:t>
        </x:is>
      </x:c>
      <x:c r="K323" t="inlineStr">
        <x:is>
          <x:t xml:space="preserve">2026-03-08</x:t>
        </x:is>
      </x:c>
    </x:row>
    <x:row r="324">
      <x:c r="A324" t="inlineStr">
        <x:is>
          <x:t xml:space="preserve">CI0323</x:t>
        </x:is>
      </x:c>
      <x:c r="B324" t="inlineStr">
        <x:is>
          <x:t xml:space="preserve">infected wound oral antibiotic</x:t>
        </x:is>
      </x:c>
      <x:c r="C324" t="inlineStr">
        <x:is>
          <x:t xml:space="preserve">infected wound oral antibiotic</x:t>
        </x:is>
      </x:c>
      <x:c r="D324" t="inlineStr">
        <x:is>
          <x:t xml:space="preserve">Skin</x:t>
        </x:is>
      </x:c>
      <x:c r="E324" t="inlineStr">
        <x:is>
          <x:t xml:space="preserve">infected_wound_oral_antibiotic_adult</x:t>
        </x:is>
      </x:c>
      <x:c r="F324" t="inlineStr">
        <x:is>
          <x:t xml:space="preserve">adult</x:t>
        </x:is>
      </x:c>
      <x:c r="G324" t="n">
        <x:v>1</x:v>
      </x:c>
      <x:c r="H324" t="inlineStr">
        <x:is>
          <x:t xml:space="preserve">exact</x:t>
        </x:is>
      </x:c>
      <x:c r="I324" t="inlineStr">
        <x:is>
          <x:t xml:space="preserve">Y</x:t>
        </x:is>
      </x:c>
      <x:c r="J324" t="inlineStr">
        <x:is>
          <x:t xml:space="preserve">v5 added</x:t>
        </x:is>
      </x:c>
      <x:c r="K324" t="inlineStr">
        <x:is>
          <x:t xml:space="preserve">2026-03-08</x:t>
        </x:is>
      </x:c>
    </x:row>
    <x:row r="325">
      <x:c r="A325" t="inlineStr">
        <x:is>
          <x:t xml:space="preserve">CI0324</x:t>
        </x:is>
      </x:c>
      <x:c r="B325" t="inlineStr">
        <x:is>
          <x:t xml:space="preserve">wound infection antibiotic</x:t>
        </x:is>
      </x:c>
      <x:c r="C325" t="inlineStr">
        <x:is>
          <x:t xml:space="preserve">wound infection antibiotic</x:t>
        </x:is>
      </x:c>
      <x:c r="D325" t="inlineStr">
        <x:is>
          <x:t xml:space="preserve">Skin</x:t>
        </x:is>
      </x:c>
      <x:c r="E325" t="inlineStr">
        <x:is>
          <x:t xml:space="preserve">infected_wound_oral_antibiotic_adult</x:t>
        </x:is>
      </x:c>
      <x:c r="F325" t="inlineStr">
        <x:is>
          <x:t xml:space="preserve">adult</x:t>
        </x:is>
      </x:c>
      <x:c r="G325" t="n">
        <x:v>2</x:v>
      </x:c>
      <x:c r="H325" t="inlineStr">
        <x:is>
          <x:t xml:space="preserve">alias</x:t>
        </x:is>
      </x:c>
      <x:c r="I325" t="inlineStr">
        <x:is>
          <x:t xml:space="preserve">Y</x:t>
        </x:is>
      </x:c>
      <x:c r="J325" t="inlineStr">
        <x:is>
          <x:t xml:space="preserve">v5 added</x:t>
        </x:is>
      </x:c>
      <x:c r="K325" t="inlineStr">
        <x:is>
          <x:t xml:space="preserve">2026-03-08</x:t>
        </x:is>
      </x:c>
    </x:row>
    <x:row r="326">
      <x:c r="A326" t="inlineStr">
        <x:is>
          <x:t xml:space="preserve">CI0325</x:t>
        </x:is>
      </x:c>
      <x:c r="B326" t="inlineStr">
        <x:is>
          <x:t xml:space="preserve">oral antibiotic wound infection</x:t>
        </x:is>
      </x:c>
      <x:c r="C326" t="inlineStr">
        <x:is>
          <x:t xml:space="preserve">oral antibiotic wound infection</x:t>
        </x:is>
      </x:c>
      <x:c r="D326" t="inlineStr">
        <x:is>
          <x:t xml:space="preserve">Skin</x:t>
        </x:is>
      </x:c>
      <x:c r="E326" t="inlineStr">
        <x:is>
          <x:t xml:space="preserve">infected_wound_oral_antibiotic_adult</x:t>
        </x:is>
      </x:c>
      <x:c r="F326" t="inlineStr">
        <x:is>
          <x:t xml:space="preserve">adult</x:t>
        </x:is>
      </x:c>
      <x:c r="G326" t="n">
        <x:v>3</x:v>
      </x:c>
      <x:c r="H326" t="inlineStr">
        <x:is>
          <x:t xml:space="preserve">alias</x:t>
        </x:is>
      </x:c>
      <x:c r="I326" t="inlineStr">
        <x:is>
          <x:t xml:space="preserve">Y</x:t>
        </x:is>
      </x:c>
      <x:c r="J326" t="inlineStr">
        <x:is>
          <x:t xml:space="preserve">v5 added</x:t>
        </x:is>
      </x:c>
      <x:c r="K326" t="inlineStr">
        <x:is>
          <x:t xml:space="preserve">2026-03-08</x:t>
        </x:is>
      </x:c>
    </x:row>
    <x:row r="327">
      <x:c r="A327" t="inlineStr">
        <x:is>
          <x:t xml:space="preserve">CI0326</x:t>
        </x:is>
      </x:c>
      <x:c r="B327" t="inlineStr">
        <x:is>
          <x:t xml:space="preserve">penicillin allergy respiratory antibiotic</x:t>
        </x:is>
      </x:c>
      <x:c r="C327" t="inlineStr">
        <x:is>
          <x:t xml:space="preserve">penicillin allergy respiratory antibiotic</x:t>
        </x:is>
      </x:c>
      <x:c r="D327" t="inlineStr">
        <x:is>
          <x:t xml:space="preserve">ENT</x:t>
        </x:is>
      </x:c>
      <x:c r="E327" t="inlineStr">
        <x:is>
          <x:t xml:space="preserve">penicillin_allergy_resp_support_adult</x:t>
        </x:is>
      </x:c>
      <x:c r="F327" t="inlineStr">
        <x:is>
          <x:t xml:space="preserve">adult</x:t>
        </x:is>
      </x:c>
      <x:c r="G327" t="n">
        <x:v>1</x:v>
      </x:c>
      <x:c r="H327" t="inlineStr">
        <x:is>
          <x:t xml:space="preserve">exact</x:t>
        </x:is>
      </x:c>
      <x:c r="I327" t="inlineStr">
        <x:is>
          <x:t xml:space="preserve">Y</x:t>
        </x:is>
      </x:c>
      <x:c r="J327" t="inlineStr">
        <x:is>
          <x:t xml:space="preserve">v5 added</x:t>
        </x:is>
      </x:c>
      <x:c r="K327" t="inlineStr">
        <x:is>
          <x:t xml:space="preserve">2026-03-08</x:t>
        </x:is>
      </x:c>
    </x:row>
    <x:row r="328">
      <x:c r="A328" t="inlineStr">
        <x:is>
          <x:t xml:space="preserve">CI0327</x:t>
        </x:is>
      </x:c>
      <x:c r="B328" t="inlineStr">
        <x:is>
          <x:t xml:space="preserve">roxi respiratory support</x:t>
        </x:is>
      </x:c>
      <x:c r="C328" t="inlineStr">
        <x:is>
          <x:t xml:space="preserve">roxi respiratory support</x:t>
        </x:is>
      </x:c>
      <x:c r="D328" t="inlineStr">
        <x:is>
          <x:t xml:space="preserve">ENT</x:t>
        </x:is>
      </x:c>
      <x:c r="E328" t="inlineStr">
        <x:is>
          <x:t xml:space="preserve">penicillin_allergy_resp_support_adult</x:t>
        </x:is>
      </x:c>
      <x:c r="F328" t="inlineStr">
        <x:is>
          <x:t xml:space="preserve">adult</x:t>
        </x:is>
      </x:c>
      <x:c r="G328" t="n">
        <x:v>2</x:v>
      </x:c>
      <x:c r="H328" t="inlineStr">
        <x:is>
          <x:t xml:space="preserve">alias</x:t>
        </x:is>
      </x:c>
      <x:c r="I328" t="inlineStr">
        <x:is>
          <x:t xml:space="preserve">Y</x:t>
        </x:is>
      </x:c>
      <x:c r="J328" t="inlineStr">
        <x:is>
          <x:t xml:space="preserve">v5 added</x:t>
        </x:is>
      </x:c>
      <x:c r="K328" t="inlineStr">
        <x:is>
          <x:t xml:space="preserve">2026-03-08</x:t>
        </x:is>
      </x:c>
    </x:row>
    <x:row r="329">
      <x:c r="A329" t="inlineStr">
        <x:is>
          <x:t xml:space="preserve">CI0328</x:t>
        </x:is>
      </x:c>
      <x:c r="B329" t="inlineStr">
        <x:is>
          <x:t xml:space="preserve">penicillin allergy sore throat antibiotic</x:t>
        </x:is>
      </x:c>
      <x:c r="C329" t="inlineStr">
        <x:is>
          <x:t xml:space="preserve">penicillin allergy sore throat antibiotic</x:t>
        </x:is>
      </x:c>
      <x:c r="D329" t="inlineStr">
        <x:is>
          <x:t xml:space="preserve">ENT</x:t>
        </x:is>
      </x:c>
      <x:c r="E329" t="inlineStr">
        <x:is>
          <x:t xml:space="preserve">penicillin_allergy_resp_support_adult</x:t>
        </x:is>
      </x:c>
      <x:c r="F329" t="inlineStr">
        <x:is>
          <x:t xml:space="preserve">adult</x:t>
        </x:is>
      </x:c>
      <x:c r="G329" t="n">
        <x:v>3</x:v>
      </x:c>
      <x:c r="H329" t="inlineStr">
        <x:is>
          <x:t xml:space="preserve">alias</x:t>
        </x:is>
      </x:c>
      <x:c r="I329" t="inlineStr">
        <x:is>
          <x:t xml:space="preserve">Y</x:t>
        </x:is>
      </x:c>
      <x:c r="J329" t="inlineStr">
        <x:is>
          <x:t xml:space="preserve">v5 added</x:t>
        </x:is>
      </x:c>
      <x:c r="K329" t="inlineStr">
        <x:is>
          <x:t xml:space="preserve">2026-03-08</x:t>
        </x:is>
      </x:c>
    </x:row>
    <x:row r="330">
      <x:c r="A330" t="inlineStr">
        <x:is>
          <x:t xml:space="preserve">CI0329</x:t>
        </x:is>
      </x:c>
      <x:c r="B330" t="inlineStr">
        <x:is>
          <x:t xml:space="preserve">sinusitis alternative antibiotic</x:t>
        </x:is>
      </x:c>
      <x:c r="C330" t="inlineStr">
        <x:is>
          <x:t xml:space="preserve">sinusitis alternative antibiotic</x:t>
        </x:is>
      </x:c>
      <x:c r="D330" t="inlineStr">
        <x:is>
          <x:t xml:space="preserve">ENT</x:t>
        </x:is>
      </x:c>
      <x:c r="E330" t="inlineStr">
        <x:is>
          <x:t xml:space="preserve">bacterial_sinusitis_alt_adult</x:t>
        </x:is>
      </x:c>
      <x:c r="F330" t="inlineStr">
        <x:is>
          <x:t xml:space="preserve">adult</x:t>
        </x:is>
      </x:c>
      <x:c r="G330" t="n">
        <x:v>1</x:v>
      </x:c>
      <x:c r="H330" t="inlineStr">
        <x:is>
          <x:t xml:space="preserve">exact</x:t>
        </x:is>
      </x:c>
      <x:c r="I330" t="inlineStr">
        <x:is>
          <x:t xml:space="preserve">Y</x:t>
        </x:is>
      </x:c>
      <x:c r="J330" t="inlineStr">
        <x:is>
          <x:t xml:space="preserve">v5 added</x:t>
        </x:is>
      </x:c>
      <x:c r="K330" t="inlineStr">
        <x:is>
          <x:t xml:space="preserve">2026-03-08</x:t>
        </x:is>
      </x:c>
    </x:row>
    <x:row r="331">
      <x:c r="A331" t="inlineStr">
        <x:is>
          <x:t xml:space="preserve">CI0330</x:t>
        </x:is>
      </x:c>
      <x:c r="B331" t="inlineStr">
        <x:is>
          <x:t xml:space="preserve">roxi sinusitis</x:t>
        </x:is>
      </x:c>
      <x:c r="C331" t="inlineStr">
        <x:is>
          <x:t xml:space="preserve">roxi sinusitis</x:t>
        </x:is>
      </x:c>
      <x:c r="D331" t="inlineStr">
        <x:is>
          <x:t xml:space="preserve">ENT</x:t>
        </x:is>
      </x:c>
      <x:c r="E331" t="inlineStr">
        <x:is>
          <x:t xml:space="preserve">bacterial_sinusitis_alt_adult</x:t>
        </x:is>
      </x:c>
      <x:c r="F331" t="inlineStr">
        <x:is>
          <x:t xml:space="preserve">adult</x:t>
        </x:is>
      </x:c>
      <x:c r="G331" t="n">
        <x:v>2</x:v>
      </x:c>
      <x:c r="H331" t="inlineStr">
        <x:is>
          <x:t xml:space="preserve">alias</x:t>
        </x:is>
      </x:c>
      <x:c r="I331" t="inlineStr">
        <x:is>
          <x:t xml:space="preserve">Y</x:t>
        </x:is>
      </x:c>
      <x:c r="J331" t="inlineStr">
        <x:is>
          <x:t xml:space="preserve">v5 added</x:t>
        </x:is>
      </x:c>
      <x:c r="K331" t="inlineStr">
        <x:is>
          <x:t xml:space="preserve">2026-03-08</x:t>
        </x:is>
      </x:c>
    </x:row>
    <x:row r="332">
      <x:c r="A332" t="inlineStr">
        <x:is>
          <x:t xml:space="preserve">CI0331</x:t>
        </x:is>
      </x:c>
      <x:c r="B332" t="inlineStr">
        <x:is>
          <x:t xml:space="preserve">sinus infection alternative antibiotic</x:t>
        </x:is>
      </x:c>
      <x:c r="C332" t="inlineStr">
        <x:is>
          <x:t xml:space="preserve">sinus infection alternative antibiotic</x:t>
        </x:is>
      </x:c>
      <x:c r="D332" t="inlineStr">
        <x:is>
          <x:t xml:space="preserve">ENT</x:t>
        </x:is>
      </x:c>
      <x:c r="E332" t="inlineStr">
        <x:is>
          <x:t xml:space="preserve">bacterial_sinusitis_alt_adult</x:t>
        </x:is>
      </x:c>
      <x:c r="F332" t="inlineStr">
        <x:is>
          <x:t xml:space="preserve">adult</x:t>
        </x:is>
      </x:c>
      <x:c r="G332" t="n">
        <x:v>3</x:v>
      </x:c>
      <x:c r="H332" t="inlineStr">
        <x:is>
          <x:t xml:space="preserve">alias</x:t>
        </x:is>
      </x:c>
      <x:c r="I332" t="inlineStr">
        <x:is>
          <x:t xml:space="preserve">Y</x:t>
        </x:is>
      </x:c>
      <x:c r="J332" t="inlineStr">
        <x:is>
          <x:t xml:space="preserve">v5 added</x:t>
        </x:is>
      </x:c>
      <x:c r="K332" t="inlineStr">
        <x:is>
          <x:t xml:space="preserve">2026-03-08</x:t>
        </x:is>
      </x:c>
    </x:row>
    <x:row r="333">
      <x:c r="A333" t="inlineStr">
        <x:is>
          <x:t xml:space="preserve">CI0332</x:t>
        </x:is>
      </x:c>
      <x:c r="B333" t="inlineStr">
        <x:is>
          <x:t xml:space="preserve">pharyngitis alternative antibiotic</x:t>
        </x:is>
      </x:c>
      <x:c r="C333" t="inlineStr">
        <x:is>
          <x:t xml:space="preserve">pharyngitis alternative antibiotic</x:t>
        </x:is>
      </x:c>
      <x:c r="D333" t="inlineStr">
        <x:is>
          <x:t xml:space="preserve">ENT</x:t>
        </x:is>
      </x:c>
      <x:c r="E333" t="inlineStr">
        <x:is>
          <x:t xml:space="preserve">bacterial_pharyngitis_alt_adult</x:t>
        </x:is>
      </x:c>
      <x:c r="F333" t="inlineStr">
        <x:is>
          <x:t xml:space="preserve">adult</x:t>
        </x:is>
      </x:c>
      <x:c r="G333" t="n">
        <x:v>1</x:v>
      </x:c>
      <x:c r="H333" t="inlineStr">
        <x:is>
          <x:t xml:space="preserve">exact</x:t>
        </x:is>
      </x:c>
      <x:c r="I333" t="inlineStr">
        <x:is>
          <x:t xml:space="preserve">Y</x:t>
        </x:is>
      </x:c>
      <x:c r="J333" t="inlineStr">
        <x:is>
          <x:t xml:space="preserve">v5 added</x:t>
        </x:is>
      </x:c>
      <x:c r="K333" t="inlineStr">
        <x:is>
          <x:t xml:space="preserve">2026-03-08</x:t>
        </x:is>
      </x:c>
    </x:row>
    <x:row r="334">
      <x:c r="A334" t="inlineStr">
        <x:is>
          <x:t xml:space="preserve">CI0333</x:t>
        </x:is>
      </x:c>
      <x:c r="B334" t="inlineStr">
        <x:is>
          <x:t xml:space="preserve">roxi sore throat antibiotic</x:t>
        </x:is>
      </x:c>
      <x:c r="C334" t="inlineStr">
        <x:is>
          <x:t xml:space="preserve">roxi sore throat antibiotic</x:t>
        </x:is>
      </x:c>
      <x:c r="D334" t="inlineStr">
        <x:is>
          <x:t xml:space="preserve">ENT</x:t>
        </x:is>
      </x:c>
      <x:c r="E334" t="inlineStr">
        <x:is>
          <x:t xml:space="preserve">bacterial_pharyngitis_alt_adult</x:t>
        </x:is>
      </x:c>
      <x:c r="F334" t="inlineStr">
        <x:is>
          <x:t xml:space="preserve">adult</x:t>
        </x:is>
      </x:c>
      <x:c r="G334" t="n">
        <x:v>2</x:v>
      </x:c>
      <x:c r="H334" t="inlineStr">
        <x:is>
          <x:t xml:space="preserve">alias</x:t>
        </x:is>
      </x:c>
      <x:c r="I334" t="inlineStr">
        <x:is>
          <x:t xml:space="preserve">Y</x:t>
        </x:is>
      </x:c>
      <x:c r="J334" t="inlineStr">
        <x:is>
          <x:t xml:space="preserve">v5 added</x:t>
        </x:is>
      </x:c>
      <x:c r="K334" t="inlineStr">
        <x:is>
          <x:t xml:space="preserve">2026-03-08</x:t>
        </x:is>
      </x:c>
    </x:row>
    <x:row r="335">
      <x:c r="A335" t="inlineStr">
        <x:is>
          <x:t xml:space="preserve">CI0334</x:t>
        </x:is>
      </x:c>
      <x:c r="B335" t="inlineStr">
        <x:is>
          <x:t xml:space="preserve">bacterial throat alternative antibiotic</x:t>
        </x:is>
      </x:c>
      <x:c r="C335" t="inlineStr">
        <x:is>
          <x:t xml:space="preserve">bacterial throat alternative antibiotic</x:t>
        </x:is>
      </x:c>
      <x:c r="D335" t="inlineStr">
        <x:is>
          <x:t xml:space="preserve">ENT</x:t>
        </x:is>
      </x:c>
      <x:c r="E335" t="inlineStr">
        <x:is>
          <x:t xml:space="preserve">bacterial_pharyngitis_alt_adult</x:t>
        </x:is>
      </x:c>
      <x:c r="F335" t="inlineStr">
        <x:is>
          <x:t xml:space="preserve">adult</x:t>
        </x:is>
      </x:c>
      <x:c r="G335" t="n">
        <x:v>3</x:v>
      </x:c>
      <x:c r="H335" t="inlineStr">
        <x:is>
          <x:t xml:space="preserve">alias</x:t>
        </x:is>
      </x:c>
      <x:c r="I335" t="inlineStr">
        <x:is>
          <x:t xml:space="preserve">Y</x:t>
        </x:is>
      </x:c>
      <x:c r="J335" t="inlineStr">
        <x:is>
          <x:t xml:space="preserve">v5 added</x:t>
        </x:is>
      </x:c>
      <x:c r="K335" t="inlineStr">
        <x:is>
          <x:t xml:space="preserve">2026-03-08</x:t>
        </x:is>
      </x:c>
    </x:row>
    <x:row r="336">
      <x:c r="A336" t="inlineStr">
        <x:is>
          <x:t xml:space="preserve">CI0335</x:t>
        </x:is>
      </x:c>
      <x:c r="B336" t="inlineStr">
        <x:is>
          <x:t xml:space="preserve">fusidic acid support</x:t>
        </x:is>
      </x:c>
      <x:c r="C336" t="inlineStr">
        <x:is>
          <x:t xml:space="preserve">fusidic acid support</x:t>
        </x:is>
      </x:c>
      <x:c r="D336" t="inlineStr">
        <x:is>
          <x:t xml:space="preserve">Skin</x:t>
        </x:is>
      </x:c>
      <x:c r="E336" t="inlineStr">
        <x:is>
          <x:t xml:space="preserve">topical_fusidic_support_adult</x:t>
        </x:is>
      </x:c>
      <x:c r="F336" t="inlineStr">
        <x:is>
          <x:t xml:space="preserve">adult</x:t>
        </x:is>
      </x:c>
      <x:c r="G336" t="n">
        <x:v>1</x:v>
      </x:c>
      <x:c r="H336" t="inlineStr">
        <x:is>
          <x:t xml:space="preserve">exact</x:t>
        </x:is>
      </x:c>
      <x:c r="I336" t="inlineStr">
        <x:is>
          <x:t xml:space="preserve">Y</x:t>
        </x:is>
      </x:c>
      <x:c r="J336" t="inlineStr">
        <x:is>
          <x:t xml:space="preserve">v5 added</x:t>
        </x:is>
      </x:c>
      <x:c r="K336" t="inlineStr">
        <x:is>
          <x:t xml:space="preserve">2026-03-08</x:t>
        </x:is>
      </x:c>
    </x:row>
    <x:row r="337">
      <x:c r="A337" t="inlineStr">
        <x:is>
          <x:t xml:space="preserve">CI0336</x:t>
        </x:is>
      </x:c>
      <x:c r="B337" t="inlineStr">
        <x:is>
          <x:t xml:space="preserve">fucidin support</x:t>
        </x:is>
      </x:c>
      <x:c r="C337" t="inlineStr">
        <x:is>
          <x:t xml:space="preserve">fucidin support</x:t>
        </x:is>
      </x:c>
      <x:c r="D337" t="inlineStr">
        <x:is>
          <x:t xml:space="preserve">Skin</x:t>
        </x:is>
      </x:c>
      <x:c r="E337" t="inlineStr">
        <x:is>
          <x:t xml:space="preserve">topical_fusidic_support_adult</x:t>
        </x:is>
      </x:c>
      <x:c r="F337" t="inlineStr">
        <x:is>
          <x:t xml:space="preserve">adult</x:t>
        </x:is>
      </x:c>
      <x:c r="G337" t="n">
        <x:v>2</x:v>
      </x:c>
      <x:c r="H337" t="inlineStr">
        <x:is>
          <x:t xml:space="preserve">alias</x:t>
        </x:is>
      </x:c>
      <x:c r="I337" t="inlineStr">
        <x:is>
          <x:t xml:space="preserve">Y</x:t>
        </x:is>
      </x:c>
      <x:c r="J337" t="inlineStr">
        <x:is>
          <x:t xml:space="preserve">v5 added</x:t>
        </x:is>
      </x:c>
      <x:c r="K337" t="inlineStr">
        <x:is>
          <x:t xml:space="preserve">2026-03-08</x:t>
        </x:is>
      </x:c>
    </x:row>
    <x:row r="338">
      <x:c r="A338" t="inlineStr">
        <x:is>
          <x:t xml:space="preserve">CI0337</x:t>
        </x:is>
      </x:c>
      <x:c r="B338" t="inlineStr">
        <x:is>
          <x:t xml:space="preserve">topical fusidic</x:t>
        </x:is>
      </x:c>
      <x:c r="C338" t="inlineStr">
        <x:is>
          <x:t xml:space="preserve">topical fusidic</x:t>
        </x:is>
      </x:c>
      <x:c r="D338" t="inlineStr">
        <x:is>
          <x:t xml:space="preserve">Skin</x:t>
        </x:is>
      </x:c>
      <x:c r="E338" t="inlineStr">
        <x:is>
          <x:t xml:space="preserve">topical_fusidic_support_adult</x:t>
        </x:is>
      </x:c>
      <x:c r="F338" t="inlineStr">
        <x:is>
          <x:t xml:space="preserve">adult</x:t>
        </x:is>
      </x:c>
      <x:c r="G338" t="n">
        <x:v>3</x:v>
      </x:c>
      <x:c r="H338" t="inlineStr">
        <x:is>
          <x:t xml:space="preserve">alias</x:t>
        </x:is>
      </x:c>
      <x:c r="I338" t="inlineStr">
        <x:is>
          <x:t xml:space="preserve">Y</x:t>
        </x:is>
      </x:c>
      <x:c r="J338" t="inlineStr">
        <x:is>
          <x:t xml:space="preserve">v5 added</x:t>
        </x:is>
      </x:c>
      <x:c r="K338" t="inlineStr">
        <x:is>
          <x:t xml:space="preserve">2026-03-08</x:t>
        </x:is>
      </x:c>
    </x:row>
    <x:row r="339">
      <x:c r="A339" t="inlineStr">
        <x:is>
          <x:t xml:space="preserve">CI0338</x:t>
        </x:is>
      </x:c>
      <x:c r="B339" t="inlineStr">
        <x:is>
          <x:t xml:space="preserve">vaginal candidiasis</x:t>
        </x:is>
      </x:c>
      <x:c r="C339" t="inlineStr">
        <x:is>
          <x:t xml:space="preserve">vaginal candidiasis</x:t>
        </x:is>
      </x:c>
      <x:c r="D339" t="inlineStr">
        <x:is>
          <x:t xml:space="preserve">GU</x:t>
        </x:is>
      </x:c>
      <x:c r="E339" t="inlineStr">
        <x:is>
          <x:t xml:space="preserve">vulvovaginal_candidiasis_adult</x:t>
        </x:is>
      </x:c>
      <x:c r="F339" t="inlineStr">
        <x:is>
          <x:t xml:space="preserve">adult</x:t>
        </x:is>
      </x:c>
      <x:c r="G339" t="n">
        <x:v>1</x:v>
      </x:c>
      <x:c r="H339" t="inlineStr">
        <x:is>
          <x:t xml:space="preserve">exact</x:t>
        </x:is>
      </x:c>
      <x:c r="I339" t="inlineStr">
        <x:is>
          <x:t xml:space="preserve">Y</x:t>
        </x:is>
      </x:c>
      <x:c r="J339" t="inlineStr">
        <x:is>
          <x:t xml:space="preserve">v6 added</x:t>
        </x:is>
      </x:c>
      <x:c r="K339" t="inlineStr">
        <x:is>
          <x:t xml:space="preserve">2026-03-08</x:t>
        </x:is>
      </x:c>
    </x:row>
    <x:row r="340">
      <x:c r="A340" t="inlineStr">
        <x:is>
          <x:t xml:space="preserve">CI0339</x:t>
        </x:is>
      </x:c>
      <x:c r="B340" t="inlineStr">
        <x:is>
          <x:t xml:space="preserve">yeast infection</x:t>
        </x:is>
      </x:c>
      <x:c r="C340" t="inlineStr">
        <x:is>
          <x:t xml:space="preserve">yeast infection</x:t>
        </x:is>
      </x:c>
      <x:c r="D340" t="inlineStr">
        <x:is>
          <x:t xml:space="preserve">GU</x:t>
        </x:is>
      </x:c>
      <x:c r="E340" t="inlineStr">
        <x:is>
          <x:t xml:space="preserve">vulvovaginal_candidiasis_adult</x:t>
        </x:is>
      </x:c>
      <x:c r="F340" t="inlineStr">
        <x:is>
          <x:t xml:space="preserve">adult</x:t>
        </x:is>
      </x:c>
      <x:c r="G340" t="n">
        <x:v>2</x:v>
      </x:c>
      <x:c r="H340" t="inlineStr">
        <x:is>
          <x:t xml:space="preserve">alias</x:t>
        </x:is>
      </x:c>
      <x:c r="I340" t="inlineStr">
        <x:is>
          <x:t xml:space="preserve">Y</x:t>
        </x:is>
      </x:c>
      <x:c r="J340" t="inlineStr">
        <x:is>
          <x:t xml:space="preserve">v6 added</x:t>
        </x:is>
      </x:c>
      <x:c r="K340" t="inlineStr">
        <x:is>
          <x:t xml:space="preserve">2026-03-08</x:t>
        </x:is>
      </x:c>
    </x:row>
    <x:row r="341">
      <x:c r="A341" t="inlineStr">
        <x:is>
          <x:t xml:space="preserve">CI0340</x:t>
        </x:is>
      </x:c>
      <x:c r="B341" t="inlineStr">
        <x:is>
          <x:t xml:space="preserve">itchy fungal vaginal discharge</x:t>
        </x:is>
      </x:c>
      <x:c r="C341" t="inlineStr">
        <x:is>
          <x:t xml:space="preserve">itchy fungal vaginal discharge</x:t>
        </x:is>
      </x:c>
      <x:c r="D341" t="inlineStr">
        <x:is>
          <x:t xml:space="preserve">GU</x:t>
        </x:is>
      </x:c>
      <x:c r="E341" t="inlineStr">
        <x:is>
          <x:t xml:space="preserve">vulvovaginal_candidiasis_adult</x:t>
        </x:is>
      </x:c>
      <x:c r="F341" t="inlineStr">
        <x:is>
          <x:t xml:space="preserve">adult</x:t>
        </x:is>
      </x:c>
      <x:c r="G341" t="n">
        <x:v>3</x:v>
      </x:c>
      <x:c r="H341" t="inlineStr">
        <x:is>
          <x:t xml:space="preserve">alias</x:t>
        </x:is>
      </x:c>
      <x:c r="I341" t="inlineStr">
        <x:is>
          <x:t xml:space="preserve">Y</x:t>
        </x:is>
      </x:c>
      <x:c r="J341" t="inlineStr">
        <x:is>
          <x:t xml:space="preserve">v6 added</x:t>
        </x:is>
      </x:c>
      <x:c r="K341" t="inlineStr">
        <x:is>
          <x:t xml:space="preserve">2026-03-08</x:t>
        </x:is>
      </x:c>
    </x:row>
    <x:row r="342">
      <x:c r="A342" t="inlineStr">
        <x:is>
          <x:t xml:space="preserve">CI0341</x:t>
        </x:is>
      </x:c>
      <x:c r="B342" t="inlineStr">
        <x:is>
          <x:t xml:space="preserve">vaginal mixed infection</x:t>
        </x:is>
      </x:c>
      <x:c r="C342" t="inlineStr">
        <x:is>
          <x:t xml:space="preserve">vaginal mixed infection</x:t>
        </x:is>
      </x:c>
      <x:c r="D342" t="inlineStr">
        <x:is>
          <x:t xml:space="preserve">GU</x:t>
        </x:is>
      </x:c>
      <x:c r="E342" t="inlineStr">
        <x:is>
          <x:t xml:space="preserve">vaginal_mixed_infection_adult</x:t>
        </x:is>
      </x:c>
      <x:c r="F342" t="inlineStr">
        <x:is>
          <x:t xml:space="preserve">adult</x:t>
        </x:is>
      </x:c>
      <x:c r="G342" t="n">
        <x:v>1</x:v>
      </x:c>
      <x:c r="H342" t="inlineStr">
        <x:is>
          <x:t xml:space="preserve">exact</x:t>
        </x:is>
      </x:c>
      <x:c r="I342" t="inlineStr">
        <x:is>
          <x:t xml:space="preserve">Y</x:t>
        </x:is>
      </x:c>
      <x:c r="J342" t="inlineStr">
        <x:is>
          <x:t xml:space="preserve">v6 added</x:t>
        </x:is>
      </x:c>
      <x:c r="K342" t="inlineStr">
        <x:is>
          <x:t xml:space="preserve">2026-03-08</x:t>
        </x:is>
      </x:c>
    </x:row>
    <x:row r="343">
      <x:c r="A343" t="inlineStr">
        <x:is>
          <x:t xml:space="preserve">CI0342</x:t>
        </x:is>
      </x:c>
      <x:c r="B343" t="inlineStr">
        <x:is>
          <x:t xml:space="preserve">vaginal discharge infection</x:t>
        </x:is>
      </x:c>
      <x:c r="C343" t="inlineStr">
        <x:is>
          <x:t xml:space="preserve">vaginal discharge infection</x:t>
        </x:is>
      </x:c>
      <x:c r="D343" t="inlineStr">
        <x:is>
          <x:t xml:space="preserve">GU</x:t>
        </x:is>
      </x:c>
      <x:c r="E343" t="inlineStr">
        <x:is>
          <x:t xml:space="preserve">vaginal_mixed_infection_adult</x:t>
        </x:is>
      </x:c>
      <x:c r="F343" t="inlineStr">
        <x:is>
          <x:t xml:space="preserve">adult</x:t>
        </x:is>
      </x:c>
      <x:c r="G343" t="n">
        <x:v>2</x:v>
      </x:c>
      <x:c r="H343" t="inlineStr">
        <x:is>
          <x:t xml:space="preserve">alias</x:t>
        </x:is>
      </x:c>
      <x:c r="I343" t="inlineStr">
        <x:is>
          <x:t xml:space="preserve">Y</x:t>
        </x:is>
      </x:c>
      <x:c r="J343" t="inlineStr">
        <x:is>
          <x:t xml:space="preserve">v6 added</x:t>
        </x:is>
      </x:c>
      <x:c r="K343" t="inlineStr">
        <x:is>
          <x:t xml:space="preserve">2026-03-08</x:t>
        </x:is>
      </x:c>
    </x:row>
    <x:row r="344">
      <x:c r="A344" t="inlineStr">
        <x:is>
          <x:t xml:space="preserve">CI0343</x:t>
        </x:is>
      </x:c>
      <x:c r="B344" t="inlineStr">
        <x:is>
          <x:t xml:space="preserve">mixed vaginal discharge</x:t>
        </x:is>
      </x:c>
      <x:c r="C344" t="inlineStr">
        <x:is>
          <x:t xml:space="preserve">mixed vaginal discharge</x:t>
        </x:is>
      </x:c>
      <x:c r="D344" t="inlineStr">
        <x:is>
          <x:t xml:space="preserve">GU</x:t>
        </x:is>
      </x:c>
      <x:c r="E344" t="inlineStr">
        <x:is>
          <x:t xml:space="preserve">vaginal_mixed_infection_adult</x:t>
        </x:is>
      </x:c>
      <x:c r="F344" t="inlineStr">
        <x:is>
          <x:t xml:space="preserve">adult</x:t>
        </x:is>
      </x:c>
      <x:c r="G344" t="n">
        <x:v>3</x:v>
      </x:c>
      <x:c r="H344" t="inlineStr">
        <x:is>
          <x:t xml:space="preserve">alias</x:t>
        </x:is>
      </x:c>
      <x:c r="I344" t="inlineStr">
        <x:is>
          <x:t xml:space="preserve">Y</x:t>
        </x:is>
      </x:c>
      <x:c r="J344" t="inlineStr">
        <x:is>
          <x:t xml:space="preserve">v6 added</x:t>
        </x:is>
      </x:c>
      <x:c r="K344" t="inlineStr">
        <x:is>
          <x:t xml:space="preserve">2026-03-08</x:t>
        </x:is>
      </x:c>
    </x:row>
    <x:row r="345">
      <x:c r="A345" t="inlineStr">
        <x:is>
          <x:t xml:space="preserve">CI0344</x:t>
        </x:is>
      </x:c>
      <x:c r="B345" t="inlineStr">
        <x:is>
          <x:t xml:space="preserve">vaginal discharge support</x:t>
        </x:is>
      </x:c>
      <x:c r="C345" t="inlineStr">
        <x:is>
          <x:t xml:space="preserve">vaginal discharge support</x:t>
        </x:is>
      </x:c>
      <x:c r="D345" t="inlineStr">
        <x:is>
          <x:t xml:space="preserve">GU</x:t>
        </x:is>
      </x:c>
      <x:c r="E345" t="inlineStr">
        <x:is>
          <x:t xml:space="preserve">vaginal_discharge_support_adult</x:t>
        </x:is>
      </x:c>
      <x:c r="F345" t="inlineStr">
        <x:is>
          <x:t xml:space="preserve">adult</x:t>
        </x:is>
      </x:c>
      <x:c r="G345" t="n">
        <x:v>1</x:v>
      </x:c>
      <x:c r="H345" t="inlineStr">
        <x:is>
          <x:t xml:space="preserve">exact</x:t>
        </x:is>
      </x:c>
      <x:c r="I345" t="inlineStr">
        <x:is>
          <x:t xml:space="preserve">Y</x:t>
        </x:is>
      </x:c>
      <x:c r="J345" t="inlineStr">
        <x:is>
          <x:t xml:space="preserve">v6 added</x:t>
        </x:is>
      </x:c>
      <x:c r="K345" t="inlineStr">
        <x:is>
          <x:t xml:space="preserve">2026-03-08</x:t>
        </x:is>
      </x:c>
    </x:row>
    <x:row r="346">
      <x:c r="A346" t="inlineStr">
        <x:is>
          <x:t xml:space="preserve">CI0345</x:t>
        </x:is>
      </x:c>
      <x:c r="B346" t="inlineStr">
        <x:is>
          <x:t xml:space="preserve">local vaginal treatment support</x:t>
        </x:is>
      </x:c>
      <x:c r="C346" t="inlineStr">
        <x:is>
          <x:t xml:space="preserve">local vaginal treatment support</x:t>
        </x:is>
      </x:c>
      <x:c r="D346" t="inlineStr">
        <x:is>
          <x:t xml:space="preserve">GU</x:t>
        </x:is>
      </x:c>
      <x:c r="E346" t="inlineStr">
        <x:is>
          <x:t xml:space="preserve">vaginal_discharge_support_adult</x:t>
        </x:is>
      </x:c>
      <x:c r="F346" t="inlineStr">
        <x:is>
          <x:t xml:space="preserve">adult</x:t>
        </x:is>
      </x:c>
      <x:c r="G346" t="n">
        <x:v>2</x:v>
      </x:c>
      <x:c r="H346" t="inlineStr">
        <x:is>
          <x:t xml:space="preserve">alias</x:t>
        </x:is>
      </x:c>
      <x:c r="I346" t="inlineStr">
        <x:is>
          <x:t xml:space="preserve">Y</x:t>
        </x:is>
      </x:c>
      <x:c r="J346" t="inlineStr">
        <x:is>
          <x:t xml:space="preserve">v6 added</x:t>
        </x:is>
      </x:c>
      <x:c r="K346" t="inlineStr">
        <x:is>
          <x:t xml:space="preserve">2026-03-08</x:t>
        </x:is>
      </x:c>
    </x:row>
    <x:row r="347">
      <x:c r="A347" t="inlineStr">
        <x:is>
          <x:t xml:space="preserve">CI0346</x:t>
        </x:is>
      </x:c>
      <x:c r="B347" t="inlineStr">
        <x:is>
          <x:t xml:space="preserve">vaginal tab support</x:t>
        </x:is>
      </x:c>
      <x:c r="C347" t="inlineStr">
        <x:is>
          <x:t xml:space="preserve">vaginal tab support</x:t>
        </x:is>
      </x:c>
      <x:c r="D347" t="inlineStr">
        <x:is>
          <x:t xml:space="preserve">GU</x:t>
        </x:is>
      </x:c>
      <x:c r="E347" t="inlineStr">
        <x:is>
          <x:t xml:space="preserve">vaginal_discharge_support_adult</x:t>
        </x:is>
      </x:c>
      <x:c r="F347" t="inlineStr">
        <x:is>
          <x:t xml:space="preserve">adult</x:t>
        </x:is>
      </x:c>
      <x:c r="G347" t="n">
        <x:v>3</x:v>
      </x:c>
      <x:c r="H347" t="inlineStr">
        <x:is>
          <x:t xml:space="preserve">alias</x:t>
        </x:is>
      </x:c>
      <x:c r="I347" t="inlineStr">
        <x:is>
          <x:t xml:space="preserve">Y</x:t>
        </x:is>
      </x:c>
      <x:c r="J347" t="inlineStr">
        <x:is>
          <x:t xml:space="preserve">v6 added</x:t>
        </x:is>
      </x:c>
      <x:c r="K347" t="inlineStr">
        <x:is>
          <x:t xml:space="preserve">2026-03-08</x:t>
        </x:is>
      </x:c>
    </x:row>
    <x:row r="348">
      <x:c r="A348" t="inlineStr">
        <x:is>
          <x:t xml:space="preserve">CI0347</x:t>
        </x:is>
      </x:c>
      <x:c r="B348" t="inlineStr">
        <x:is>
          <x:t xml:space="preserve">uti alternative cipro</x:t>
        </x:is>
      </x:c>
      <x:c r="C348" t="inlineStr">
        <x:is>
          <x:t xml:space="preserve">uti alternative cipro</x:t>
        </x:is>
      </x:c>
      <x:c r="D348" t="inlineStr">
        <x:is>
          <x:t xml:space="preserve">GU</x:t>
        </x:is>
      </x:c>
      <x:c r="E348" t="inlineStr">
        <x:is>
          <x:t xml:space="preserve">uncomplicated_uti_alt_cipro_adult</x:t>
        </x:is>
      </x:c>
      <x:c r="F348" t="inlineStr">
        <x:is>
          <x:t xml:space="preserve">adult</x:t>
        </x:is>
      </x:c>
      <x:c r="G348" t="n">
        <x:v>1</x:v>
      </x:c>
      <x:c r="H348" t="inlineStr">
        <x:is>
          <x:t xml:space="preserve">exact</x:t>
        </x:is>
      </x:c>
      <x:c r="I348" t="inlineStr">
        <x:is>
          <x:t xml:space="preserve">Y</x:t>
        </x:is>
      </x:c>
      <x:c r="J348" t="inlineStr">
        <x:is>
          <x:t xml:space="preserve">v6 added</x:t>
        </x:is>
      </x:c>
      <x:c r="K348" t="inlineStr">
        <x:is>
          <x:t xml:space="preserve">2026-03-08</x:t>
        </x:is>
      </x:c>
    </x:row>
    <x:row r="349">
      <x:c r="A349" t="inlineStr">
        <x:is>
          <x:t xml:space="preserve">CI0348</x:t>
        </x:is>
      </x:c>
      <x:c r="B349" t="inlineStr">
        <x:is>
          <x:t xml:space="preserve">cipro uti option</x:t>
        </x:is>
      </x:c>
      <x:c r="C349" t="inlineStr">
        <x:is>
          <x:t xml:space="preserve">cipro uti option</x:t>
        </x:is>
      </x:c>
      <x:c r="D349" t="inlineStr">
        <x:is>
          <x:t xml:space="preserve">GU</x:t>
        </x:is>
      </x:c>
      <x:c r="E349" t="inlineStr">
        <x:is>
          <x:t xml:space="preserve">uncomplicated_uti_alt_cipro_adult</x:t>
        </x:is>
      </x:c>
      <x:c r="F349" t="inlineStr">
        <x:is>
          <x:t xml:space="preserve">adult</x:t>
        </x:is>
      </x:c>
      <x:c r="G349" t="n">
        <x:v>2</x:v>
      </x:c>
      <x:c r="H349" t="inlineStr">
        <x:is>
          <x:t xml:space="preserve">alias</x:t>
        </x:is>
      </x:c>
      <x:c r="I349" t="inlineStr">
        <x:is>
          <x:t xml:space="preserve">Y</x:t>
        </x:is>
      </x:c>
      <x:c r="J349" t="inlineStr">
        <x:is>
          <x:t xml:space="preserve">v6 added</x:t>
        </x:is>
      </x:c>
      <x:c r="K349" t="inlineStr">
        <x:is>
          <x:t xml:space="preserve">2026-03-08</x:t>
        </x:is>
      </x:c>
    </x:row>
    <x:row r="350">
      <x:c r="A350" t="inlineStr">
        <x:is>
          <x:t xml:space="preserve">CI0349</x:t>
        </x:is>
      </x:c>
      <x:c r="B350" t="inlineStr">
        <x:is>
          <x:t xml:space="preserve">cifloxin uti</x:t>
        </x:is>
      </x:c>
      <x:c r="C350" t="inlineStr">
        <x:is>
          <x:t xml:space="preserve">cifloxin uti</x:t>
        </x:is>
      </x:c>
      <x:c r="D350" t="inlineStr">
        <x:is>
          <x:t xml:space="preserve">GU</x:t>
        </x:is>
      </x:c>
      <x:c r="E350" t="inlineStr">
        <x:is>
          <x:t xml:space="preserve">uncomplicated_uti_alt_cipro_adult</x:t>
        </x:is>
      </x:c>
      <x:c r="F350" t="inlineStr">
        <x:is>
          <x:t xml:space="preserve">adult</x:t>
        </x:is>
      </x:c>
      <x:c r="G350" t="n">
        <x:v>3</x:v>
      </x:c>
      <x:c r="H350" t="inlineStr">
        <x:is>
          <x:t xml:space="preserve">alias</x:t>
        </x:is>
      </x:c>
      <x:c r="I350" t="inlineStr">
        <x:is>
          <x:t xml:space="preserve">Y</x:t>
        </x:is>
      </x:c>
      <x:c r="J350" t="inlineStr">
        <x:is>
          <x:t xml:space="preserve">v6 added</x:t>
        </x:is>
      </x:c>
      <x:c r="K350" t="inlineStr">
        <x:is>
          <x:t xml:space="preserve">2026-03-08</x:t>
        </x:is>
      </x:c>
    </x:row>
    <x:row r="351">
      <x:c r="A351" t="inlineStr">
        <x:is>
          <x:t xml:space="preserve">CI0350</x:t>
        </x:is>
      </x:c>
      <x:c r="B351" t="inlineStr">
        <x:is>
          <x:t xml:space="preserve">dysuria lower uti</x:t>
        </x:is>
      </x:c>
      <x:c r="C351" t="inlineStr">
        <x:is>
          <x:t xml:space="preserve">dysuria lower uti</x:t>
        </x:is>
      </x:c>
      <x:c r="D351" t="inlineStr">
        <x:is>
          <x:t xml:space="preserve">GU</x:t>
        </x:is>
      </x:c>
      <x:c r="E351" t="inlineStr">
        <x:is>
          <x:t xml:space="preserve">dysuria_lower_uti_adult</x:t>
        </x:is>
      </x:c>
      <x:c r="F351" t="inlineStr">
        <x:is>
          <x:t xml:space="preserve">adult</x:t>
        </x:is>
      </x:c>
      <x:c r="G351" t="n">
        <x:v>1</x:v>
      </x:c>
      <x:c r="H351" t="inlineStr">
        <x:is>
          <x:t xml:space="preserve">exact</x:t>
        </x:is>
      </x:c>
      <x:c r="I351" t="inlineStr">
        <x:is>
          <x:t xml:space="preserve">Y</x:t>
        </x:is>
      </x:c>
      <x:c r="J351" t="inlineStr">
        <x:is>
          <x:t xml:space="preserve">v6 added</x:t>
        </x:is>
      </x:c>
      <x:c r="K351" t="inlineStr">
        <x:is>
          <x:t xml:space="preserve">2026-03-08</x:t>
        </x:is>
      </x:c>
    </x:row>
    <x:row r="352">
      <x:c r="A352" t="inlineStr">
        <x:is>
          <x:t xml:space="preserve">CI0351</x:t>
        </x:is>
      </x:c>
      <x:c r="B352" t="inlineStr">
        <x:is>
          <x:t xml:space="preserve">burning urination</x:t>
        </x:is>
      </x:c>
      <x:c r="C352" t="inlineStr">
        <x:is>
          <x:t xml:space="preserve">burning urination</x:t>
        </x:is>
      </x:c>
      <x:c r="D352" t="inlineStr">
        <x:is>
          <x:t xml:space="preserve">GU</x:t>
        </x:is>
      </x:c>
      <x:c r="E352" t="inlineStr">
        <x:is>
          <x:t xml:space="preserve">dysuria_lower_uti_adult</x:t>
        </x:is>
      </x:c>
      <x:c r="F352" t="inlineStr">
        <x:is>
          <x:t xml:space="preserve">adult</x:t>
        </x:is>
      </x:c>
      <x:c r="G352" t="n">
        <x:v>2</x:v>
      </x:c>
      <x:c r="H352" t="inlineStr">
        <x:is>
          <x:t xml:space="preserve">alias</x:t>
        </x:is>
      </x:c>
      <x:c r="I352" t="inlineStr">
        <x:is>
          <x:t xml:space="preserve">Y</x:t>
        </x:is>
      </x:c>
      <x:c r="J352" t="inlineStr">
        <x:is>
          <x:t xml:space="preserve">v6 added</x:t>
        </x:is>
      </x:c>
      <x:c r="K352" t="inlineStr">
        <x:is>
          <x:t xml:space="preserve">2026-03-08</x:t>
        </x:is>
      </x:c>
    </x:row>
    <x:row r="353">
      <x:c r="A353" t="inlineStr">
        <x:is>
          <x:t xml:space="preserve">CI0352</x:t>
        </x:is>
      </x:c>
      <x:c r="B353" t="inlineStr">
        <x:is>
          <x:t xml:space="preserve">lower uti burning</x:t>
        </x:is>
      </x:c>
      <x:c r="C353" t="inlineStr">
        <x:is>
          <x:t xml:space="preserve">lower uti burning</x:t>
        </x:is>
      </x:c>
      <x:c r="D353" t="inlineStr">
        <x:is>
          <x:t xml:space="preserve">GU</x:t>
        </x:is>
      </x:c>
      <x:c r="E353" t="inlineStr">
        <x:is>
          <x:t xml:space="preserve">dysuria_lower_uti_adult</x:t>
        </x:is>
      </x:c>
      <x:c r="F353" t="inlineStr">
        <x:is>
          <x:t xml:space="preserve">adult</x:t>
        </x:is>
      </x:c>
      <x:c r="G353" t="n">
        <x:v>3</x:v>
      </x:c>
      <x:c r="H353" t="inlineStr">
        <x:is>
          <x:t xml:space="preserve">alias</x:t>
        </x:is>
      </x:c>
      <x:c r="I353" t="inlineStr">
        <x:is>
          <x:t xml:space="preserve">Y</x:t>
        </x:is>
      </x:c>
      <x:c r="J353" t="inlineStr">
        <x:is>
          <x:t xml:space="preserve">v6 added</x:t>
        </x:is>
      </x:c>
      <x:c r="K353" t="inlineStr">
        <x:is>
          <x:t xml:space="preserve">2026-03-08</x:t>
        </x:is>
      </x:c>
    </x:row>
    <x:row r="354">
      <x:c r="A354" t="inlineStr">
        <x:is>
          <x:t xml:space="preserve">CI0353</x:t>
        </x:is>
      </x:c>
      <x:c r="B354" t="inlineStr">
        <x:is>
          <x:t xml:space="preserve">urine frequency urgency</x:t>
        </x:is>
      </x:c>
      <x:c r="C354" t="inlineStr">
        <x:is>
          <x:t xml:space="preserve">urine frequency urgency</x:t>
        </x:is>
      </x:c>
      <x:c r="D354" t="inlineStr">
        <x:is>
          <x:t xml:space="preserve">GU</x:t>
        </x:is>
      </x:c>
      <x:c r="E354" t="inlineStr">
        <x:is>
          <x:t xml:space="preserve">frequency_urgency_uti_adult</x:t>
        </x:is>
      </x:c>
      <x:c r="F354" t="inlineStr">
        <x:is>
          <x:t xml:space="preserve">adult</x:t>
        </x:is>
      </x:c>
      <x:c r="G354" t="n">
        <x:v>1</x:v>
      </x:c>
      <x:c r="H354" t="inlineStr">
        <x:is>
          <x:t xml:space="preserve">exact</x:t>
        </x:is>
      </x:c>
      <x:c r="I354" t="inlineStr">
        <x:is>
          <x:t xml:space="preserve">Y</x:t>
        </x:is>
      </x:c>
      <x:c r="J354" t="inlineStr">
        <x:is>
          <x:t xml:space="preserve">v6 added</x:t>
        </x:is>
      </x:c>
      <x:c r="K354" t="inlineStr">
        <x:is>
          <x:t xml:space="preserve">2026-03-08</x:t>
        </x:is>
      </x:c>
    </x:row>
    <x:row r="355">
      <x:c r="A355" t="inlineStr">
        <x:is>
          <x:t xml:space="preserve">CI0354</x:t>
        </x:is>
      </x:c>
      <x:c r="B355" t="inlineStr">
        <x:is>
          <x:t xml:space="preserve">uti frequency urgency</x:t>
        </x:is>
      </x:c>
      <x:c r="C355" t="inlineStr">
        <x:is>
          <x:t xml:space="preserve">uti frequency urgency</x:t>
        </x:is>
      </x:c>
      <x:c r="D355" t="inlineStr">
        <x:is>
          <x:t xml:space="preserve">GU</x:t>
        </x:is>
      </x:c>
      <x:c r="E355" t="inlineStr">
        <x:is>
          <x:t xml:space="preserve">frequency_urgency_uti_adult</x:t>
        </x:is>
      </x:c>
      <x:c r="F355" t="inlineStr">
        <x:is>
          <x:t xml:space="preserve">adult</x:t>
        </x:is>
      </x:c>
      <x:c r="G355" t="n">
        <x:v>2</x:v>
      </x:c>
      <x:c r="H355" t="inlineStr">
        <x:is>
          <x:t xml:space="preserve">alias</x:t>
        </x:is>
      </x:c>
      <x:c r="I355" t="inlineStr">
        <x:is>
          <x:t xml:space="preserve">Y</x:t>
        </x:is>
      </x:c>
      <x:c r="J355" t="inlineStr">
        <x:is>
          <x:t xml:space="preserve">v6 added</x:t>
        </x:is>
      </x:c>
      <x:c r="K355" t="inlineStr">
        <x:is>
          <x:t xml:space="preserve">2026-03-08</x:t>
        </x:is>
      </x:c>
    </x:row>
    <x:row r="356">
      <x:c r="A356" t="inlineStr">
        <x:is>
          <x:t xml:space="preserve">CI0355</x:t>
        </x:is>
      </x:c>
      <x:c r="B356" t="inlineStr">
        <x:is>
          <x:t xml:space="preserve">frequent urination infection</x:t>
        </x:is>
      </x:c>
      <x:c r="C356" t="inlineStr">
        <x:is>
          <x:t xml:space="preserve">frequent urination infection</x:t>
        </x:is>
      </x:c>
      <x:c r="D356" t="inlineStr">
        <x:is>
          <x:t xml:space="preserve">GU</x:t>
        </x:is>
      </x:c>
      <x:c r="E356" t="inlineStr">
        <x:is>
          <x:t xml:space="preserve">frequency_urgency_uti_adult</x:t>
        </x:is>
      </x:c>
      <x:c r="F356" t="inlineStr">
        <x:is>
          <x:t xml:space="preserve">adult</x:t>
        </x:is>
      </x:c>
      <x:c r="G356" t="n">
        <x:v>3</x:v>
      </x:c>
      <x:c r="H356" t="inlineStr">
        <x:is>
          <x:t xml:space="preserve">alias</x:t>
        </x:is>
      </x:c>
      <x:c r="I356" t="inlineStr">
        <x:is>
          <x:t xml:space="preserve">Y</x:t>
        </x:is>
      </x:c>
      <x:c r="J356" t="inlineStr">
        <x:is>
          <x:t xml:space="preserve">v6 added</x:t>
        </x:is>
      </x:c>
      <x:c r="K356" t="inlineStr">
        <x:is>
          <x:t xml:space="preserve">2026-03-08</x:t>
        </x:is>
      </x:c>
    </x:row>
    <x:row r="357">
      <x:c r="A357" t="inlineStr">
        <x:is>
          <x:t xml:space="preserve">CI0356</x:t>
        </x:is>
      </x:c>
      <x:c r="B357" t="inlineStr">
        <x:is>
          <x:t xml:space="preserve">tinea cruris</x:t>
        </x:is>
      </x:c>
      <x:c r="C357" t="inlineStr">
        <x:is>
          <x:t xml:space="preserve">tinea cruris</x:t>
        </x:is>
      </x:c>
      <x:c r="D357" t="inlineStr">
        <x:is>
          <x:t xml:space="preserve">Skin</x:t>
        </x:is>
      </x:c>
      <x:c r="E357" t="inlineStr">
        <x:is>
          <x:t xml:space="preserve">tinea_cruris_adult</x:t>
        </x:is>
      </x:c>
      <x:c r="F357" t="inlineStr">
        <x:is>
          <x:t xml:space="preserve">adult</x:t>
        </x:is>
      </x:c>
      <x:c r="G357" t="n">
        <x:v>1</x:v>
      </x:c>
      <x:c r="H357" t="inlineStr">
        <x:is>
          <x:t xml:space="preserve">exact</x:t>
        </x:is>
      </x:c>
      <x:c r="I357" t="inlineStr">
        <x:is>
          <x:t xml:space="preserve">Y</x:t>
        </x:is>
      </x:c>
      <x:c r="J357" t="inlineStr">
        <x:is>
          <x:t xml:space="preserve">v6 added</x:t>
        </x:is>
      </x:c>
      <x:c r="K357" t="inlineStr">
        <x:is>
          <x:t xml:space="preserve">2026-03-08</x:t>
        </x:is>
      </x:c>
    </x:row>
    <x:row r="358">
      <x:c r="A358" t="inlineStr">
        <x:is>
          <x:t xml:space="preserve">CI0357</x:t>
        </x:is>
      </x:c>
      <x:c r="B358" t="inlineStr">
        <x:is>
          <x:t xml:space="preserve">groin fungal rash</x:t>
        </x:is>
      </x:c>
      <x:c r="C358" t="inlineStr">
        <x:is>
          <x:t xml:space="preserve">groin fungal rash</x:t>
        </x:is>
      </x:c>
      <x:c r="D358" t="inlineStr">
        <x:is>
          <x:t xml:space="preserve">Skin</x:t>
        </x:is>
      </x:c>
      <x:c r="E358" t="inlineStr">
        <x:is>
          <x:t xml:space="preserve">tinea_cruris_adult</x:t>
        </x:is>
      </x:c>
      <x:c r="F358" t="inlineStr">
        <x:is>
          <x:t xml:space="preserve">adult</x:t>
        </x:is>
      </x:c>
      <x:c r="G358" t="n">
        <x:v>2</x:v>
      </x:c>
      <x:c r="H358" t="inlineStr">
        <x:is>
          <x:t xml:space="preserve">alias</x:t>
        </x:is>
      </x:c>
      <x:c r="I358" t="inlineStr">
        <x:is>
          <x:t xml:space="preserve">Y</x:t>
        </x:is>
      </x:c>
      <x:c r="J358" t="inlineStr">
        <x:is>
          <x:t xml:space="preserve">v6 added</x:t>
        </x:is>
      </x:c>
      <x:c r="K358" t="inlineStr">
        <x:is>
          <x:t xml:space="preserve">2026-03-08</x:t>
        </x:is>
      </x:c>
    </x:row>
    <x:row r="359">
      <x:c r="A359" t="inlineStr">
        <x:is>
          <x:t xml:space="preserve">CI0358</x:t>
        </x:is>
      </x:c>
      <x:c r="B359" t="inlineStr">
        <x:is>
          <x:t xml:space="preserve">jock itch</x:t>
        </x:is>
      </x:c>
      <x:c r="C359" t="inlineStr">
        <x:is>
          <x:t xml:space="preserve">jock itch</x:t>
        </x:is>
      </x:c>
      <x:c r="D359" t="inlineStr">
        <x:is>
          <x:t xml:space="preserve">Skin</x:t>
        </x:is>
      </x:c>
      <x:c r="E359" t="inlineStr">
        <x:is>
          <x:t xml:space="preserve">tinea_cruris_adult</x:t>
        </x:is>
      </x:c>
      <x:c r="F359" t="inlineStr">
        <x:is>
          <x:t xml:space="preserve">adult</x:t>
        </x:is>
      </x:c>
      <x:c r="G359" t="n">
        <x:v>3</x:v>
      </x:c>
      <x:c r="H359" t="inlineStr">
        <x:is>
          <x:t xml:space="preserve">alias</x:t>
        </x:is>
      </x:c>
      <x:c r="I359" t="inlineStr">
        <x:is>
          <x:t xml:space="preserve">Y</x:t>
        </x:is>
      </x:c>
      <x:c r="J359" t="inlineStr">
        <x:is>
          <x:t xml:space="preserve">v6 added</x:t>
        </x:is>
      </x:c>
      <x:c r="K359" t="inlineStr">
        <x:is>
          <x:t xml:space="preserve">2026-03-08</x:t>
        </x:is>
      </x:c>
    </x:row>
    <x:row r="360">
      <x:c r="A360" t="inlineStr">
        <x:is>
          <x:t xml:space="preserve">CI0359</x:t>
        </x:is>
      </x:c>
      <x:c r="B360" t="inlineStr">
        <x:is>
          <x:t xml:space="preserve">tinea pedis</x:t>
        </x:is>
      </x:c>
      <x:c r="C360" t="inlineStr">
        <x:is>
          <x:t xml:space="preserve">tinea pedis</x:t>
        </x:is>
      </x:c>
      <x:c r="D360" t="inlineStr">
        <x:is>
          <x:t xml:space="preserve">Skin</x:t>
        </x:is>
      </x:c>
      <x:c r="E360" t="inlineStr">
        <x:is>
          <x:t xml:space="preserve">tinea_pedis_adult</x:t>
        </x:is>
      </x:c>
      <x:c r="F360" t="inlineStr">
        <x:is>
          <x:t xml:space="preserve">adult</x:t>
        </x:is>
      </x:c>
      <x:c r="G360" t="n">
        <x:v>1</x:v>
      </x:c>
      <x:c r="H360" t="inlineStr">
        <x:is>
          <x:t xml:space="preserve">exact</x:t>
        </x:is>
      </x:c>
      <x:c r="I360" t="inlineStr">
        <x:is>
          <x:t xml:space="preserve">Y</x:t>
        </x:is>
      </x:c>
      <x:c r="J360" t="inlineStr">
        <x:is>
          <x:t xml:space="preserve">v6 added</x:t>
        </x:is>
      </x:c>
      <x:c r="K360" t="inlineStr">
        <x:is>
          <x:t xml:space="preserve">2026-03-08</x:t>
        </x:is>
      </x:c>
    </x:row>
    <x:row r="361">
      <x:c r="A361" t="inlineStr">
        <x:is>
          <x:t xml:space="preserve">CI0360</x:t>
        </x:is>
      </x:c>
      <x:c r="B361" t="inlineStr">
        <x:is>
          <x:t xml:space="preserve">fungal foot rash</x:t>
        </x:is>
      </x:c>
      <x:c r="C361" t="inlineStr">
        <x:is>
          <x:t xml:space="preserve">fungal foot rash</x:t>
        </x:is>
      </x:c>
      <x:c r="D361" t="inlineStr">
        <x:is>
          <x:t xml:space="preserve">Skin</x:t>
        </x:is>
      </x:c>
      <x:c r="E361" t="inlineStr">
        <x:is>
          <x:t xml:space="preserve">tinea_pedis_adult</x:t>
        </x:is>
      </x:c>
      <x:c r="F361" t="inlineStr">
        <x:is>
          <x:t xml:space="preserve">adult</x:t>
        </x:is>
      </x:c>
      <x:c r="G361" t="n">
        <x:v>2</x:v>
      </x:c>
      <x:c r="H361" t="inlineStr">
        <x:is>
          <x:t xml:space="preserve">alias</x:t>
        </x:is>
      </x:c>
      <x:c r="I361" t="inlineStr">
        <x:is>
          <x:t xml:space="preserve">Y</x:t>
        </x:is>
      </x:c>
      <x:c r="J361" t="inlineStr">
        <x:is>
          <x:t xml:space="preserve">v6 added</x:t>
        </x:is>
      </x:c>
      <x:c r="K361" t="inlineStr">
        <x:is>
          <x:t xml:space="preserve">2026-03-08</x:t>
        </x:is>
      </x:c>
    </x:row>
    <x:row r="362">
      <x:c r="A362" t="inlineStr">
        <x:is>
          <x:t xml:space="preserve">CI0361</x:t>
        </x:is>
      </x:c>
      <x:c r="B362" t="inlineStr">
        <x:is>
          <x:t xml:space="preserve">athletes foot</x:t>
        </x:is>
      </x:c>
      <x:c r="C362" t="inlineStr">
        <x:is>
          <x:t xml:space="preserve">athletes foot</x:t>
        </x:is>
      </x:c>
      <x:c r="D362" t="inlineStr">
        <x:is>
          <x:t xml:space="preserve">Skin</x:t>
        </x:is>
      </x:c>
      <x:c r="E362" t="inlineStr">
        <x:is>
          <x:t xml:space="preserve">tinea_pedis_adult</x:t>
        </x:is>
      </x:c>
      <x:c r="F362" t="inlineStr">
        <x:is>
          <x:t xml:space="preserve">adult</x:t>
        </x:is>
      </x:c>
      <x:c r="G362" t="n">
        <x:v>3</x:v>
      </x:c>
      <x:c r="H362" t="inlineStr">
        <x:is>
          <x:t xml:space="preserve">alias</x:t>
        </x:is>
      </x:c>
      <x:c r="I362" t="inlineStr">
        <x:is>
          <x:t xml:space="preserve">Y</x:t>
        </x:is>
      </x:c>
      <x:c r="J362" t="inlineStr">
        <x:is>
          <x:t xml:space="preserve">v6 added</x:t>
        </x:is>
      </x:c>
      <x:c r="K362" t="inlineStr">
        <x:is>
          <x:t xml:space="preserve">2026-03-08</x:t>
        </x:is>
      </x:c>
    </x:row>
    <x:row r="363">
      <x:c r="A363" t="inlineStr">
        <x:is>
          <x:t xml:space="preserve">CI0362</x:t>
        </x:is>
      </x:c>
      <x:c r="B363" t="inlineStr">
        <x:is>
          <x:t xml:space="preserve">tinea corporis clotrimazole</x:t>
        </x:is>
      </x:c>
      <x:c r="C363" t="inlineStr">
        <x:is>
          <x:t xml:space="preserve">tinea corporis clotrimazole</x:t>
        </x:is>
      </x:c>
      <x:c r="D363" t="inlineStr">
        <x:is>
          <x:t xml:space="preserve">Skin</x:t>
        </x:is>
      </x:c>
      <x:c r="E363" t="inlineStr">
        <x:is>
          <x:t xml:space="preserve">tinea_corporis_clotrimazole_adult</x:t>
        </x:is>
      </x:c>
      <x:c r="F363" t="inlineStr">
        <x:is>
          <x:t xml:space="preserve">adult</x:t>
        </x:is>
      </x:c>
      <x:c r="G363" t="n">
        <x:v>1</x:v>
      </x:c>
      <x:c r="H363" t="inlineStr">
        <x:is>
          <x:t xml:space="preserve">exact</x:t>
        </x:is>
      </x:c>
      <x:c r="I363" t="inlineStr">
        <x:is>
          <x:t xml:space="preserve">Y</x:t>
        </x:is>
      </x:c>
      <x:c r="J363" t="inlineStr">
        <x:is>
          <x:t xml:space="preserve">v6 added</x:t>
        </x:is>
      </x:c>
      <x:c r="K363" t="inlineStr">
        <x:is>
          <x:t xml:space="preserve">2026-03-08</x:t>
        </x:is>
      </x:c>
    </x:row>
    <x:row r="364">
      <x:c r="A364" t="inlineStr">
        <x:is>
          <x:t xml:space="preserve">CI0363</x:t>
        </x:is>
      </x:c>
      <x:c r="B364" t="inlineStr">
        <x:is>
          <x:t xml:space="preserve">body fungal rash clotrimazole</x:t>
        </x:is>
      </x:c>
      <x:c r="C364" t="inlineStr">
        <x:is>
          <x:t xml:space="preserve">body fungal rash clotrimazole</x:t>
        </x:is>
      </x:c>
      <x:c r="D364" t="inlineStr">
        <x:is>
          <x:t xml:space="preserve">Skin</x:t>
        </x:is>
      </x:c>
      <x:c r="E364" t="inlineStr">
        <x:is>
          <x:t xml:space="preserve">tinea_corporis_clotrimazole_adult</x:t>
        </x:is>
      </x:c>
      <x:c r="F364" t="inlineStr">
        <x:is>
          <x:t xml:space="preserve">adult</x:t>
        </x:is>
      </x:c>
      <x:c r="G364" t="n">
        <x:v>2</x:v>
      </x:c>
      <x:c r="H364" t="inlineStr">
        <x:is>
          <x:t xml:space="preserve">alias</x:t>
        </x:is>
      </x:c>
      <x:c r="I364" t="inlineStr">
        <x:is>
          <x:t xml:space="preserve">Y</x:t>
        </x:is>
      </x:c>
      <x:c r="J364" t="inlineStr">
        <x:is>
          <x:t xml:space="preserve">v6 added</x:t>
        </x:is>
      </x:c>
      <x:c r="K364" t="inlineStr">
        <x:is>
          <x:t xml:space="preserve">2026-03-08</x:t>
        </x:is>
      </x:c>
    </x:row>
    <x:row r="365">
      <x:c r="A365" t="inlineStr">
        <x:is>
          <x:t xml:space="preserve">CI0364</x:t>
        </x:is>
      </x:c>
      <x:c r="B365" t="inlineStr">
        <x:is>
          <x:t xml:space="preserve">ringworm clotrimazole</x:t>
        </x:is>
      </x:c>
      <x:c r="C365" t="inlineStr">
        <x:is>
          <x:t xml:space="preserve">ringworm clotrimazole</x:t>
        </x:is>
      </x:c>
      <x:c r="D365" t="inlineStr">
        <x:is>
          <x:t xml:space="preserve">Skin</x:t>
        </x:is>
      </x:c>
      <x:c r="E365" t="inlineStr">
        <x:is>
          <x:t xml:space="preserve">tinea_corporis_clotrimazole_adult</x:t>
        </x:is>
      </x:c>
      <x:c r="F365" t="inlineStr">
        <x:is>
          <x:t xml:space="preserve">adult</x:t>
        </x:is>
      </x:c>
      <x:c r="G365" t="n">
        <x:v>3</x:v>
      </x:c>
      <x:c r="H365" t="inlineStr">
        <x:is>
          <x:t xml:space="preserve">alias</x:t>
        </x:is>
      </x:c>
      <x:c r="I365" t="inlineStr">
        <x:is>
          <x:t xml:space="preserve">Y</x:t>
        </x:is>
      </x:c>
      <x:c r="J365" t="inlineStr">
        <x:is>
          <x:t xml:space="preserve">v6 added</x:t>
        </x:is>
      </x:c>
      <x:c r="K365" t="inlineStr">
        <x:is>
          <x:t xml:space="preserve">2026-03-08</x:t>
        </x:is>
      </x:c>
    </x:row>
    <x:row r="366">
      <x:c r="A366" t="inlineStr">
        <x:is>
          <x:t xml:space="preserve">CI0365</x:t>
        </x:is>
      </x:c>
      <x:c r="B366" t="inlineStr">
        <x:is>
          <x:t xml:space="preserve">fungal intertrigo</x:t>
        </x:is>
      </x:c>
      <x:c r="C366" t="inlineStr">
        <x:is>
          <x:t xml:space="preserve">fungal intertrigo</x:t>
        </x:is>
      </x:c>
      <x:c r="D366" t="inlineStr">
        <x:is>
          <x:t xml:space="preserve">Skin</x:t>
        </x:is>
      </x:c>
      <x:c r="E366" t="inlineStr">
        <x:is>
          <x:t xml:space="preserve">fungal_intertrigo_adult</x:t>
        </x:is>
      </x:c>
      <x:c r="F366" t="inlineStr">
        <x:is>
          <x:t xml:space="preserve">adult</x:t>
        </x:is>
      </x:c>
      <x:c r="G366" t="n">
        <x:v>1</x:v>
      </x:c>
      <x:c r="H366" t="inlineStr">
        <x:is>
          <x:t xml:space="preserve">exact</x:t>
        </x:is>
      </x:c>
      <x:c r="I366" t="inlineStr">
        <x:is>
          <x:t xml:space="preserve">Y</x:t>
        </x:is>
      </x:c>
      <x:c r="J366" t="inlineStr">
        <x:is>
          <x:t xml:space="preserve">v6 added</x:t>
        </x:is>
      </x:c>
      <x:c r="K366" t="inlineStr">
        <x:is>
          <x:t xml:space="preserve">2026-03-08</x:t>
        </x:is>
      </x:c>
    </x:row>
    <x:row r="367">
      <x:c r="A367" t="inlineStr">
        <x:is>
          <x:t xml:space="preserve">CI0366</x:t>
        </x:is>
      </x:c>
      <x:c r="B367" t="inlineStr">
        <x:is>
          <x:t xml:space="preserve">skin fold fungal rash</x:t>
        </x:is>
      </x:c>
      <x:c r="C367" t="inlineStr">
        <x:is>
          <x:t xml:space="preserve">skin fold fungal rash</x:t>
        </x:is>
      </x:c>
      <x:c r="D367" t="inlineStr">
        <x:is>
          <x:t xml:space="preserve">Skin</x:t>
        </x:is>
      </x:c>
      <x:c r="E367" t="inlineStr">
        <x:is>
          <x:t xml:space="preserve">fungal_intertrigo_adult</x:t>
        </x:is>
      </x:c>
      <x:c r="F367" t="inlineStr">
        <x:is>
          <x:t xml:space="preserve">adult</x:t>
        </x:is>
      </x:c>
      <x:c r="G367" t="n">
        <x:v>2</x:v>
      </x:c>
      <x:c r="H367" t="inlineStr">
        <x:is>
          <x:t xml:space="preserve">alias</x:t>
        </x:is>
      </x:c>
      <x:c r="I367" t="inlineStr">
        <x:is>
          <x:t xml:space="preserve">Y</x:t>
        </x:is>
      </x:c>
      <x:c r="J367" t="inlineStr">
        <x:is>
          <x:t xml:space="preserve">v6 added</x:t>
        </x:is>
      </x:c>
      <x:c r="K367" t="inlineStr">
        <x:is>
          <x:t xml:space="preserve">2026-03-08</x:t>
        </x:is>
      </x:c>
    </x:row>
    <x:row r="368">
      <x:c r="A368" t="inlineStr">
        <x:is>
          <x:t xml:space="preserve">CI0367</x:t>
        </x:is>
      </x:c>
      <x:c r="B368" t="inlineStr">
        <x:is>
          <x:t xml:space="preserve">candida intertrigo</x:t>
        </x:is>
      </x:c>
      <x:c r="C368" t="inlineStr">
        <x:is>
          <x:t xml:space="preserve">candida intertrigo</x:t>
        </x:is>
      </x:c>
      <x:c r="D368" t="inlineStr">
        <x:is>
          <x:t xml:space="preserve">Skin</x:t>
        </x:is>
      </x:c>
      <x:c r="E368" t="inlineStr">
        <x:is>
          <x:t xml:space="preserve">fungal_intertrigo_adult</x:t>
        </x:is>
      </x:c>
      <x:c r="F368" t="inlineStr">
        <x:is>
          <x:t xml:space="preserve">adult</x:t>
        </x:is>
      </x:c>
      <x:c r="G368" t="n">
        <x:v>3</x:v>
      </x:c>
      <x:c r="H368" t="inlineStr">
        <x:is>
          <x:t xml:space="preserve">alias</x:t>
        </x:is>
      </x:c>
      <x:c r="I368" t="inlineStr">
        <x:is>
          <x:t xml:space="preserve">Y</x:t>
        </x:is>
      </x:c>
      <x:c r="J368" t="inlineStr">
        <x:is>
          <x:t xml:space="preserve">v6 added</x:t>
        </x:is>
      </x:c>
      <x:c r="K368" t="inlineStr">
        <x:is>
          <x:t xml:space="preserve">2026-03-08</x:t>
        </x:is>
      </x:c>
    </x:row>
    <x:row r="369">
      <x:c r="A369" t="inlineStr">
        <x:is>
          <x:t xml:space="preserve">CI0368</x:t>
        </x:is>
      </x:c>
      <x:c r="B369" t="inlineStr">
        <x:is>
          <x:t xml:space="preserve">pityriasis versicolor</x:t>
        </x:is>
      </x:c>
      <x:c r="C369" t="inlineStr">
        <x:is>
          <x:t xml:space="preserve">pityriasis versicolor</x:t>
        </x:is>
      </x:c>
      <x:c r="D369" t="inlineStr">
        <x:is>
          <x:t xml:space="preserve">Skin</x:t>
        </x:is>
      </x:c>
      <x:c r="E369" t="inlineStr">
        <x:is>
          <x:t xml:space="preserve">pityriasis_versicolor_adult</x:t>
        </x:is>
      </x:c>
      <x:c r="F369" t="inlineStr">
        <x:is>
          <x:t xml:space="preserve">adult</x:t>
        </x:is>
      </x:c>
      <x:c r="G369" t="n">
        <x:v>1</x:v>
      </x:c>
      <x:c r="H369" t="inlineStr">
        <x:is>
          <x:t xml:space="preserve">exact</x:t>
        </x:is>
      </x:c>
      <x:c r="I369" t="inlineStr">
        <x:is>
          <x:t xml:space="preserve">Y</x:t>
        </x:is>
      </x:c>
      <x:c r="J369" t="inlineStr">
        <x:is>
          <x:t xml:space="preserve">v6 added</x:t>
        </x:is>
      </x:c>
      <x:c r="K369" t="inlineStr">
        <x:is>
          <x:t xml:space="preserve">2026-03-08</x:t>
        </x:is>
      </x:c>
    </x:row>
    <x:row r="370">
      <x:c r="A370" t="inlineStr">
        <x:is>
          <x:t xml:space="preserve">CI0369</x:t>
        </x:is>
      </x:c>
      <x:c r="B370" t="inlineStr">
        <x:is>
          <x:t xml:space="preserve">versicolor</x:t>
        </x:is>
      </x:c>
      <x:c r="C370" t="inlineStr">
        <x:is>
          <x:t xml:space="preserve">versicolor</x:t>
        </x:is>
      </x:c>
      <x:c r="D370" t="inlineStr">
        <x:is>
          <x:t xml:space="preserve">Skin</x:t>
        </x:is>
      </x:c>
      <x:c r="E370" t="inlineStr">
        <x:is>
          <x:t xml:space="preserve">pityriasis_versicolor_adult</x:t>
        </x:is>
      </x:c>
      <x:c r="F370" t="inlineStr">
        <x:is>
          <x:t xml:space="preserve">adult</x:t>
        </x:is>
      </x:c>
      <x:c r="G370" t="n">
        <x:v>2</x:v>
      </x:c>
      <x:c r="H370" t="inlineStr">
        <x:is>
          <x:t xml:space="preserve">alias</x:t>
        </x:is>
      </x:c>
      <x:c r="I370" t="inlineStr">
        <x:is>
          <x:t xml:space="preserve">Y</x:t>
        </x:is>
      </x:c>
      <x:c r="J370" t="inlineStr">
        <x:is>
          <x:t xml:space="preserve">v6 added</x:t>
        </x:is>
      </x:c>
      <x:c r="K370" t="inlineStr">
        <x:is>
          <x:t xml:space="preserve">2026-03-08</x:t>
        </x:is>
      </x:c>
    </x:row>
    <x:row r="371">
      <x:c r="A371" t="inlineStr">
        <x:is>
          <x:t xml:space="preserve">CI0370</x:t>
        </x:is>
      </x:c>
      <x:c r="B371" t="inlineStr">
        <x:is>
          <x:t xml:space="preserve">superficial fungal patch</x:t>
        </x:is>
      </x:c>
      <x:c r="C371" t="inlineStr">
        <x:is>
          <x:t xml:space="preserve">superficial fungal patch</x:t>
        </x:is>
      </x:c>
      <x:c r="D371" t="inlineStr">
        <x:is>
          <x:t xml:space="preserve">Skin</x:t>
        </x:is>
      </x:c>
      <x:c r="E371" t="inlineStr">
        <x:is>
          <x:t xml:space="preserve">pityriasis_versicolor_adult</x:t>
        </x:is>
      </x:c>
      <x:c r="F371" t="inlineStr">
        <x:is>
          <x:t xml:space="preserve">adult</x:t>
        </x:is>
      </x:c>
      <x:c r="G371" t="n">
        <x:v>3</x:v>
      </x:c>
      <x:c r="H371" t="inlineStr">
        <x:is>
          <x:t xml:space="preserve">alias</x:t>
        </x:is>
      </x:c>
      <x:c r="I371" t="inlineStr">
        <x:is>
          <x:t xml:space="preserve">Y</x:t>
        </x:is>
      </x:c>
      <x:c r="J371" t="inlineStr">
        <x:is>
          <x:t xml:space="preserve">v6 added</x:t>
        </x:is>
      </x:c>
      <x:c r="K371" t="inlineStr">
        <x:is>
          <x:t xml:space="preserve">2026-03-08</x:t>
        </x:is>
      </x:c>
    </x:row>
    <x:row r="372">
      <x:c r="A372" t="inlineStr">
        <x:is>
          <x:t xml:space="preserve">CI0371</x:t>
        </x:is>
      </x:c>
      <x:c r="B372" t="inlineStr">
        <x:is>
          <x:t xml:space="preserve">cutaneous candidiasis</x:t>
        </x:is>
      </x:c>
      <x:c r="C372" t="inlineStr">
        <x:is>
          <x:t xml:space="preserve">cutaneous candidiasis</x:t>
        </x:is>
      </x:c>
      <x:c r="D372" t="inlineStr">
        <x:is>
          <x:t xml:space="preserve">Skin</x:t>
        </x:is>
      </x:c>
      <x:c r="E372" t="inlineStr">
        <x:is>
          <x:t xml:space="preserve">cutaneous_candidiasis_adult</x:t>
        </x:is>
      </x:c>
      <x:c r="F372" t="inlineStr">
        <x:is>
          <x:t xml:space="preserve">adult</x:t>
        </x:is>
      </x:c>
      <x:c r="G372" t="n">
        <x:v>1</x:v>
      </x:c>
      <x:c r="H372" t="inlineStr">
        <x:is>
          <x:t xml:space="preserve">exact</x:t>
        </x:is>
      </x:c>
      <x:c r="I372" t="inlineStr">
        <x:is>
          <x:t xml:space="preserve">Y</x:t>
        </x:is>
      </x:c>
      <x:c r="J372" t="inlineStr">
        <x:is>
          <x:t xml:space="preserve">v6 added</x:t>
        </x:is>
      </x:c>
      <x:c r="K372" t="inlineStr">
        <x:is>
          <x:t xml:space="preserve">2026-03-08</x:t>
        </x:is>
      </x:c>
    </x:row>
    <x:row r="373">
      <x:c r="A373" t="inlineStr">
        <x:is>
          <x:t xml:space="preserve">CI0372</x:t>
        </x:is>
      </x:c>
      <x:c r="B373" t="inlineStr">
        <x:is>
          <x:t xml:space="preserve">candida skin rash</x:t>
        </x:is>
      </x:c>
      <x:c r="C373" t="inlineStr">
        <x:is>
          <x:t xml:space="preserve">candida skin rash</x:t>
        </x:is>
      </x:c>
      <x:c r="D373" t="inlineStr">
        <x:is>
          <x:t xml:space="preserve">Skin</x:t>
        </x:is>
      </x:c>
      <x:c r="E373" t="inlineStr">
        <x:is>
          <x:t xml:space="preserve">cutaneous_candidiasis_adult</x:t>
        </x:is>
      </x:c>
      <x:c r="F373" t="inlineStr">
        <x:is>
          <x:t xml:space="preserve">adult</x:t>
        </x:is>
      </x:c>
      <x:c r="G373" t="n">
        <x:v>2</x:v>
      </x:c>
      <x:c r="H373" t="inlineStr">
        <x:is>
          <x:t xml:space="preserve">alias</x:t>
        </x:is>
      </x:c>
      <x:c r="I373" t="inlineStr">
        <x:is>
          <x:t xml:space="preserve">Y</x:t>
        </x:is>
      </x:c>
      <x:c r="J373" t="inlineStr">
        <x:is>
          <x:t xml:space="preserve">v6 added</x:t>
        </x:is>
      </x:c>
      <x:c r="K373" t="inlineStr">
        <x:is>
          <x:t xml:space="preserve">2026-03-08</x:t>
        </x:is>
      </x:c>
    </x:row>
    <x:row r="374">
      <x:c r="A374" t="inlineStr">
        <x:is>
          <x:t xml:space="preserve">CI0373</x:t>
        </x:is>
      </x:c>
      <x:c r="B374" t="inlineStr">
        <x:is>
          <x:t xml:space="preserve">yeast skin rash</x:t>
        </x:is>
      </x:c>
      <x:c r="C374" t="inlineStr">
        <x:is>
          <x:t xml:space="preserve">yeast skin rash</x:t>
        </x:is>
      </x:c>
      <x:c r="D374" t="inlineStr">
        <x:is>
          <x:t xml:space="preserve">Skin</x:t>
        </x:is>
      </x:c>
      <x:c r="E374" t="inlineStr">
        <x:is>
          <x:t xml:space="preserve">cutaneous_candidiasis_adult</x:t>
        </x:is>
      </x:c>
      <x:c r="F374" t="inlineStr">
        <x:is>
          <x:t xml:space="preserve">adult</x:t>
        </x:is>
      </x:c>
      <x:c r="G374" t="n">
        <x:v>3</x:v>
      </x:c>
      <x:c r="H374" t="inlineStr">
        <x:is>
          <x:t xml:space="preserve">alias</x:t>
        </x:is>
      </x:c>
      <x:c r="I374" t="inlineStr">
        <x:is>
          <x:t xml:space="preserve">Y</x:t>
        </x:is>
      </x:c>
      <x:c r="J374" t="inlineStr">
        <x:is>
          <x:t xml:space="preserve">v6 added</x:t>
        </x:is>
      </x:c>
      <x:c r="K374" t="inlineStr">
        <x:is>
          <x:t xml:space="preserve">2026-03-08</x:t>
        </x:is>
      </x:c>
    </x:row>
    <x:row r="375">
      <x:c r="A375" t="inlineStr">
        <x:is>
          <x:t xml:space="preserve">CI0374</x:t>
        </x:is>
      </x:c>
      <x:c r="B375" t="inlineStr">
        <x:is>
          <x:t xml:space="preserve">wart</x:t>
        </x:is>
      </x:c>
      <x:c r="C375" t="inlineStr">
        <x:is>
          <x:t xml:space="preserve">wart</x:t>
        </x:is>
      </x:c>
      <x:c r="D375" t="inlineStr">
        <x:is>
          <x:t xml:space="preserve">Skin</x:t>
        </x:is>
      </x:c>
      <x:c r="E375" t="inlineStr">
        <x:is>
          <x:t xml:space="preserve">wart_localized_adult</x:t>
        </x:is>
      </x:c>
      <x:c r="F375" t="inlineStr">
        <x:is>
          <x:t xml:space="preserve">adult</x:t>
        </x:is>
      </x:c>
      <x:c r="G375" t="n">
        <x:v>1</x:v>
      </x:c>
      <x:c r="H375" t="inlineStr">
        <x:is>
          <x:t xml:space="preserve">exact</x:t>
        </x:is>
      </x:c>
      <x:c r="I375" t="inlineStr">
        <x:is>
          <x:t xml:space="preserve">Y</x:t>
        </x:is>
      </x:c>
      <x:c r="J375" t="inlineStr">
        <x:is>
          <x:t xml:space="preserve">v6 added</x:t>
        </x:is>
      </x:c>
      <x:c r="K375" t="inlineStr">
        <x:is>
          <x:t xml:space="preserve">2026-03-08</x:t>
        </x:is>
      </x:c>
    </x:row>
    <x:row r="376">
      <x:c r="A376" t="inlineStr">
        <x:is>
          <x:t xml:space="preserve">CI0375</x:t>
        </x:is>
      </x:c>
      <x:c r="B376" t="inlineStr">
        <x:is>
          <x:t xml:space="preserve">localized wart</x:t>
        </x:is>
      </x:c>
      <x:c r="C376" t="inlineStr">
        <x:is>
          <x:t xml:space="preserve">localized wart</x:t>
        </x:is>
      </x:c>
      <x:c r="D376" t="inlineStr">
        <x:is>
          <x:t xml:space="preserve">Skin</x:t>
        </x:is>
      </x:c>
      <x:c r="E376" t="inlineStr">
        <x:is>
          <x:t xml:space="preserve">wart_localized_adult</x:t>
        </x:is>
      </x:c>
      <x:c r="F376" t="inlineStr">
        <x:is>
          <x:t xml:space="preserve">adult</x:t>
        </x:is>
      </x:c>
      <x:c r="G376" t="n">
        <x:v>2</x:v>
      </x:c>
      <x:c r="H376" t="inlineStr">
        <x:is>
          <x:t xml:space="preserve">alias</x:t>
        </x:is>
      </x:c>
      <x:c r="I376" t="inlineStr">
        <x:is>
          <x:t xml:space="preserve">Y</x:t>
        </x:is>
      </x:c>
      <x:c r="J376" t="inlineStr">
        <x:is>
          <x:t xml:space="preserve">v6 added</x:t>
        </x:is>
      </x:c>
      <x:c r="K376" t="inlineStr">
        <x:is>
          <x:t xml:space="preserve">2026-03-08</x:t>
        </x:is>
      </x:c>
    </x:row>
    <x:row r="377">
      <x:c r="A377" t="inlineStr">
        <x:is>
          <x:t xml:space="preserve">CI0376</x:t>
        </x:is>
      </x:c>
      <x:c r="B377" t="inlineStr">
        <x:is>
          <x:t xml:space="preserve">corn topical wart</x:t>
        </x:is>
      </x:c>
      <x:c r="C377" t="inlineStr">
        <x:is>
          <x:t xml:space="preserve">corn topical wart</x:t>
        </x:is>
      </x:c>
      <x:c r="D377" t="inlineStr">
        <x:is>
          <x:t xml:space="preserve">Skin</x:t>
        </x:is>
      </x:c>
      <x:c r="E377" t="inlineStr">
        <x:is>
          <x:t xml:space="preserve">wart_localized_adult</x:t>
        </x:is>
      </x:c>
      <x:c r="F377" t="inlineStr">
        <x:is>
          <x:t xml:space="preserve">adult</x:t>
        </x:is>
      </x:c>
      <x:c r="G377" t="n">
        <x:v>3</x:v>
      </x:c>
      <x:c r="H377" t="inlineStr">
        <x:is>
          <x:t xml:space="preserve">alias</x:t>
        </x:is>
      </x:c>
      <x:c r="I377" t="inlineStr">
        <x:is>
          <x:t xml:space="preserve">Y</x:t>
        </x:is>
      </x:c>
      <x:c r="J377" t="inlineStr">
        <x:is>
          <x:t xml:space="preserve">v6 added</x:t>
        </x:is>
      </x:c>
      <x:c r="K377" t="inlineStr">
        <x:is>
          <x:t xml:space="preserve">2026-03-08</x:t>
        </x:is>
      </x:c>
    </x:row>
    <x:row r="378">
      <x:c r="A378" t="inlineStr">
        <x:is>
          <x:t xml:space="preserve">CI0377</x:t>
        </x:is>
      </x:c>
      <x:c r="B378" t="inlineStr">
        <x:is>
          <x:t xml:space="preserve">corn treatment</x:t>
        </x:is>
      </x:c>
      <x:c r="C378" t="inlineStr">
        <x:is>
          <x:t xml:space="preserve">corn treatment</x:t>
        </x:is>
      </x:c>
      <x:c r="D378" t="inlineStr">
        <x:is>
          <x:t xml:space="preserve">Skin</x:t>
        </x:is>
      </x:c>
      <x:c r="E378" t="inlineStr">
        <x:is>
          <x:t xml:space="preserve">corn_callus_topical_adult</x:t>
        </x:is>
      </x:c>
      <x:c r="F378" t="inlineStr">
        <x:is>
          <x:t xml:space="preserve">adult</x:t>
        </x:is>
      </x:c>
      <x:c r="G378" t="n">
        <x:v>1</x:v>
      </x:c>
      <x:c r="H378" t="inlineStr">
        <x:is>
          <x:t xml:space="preserve">exact</x:t>
        </x:is>
      </x:c>
      <x:c r="I378" t="inlineStr">
        <x:is>
          <x:t xml:space="preserve">Y</x:t>
        </x:is>
      </x:c>
      <x:c r="J378" t="inlineStr">
        <x:is>
          <x:t xml:space="preserve">v6 added</x:t>
        </x:is>
      </x:c>
      <x:c r="K378" t="inlineStr">
        <x:is>
          <x:t xml:space="preserve">2026-03-08</x:t>
        </x:is>
      </x:c>
    </x:row>
    <x:row r="379">
      <x:c r="A379" t="inlineStr">
        <x:is>
          <x:t xml:space="preserve">CI0378</x:t>
        </x:is>
      </x:c>
      <x:c r="B379" t="inlineStr">
        <x:is>
          <x:t xml:space="preserve">callus treatment</x:t>
        </x:is>
      </x:c>
      <x:c r="C379" t="inlineStr">
        <x:is>
          <x:t xml:space="preserve">callus treatment</x:t>
        </x:is>
      </x:c>
      <x:c r="D379" t="inlineStr">
        <x:is>
          <x:t xml:space="preserve">Skin</x:t>
        </x:is>
      </x:c>
      <x:c r="E379" t="inlineStr">
        <x:is>
          <x:t xml:space="preserve">corn_callus_topical_adult</x:t>
        </x:is>
      </x:c>
      <x:c r="F379" t="inlineStr">
        <x:is>
          <x:t xml:space="preserve">adult</x:t>
        </x:is>
      </x:c>
      <x:c r="G379" t="n">
        <x:v>2</x:v>
      </x:c>
      <x:c r="H379" t="inlineStr">
        <x:is>
          <x:t xml:space="preserve">alias</x:t>
        </x:is>
      </x:c>
      <x:c r="I379" t="inlineStr">
        <x:is>
          <x:t xml:space="preserve">Y</x:t>
        </x:is>
      </x:c>
      <x:c r="J379" t="inlineStr">
        <x:is>
          <x:t xml:space="preserve">v6 added</x:t>
        </x:is>
      </x:c>
      <x:c r="K379" t="inlineStr">
        <x:is>
          <x:t xml:space="preserve">2026-03-08</x:t>
        </x:is>
      </x:c>
    </x:row>
    <x:row r="380">
      <x:c r="A380" t="inlineStr">
        <x:is>
          <x:t xml:space="preserve">CI0379</x:t>
        </x:is>
      </x:c>
      <x:c r="B380" t="inlineStr">
        <x:is>
          <x:t xml:space="preserve">corn callus topical</x:t>
        </x:is>
      </x:c>
      <x:c r="C380" t="inlineStr">
        <x:is>
          <x:t xml:space="preserve">corn callus topical</x:t>
        </x:is>
      </x:c>
      <x:c r="D380" t="inlineStr">
        <x:is>
          <x:t xml:space="preserve">Skin</x:t>
        </x:is>
      </x:c>
      <x:c r="E380" t="inlineStr">
        <x:is>
          <x:t xml:space="preserve">corn_callus_topical_adult</x:t>
        </x:is>
      </x:c>
      <x:c r="F380" t="inlineStr">
        <x:is>
          <x:t xml:space="preserve">adult</x:t>
        </x:is>
      </x:c>
      <x:c r="G380" t="n">
        <x:v>3</x:v>
      </x:c>
      <x:c r="H380" t="inlineStr">
        <x:is>
          <x:t xml:space="preserve">alias</x:t>
        </x:is>
      </x:c>
      <x:c r="I380" t="inlineStr">
        <x:is>
          <x:t xml:space="preserve">Y</x:t>
        </x:is>
      </x:c>
      <x:c r="J380" t="inlineStr">
        <x:is>
          <x:t xml:space="preserve">v6 added</x:t>
        </x:is>
      </x:c>
      <x:c r="K380" t="inlineStr">
        <x:is>
          <x:t xml:space="preserve">2026-03-08</x:t>
        </x:is>
      </x:c>
    </x:row>
    <x:row r="381">
      <x:c r="A381" t="inlineStr">
        <x:is>
          <x:t xml:space="preserve">CI0380</x:t>
        </x:is>
      </x:c>
      <x:c r="B381" t="inlineStr">
        <x:is>
          <x:t xml:space="preserve">dental pain</x:t>
        </x:is>
      </x:c>
      <x:c r="C381" t="inlineStr">
        <x:is>
          <x:t xml:space="preserve">dental pain</x:t>
        </x:is>
      </x:c>
      <x:c r="D381" t="inlineStr">
        <x:is>
          <x:t xml:space="preserve">Oral</x:t>
        </x:is>
      </x:c>
      <x:c r="E381" t="inlineStr">
        <x:is>
          <x:t xml:space="preserve">dental_pain_support_adult</x:t>
        </x:is>
      </x:c>
      <x:c r="F381" t="inlineStr">
        <x:is>
          <x:t xml:space="preserve">adult</x:t>
        </x:is>
      </x:c>
      <x:c r="G381" t="n">
        <x:v>1</x:v>
      </x:c>
      <x:c r="H381" t="inlineStr">
        <x:is>
          <x:t xml:space="preserve">exact</x:t>
        </x:is>
      </x:c>
      <x:c r="I381" t="inlineStr">
        <x:is>
          <x:t xml:space="preserve">Y</x:t>
        </x:is>
      </x:c>
      <x:c r="J381" t="inlineStr">
        <x:is>
          <x:t xml:space="preserve">v6 added</x:t>
        </x:is>
      </x:c>
      <x:c r="K381" t="inlineStr">
        <x:is>
          <x:t xml:space="preserve">2026-03-08</x:t>
        </x:is>
      </x:c>
    </x:row>
    <x:row r="382">
      <x:c r="A382" t="inlineStr">
        <x:is>
          <x:t xml:space="preserve">CI0381</x:t>
        </x:is>
      </x:c>
      <x:c r="B382" t="inlineStr">
        <x:is>
          <x:t xml:space="preserve">tooth pain</x:t>
        </x:is>
      </x:c>
      <x:c r="C382" t="inlineStr">
        <x:is>
          <x:t xml:space="preserve">tooth pain</x:t>
        </x:is>
      </x:c>
      <x:c r="D382" t="inlineStr">
        <x:is>
          <x:t xml:space="preserve">Oral</x:t>
        </x:is>
      </x:c>
      <x:c r="E382" t="inlineStr">
        <x:is>
          <x:t xml:space="preserve">dental_pain_support_adult</x:t>
        </x:is>
      </x:c>
      <x:c r="F382" t="inlineStr">
        <x:is>
          <x:t xml:space="preserve">adult</x:t>
        </x:is>
      </x:c>
      <x:c r="G382" t="n">
        <x:v>2</x:v>
      </x:c>
      <x:c r="H382" t="inlineStr">
        <x:is>
          <x:t xml:space="preserve">alias</x:t>
        </x:is>
      </x:c>
      <x:c r="I382" t="inlineStr">
        <x:is>
          <x:t xml:space="preserve">Y</x:t>
        </x:is>
      </x:c>
      <x:c r="J382" t="inlineStr">
        <x:is>
          <x:t xml:space="preserve">v6 added</x:t>
        </x:is>
      </x:c>
      <x:c r="K382" t="inlineStr">
        <x:is>
          <x:t xml:space="preserve">2026-03-08</x:t>
        </x:is>
      </x:c>
    </x:row>
    <x:row r="383">
      <x:c r="A383" t="inlineStr">
        <x:is>
          <x:t xml:space="preserve">CI0382</x:t>
        </x:is>
      </x:c>
      <x:c r="B383" t="inlineStr">
        <x:is>
          <x:t xml:space="preserve">toothache</x:t>
        </x:is>
      </x:c>
      <x:c r="C383" t="inlineStr">
        <x:is>
          <x:t xml:space="preserve">toothache</x:t>
        </x:is>
      </x:c>
      <x:c r="D383" t="inlineStr">
        <x:is>
          <x:t xml:space="preserve">Oral</x:t>
        </x:is>
      </x:c>
      <x:c r="E383" t="inlineStr">
        <x:is>
          <x:t xml:space="preserve">dental_pain_support_adult</x:t>
        </x:is>
      </x:c>
      <x:c r="F383" t="inlineStr">
        <x:is>
          <x:t xml:space="preserve">adult</x:t>
        </x:is>
      </x:c>
      <x:c r="G383" t="n">
        <x:v>3</x:v>
      </x:c>
      <x:c r="H383" t="inlineStr">
        <x:is>
          <x:t xml:space="preserve">alias</x:t>
        </x:is>
      </x:c>
      <x:c r="I383" t="inlineStr">
        <x:is>
          <x:t xml:space="preserve">Y</x:t>
        </x:is>
      </x:c>
      <x:c r="J383" t="inlineStr">
        <x:is>
          <x:t xml:space="preserve">v6 added</x:t>
        </x:is>
      </x:c>
      <x:c r="K383" t="inlineStr">
        <x:is>
          <x:t xml:space="preserve">2026-03-08</x:t>
        </x:is>
      </x:c>
    </x:row>
    <x:row r="384">
      <x:c r="A384" t="inlineStr">
        <x:is>
          <x:t xml:space="preserve">CI0383</x:t>
        </x:is>
      </x:c>
      <x:c r="B384" t="inlineStr">
        <x:is>
          <x:t xml:space="preserve">gingivitis</x:t>
        </x:is>
      </x:c>
      <x:c r="C384" t="inlineStr">
        <x:is>
          <x:t xml:space="preserve">gingivitis</x:t>
        </x:is>
      </x:c>
      <x:c r="D384" t="inlineStr">
        <x:is>
          <x:t xml:space="preserve">Oral</x:t>
        </x:is>
      </x:c>
      <x:c r="E384" t="inlineStr">
        <x:is>
          <x:t xml:space="preserve">gingivitis_localized_adult</x:t>
        </x:is>
      </x:c>
      <x:c r="F384" t="inlineStr">
        <x:is>
          <x:t xml:space="preserve">adult</x:t>
        </x:is>
      </x:c>
      <x:c r="G384" t="n">
        <x:v>1</x:v>
      </x:c>
      <x:c r="H384" t="inlineStr">
        <x:is>
          <x:t xml:space="preserve">exact</x:t>
        </x:is>
      </x:c>
      <x:c r="I384" t="inlineStr">
        <x:is>
          <x:t xml:space="preserve">Y</x:t>
        </x:is>
      </x:c>
      <x:c r="J384" t="inlineStr">
        <x:is>
          <x:t xml:space="preserve">v6 added</x:t>
        </x:is>
      </x:c>
      <x:c r="K384" t="inlineStr">
        <x:is>
          <x:t xml:space="preserve">2026-03-08</x:t>
        </x:is>
      </x:c>
    </x:row>
    <x:row r="385">
      <x:c r="A385" t="inlineStr">
        <x:is>
          <x:t xml:space="preserve">CI0384</x:t>
        </x:is>
      </x:c>
      <x:c r="B385" t="inlineStr">
        <x:is>
          <x:t xml:space="preserve">gum inflammation</x:t>
        </x:is>
      </x:c>
      <x:c r="C385" t="inlineStr">
        <x:is>
          <x:t xml:space="preserve">gum inflammation</x:t>
        </x:is>
      </x:c>
      <x:c r="D385" t="inlineStr">
        <x:is>
          <x:t xml:space="preserve">Oral</x:t>
        </x:is>
      </x:c>
      <x:c r="E385" t="inlineStr">
        <x:is>
          <x:t xml:space="preserve">gingivitis_localized_adult</x:t>
        </x:is>
      </x:c>
      <x:c r="F385" t="inlineStr">
        <x:is>
          <x:t xml:space="preserve">adult</x:t>
        </x:is>
      </x:c>
      <x:c r="G385" t="n">
        <x:v>2</x:v>
      </x:c>
      <x:c r="H385" t="inlineStr">
        <x:is>
          <x:t xml:space="preserve">alias</x:t>
        </x:is>
      </x:c>
      <x:c r="I385" t="inlineStr">
        <x:is>
          <x:t xml:space="preserve">Y</x:t>
        </x:is>
      </x:c>
      <x:c r="J385" t="inlineStr">
        <x:is>
          <x:t xml:space="preserve">v6 added</x:t>
        </x:is>
      </x:c>
      <x:c r="K385" t="inlineStr">
        <x:is>
          <x:t xml:space="preserve">2026-03-08</x:t>
        </x:is>
      </x:c>
    </x:row>
    <x:row r="386">
      <x:c r="A386" t="inlineStr">
        <x:is>
          <x:t xml:space="preserve">CI0385</x:t>
        </x:is>
      </x:c>
      <x:c r="B386" t="inlineStr">
        <x:is>
          <x:t xml:space="preserve">swollen gums</x:t>
        </x:is>
      </x:c>
      <x:c r="C386" t="inlineStr">
        <x:is>
          <x:t xml:space="preserve">swollen gums</x:t>
        </x:is>
      </x:c>
      <x:c r="D386" t="inlineStr">
        <x:is>
          <x:t xml:space="preserve">Oral</x:t>
        </x:is>
      </x:c>
      <x:c r="E386" t="inlineStr">
        <x:is>
          <x:t xml:space="preserve">gingivitis_localized_adult</x:t>
        </x:is>
      </x:c>
      <x:c r="F386" t="inlineStr">
        <x:is>
          <x:t xml:space="preserve">adult</x:t>
        </x:is>
      </x:c>
      <x:c r="G386" t="n">
        <x:v>3</x:v>
      </x:c>
      <x:c r="H386" t="inlineStr">
        <x:is>
          <x:t xml:space="preserve">alias</x:t>
        </x:is>
      </x:c>
      <x:c r="I386" t="inlineStr">
        <x:is>
          <x:t xml:space="preserve">Y</x:t>
        </x:is>
      </x:c>
      <x:c r="J386" t="inlineStr">
        <x:is>
          <x:t xml:space="preserve">v6 added</x:t>
        </x:is>
      </x:c>
      <x:c r="K386" t="inlineStr">
        <x:is>
          <x:t xml:space="preserve">2026-03-08</x:t>
        </x:is>
      </x:c>
    </x:row>
    <x:row r="387">
      <x:c r="A387" t="inlineStr">
        <x:is>
          <x:t xml:space="preserve">CI0386</x:t>
        </x:is>
      </x:c>
      <x:c r="B387" t="inlineStr">
        <x:is>
          <x:t xml:space="preserve">gum inflammation support</x:t>
        </x:is>
      </x:c>
      <x:c r="C387" t="inlineStr">
        <x:is>
          <x:t xml:space="preserve">gum inflammation support</x:t>
        </x:is>
      </x:c>
      <x:c r="D387" t="inlineStr">
        <x:is>
          <x:t xml:space="preserve">Oral</x:t>
        </x:is>
      </x:c>
      <x:c r="E387" t="inlineStr">
        <x:is>
          <x:t xml:space="preserve">gum_inflammation_support_adult</x:t>
        </x:is>
      </x:c>
      <x:c r="F387" t="inlineStr">
        <x:is>
          <x:t xml:space="preserve">adult</x:t>
        </x:is>
      </x:c>
      <x:c r="G387" t="n">
        <x:v>1</x:v>
      </x:c>
      <x:c r="H387" t="inlineStr">
        <x:is>
          <x:t xml:space="preserve">exact</x:t>
        </x:is>
      </x:c>
      <x:c r="I387" t="inlineStr">
        <x:is>
          <x:t xml:space="preserve">Y</x:t>
        </x:is>
      </x:c>
      <x:c r="J387" t="inlineStr">
        <x:is>
          <x:t xml:space="preserve">v6 added</x:t>
        </x:is>
      </x:c>
      <x:c r="K387" t="inlineStr">
        <x:is>
          <x:t xml:space="preserve">2026-03-08</x:t>
        </x:is>
      </x:c>
    </x:row>
    <x:row r="388">
      <x:c r="A388" t="inlineStr">
        <x:is>
          <x:t xml:space="preserve">CI0387</x:t>
        </x:is>
      </x:c>
      <x:c r="B388" t="inlineStr">
        <x:is>
          <x:t xml:space="preserve">gum gargle support</x:t>
        </x:is>
      </x:c>
      <x:c r="C388" t="inlineStr">
        <x:is>
          <x:t xml:space="preserve">gum gargle support</x:t>
        </x:is>
      </x:c>
      <x:c r="D388" t="inlineStr">
        <x:is>
          <x:t xml:space="preserve">Oral</x:t>
        </x:is>
      </x:c>
      <x:c r="E388" t="inlineStr">
        <x:is>
          <x:t xml:space="preserve">gum_inflammation_support_adult</x:t>
        </x:is>
      </x:c>
      <x:c r="F388" t="inlineStr">
        <x:is>
          <x:t xml:space="preserve">adult</x:t>
        </x:is>
      </x:c>
      <x:c r="G388" t="n">
        <x:v>2</x:v>
      </x:c>
      <x:c r="H388" t="inlineStr">
        <x:is>
          <x:t xml:space="preserve">alias</x:t>
        </x:is>
      </x:c>
      <x:c r="I388" t="inlineStr">
        <x:is>
          <x:t xml:space="preserve">Y</x:t>
        </x:is>
      </x:c>
      <x:c r="J388" t="inlineStr">
        <x:is>
          <x:t xml:space="preserve">v6 added</x:t>
        </x:is>
      </x:c>
      <x:c r="K388" t="inlineStr">
        <x:is>
          <x:t xml:space="preserve">2026-03-08</x:t>
        </x:is>
      </x:c>
    </x:row>
    <x:row r="389">
      <x:c r="A389" t="inlineStr">
        <x:is>
          <x:t xml:space="preserve">CI0388</x:t>
        </x:is>
      </x:c>
      <x:c r="B389" t="inlineStr">
        <x:is>
          <x:t xml:space="preserve">oral antiseptic gum support</x:t>
        </x:is>
      </x:c>
      <x:c r="C389" t="inlineStr">
        <x:is>
          <x:t xml:space="preserve">oral antiseptic gum support</x:t>
        </x:is>
      </x:c>
      <x:c r="D389" t="inlineStr">
        <x:is>
          <x:t xml:space="preserve">Oral</x:t>
        </x:is>
      </x:c>
      <x:c r="E389" t="inlineStr">
        <x:is>
          <x:t xml:space="preserve">gum_inflammation_support_adult</x:t>
        </x:is>
      </x:c>
      <x:c r="F389" t="inlineStr">
        <x:is>
          <x:t xml:space="preserve">adult</x:t>
        </x:is>
      </x:c>
      <x:c r="G389" t="n">
        <x:v>3</x:v>
      </x:c>
      <x:c r="H389" t="inlineStr">
        <x:is>
          <x:t xml:space="preserve">alias</x:t>
        </x:is>
      </x:c>
      <x:c r="I389" t="inlineStr">
        <x:is>
          <x:t xml:space="preserve">Y</x:t>
        </x:is>
      </x:c>
      <x:c r="J389" t="inlineStr">
        <x:is>
          <x:t xml:space="preserve">v6 added</x:t>
        </x:is>
      </x:c>
      <x:c r="K389" t="inlineStr">
        <x:is>
          <x:t xml:space="preserve">2026-03-08</x:t>
        </x:is>
      </x:c>
    </x:row>
    <x:row r="390">
      <x:c r="A390" t="inlineStr">
        <x:is>
          <x:t xml:space="preserve">CI0389</x:t>
        </x:is>
      </x:c>
      <x:c r="B390" t="inlineStr">
        <x:is>
          <x:t xml:space="preserve">dental abscess</x:t>
        </x:is>
      </x:c>
      <x:c r="C390" t="inlineStr">
        <x:is>
          <x:t xml:space="preserve">dental abscess</x:t>
        </x:is>
      </x:c>
      <x:c r="D390" t="inlineStr">
        <x:is>
          <x:t xml:space="preserve">Oral</x:t>
        </x:is>
      </x:c>
      <x:c r="E390" t="inlineStr">
        <x:is>
          <x:t xml:space="preserve">dental_abscess_support_adult</x:t>
        </x:is>
      </x:c>
      <x:c r="F390" t="inlineStr">
        <x:is>
          <x:t xml:space="preserve">adult</x:t>
        </x:is>
      </x:c>
      <x:c r="G390" t="n">
        <x:v>1</x:v>
      </x:c>
      <x:c r="H390" t="inlineStr">
        <x:is>
          <x:t xml:space="preserve">exact</x:t>
        </x:is>
      </x:c>
      <x:c r="I390" t="inlineStr">
        <x:is>
          <x:t xml:space="preserve">Y</x:t>
        </x:is>
      </x:c>
      <x:c r="J390" t="inlineStr">
        <x:is>
          <x:t xml:space="preserve">v6 added</x:t>
        </x:is>
      </x:c>
      <x:c r="K390" t="inlineStr">
        <x:is>
          <x:t xml:space="preserve">2026-03-08</x:t>
        </x:is>
      </x:c>
    </x:row>
    <x:row r="391">
      <x:c r="A391" t="inlineStr">
        <x:is>
          <x:t xml:space="preserve">CI0390</x:t>
        </x:is>
      </x:c>
      <x:c r="B391" t="inlineStr">
        <x:is>
          <x:t xml:space="preserve">gum abscess</x:t>
        </x:is>
      </x:c>
      <x:c r="C391" t="inlineStr">
        <x:is>
          <x:t xml:space="preserve">gum abscess</x:t>
        </x:is>
      </x:c>
      <x:c r="D391" t="inlineStr">
        <x:is>
          <x:t xml:space="preserve">Oral</x:t>
        </x:is>
      </x:c>
      <x:c r="E391" t="inlineStr">
        <x:is>
          <x:t xml:space="preserve">dental_abscess_support_adult</x:t>
        </x:is>
      </x:c>
      <x:c r="F391" t="inlineStr">
        <x:is>
          <x:t xml:space="preserve">adult</x:t>
        </x:is>
      </x:c>
      <x:c r="G391" t="n">
        <x:v>2</x:v>
      </x:c>
      <x:c r="H391" t="inlineStr">
        <x:is>
          <x:t xml:space="preserve">alias</x:t>
        </x:is>
      </x:c>
      <x:c r="I391" t="inlineStr">
        <x:is>
          <x:t xml:space="preserve">Y</x:t>
        </x:is>
      </x:c>
      <x:c r="J391" t="inlineStr">
        <x:is>
          <x:t xml:space="preserve">v6 added</x:t>
        </x:is>
      </x:c>
      <x:c r="K391" t="inlineStr">
        <x:is>
          <x:t xml:space="preserve">2026-03-08</x:t>
        </x:is>
      </x:c>
    </x:row>
    <x:row r="392">
      <x:c r="A392" t="inlineStr">
        <x:is>
          <x:t xml:space="preserve">CI0391</x:t>
        </x:is>
      </x:c>
      <x:c r="B392" t="inlineStr">
        <x:is>
          <x:t xml:space="preserve">tooth abscess</x:t>
        </x:is>
      </x:c>
      <x:c r="C392" t="inlineStr">
        <x:is>
          <x:t xml:space="preserve">tooth abscess</x:t>
        </x:is>
      </x:c>
      <x:c r="D392" t="inlineStr">
        <x:is>
          <x:t xml:space="preserve">Oral</x:t>
        </x:is>
      </x:c>
      <x:c r="E392" t="inlineStr">
        <x:is>
          <x:t xml:space="preserve">dental_abscess_support_adult</x:t>
        </x:is>
      </x:c>
      <x:c r="F392" t="inlineStr">
        <x:is>
          <x:t xml:space="preserve">adult</x:t>
        </x:is>
      </x:c>
      <x:c r="G392" t="n">
        <x:v>3</x:v>
      </x:c>
      <x:c r="H392" t="inlineStr">
        <x:is>
          <x:t xml:space="preserve">alias</x:t>
        </x:is>
      </x:c>
      <x:c r="I392" t="inlineStr">
        <x:is>
          <x:t xml:space="preserve">Y</x:t>
        </x:is>
      </x:c>
      <x:c r="J392" t="inlineStr">
        <x:is>
          <x:t xml:space="preserve">v6 added</x:t>
        </x:is>
      </x:c>
      <x:c r="K392" t="inlineStr">
        <x:is>
          <x:t xml:space="preserve">2026-03-08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6" customWidth="1"/>
    <x:col min="3" max="3" width="42" customWidth="1"/>
    <x:col min="4" max="4" width="17" customWidth="1"/>
    <x:col min="5" max="5" width="12" customWidth="1"/>
    <x:col min="6" max="6" width="13" customWidth="1"/>
    <x:col min="7" max="7" width="13" customWidth="1"/>
    <x:col min="8" max="8" width="15" customWidth="1"/>
    <x:col min="9" max="9" width="15" customWidth="1"/>
    <x:col min="10" max="10" width="17" customWidth="1"/>
    <x:col min="11" max="11" width="18" customWidth="1"/>
    <x:col min="12" max="12" width="42" customWidth="1"/>
    <x:col min="13" max="13" width="42" customWidth="1"/>
    <x:col min="14" max="14" width="42" customWidth="1"/>
    <x:col min="15" max="15" width="22" customWidth="1"/>
    <x:col min="16" max="16" width="17" customWidth="1"/>
    <x:col min="17" max="17" width="42" customWidth="1"/>
    <x:col min="18" max="18" width="35" customWidth="1"/>
    <x:col min="19" max="19" width="42" customWidth="1"/>
    <x:col min="20" max="20" width="12" customWidth="1"/>
    <x:col min="21" max="21" width="42" customWidth="1"/>
    <x:col min="22" max="22" width="14" customWidth="1"/>
    <x:col min="23" max="23" width="20" customWidth="1"/>
    <x:col min="24" max="24" width="29" customWidth="1"/>
    <x:col min="25" max="25" width="42" customWidth="1"/>
    <x:col min="26" max="26" width="20" customWidth="1"/>
    <x:col min="27" max="27" width="42" customWidth="1"/>
    <x:col min="28" max="28" width="12" customWidth="1"/>
    <x:col min="29" max="29" width="41" customWidth="1"/>
    <x:col min="30" max="30" width="14" customWidth="1"/>
    <x:col min="31" max="31" width="21" customWidth="1"/>
    <x:col min="32" max="32" width="29" customWidth="1"/>
    <x:col min="33" max="33" width="42" customWidth="1"/>
    <x:col min="34" max="34" width="20" customWidth="1"/>
    <x:col min="35" max="35" width="42" customWidth="1"/>
    <x:col min="36" max="36" width="12" customWidth="1"/>
    <x:col min="37" max="37" width="42" customWidth="1"/>
    <x:col min="38" max="38" width="14" customWidth="1"/>
    <x:col min="39" max="39" width="19" customWidth="1"/>
    <x:col min="40" max="40" width="23" customWidth="1"/>
    <x:col min="41" max="41" width="42" customWidth="1"/>
    <x:col min="42" max="42" width="20" customWidth="1"/>
    <x:col min="43" max="43" width="42" customWidth="1"/>
    <x:col min="44" max="44" width="12" customWidth="1"/>
    <x:col min="45" max="45" width="17" customWidth="1"/>
    <x:col min="46" max="46" width="14" customWidth="1"/>
    <x:col min="47" max="47" width="14" customWidth="1"/>
    <x:col min="48" max="48" width="14" customWidth="1"/>
    <x:col min="49" max="49" width="42" customWidth="1"/>
    <x:col min="50" max="50" width="20" customWidth="1"/>
    <x:col min="51" max="51" width="42" customWidth="1"/>
    <x:col min="52" max="52" width="12" customWidth="1"/>
    <x:col min="53" max="53" width="41" customWidth="1"/>
    <x:col min="54" max="54" width="16" customWidth="1"/>
    <x:col min="55" max="55" width="21" customWidth="1"/>
    <x:col min="56" max="56" width="26" customWidth="1"/>
    <x:col min="57" max="57" width="42" customWidth="1"/>
    <x:col min="58" max="58" width="22" customWidth="1"/>
    <x:col min="59" max="59" width="42" customWidth="1"/>
    <x:col min="60" max="60" width="12" customWidth="1"/>
    <x:col min="61" max="61" width="41" customWidth="1"/>
    <x:col min="62" max="62" width="16" customWidth="1"/>
    <x:col min="63" max="63" width="21" customWidth="1"/>
    <x:col min="64" max="64" width="26" customWidth="1"/>
    <x:col min="65" max="65" width="42" customWidth="1"/>
    <x:col min="66" max="66" width="22" customWidth="1"/>
    <x:col min="67" max="67" width="42" customWidth="1"/>
    <x:col min="68" max="68" width="12" customWidth="1"/>
    <x:col min="69" max="69" width="18" customWidth="1"/>
    <x:col min="70" max="70" width="16" customWidth="1"/>
    <x:col min="71" max="71" width="19" customWidth="1"/>
    <x:col min="72" max="72" width="21" customWidth="1"/>
    <x:col min="73" max="73" width="35" customWidth="1"/>
    <x:col min="74" max="74" width="22" customWidth="1"/>
  </x:cols>
  <x:sheetData>
    <x:row r="1" ht="24" customHeight="1">
      <x:c r="A1" s="2" t="inlineStr">
        <x:is>
          <x:t xml:space="preserve">Regimen_ID</x:t>
        </x:is>
      </x:c>
      <x:c r="B1" s="2" t="inlineStr">
        <x:is>
          <x:t xml:space="preserve">Disease_Key</x:t>
        </x:is>
      </x:c>
      <x:c r="C1" s="2" t="inlineStr">
        <x:is>
          <x:t xml:space="preserve">Disease_Name</x:t>
        </x:is>
      </x:c>
      <x:c r="D1" s="2" t="inlineStr">
        <x:is>
          <x:t xml:space="preserve">Complaint_Group</x:t>
        </x:is>
      </x:c>
      <x:c r="E1" s="2" t="inlineStr">
        <x:is>
          <x:t xml:space="preserve">Age_Group</x:t>
        </x:is>
      </x:c>
      <x:c r="F1" s="2" t="inlineStr">
        <x:is>
          <x:t xml:space="preserve">Severity</x:t>
        </x:is>
      </x:c>
      <x:c r="G1" s="2" t="inlineStr">
        <x:is>
          <x:t xml:space="preserve">Default_Row</x:t>
        </x:is>
      </x:c>
      <x:c r="H1" s="2" t="inlineStr">
        <x:is>
          <x:t xml:space="preserve">Display_Order</x:t>
        </x:is>
      </x:c>
      <x:c r="I1" s="2" t="inlineStr">
        <x:is>
          <x:t xml:space="preserve">ICD10_Primary</x:t>
        </x:is>
      </x:c>
      <x:c r="J1" s="2" t="inlineStr">
        <x:is>
          <x:t xml:space="preserve">ICD10_Secondary</x:t>
        </x:is>
      </x:c>
      <x:c r="K1" s="2" t="inlineStr">
        <x:is>
          <x:t xml:space="preserve">Likelihood_Label</x:t>
        </x:is>
      </x:c>
      <x:c r="L1" s="2" t="inlineStr">
        <x:is>
          <x:t xml:space="preserve">Key_Clue</x:t>
        </x:is>
      </x:c>
      <x:c r="M1" s="2" t="inlineStr">
        <x:is>
          <x:t xml:space="preserve">Use_When</x:t>
        </x:is>
      </x:c>
      <x:c r="N1" s="2" t="inlineStr">
        <x:is>
          <x:t xml:space="preserve">Avoid_When</x:t>
        </x:is>
      </x:c>
      <x:c r="O1" s="2" t="inlineStr">
        <x:is>
          <x:t xml:space="preserve">Antibiotic_Indicated</x:t>
        </x:is>
      </x:c>
      <x:c r="P1" s="2" t="inlineStr">
        <x:is>
          <x:t xml:space="preserve">Needs_Peds_Calc</x:t>
        </x:is>
      </x:c>
      <x:c r="Q1" s="2" t="inlineStr">
        <x:is>
          <x:t xml:space="preserve">Red_Flags_One_Line</x:t>
        </x:is>
      </x:c>
      <x:c r="R1" s="2" t="inlineStr">
        <x:is>
          <x:t xml:space="preserve">Notes_Internal</x:t>
        </x:is>
      </x:c>
      <x:c r="S1" s="3" t="inlineStr">
        <x:is>
          <x:t xml:space="preserve">RX1_Display_Name</x:t>
        </x:is>
      </x:c>
      <x:c r="T1" s="3" t="inlineStr">
        <x:is>
          <x:t xml:space="preserve">RX1_BDS</x:t>
        </x:is>
      </x:c>
      <x:c r="U1" s="3" t="inlineStr">
        <x:is>
          <x:t xml:space="preserve">RX1_Order_Line</x:t>
        </x:is>
      </x:c>
      <x:c r="V1" s="3" t="inlineStr">
        <x:is>
          <x:t xml:space="preserve">RX1_Duration</x:t>
        </x:is>
      </x:c>
      <x:c r="W1" s="3" t="inlineStr">
        <x:is>
          <x:t xml:space="preserve">RX1_Dispense</x:t>
        </x:is>
      </x:c>
      <x:c r="X1" s="3" t="inlineStr">
        <x:is>
          <x:t xml:space="preserve">RX1_Quick_SE</x:t>
        </x:is>
      </x:c>
      <x:c r="Y1" s="3" t="inlineStr">
        <x:is>
          <x:t xml:space="preserve">RX1_Quick_Caution</x:t>
        </x:is>
      </x:c>
      <x:c r="Z1" s="3" t="inlineStr">
        <x:is>
          <x:t xml:space="preserve">RX1_Price_Pack_THB</x:t>
        </x:is>
      </x:c>
      <x:c r="AA1" s="3" t="inlineStr">
        <x:is>
          <x:t xml:space="preserve">RX2_Display_Name</x:t>
        </x:is>
      </x:c>
      <x:c r="AB1" s="3" t="inlineStr">
        <x:is>
          <x:t xml:space="preserve">RX2_BDS</x:t>
        </x:is>
      </x:c>
      <x:c r="AC1" s="3" t="inlineStr">
        <x:is>
          <x:t xml:space="preserve">RX2_Order_Line</x:t>
        </x:is>
      </x:c>
      <x:c r="AD1" s="3" t="inlineStr">
        <x:is>
          <x:t xml:space="preserve">RX2_Duration</x:t>
        </x:is>
      </x:c>
      <x:c r="AE1" s="3" t="inlineStr">
        <x:is>
          <x:t xml:space="preserve">RX2_Dispense</x:t>
        </x:is>
      </x:c>
      <x:c r="AF1" s="3" t="inlineStr">
        <x:is>
          <x:t xml:space="preserve">RX2_Quick_SE</x:t>
        </x:is>
      </x:c>
      <x:c r="AG1" s="3" t="inlineStr">
        <x:is>
          <x:t xml:space="preserve">RX2_Quick_Caution</x:t>
        </x:is>
      </x:c>
      <x:c r="AH1" s="3" t="inlineStr">
        <x:is>
          <x:t xml:space="preserve">RX2_Price_Pack_THB</x:t>
        </x:is>
      </x:c>
      <x:c r="AI1" s="3" t="inlineStr">
        <x:is>
          <x:t xml:space="preserve">RX3_Display_Name</x:t>
        </x:is>
      </x:c>
      <x:c r="AJ1" s="3" t="inlineStr">
        <x:is>
          <x:t xml:space="preserve">RX3_BDS</x:t>
        </x:is>
      </x:c>
      <x:c r="AK1" s="3" t="inlineStr">
        <x:is>
          <x:t xml:space="preserve">RX3_Order_Line</x:t>
        </x:is>
      </x:c>
      <x:c r="AL1" s="3" t="inlineStr">
        <x:is>
          <x:t xml:space="preserve">RX3_Duration</x:t>
        </x:is>
      </x:c>
      <x:c r="AM1" s="3" t="inlineStr">
        <x:is>
          <x:t xml:space="preserve">RX3_Dispense</x:t>
        </x:is>
      </x:c>
      <x:c r="AN1" s="3" t="inlineStr">
        <x:is>
          <x:t xml:space="preserve">RX3_Quick_SE</x:t>
        </x:is>
      </x:c>
      <x:c r="AO1" s="3" t="inlineStr">
        <x:is>
          <x:t xml:space="preserve">RX3_Quick_Caution</x:t>
        </x:is>
      </x:c>
      <x:c r="AP1" s="3" t="inlineStr">
        <x:is>
          <x:t xml:space="preserve">RX3_Price_Pack_THB</x:t>
        </x:is>
      </x:c>
      <x:c r="AQ1" s="3" t="inlineStr">
        <x:is>
          <x:t xml:space="preserve">RX4_Display_Name</x:t>
        </x:is>
      </x:c>
      <x:c r="AR1" s="3" t="inlineStr">
        <x:is>
          <x:t xml:space="preserve">RX4_BDS</x:t>
        </x:is>
      </x:c>
      <x:c r="AS1" s="3" t="inlineStr">
        <x:is>
          <x:t xml:space="preserve">RX4_Order_Line</x:t>
        </x:is>
      </x:c>
      <x:c r="AT1" s="3" t="inlineStr">
        <x:is>
          <x:t xml:space="preserve">RX4_Duration</x:t>
        </x:is>
      </x:c>
      <x:c r="AU1" s="3" t="inlineStr">
        <x:is>
          <x:t xml:space="preserve">RX4_Dispense</x:t>
        </x:is>
      </x:c>
      <x:c r="AV1" s="3" t="inlineStr">
        <x:is>
          <x:t xml:space="preserve">RX4_Quick_SE</x:t>
        </x:is>
      </x:c>
      <x:c r="AW1" s="3" t="inlineStr">
        <x:is>
          <x:t xml:space="preserve">RX4_Quick_Caution</x:t>
        </x:is>
      </x:c>
      <x:c r="AX1" s="3" t="inlineStr">
        <x:is>
          <x:t xml:space="preserve">RX4_Price_Pack_THB</x:t>
        </x:is>
      </x:c>
      <x:c r="AY1" s="3" t="inlineStr">
        <x:is>
          <x:t xml:space="preserve">SWAP1_Display_Name</x:t>
        </x:is>
      </x:c>
      <x:c r="AZ1" s="3" t="inlineStr">
        <x:is>
          <x:t xml:space="preserve">SWAP1_BDS</x:t>
        </x:is>
      </x:c>
      <x:c r="BA1" s="3" t="inlineStr">
        <x:is>
          <x:t xml:space="preserve">SWAP1_Order_Line</x:t>
        </x:is>
      </x:c>
      <x:c r="BB1" s="3" t="inlineStr">
        <x:is>
          <x:t xml:space="preserve">SWAP1_Duration</x:t>
        </x:is>
      </x:c>
      <x:c r="BC1" s="3" t="inlineStr">
        <x:is>
          <x:t xml:space="preserve">SWAP1_Dispense</x:t>
        </x:is>
      </x:c>
      <x:c r="BD1" s="3" t="inlineStr">
        <x:is>
          <x:t xml:space="preserve">SWAP1_Quick_SE</x:t>
        </x:is>
      </x:c>
      <x:c r="BE1" s="3" t="inlineStr">
        <x:is>
          <x:t xml:space="preserve">SWAP1_Quick_Caution</x:t>
        </x:is>
      </x:c>
      <x:c r="BF1" s="3" t="inlineStr">
        <x:is>
          <x:t xml:space="preserve">SWAP1_Price_Pack_THB</x:t>
        </x:is>
      </x:c>
      <x:c r="BG1" s="3" t="inlineStr">
        <x:is>
          <x:t xml:space="preserve">SWAP2_Display_Name</x:t>
        </x:is>
      </x:c>
      <x:c r="BH1" s="3" t="inlineStr">
        <x:is>
          <x:t xml:space="preserve">SWAP2_BDS</x:t>
        </x:is>
      </x:c>
      <x:c r="BI1" s="3" t="inlineStr">
        <x:is>
          <x:t xml:space="preserve">SWAP2_Order_Line</x:t>
        </x:is>
      </x:c>
      <x:c r="BJ1" s="3" t="inlineStr">
        <x:is>
          <x:t xml:space="preserve">SWAP2_Duration</x:t>
        </x:is>
      </x:c>
      <x:c r="BK1" s="3" t="inlineStr">
        <x:is>
          <x:t xml:space="preserve">SWAP2_Dispense</x:t>
        </x:is>
      </x:c>
      <x:c r="BL1" s="3" t="inlineStr">
        <x:is>
          <x:t xml:space="preserve">SWAP2_Quick_SE</x:t>
        </x:is>
      </x:c>
      <x:c r="BM1" s="3" t="inlineStr">
        <x:is>
          <x:t xml:space="preserve">SWAP2_Quick_Caution</x:t>
        </x:is>
      </x:c>
      <x:c r="BN1" s="3" t="inlineStr">
        <x:is>
          <x:t xml:space="preserve">SWAP2_Price_Pack_THB</x:t>
        </x:is>
      </x:c>
      <x:c r="BO1" s="3" t="inlineStr">
        <x:is>
          <x:t xml:space="preserve">SWAP3_Display_Name</x:t>
        </x:is>
      </x:c>
      <x:c r="BP1" s="3" t="inlineStr">
        <x:is>
          <x:t xml:space="preserve">SWAP3_BDS</x:t>
        </x:is>
      </x:c>
      <x:c r="BQ1" s="3" t="inlineStr">
        <x:is>
          <x:t xml:space="preserve">SWAP3_Order_Line</x:t>
        </x:is>
      </x:c>
      <x:c r="BR1" s="3" t="inlineStr">
        <x:is>
          <x:t xml:space="preserve">SWAP3_Duration</x:t>
        </x:is>
      </x:c>
      <x:c r="BS1" s="3" t="inlineStr">
        <x:is>
          <x:t xml:space="preserve">SWAP3_Dispense</x:t>
        </x:is>
      </x:c>
      <x:c r="BT1" s="3" t="inlineStr">
        <x:is>
          <x:t xml:space="preserve">SWAP3_Quick_SE</x:t>
        </x:is>
      </x:c>
      <x:c r="BU1" s="3" t="inlineStr">
        <x:is>
          <x:t xml:space="preserve">SWAP3_Quick_Caution</x:t>
        </x:is>
      </x:c>
      <x:c r="BV1" s="3" t="inlineStr">
        <x:is>
          <x:t xml:space="preserve">SWAP3_Price_Pack_THB</x:t>
        </x:is>
      </x:c>
    </x:row>
    <x:row r="2" ht="22" customHeight="1">
      <x:c r="A2" t="inlineStr">
        <x:is>
          <x:t xml:space="preserve">FRM0001</x:t>
        </x:is>
      </x:c>
      <x:c r="B2" t="inlineStr">
        <x:is>
          <x:t xml:space="preserve">allergic_rhinitis_adult</x:t>
        </x:is>
      </x:c>
      <x:c r="C2" t="inlineStr">
        <x:is>
          <x:t xml:space="preserve">Allergic rhinitis</x:t>
        </x:is>
      </x:c>
      <x:c r="D2" t="inlineStr">
        <x:is>
          <x:t xml:space="preserve">ENT</x:t>
        </x:is>
      </x:c>
      <x:c r="E2" t="inlineStr">
        <x:is>
          <x:t xml:space="preserve">adult</x:t>
        </x:is>
      </x:c>
      <x:c r="F2" t="inlineStr">
        <x:is>
          <x:t xml:space="preserve">routine_opd</x:t>
        </x:is>
      </x:c>
      <x:c r="G2" t="inlineStr">
        <x:is>
          <x:t xml:space="preserve">Y</x:t>
        </x:is>
      </x:c>
      <x:c r="H2" t="n">
        <x:v>1</x:v>
      </x:c>
      <x:c r="I2" t="inlineStr">
        <x:is>
          <x:t xml:space="preserve">J30.9</x:t>
        </x:is>
      </x:c>
      <x:c r="K2" t="inlineStr">
        <x:is>
          <x:t xml:space="preserve">Most likely</x:t>
        </x:is>
      </x:c>
      <x:c r="L2" t="inlineStr">
        <x:is>
          <x:t xml:space="preserve">runny nose / sneezing / itchy nose</x:t>
        </x:is>
      </x:c>
      <x:c r="M2" t="inlineStr">
        <x:is>
          <x:t xml:space="preserve">uncomplicated outpatient rhinitis</x:t>
        </x:is>
      </x:c>
      <x:c r="N2" t="inlineStr">
        <x:is>
          <x:t xml:space="preserve">fever, focal sinus pain, or red flags present</x:t>
        </x:is>
      </x:c>
      <x:c r="O2" t="inlineStr">
        <x:is>
          <x:t xml:space="preserve">N</x:t>
        </x:is>
      </x:c>
      <x:c r="P2" t="inlineStr">
        <x:is>
          <x:t xml:space="preserve">N</x:t>
        </x:is>
      </x:c>
      <x:c r="Q2" t="inlineStr">
        <x:is>
          <x:t xml:space="preserve">Needs in-person eval today if dyspnea, facial swelling, high fever, or severe sinus pain</x:t>
        </x:is>
      </x:c>
      <x:c r="R2" t="inlineStr">
        <x:is>
          <x:t xml:space="preserve">starter row</x:t>
        </x:is>
      </x:c>
      <x:c r="S2" t="inlineStr">
        <x:is>
          <x:t xml:space="preserve">Zyrtec [Cetirizine dihydrochloride 10 mg.]</x:t>
        </x:is>
      </x:c>
      <x:c r="T2" t="inlineStr">
        <x:is>
          <x:t xml:space="preserve">BDS004213</x:t>
        </x:is>
      </x:c>
      <x:c r="U2" t="inlineStr">
        <x:is>
          <x:t xml:space="preserve">1 tab PO OD</x:t>
        </x:is>
      </x:c>
      <x:c r="V2" t="inlineStr">
        <x:is>
          <x:t xml:space="preserve">5 days</x:t>
        </x:is>
      </x:c>
      <x:c r="W2" t="inlineStr">
        <x:is>
          <x:t xml:space="preserve">1 box (10 tabs)</x:t>
        </x:is>
      </x:c>
      <x:c r="X2" t="inlineStr">
        <x:is>
          <x:t xml:space="preserve">drowsy, dry mouth</x:t>
        </x:is>
      </x:c>
      <x:c r="Y2" t="inlineStr">
        <x:is>
          <x:t xml:space="preserve">caution driving if sleepy</x:t>
        </x:is>
      </x:c>
      <x:c r="Z2" t="n">
        <x:v>216</x:v>
      </x:c>
      <x:c r="AA2" t="inlineStr">
        <x:is>
          <x:t xml:space="preserve">Nasonex 60 doses [Mometasone Furoate Monohydrate (eq. to Mometasone Furoate 50 mcg/dose)+Preservative (Benzalkonium Chloride 0.2 mg/g)]</x:t>
        </x:is>
      </x:c>
      <x:c r="AB2" t="inlineStr">
        <x:is>
          <x:t xml:space="preserve">BDS002805</x:t>
        </x:is>
      </x:c>
      <x:c r="AC2" t="inlineStr">
        <x:is>
          <x:t xml:space="preserve">2 sprays/nostril OD</x:t>
        </x:is>
      </x:c>
      <x:c r="AD2" t="inlineStr">
        <x:is>
          <x:t xml:space="preserve">7–14 days</x:t>
        </x:is>
      </x:c>
      <x:c r="AE2" t="inlineStr">
        <x:is>
          <x:t xml:space="preserve">1 bottle (60 doses)</x:t>
        </x:is>
      </x:c>
      <x:c r="AF2" t="inlineStr">
        <x:is>
          <x:t xml:space="preserve">nasal dryness, epistaxis</x:t>
        </x:is>
      </x:c>
      <x:c r="AG2" t="inlineStr">
        <x:is>
          <x:t xml:space="preserve">daily use; slower onset over days</x:t>
        </x:is>
      </x:c>
      <x:c r="AY2" t="inlineStr">
        <x:is>
          <x:t xml:space="preserve">Telfast 180 mg [Fexofenadine HCl 180 mg.]</x:t>
        </x:is>
      </x:c>
      <x:c r="AZ2" t="inlineStr">
        <x:is>
          <x:t xml:space="preserve">BDS003747</x:t>
        </x:is>
      </x:c>
      <x:c r="BA2" t="inlineStr">
        <x:is>
          <x:t xml:space="preserve">1 tab PO OD</x:t>
        </x:is>
      </x:c>
      <x:c r="BB2" t="inlineStr">
        <x:is>
          <x:t xml:space="preserve">5 days</x:t>
        </x:is>
      </x:c>
      <x:c r="BC2" t="inlineStr">
        <x:is>
          <x:t xml:space="preserve">1 box (10 tabs)</x:t>
        </x:is>
      </x:c>
      <x:c r="BD2" t="inlineStr">
        <x:is>
          <x:t xml:space="preserve">headache, dry mouth</x:t>
        </x:is>
      </x:c>
      <x:c r="BE2" t="inlineStr">
        <x:is>
          <x:t xml:space="preserve">avoid taking with fruit juice close to dose</x:t>
        </x:is>
      </x:c>
      <x:c r="BF2" t="n">
        <x:v>500</x:v>
      </x:c>
      <x:c r="BG2" t="inlineStr">
        <x:is>
          <x:t xml:space="preserve">Nasotapp [Brompheniramine Maleate 4 mg.+Phenylephrine HCl 10 mg.]</x:t>
        </x:is>
      </x:c>
      <x:c r="BH2" t="inlineStr">
        <x:is>
          <x:t xml:space="preserve">BDS045630</x:t>
        </x:is>
      </x:c>
      <x:c r="BI2" t="inlineStr">
        <x:is>
          <x:t xml:space="preserve">1 tab PO q4–6h</x:t>
        </x:is>
      </x:c>
      <x:c r="BJ2" t="inlineStr">
        <x:is>
          <x:t xml:space="preserve">3–5 days</x:t>
        </x:is>
      </x:c>
      <x:c r="BK2" t="inlineStr">
        <x:is>
          <x:t xml:space="preserve">1 strip (10 tabs)</x:t>
        </x:is>
      </x:c>
      <x:c r="BL2" t="inlineStr">
        <x:is>
          <x:t xml:space="preserve">drowsy, palpitation</x:t>
        </x:is>
      </x:c>
      <x:c r="BM2" t="inlineStr">
        <x:is>
          <x:t xml:space="preserve">caution HTN; may cause sleepiness</x:t>
        </x:is>
      </x:c>
      <x:c r="BN2" t="n">
        <x:v>116</x:v>
      </x:c>
    </x:row>
    <x:row r="3" ht="22" customHeight="1">
      <x:c r="A3" t="inlineStr">
        <x:is>
          <x:t xml:space="preserve">FRM0002</x:t>
        </x:is>
      </x:c>
      <x:c r="B3" t="inlineStr">
        <x:is>
          <x:t xml:space="preserve">uri_wet_cough_adult</x:t>
        </x:is>
      </x:c>
      <x:c r="C3" t="inlineStr">
        <x:is>
          <x:t xml:space="preserve">Acute viral URI with productive cough</x:t>
        </x:is>
      </x:c>
      <x:c r="D3" t="inlineStr">
        <x:is>
          <x:t xml:space="preserve">ENT</x:t>
        </x:is>
      </x:c>
      <x:c r="E3" t="inlineStr">
        <x:is>
          <x:t xml:space="preserve">adult</x:t>
        </x:is>
      </x:c>
      <x:c r="F3" t="inlineStr">
        <x:is>
          <x:t xml:space="preserve">routine_opd</x:t>
        </x:is>
      </x:c>
      <x:c r="G3" t="inlineStr">
        <x:is>
          <x:t xml:space="preserve">Y</x:t>
        </x:is>
      </x:c>
      <x:c r="H3" t="n">
        <x:v>1</x:v>
      </x:c>
      <x:c r="I3" t="inlineStr">
        <x:is>
          <x:t xml:space="preserve">J06.9</x:t>
        </x:is>
      </x:c>
      <x:c r="K3" t="inlineStr">
        <x:is>
          <x:t xml:space="preserve">Most likely</x:t>
        </x:is>
      </x:c>
      <x:c r="L3" t="inlineStr">
        <x:is>
          <x:t xml:space="preserve">wet cough / sputum without bacterial features</x:t>
        </x:is>
      </x:c>
      <x:c r="M3" t="inlineStr">
        <x:is>
          <x:t xml:space="preserve">uncomplicated URI with sputum</x:t>
        </x:is>
      </x:c>
      <x:c r="N3" t="inlineStr">
        <x:is>
          <x:t xml:space="preserve">SOB, chest pain, or pneumonia concern</x:t>
        </x:is>
      </x:c>
      <x:c r="O3" t="inlineStr">
        <x:is>
          <x:t xml:space="preserve">N</x:t>
        </x:is>
      </x:c>
      <x:c r="P3" t="inlineStr">
        <x:is>
          <x:t xml:space="preserve">N</x:t>
        </x:is>
      </x:c>
      <x:c r="Q3" t="inlineStr">
        <x:is>
          <x:t xml:space="preserve">Avoid routine antibiotics; Needs in-person eval today if dyspnea, chest pain, or persistent high fever</x:t>
        </x:is>
      </x:c>
      <x:c r="R3" t="inlineStr">
        <x:is>
          <x:t xml:space="preserve">starter row</x:t>
        </x:is>
      </x:c>
      <x:c r="S3" t="inlineStr">
        <x:is>
          <x:t xml:space="preserve">Tylenol 500 mg strip 10s [Paracetamol 500 mg.]</x:t>
        </x:is>
      </x:c>
      <x:c r="T3" t="inlineStr">
        <x:is>
          <x:t xml:space="preserve">BDS003762</x:t>
        </x:is>
      </x:c>
      <x:c r="U3" t="inlineStr">
        <x:is>
          <x:t xml:space="preserve">1–2 tabs PO q4–6h PRN fever/pain</x:t>
        </x:is>
      </x:c>
      <x:c r="V3" t="inlineStr">
        <x:is>
          <x:t xml:space="preserve">3 days</x:t>
        </x:is>
      </x:c>
      <x:c r="W3" t="inlineStr">
        <x:is>
          <x:t xml:space="preserve">1 strip (10 tabs)</x:t>
        </x:is>
      </x:c>
      <x:c r="X3" t="inlineStr">
        <x:is>
          <x:t xml:space="preserve">nausea, rash</x:t>
        </x:is>
      </x:c>
      <x:c r="Y3" t="inlineStr">
        <x:is>
          <x:t xml:space="preserve">avoid duplicate paracetamol; caution liver disease</x:t>
        </x:is>
      </x:c>
      <x:c r="Z3" t="n">
        <x:v>36</x:v>
      </x:c>
      <x:c r="AA3" t="inlineStr">
        <x:is>
          <x:t xml:space="preserve">Nasotapp [Brompheniramine Maleate 4 mg.+Phenylephrine HCl 10 mg.]</x:t>
        </x:is>
      </x:c>
      <x:c r="AB3" t="inlineStr">
        <x:is>
          <x:t xml:space="preserve">BDS045630</x:t>
        </x:is>
      </x:c>
      <x:c r="AC3" t="inlineStr">
        <x:is>
          <x:t xml:space="preserve">1 tab PO q4–6h</x:t>
        </x:is>
      </x:c>
      <x:c r="AD3" t="inlineStr">
        <x:is>
          <x:t xml:space="preserve">3–5 days</x:t>
        </x:is>
      </x:c>
      <x:c r="AE3" t="inlineStr">
        <x:is>
          <x:t xml:space="preserve">1 strip (10 tabs)</x:t>
        </x:is>
      </x:c>
      <x:c r="AF3" t="inlineStr">
        <x:is>
          <x:t xml:space="preserve">drowsy, palpitation</x:t>
        </x:is>
      </x:c>
      <x:c r="AG3" t="inlineStr">
        <x:is>
          <x:t xml:space="preserve">caution HTN; may cause sleepiness</x:t>
        </x:is>
      </x:c>
      <x:c r="AH3" t="n">
        <x:v>116</x:v>
      </x:c>
      <x:c r="AI3" t="inlineStr">
        <x:is>
          <x:t xml:space="preserve">Mucolid [Ambroxol HCl 30 mg.]</x:t>
        </x:is>
      </x:c>
      <x:c r="AJ3" t="inlineStr">
        <x:is>
          <x:t xml:space="preserve">BDS002655</x:t>
        </x:is>
      </x:c>
      <x:c r="AK3" t="inlineStr">
        <x:is>
          <x:t xml:space="preserve">1 tab PO TID–QID</x:t>
        </x:is>
      </x:c>
      <x:c r="AL3" t="inlineStr">
        <x:is>
          <x:t xml:space="preserve">3 days</x:t>
        </x:is>
      </x:c>
      <x:c r="AM3" t="inlineStr">
        <x:is>
          <x:t xml:space="preserve">1 strip (10 tabs)</x:t>
        </x:is>
      </x:c>
      <x:c r="AN3" t="inlineStr">
        <x:is>
          <x:t xml:space="preserve">GI upset</x:t>
        </x:is>
      </x:c>
      <x:c r="AO3" t="inlineStr">
        <x:is>
          <x:t xml:space="preserve">encourage hydration</x:t>
        </x:is>
      </x:c>
      <x:c r="AP3" t="n">
        <x:v>90</x:v>
      </x:c>
      <x:c r="AY3" t="inlineStr">
        <x:is>
          <x:t xml:space="preserve">Nac Long [Acetylcysteine 600 mg.]</x:t>
        </x:is>
      </x:c>
      <x:c r="AZ3" t="inlineStr">
        <x:is>
          <x:t xml:space="preserve">BDS002901</x:t>
        </x:is>
      </x:c>
      <x:c r="BA3" t="inlineStr">
        <x:is>
          <x:t xml:space="preserve">1 eff tab PO OD</x:t>
        </x:is>
      </x:c>
      <x:c r="BB3" t="inlineStr">
        <x:is>
          <x:t xml:space="preserve">5 days</x:t>
        </x:is>
      </x:c>
      <x:c r="BC3" t="inlineStr">
        <x:is>
          <x:t xml:space="preserve">1 tube (10 tabs)</x:t>
        </x:is>
      </x:c>
      <x:c r="BD3" t="inlineStr">
        <x:is>
          <x:t xml:space="preserve">GI upset</x:t>
        </x:is>
      </x:c>
      <x:c r="BE3" t="inlineStr">
        <x:is>
          <x:t xml:space="preserve">encourage hydration</x:t>
        </x:is>
      </x:c>
      <x:c r="BF3" t="n">
        <x:v>270</x:v>
      </x:c>
    </x:row>
    <x:row r="4" ht="22" customHeight="1">
      <x:c r="A4" t="inlineStr">
        <x:is>
          <x:t xml:space="preserve">FRM0003</x:t>
        </x:is>
      </x:c>
      <x:c r="B4" t="inlineStr">
        <x:is>
          <x:t xml:space="preserve">uri_diarrhea_adult</x:t>
        </x:is>
      </x:c>
      <x:c r="C4" t="inlineStr">
        <x:is>
          <x:t xml:space="preserve">Acute viral URI with acute infectious diarrhea</x:t>
        </x:is>
      </x:c>
      <x:c r="D4" t="inlineStr">
        <x:is>
          <x:t xml:space="preserve">Mixed</x:t>
        </x:is>
      </x:c>
      <x:c r="E4" t="inlineStr">
        <x:is>
          <x:t xml:space="preserve">adult</x:t>
        </x:is>
      </x:c>
      <x:c r="F4" t="inlineStr">
        <x:is>
          <x:t xml:space="preserve">routine_opd</x:t>
        </x:is>
      </x:c>
      <x:c r="G4" t="inlineStr">
        <x:is>
          <x:t xml:space="preserve">Y</x:t>
        </x:is>
      </x:c>
      <x:c r="H4" t="n">
        <x:v>1</x:v>
      </x:c>
      <x:c r="I4" t="inlineStr">
        <x:is>
          <x:t xml:space="preserve">J06.9</x:t>
        </x:is>
      </x:c>
      <x:c r="J4" t="inlineStr">
        <x:is>
          <x:t xml:space="preserve">A09</x:t>
        </x:is>
      </x:c>
      <x:c r="K4" t="inlineStr">
        <x:is>
          <x:t xml:space="preserve">Most likely</x:t>
        </x:is>
      </x:c>
      <x:c r="L4" t="inlineStr">
        <x:is>
          <x:t xml:space="preserve">URI symptoms plus non-bloody diarrhea</x:t>
        </x:is>
      </x:c>
      <x:c r="M4" t="inlineStr">
        <x:is>
          <x:t xml:space="preserve">uncomplicated mixed viral syndrome</x:t>
        </x:is>
      </x:c>
      <x:c r="N4" t="inlineStr">
        <x:is>
          <x:t xml:space="preserve">bloody stool, dehydration, or severe abdominal pain</x:t>
        </x:is>
      </x:c>
      <x:c r="O4" t="inlineStr">
        <x:is>
          <x:t xml:space="preserve">N</x:t>
        </x:is>
      </x:c>
      <x:c r="P4" t="inlineStr">
        <x:is>
          <x:t xml:space="preserve">N</x:t>
        </x:is>
      </x:c>
      <x:c r="Q4" t="inlineStr">
        <x:is>
          <x:t xml:space="preserve">Avoid routine antibiotics; Needs in-person eval today if dehydration, bloody stool, dyspnea, or severe abdominal pain</x:t>
        </x:is>
      </x:c>
      <x:c r="R4" t="inlineStr">
        <x:is>
          <x:t xml:space="preserve">starter row</x:t>
        </x:is>
      </x:c>
      <x:c r="S4" t="inlineStr">
        <x:is>
          <x:t xml:space="preserve">Tylenol 500 mg strip 10s [Paracetamol 500 mg.]</x:t>
        </x:is>
      </x:c>
      <x:c r="T4" t="inlineStr">
        <x:is>
          <x:t xml:space="preserve">BDS003762</x:t>
        </x:is>
      </x:c>
      <x:c r="U4" t="inlineStr">
        <x:is>
          <x:t xml:space="preserve">1–2 tabs PO q4–6h PRN fever/pain</x:t>
        </x:is>
      </x:c>
      <x:c r="V4" t="inlineStr">
        <x:is>
          <x:t xml:space="preserve">3 days</x:t>
        </x:is>
      </x:c>
      <x:c r="W4" t="inlineStr">
        <x:is>
          <x:t xml:space="preserve">1 strip (10 tabs)</x:t>
        </x:is>
      </x:c>
      <x:c r="X4" t="inlineStr">
        <x:is>
          <x:t xml:space="preserve">nausea, rash</x:t>
        </x:is>
      </x:c>
      <x:c r="Y4" t="inlineStr">
        <x:is>
          <x:t xml:space="preserve">avoid duplicate paracetamol; caution liver disease</x:t>
        </x:is>
      </x:c>
      <x:c r="Z4" t="n">
        <x:v>36</x:v>
      </x:c>
      <x:c r="AA4" t="inlineStr">
        <x:is>
          <x:t xml:space="preserve">Zyrtec [Cetirizine dihydrochloride 10 mg.]</x:t>
        </x:is>
      </x:c>
      <x:c r="AB4" t="inlineStr">
        <x:is>
          <x:t xml:space="preserve">BDS004213</x:t>
        </x:is>
      </x:c>
      <x:c r="AC4" t="inlineStr">
        <x:is>
          <x:t xml:space="preserve">1 tab PO OD</x:t>
        </x:is>
      </x:c>
      <x:c r="AD4" t="inlineStr">
        <x:is>
          <x:t xml:space="preserve">5 days</x:t>
        </x:is>
      </x:c>
      <x:c r="AE4" t="inlineStr">
        <x:is>
          <x:t xml:space="preserve">1 box (10 tabs)</x:t>
        </x:is>
      </x:c>
      <x:c r="AF4" t="inlineStr">
        <x:is>
          <x:t xml:space="preserve">drowsy, dry mouth</x:t>
        </x:is>
      </x:c>
      <x:c r="AG4" t="inlineStr">
        <x:is>
          <x:t xml:space="preserve">caution driving if sleepy</x:t>
        </x:is>
      </x:c>
      <x:c r="AH4" t="n">
        <x:v>216</x:v>
      </x:c>
      <x:c r="AI4" t="inlineStr">
        <x:is>
          <x:t xml:space="preserve">Cera ORS รสส้ม [Glucose Anhydrous 3 g.+Sodium Chloride 0.53 g.+Potassium Chloride 0.23 g.+Sodium Citrate Dihydrate 0.44 g.]</x:t>
        </x:is>
      </x:c>
      <x:c r="AJ4" t="inlineStr">
        <x:is>
          <x:t xml:space="preserve">BDS008282</x:t>
        </x:is>
      </x:c>
      <x:c r="AK4" t="inlineStr">
        <x:is>
          <x:t xml:space="preserve">1 sachet in 150 mL water; sip frequently / after each loose stool</x:t>
        </x:is>
      </x:c>
      <x:c r="AL4" t="inlineStr">
        <x:is>
          <x:t xml:space="preserve">1–2 days</x:t>
        </x:is>
      </x:c>
      <x:c r="AM4" t="inlineStr">
        <x:is>
          <x:t xml:space="preserve">1 box (5 sachets)</x:t>
        </x:is>
      </x:c>
      <x:c r="AN4" t="inlineStr">
        <x:is>
          <x:t xml:space="preserve">bloating</x:t>
        </x:is>
      </x:c>
      <x:c r="AO4" t="inlineStr">
        <x:is>
          <x:t xml:space="preserve">mix correctly; small frequent sips</x:t>
        </x:is>
      </x:c>
      <x:c r="AP4" t="n">
        <x:v>76</x:v>
      </x:c>
      <x:c r="AQ4" t="inlineStr">
        <x:is>
          <x:t xml:space="preserve">Bioflor [Lyophilized Saccharomyces boulardii 250 mg.]</x:t>
        </x:is>
      </x:c>
      <x:c r="AR4" t="inlineStr">
        <x:is>
          <x:t xml:space="preserve">BDS001248</x:t>
        </x:is>
      </x:c>
      <x:c r="AS4" t="inlineStr">
        <x:is>
          <x:t xml:space="preserve">1 sachet PO BID</x:t>
        </x:is>
      </x:c>
      <x:c r="AT4" t="inlineStr">
        <x:is>
          <x:t xml:space="preserve">3 days</x:t>
        </x:is>
      </x:c>
      <x:c r="AU4" t="inlineStr">
        <x:is>
          <x:t xml:space="preserve">6 sachets</x:t>
        </x:is>
      </x:c>
      <x:c r="AV4" t="inlineStr">
        <x:is>
          <x:t xml:space="preserve">bloating</x:t>
        </x:is>
      </x:c>
      <x:c r="AW4" t="inlineStr">
        <x:is>
          <x:t xml:space="preserve">assess bloody stool/high fever before simple OPD treatment</x:t>
        </x:is>
      </x:c>
      <x:c r="AY4" t="inlineStr">
        <x:is>
          <x:t xml:space="preserve">Dehecta [Dioctahedral Smectite 3 g./20 ml.]</x:t>
        </x:is>
      </x:c>
      <x:c r="AZ4" t="inlineStr">
        <x:is>
          <x:t xml:space="preserve">BDS042304</x:t>
        </x:is>
      </x:c>
      <x:c r="BA4" t="inlineStr">
        <x:is>
          <x:t xml:space="preserve">1 sachet PO TID–QID</x:t>
        </x:is>
      </x:c>
      <x:c r="BB4" t="inlineStr">
        <x:is>
          <x:t xml:space="preserve">2 days</x:t>
        </x:is>
      </x:c>
      <x:c r="BC4" t="inlineStr">
        <x:is>
          <x:t xml:space="preserve">6 sachets</x:t>
        </x:is>
      </x:c>
      <x:c r="BD4" t="inlineStr">
        <x:is>
          <x:t xml:space="preserve">constipation, bloating</x:t>
        </x:is>
      </x:c>
      <x:c r="BE4" t="inlineStr">
        <x:is>
          <x:t xml:space="preserve">separate from other oral meds</x:t>
        </x:is>
      </x:c>
      <x:c r="BG4" t="inlineStr">
        <x:is>
          <x:t xml:space="preserve">Hidrasec 100 mg. [Racecadotril 100 mg.]</x:t>
        </x:is>
      </x:c>
      <x:c r="BH4" t="inlineStr">
        <x:is>
          <x:t xml:space="preserve">BDS043842</x:t>
        </x:is>
      </x:c>
      <x:c r="BI4" t="inlineStr">
        <x:is>
          <x:t xml:space="preserve">1 cap PO q8h</x:t>
        </x:is>
      </x:c>
      <x:c r="BJ4" t="inlineStr">
        <x:is>
          <x:t xml:space="preserve">2–3 days</x:t>
        </x:is>
      </x:c>
      <x:c r="BK4" t="inlineStr">
        <x:is>
          <x:t xml:space="preserve">1 box (10 caps)</x:t>
        </x:is>
      </x:c>
      <x:c r="BL4" t="inlineStr">
        <x:is>
          <x:t xml:space="preserve">nausea</x:t>
        </x:is>
      </x:c>
      <x:c r="BM4" t="inlineStr">
        <x:is>
          <x:t xml:space="preserve">avoid if bloody stool/high fever; assess dehydration</x:t>
        </x:is>
      </x:c>
      <x:c r="BO4" t="inlineStr">
        <x:is>
          <x:t xml:space="preserve">Nasotapp [Brompheniramine Maleate 4 mg.+Phenylephrine HCl 10 mg.]</x:t>
        </x:is>
      </x:c>
      <x:c r="BP4" t="inlineStr">
        <x:is>
          <x:t xml:space="preserve">BDS045630</x:t>
        </x:is>
      </x:c>
      <x:c r="BQ4" t="inlineStr">
        <x:is>
          <x:t xml:space="preserve">1 tab PO q4–6h</x:t>
        </x:is>
      </x:c>
      <x:c r="BR4" t="inlineStr">
        <x:is>
          <x:t xml:space="preserve">3–5 days</x:t>
        </x:is>
      </x:c>
      <x:c r="BS4" t="inlineStr">
        <x:is>
          <x:t xml:space="preserve">1 strip (10 tabs)</x:t>
        </x:is>
      </x:c>
      <x:c r="BT4" t="inlineStr">
        <x:is>
          <x:t xml:space="preserve">drowsy, palpitation</x:t>
        </x:is>
      </x:c>
      <x:c r="BU4" t="inlineStr">
        <x:is>
          <x:t xml:space="preserve">caution HTN; may cause sleepiness</x:t>
        </x:is>
      </x:c>
      <x:c r="BV4" t="n">
        <x:v>116</x:v>
      </x:c>
    </x:row>
    <x:row r="5" ht="22" customHeight="1">
      <x:c r="A5" t="inlineStr">
        <x:is>
          <x:t xml:space="preserve">FRM0004</x:t>
        </x:is>
      </x:c>
      <x:c r="B5" t="inlineStr">
        <x:is>
          <x:t xml:space="preserve">acute_watery_diarrhea_adult</x:t>
        </x:is>
      </x:c>
      <x:c r="C5" t="inlineStr">
        <x:is>
          <x:t xml:space="preserve">Acute infectious diarrhea / viral gastroenteritis</x:t>
        </x:is>
      </x:c>
      <x:c r="D5" t="inlineStr">
        <x:is>
          <x:t xml:space="preserve">GI</x:t>
        </x:is>
      </x:c>
      <x:c r="E5" t="inlineStr">
        <x:is>
          <x:t xml:space="preserve">adult</x:t>
        </x:is>
      </x:c>
      <x:c r="F5" t="inlineStr">
        <x:is>
          <x:t xml:space="preserve">routine_opd</x:t>
        </x:is>
      </x:c>
      <x:c r="G5" t="inlineStr">
        <x:is>
          <x:t xml:space="preserve">Y</x:t>
        </x:is>
      </x:c>
      <x:c r="H5" t="n">
        <x:v>1</x:v>
      </x:c>
      <x:c r="I5" t="inlineStr">
        <x:is>
          <x:t xml:space="preserve">A09</x:t>
        </x:is>
      </x:c>
      <x:c r="K5" t="inlineStr">
        <x:is>
          <x:t xml:space="preserve">Most likely</x:t>
        </x:is>
      </x:c>
      <x:c r="L5" t="inlineStr">
        <x:is>
          <x:t xml:space="preserve">watery stool without dysentery</x:t>
        </x:is>
      </x:c>
      <x:c r="M5" t="inlineStr">
        <x:is>
          <x:t xml:space="preserve">simple acute watery diarrhea outpatient case</x:t>
        </x:is>
      </x:c>
      <x:c r="N5" t="inlineStr">
        <x:is>
          <x:t xml:space="preserve">bloody stool, high fever, or severe pain</x:t>
        </x:is>
      </x:c>
      <x:c r="O5" t="inlineStr">
        <x:is>
          <x:t xml:space="preserve">N</x:t>
        </x:is>
      </x:c>
      <x:c r="P5" t="inlineStr">
        <x:is>
          <x:t xml:space="preserve">N</x:t>
        </x:is>
      </x:c>
      <x:c r="Q5" t="inlineStr">
        <x:is>
          <x:t xml:space="preserve">Needs in-person eval today if dehydration, bloody stool, severe abdominal pain, or persistent vomiting</x:t>
        </x:is>
      </x:c>
      <x:c r="R5" t="inlineStr">
        <x:is>
          <x:t xml:space="preserve">starter row</x:t>
        </x:is>
      </x:c>
      <x:c r="S5" t="inlineStr">
        <x:is>
          <x:t xml:space="preserve">Cera ORS รสส้ม [Glucose Anhydrous 3 g.+Sodium Chloride 0.53 g.+Potassium Chloride 0.23 g.+Sodium Citrate Dihydrate 0.44 g.]</x:t>
        </x:is>
      </x:c>
      <x:c r="T5" t="inlineStr">
        <x:is>
          <x:t xml:space="preserve">BDS008282</x:t>
        </x:is>
      </x:c>
      <x:c r="U5" t="inlineStr">
        <x:is>
          <x:t xml:space="preserve">1 sachet in 150 mL water; sip frequently / after each loose stool</x:t>
        </x:is>
      </x:c>
      <x:c r="V5" t="inlineStr">
        <x:is>
          <x:t xml:space="preserve">1–2 days</x:t>
        </x:is>
      </x:c>
      <x:c r="W5" t="inlineStr">
        <x:is>
          <x:t xml:space="preserve">1 box (5 sachets)</x:t>
        </x:is>
      </x:c>
      <x:c r="X5" t="inlineStr">
        <x:is>
          <x:t xml:space="preserve">bloating</x:t>
        </x:is>
      </x:c>
      <x:c r="Y5" t="inlineStr">
        <x:is>
          <x:t xml:space="preserve">mix correctly; small frequent sips</x:t>
        </x:is>
      </x:c>
      <x:c r="Z5" t="n">
        <x:v>76</x:v>
      </x:c>
      <x:c r="AA5" t="inlineStr">
        <x:is>
          <x:t xml:space="preserve">Bioflor [Lyophilized Saccharomyces boulardii 250 mg.]</x:t>
        </x:is>
      </x:c>
      <x:c r="AB5" t="inlineStr">
        <x:is>
          <x:t xml:space="preserve">BDS001248</x:t>
        </x:is>
      </x:c>
      <x:c r="AC5" t="inlineStr">
        <x:is>
          <x:t xml:space="preserve">1 sachet PO BID</x:t>
        </x:is>
      </x:c>
      <x:c r="AD5" t="inlineStr">
        <x:is>
          <x:t xml:space="preserve">3 days</x:t>
        </x:is>
      </x:c>
      <x:c r="AE5" t="inlineStr">
        <x:is>
          <x:t xml:space="preserve">6 sachets</x:t>
        </x:is>
      </x:c>
      <x:c r="AF5" t="inlineStr">
        <x:is>
          <x:t xml:space="preserve">bloating</x:t>
        </x:is>
      </x:c>
      <x:c r="AG5" t="inlineStr">
        <x:is>
          <x:t xml:space="preserve">assess bloody stool/high fever before simple OPD treatment</x:t>
        </x:is>
      </x:c>
      <x:c r="AY5" t="inlineStr">
        <x:is>
          <x:t xml:space="preserve">Dehecta [Dioctahedral Smectite 3 g./20 ml.]</x:t>
        </x:is>
      </x:c>
      <x:c r="AZ5" t="inlineStr">
        <x:is>
          <x:t xml:space="preserve">BDS042304</x:t>
        </x:is>
      </x:c>
      <x:c r="BA5" t="inlineStr">
        <x:is>
          <x:t xml:space="preserve">1 sachet PO TID–QID</x:t>
        </x:is>
      </x:c>
      <x:c r="BB5" t="inlineStr">
        <x:is>
          <x:t xml:space="preserve">2 days</x:t>
        </x:is>
      </x:c>
      <x:c r="BC5" t="inlineStr">
        <x:is>
          <x:t xml:space="preserve">6 sachets</x:t>
        </x:is>
      </x:c>
      <x:c r="BD5" t="inlineStr">
        <x:is>
          <x:t xml:space="preserve">constipation, bloating</x:t>
        </x:is>
      </x:c>
      <x:c r="BE5" t="inlineStr">
        <x:is>
          <x:t xml:space="preserve">separate from other oral meds</x:t>
        </x:is>
      </x:c>
      <x:c r="BG5" t="inlineStr">
        <x:is>
          <x:t xml:space="preserve">Hidrasec 100 mg. [Racecadotril 100 mg.]</x:t>
        </x:is>
      </x:c>
      <x:c r="BH5" t="inlineStr">
        <x:is>
          <x:t xml:space="preserve">BDS043842</x:t>
        </x:is>
      </x:c>
      <x:c r="BI5" t="inlineStr">
        <x:is>
          <x:t xml:space="preserve">1 cap PO q8h</x:t>
        </x:is>
      </x:c>
      <x:c r="BJ5" t="inlineStr">
        <x:is>
          <x:t xml:space="preserve">2–3 days</x:t>
        </x:is>
      </x:c>
      <x:c r="BK5" t="inlineStr">
        <x:is>
          <x:t xml:space="preserve">1 box (10 caps)</x:t>
        </x:is>
      </x:c>
      <x:c r="BL5" t="inlineStr">
        <x:is>
          <x:t xml:space="preserve">nausea</x:t>
        </x:is>
      </x:c>
      <x:c r="BM5" t="inlineStr">
        <x:is>
          <x:t xml:space="preserve">avoid if bloody stool/high fever; assess dehydration</x:t>
        </x:is>
      </x:c>
    </x:row>
    <x:row r="6" ht="22" customHeight="1">
      <x:c r="A6" t="inlineStr">
        <x:is>
          <x:t xml:space="preserve">FRM0005</x:t>
        </x:is>
      </x:c>
      <x:c r="B6" t="inlineStr">
        <x:is>
          <x:t xml:space="preserve">uri_rash_adult</x:t>
        </x:is>
      </x:c>
      <x:c r="C6" t="inlineStr">
        <x:is>
          <x:t xml:space="preserve">Acute viral URI with viral/allergic rash</x:t>
        </x:is>
      </x:c>
      <x:c r="D6" t="inlineStr">
        <x:is>
          <x:t xml:space="preserve">Mixed</x:t>
        </x:is>
      </x:c>
      <x:c r="E6" t="inlineStr">
        <x:is>
          <x:t xml:space="preserve">adult</x:t>
        </x:is>
      </x:c>
      <x:c r="F6" t="inlineStr">
        <x:is>
          <x:t xml:space="preserve">routine_opd</x:t>
        </x:is>
      </x:c>
      <x:c r="G6" t="inlineStr">
        <x:is>
          <x:t xml:space="preserve">Y</x:t>
        </x:is>
      </x:c>
      <x:c r="H6" t="n">
        <x:v>1</x:v>
      </x:c>
      <x:c r="I6" t="inlineStr">
        <x:is>
          <x:t xml:space="preserve">J06.9</x:t>
        </x:is>
      </x:c>
      <x:c r="J6" t="inlineStr">
        <x:is>
          <x:t xml:space="preserve">R21</x:t>
        </x:is>
      </x:c>
      <x:c r="K6" t="inlineStr">
        <x:is>
          <x:t xml:space="preserve">Most likely</x:t>
        </x:is>
      </x:c>
      <x:c r="L6" t="inlineStr">
        <x:is>
          <x:t xml:space="preserve">URI symptoms with itchy rash but no severe skin red flags</x:t>
        </x:is>
      </x:c>
      <x:c r="M6" t="inlineStr">
        <x:is>
          <x:t xml:space="preserve">uncomplicated viral/allergic rash with URI</x:t>
        </x:is>
      </x:c>
      <x:c r="N6" t="inlineStr">
        <x:is>
          <x:t xml:space="preserve">mucosal lesions, non-blanching rash, or facial swelling</x:t>
        </x:is>
      </x:c>
      <x:c r="O6" t="inlineStr">
        <x:is>
          <x:t xml:space="preserve">N</x:t>
        </x:is>
      </x:c>
      <x:c r="P6" t="inlineStr">
        <x:is>
          <x:t xml:space="preserve">N</x:t>
        </x:is>
      </x:c>
      <x:c r="Q6" t="inlineStr">
        <x:is>
          <x:t xml:space="preserve">Needs in-person eval today if non-blanching rash, mucosal sores, facial swelling/SOB, or rapidly spreading painful rash</x:t>
        </x:is>
      </x:c>
      <x:c r="R6" t="inlineStr">
        <x:is>
          <x:t xml:space="preserve">starter row</x:t>
        </x:is>
      </x:c>
      <x:c r="S6" t="inlineStr">
        <x:is>
          <x:t xml:space="preserve">Tylenol 500 mg strip 10s [Paracetamol 500 mg.]</x:t>
        </x:is>
      </x:c>
      <x:c r="T6" t="inlineStr">
        <x:is>
          <x:t xml:space="preserve">BDS003762</x:t>
        </x:is>
      </x:c>
      <x:c r="U6" t="inlineStr">
        <x:is>
          <x:t xml:space="preserve">1–2 tabs PO q4–6h PRN fever/pain</x:t>
        </x:is>
      </x:c>
      <x:c r="V6" t="inlineStr">
        <x:is>
          <x:t xml:space="preserve">3 days</x:t>
        </x:is>
      </x:c>
      <x:c r="W6" t="inlineStr">
        <x:is>
          <x:t xml:space="preserve">1 strip (10 tabs)</x:t>
        </x:is>
      </x:c>
      <x:c r="X6" t="inlineStr">
        <x:is>
          <x:t xml:space="preserve">nausea, rash</x:t>
        </x:is>
      </x:c>
      <x:c r="Y6" t="inlineStr">
        <x:is>
          <x:t xml:space="preserve">avoid duplicate paracetamol; caution liver disease</x:t>
        </x:is>
      </x:c>
      <x:c r="Z6" t="n">
        <x:v>36</x:v>
      </x:c>
      <x:c r="AA6" t="inlineStr">
        <x:is>
          <x:t xml:space="preserve">Zyrtec [Cetirizine dihydrochloride 10 mg.]</x:t>
        </x:is>
      </x:c>
      <x:c r="AB6" t="inlineStr">
        <x:is>
          <x:t xml:space="preserve">BDS004213</x:t>
        </x:is>
      </x:c>
      <x:c r="AC6" t="inlineStr">
        <x:is>
          <x:t xml:space="preserve">1 tab PO OD</x:t>
        </x:is>
      </x:c>
      <x:c r="AD6" t="inlineStr">
        <x:is>
          <x:t xml:space="preserve">5 days</x:t>
        </x:is>
      </x:c>
      <x:c r="AE6" t="inlineStr">
        <x:is>
          <x:t xml:space="preserve">1 box (10 tabs)</x:t>
        </x:is>
      </x:c>
      <x:c r="AF6" t="inlineStr">
        <x:is>
          <x:t xml:space="preserve">drowsy, dry mouth</x:t>
        </x:is>
      </x:c>
      <x:c r="AG6" t="inlineStr">
        <x:is>
          <x:t xml:space="preserve">caution driving if sleepy</x:t>
        </x:is>
      </x:c>
      <x:c r="AH6" t="n">
        <x:v>216</x:v>
      </x:c>
      <x:c r="AI6" t="inlineStr">
        <x:is>
          <x:t xml:space="preserve">Antergan Cream [Hydrocortisone Acetate 5 mg+Mepyramine Maleate 20 mg/1 g]</x:t>
        </x:is>
      </x:c>
      <x:c r="AJ6" t="inlineStr">
        <x:is>
          <x:t xml:space="preserve">BDS006745</x:t>
        </x:is>
      </x:c>
      <x:c r="AK6" t="inlineStr">
        <x:is>
          <x:t xml:space="preserve">apply thinly BID–TID to itchy rash</x:t>
        </x:is>
      </x:c>
      <x:c r="AL6" t="inlineStr">
        <x:is>
          <x:t xml:space="preserve">5 days</x:t>
        </x:is>
      </x:c>
      <x:c r="AM6" t="inlineStr">
        <x:is>
          <x:t xml:space="preserve">1 tube (10 g)</x:t>
        </x:is>
      </x:c>
      <x:c r="AN6" t="inlineStr">
        <x:is>
          <x:t xml:space="preserve">local irritation</x:t>
        </x:is>
      </x:c>
      <x:c r="AO6" t="inlineStr">
        <x:is>
          <x:t xml:space="preserve">avoid face/eye/open wound</x:t>
        </x:is>
      </x:c>
      <x:c r="AY6" t="inlineStr">
        <x:is>
          <x:t xml:space="preserve">Telfast 180 mg [Fexofenadine HCl 180 mg.]</x:t>
        </x:is>
      </x:c>
      <x:c r="AZ6" t="inlineStr">
        <x:is>
          <x:t xml:space="preserve">BDS003747</x:t>
        </x:is>
      </x:c>
      <x:c r="BA6" t="inlineStr">
        <x:is>
          <x:t xml:space="preserve">1 tab PO OD</x:t>
        </x:is>
      </x:c>
      <x:c r="BB6" t="inlineStr">
        <x:is>
          <x:t xml:space="preserve">5 days</x:t>
        </x:is>
      </x:c>
      <x:c r="BC6" t="inlineStr">
        <x:is>
          <x:t xml:space="preserve">1 box (10 tabs)</x:t>
        </x:is>
      </x:c>
      <x:c r="BD6" t="inlineStr">
        <x:is>
          <x:t xml:space="preserve">headache, dry mouth</x:t>
        </x:is>
      </x:c>
      <x:c r="BE6" t="inlineStr">
        <x:is>
          <x:t xml:space="preserve">avoid taking with fruit juice close to dose</x:t>
        </x:is>
      </x:c>
      <x:c r="BF6" t="n">
        <x:v>500</x:v>
      </x:c>
      <x:c r="BG6" t="inlineStr">
        <x:is>
          <x:t xml:space="preserve">Nasotapp [Brompheniramine Maleate 4 mg.+Phenylephrine HCl 10 mg.]</x:t>
        </x:is>
      </x:c>
      <x:c r="BH6" t="inlineStr">
        <x:is>
          <x:t xml:space="preserve">BDS045630</x:t>
        </x:is>
      </x:c>
      <x:c r="BI6" t="inlineStr">
        <x:is>
          <x:t xml:space="preserve">1 tab PO q4–6h</x:t>
        </x:is>
      </x:c>
      <x:c r="BJ6" t="inlineStr">
        <x:is>
          <x:t xml:space="preserve">3–5 days</x:t>
        </x:is>
      </x:c>
      <x:c r="BK6" t="inlineStr">
        <x:is>
          <x:t xml:space="preserve">1 strip (10 tabs)</x:t>
        </x:is>
      </x:c>
      <x:c r="BL6" t="inlineStr">
        <x:is>
          <x:t xml:space="preserve">drowsy, palpitation</x:t>
        </x:is>
      </x:c>
      <x:c r="BM6" t="inlineStr">
        <x:is>
          <x:t xml:space="preserve">caution HTN; may cause sleepiness</x:t>
        </x:is>
      </x:c>
      <x:c r="BN6" t="n">
        <x:v>116</x:v>
      </x:c>
    </x:row>
    <x:row r="7" ht="22" customHeight="1">
      <x:c r="A7" t="inlineStr">
        <x:is>
          <x:t xml:space="preserve">FRM0006</x:t>
        </x:is>
      </x:c>
      <x:c r="B7" t="inlineStr">
        <x:is>
          <x:t xml:space="preserve">sore_throat_adult</x:t>
        </x:is>
      </x:c>
      <x:c r="C7" t="inlineStr">
        <x:is>
          <x:t xml:space="preserve">Acute sore throat / pharyngeal irritation</x:t>
        </x:is>
      </x:c>
      <x:c r="D7" t="inlineStr">
        <x:is>
          <x:t xml:space="preserve">ENT</x:t>
        </x:is>
      </x:c>
      <x:c r="E7" t="inlineStr">
        <x:is>
          <x:t xml:space="preserve">adult</x:t>
        </x:is>
      </x:c>
      <x:c r="F7" t="inlineStr">
        <x:is>
          <x:t xml:space="preserve">routine_opd</x:t>
        </x:is>
      </x:c>
      <x:c r="G7" t="inlineStr">
        <x:is>
          <x:t xml:space="preserve">Y</x:t>
        </x:is>
      </x:c>
      <x:c r="H7" t="n">
        <x:v>1</x:v>
      </x:c>
      <x:c r="I7" t="inlineStr">
        <x:is>
          <x:t xml:space="preserve">J02.9</x:t>
        </x:is>
      </x:c>
      <x:c r="K7" t="inlineStr">
        <x:is>
          <x:t xml:space="preserve">Most likely</x:t>
        </x:is>
      </x:c>
      <x:c r="L7" t="inlineStr">
        <x:is>
          <x:t xml:space="preserve">sore throat without bacterial red flags</x:t>
        </x:is>
      </x:c>
      <x:c r="M7" t="inlineStr">
        <x:is>
          <x:t xml:space="preserve">simple sore throat / irritation outpatient case</x:t>
        </x:is>
      </x:c>
      <x:c r="N7" t="inlineStr">
        <x:is>
          <x:t xml:space="preserve">drooling, muffled voice, or severe unilateral pain</x:t>
        </x:is>
      </x:c>
      <x:c r="O7" t="inlineStr">
        <x:is>
          <x:t xml:space="preserve">N</x:t>
        </x:is>
      </x:c>
      <x:c r="P7" t="inlineStr">
        <x:is>
          <x:t xml:space="preserve">N</x:t>
        </x:is>
      </x:c>
      <x:c r="Q7" t="inlineStr">
        <x:is>
          <x:t xml:space="preserve">Avoid routine antibiotics; Needs in-person eval today if drooling, muffled voice, dyspnea, or inability to swallow fluids</x:t>
        </x:is>
      </x:c>
      <x:c r="R7" t="inlineStr">
        <x:is>
          <x:t xml:space="preserve">starter row</x:t>
        </x:is>
      </x:c>
      <x:c r="S7" t="inlineStr">
        <x:is>
          <x:t xml:space="preserve">Tylenol 500 mg strip 10s [Paracetamol 500 mg.]</x:t>
        </x:is>
      </x:c>
      <x:c r="T7" t="inlineStr">
        <x:is>
          <x:t xml:space="preserve">BDS003762</x:t>
        </x:is>
      </x:c>
      <x:c r="U7" t="inlineStr">
        <x:is>
          <x:t xml:space="preserve">1–2 tabs PO q4–6h PRN fever/pain</x:t>
        </x:is>
      </x:c>
      <x:c r="V7" t="inlineStr">
        <x:is>
          <x:t xml:space="preserve">3 days</x:t>
        </x:is>
      </x:c>
      <x:c r="W7" t="inlineStr">
        <x:is>
          <x:t xml:space="preserve">1 strip (10 tabs)</x:t>
        </x:is>
      </x:c>
      <x:c r="X7" t="inlineStr">
        <x:is>
          <x:t xml:space="preserve">nausea, rash</x:t>
        </x:is>
      </x:c>
      <x:c r="Y7" t="inlineStr">
        <x:is>
          <x:t xml:space="preserve">avoid duplicate paracetamol; caution liver disease</x:t>
        </x:is>
      </x:c>
      <x:c r="Z7" t="n">
        <x:v>36</x:v>
      </x:c>
      <x:c r="AA7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AB7" t="inlineStr">
        <x:is>
          <x:t xml:space="preserve">BDS002411</x:t>
        </x:is>
      </x:c>
      <x:c r="AC7" t="inlineStr">
        <x:is>
          <x:t xml:space="preserve">2 sprays to mouth/throat TID</x:t>
        </x:is>
      </x:c>
      <x:c r="AD7" t="inlineStr">
        <x:is>
          <x:t xml:space="preserve">5 days</x:t>
        </x:is>
      </x:c>
      <x:c r="AE7" t="inlineStr">
        <x:is>
          <x:t xml:space="preserve">1 bottle (15 mL)</x:t>
        </x:is>
      </x:c>
      <x:c r="AF7" t="inlineStr">
        <x:is>
          <x:t xml:space="preserve">local irritation</x:t>
        </x:is>
      </x:c>
      <x:c r="AG7" t="inlineStr">
        <x:is>
          <x:t xml:space="preserve">avoid if ingredient allergy</x:t>
        </x:is>
      </x:c>
      <x:c r="AH7" t="n">
        <x:v>163.5</x:v>
      </x:c>
      <x:c r="AY7" t="inlineStr">
        <x:is>
          <x:t xml:space="preserve">Difflam Forte Spray [Benzydamine Hydrochloride 3 mg.+Ethanol+Saccharin Sodium+Methyl Hydroxybenzoate+Glycerol+PEG-40 Hydrogenated castor oil/ml.]</x:t>
        </x:is>
      </x:c>
      <x:c r="AZ7" t="inlineStr">
        <x:is>
          <x:t xml:space="preserve">BDS006462</x:t>
        </x:is>
      </x:c>
      <x:c r="BA7" t="inlineStr">
        <x:is>
          <x:t xml:space="preserve">2–4 sprays to throat PRN</x:t>
        </x:is>
      </x:c>
      <x:c r="BB7" t="inlineStr">
        <x:is>
          <x:t xml:space="preserve">5 days</x:t>
        </x:is>
      </x:c>
      <x:c r="BC7" t="inlineStr">
        <x:is>
          <x:t xml:space="preserve">1 bottle (15 mL)</x:t>
        </x:is>
      </x:c>
      <x:c r="BD7" t="inlineStr">
        <x:is>
          <x:t xml:space="preserve">local stinging, numbness</x:t>
        </x:is>
      </x:c>
      <x:c r="BE7" t="inlineStr">
        <x:is>
          <x:t xml:space="preserve">do not swallow large amounts</x:t>
        </x:is>
      </x:c>
      <x:c r="BF7" t="n">
        <x:v>529</x:v>
      </x:c>
    </x:row>
    <x:row r="8" ht="22" customHeight="1">
      <x:c r="A8" t="inlineStr">
        <x:is>
          <x:t xml:space="preserve">FRM0007</x:t>
        </x:is>
      </x:c>
      <x:c r="B8" t="inlineStr">
        <x:is>
          <x:t xml:space="preserve">dry_eye_adult</x:t>
        </x:is>
      </x:c>
      <x:c r="C8" t="inlineStr">
        <x:is>
          <x:t xml:space="preserve">Symptomatic dry eye syndrome</x:t>
        </x:is>
      </x:c>
      <x:c r="D8" t="inlineStr">
        <x:is>
          <x:t xml:space="preserve">Eye</x:t>
        </x:is>
      </x:c>
      <x:c r="E8" t="inlineStr">
        <x:is>
          <x:t xml:space="preserve">adult</x:t>
        </x:is>
      </x:c>
      <x:c r="F8" t="inlineStr">
        <x:is>
          <x:t xml:space="preserve">routine_opd</x:t>
        </x:is>
      </x:c>
      <x:c r="G8" t="inlineStr">
        <x:is>
          <x:t xml:space="preserve">Y</x:t>
        </x:is>
      </x:c>
      <x:c r="H8" t="n">
        <x:v>1</x:v>
      </x:c>
      <x:c r="I8" t="inlineStr">
        <x:is>
          <x:t xml:space="preserve">H04.129</x:t>
        </x:is>
      </x:c>
      <x:c r="K8" t="inlineStr">
        <x:is>
          <x:t xml:space="preserve">Most likely</x:t>
        </x:is>
      </x:c>
      <x:c r="L8" t="inlineStr">
        <x:is>
          <x:t xml:space="preserve">gritty / burning / dry sensation without infection</x:t>
        </x:is>
      </x:c>
      <x:c r="M8" t="inlineStr">
        <x:is>
          <x:t xml:space="preserve">primary dry eye / screen-related irritation without red flags</x:t>
        </x:is>
      </x:c>
      <x:c r="N8" t="inlineStr">
        <x:is>
          <x:t xml:space="preserve">severe pain, photophobia, or vision loss</x:t>
        </x:is>
      </x:c>
      <x:c r="O8" t="inlineStr">
        <x:is>
          <x:t xml:space="preserve">N</x:t>
        </x:is>
      </x:c>
      <x:c r="P8" t="inlineStr">
        <x:is>
          <x:t xml:space="preserve">N</x:t>
        </x:is>
      </x:c>
      <x:c r="Q8" t="inlineStr">
        <x:is>
          <x:t xml:space="preserve">Needs in-person eval today if eye pain, photophobia, vision loss, or contact-lens related red eye</x:t>
        </x:is>
      </x:c>
      <x:c r="R8" t="inlineStr">
        <x:is>
          <x:t xml:space="preserve">refined v3 main eye dryness row</x:t>
        </x:is>
      </x:c>
      <x:c r="S8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T8" t="inlineStr">
        <x:is>
          <x:t xml:space="preserve">BDS004035</x:t>
        </x:is>
      </x:c>
      <x:c r="U8" t="inlineStr">
        <x:is>
          <x:t xml:space="preserve">1–2 drops OU / affected eye PRN</x:t>
        </x:is>
      </x:c>
      <x:c r="V8" t="inlineStr">
        <x:is>
          <x:t xml:space="preserve">7 days</x:t>
        </x:is>
      </x:c>
      <x:c r="W8" t="inlineStr">
        <x:is>
          <x:t xml:space="preserve">1 box (20 tubes)</x:t>
        </x:is>
      </x:c>
      <x:c r="X8" t="inlineStr">
        <x:is>
          <x:t xml:space="preserve">transient blur</x:t>
        </x:is>
      </x:c>
      <x:c r="Y8" t="inlineStr">
        <x:is>
          <x:t xml:space="preserve">contact lens precautions</x:t>
        </x:is>
      </x:c>
      <x:c r="AY8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Z8" t="inlineStr">
        <x:is>
          <x:t xml:space="preserve">BDS001552</x:t>
        </x:is>
      </x:c>
      <x:c r="BA8" t="inlineStr">
        <x:is>
          <x:t xml:space="preserve">1–2 drops OU / affected eye PRN</x:t>
        </x:is>
      </x:c>
      <x:c r="BB8" t="inlineStr">
        <x:is>
          <x:t xml:space="preserve">7 days</x:t>
        </x:is>
      </x:c>
      <x:c r="BC8" t="inlineStr">
        <x:is>
          <x:t xml:space="preserve">1 box (30 tubes)</x:t>
        </x:is>
      </x:c>
      <x:c r="BD8" t="inlineStr">
        <x:is>
          <x:t xml:space="preserve">transient blur</x:t>
        </x:is>
      </x:c>
      <x:c r="BE8" t="inlineStr">
        <x:is>
          <x:t xml:space="preserve">contact lens precautions</x:t>
        </x:is>
      </x:c>
    </x:row>
    <x:row r="9" ht="22" customHeight="1">
      <x:c r="A9" t="inlineStr">
        <x:is>
          <x:t xml:space="preserve">FRM0008</x:t>
        </x:is>
      </x:c>
      <x:c r="B9" t="inlineStr">
        <x:is>
          <x:t xml:space="preserve">acute_watery_diarrhea_peds</x:t>
        </x:is>
      </x:c>
      <x:c r="C9" t="inlineStr">
        <x:is>
          <x:t xml:space="preserve">Acute watery diarrhea (pediatric starter row)</x:t>
        </x:is>
      </x:c>
      <x:c r="D9" t="inlineStr">
        <x:is>
          <x:t xml:space="preserve">GI</x:t>
        </x:is>
      </x:c>
      <x:c r="E9" t="inlineStr">
        <x:is>
          <x:t xml:space="preserve">peds</x:t>
        </x:is>
      </x:c>
      <x:c r="F9" t="inlineStr">
        <x:is>
          <x:t xml:space="preserve">routine_opd</x:t>
        </x:is>
      </x:c>
      <x:c r="G9" t="inlineStr">
        <x:is>
          <x:t xml:space="preserve">Y</x:t>
        </x:is>
      </x:c>
      <x:c r="H9" t="n">
        <x:v>1</x:v>
      </x:c>
      <x:c r="I9" t="inlineStr">
        <x:is>
          <x:t xml:space="preserve">A09</x:t>
        </x:is>
      </x:c>
      <x:c r="K9" t="inlineStr">
        <x:is>
          <x:t xml:space="preserve">Most likely</x:t>
        </x:is>
      </x:c>
      <x:c r="L9" t="inlineStr">
        <x:is>
          <x:t xml:space="preserve">pediatric watery stool without dysentery</x:t>
        </x:is>
      </x:c>
      <x:c r="M9" t="inlineStr">
        <x:is>
          <x:t xml:space="preserve">starter row uses supportive care and peds sheet</x:t>
        </x:is>
      </x:c>
      <x:c r="N9" t="inlineStr">
        <x:is>
          <x:t xml:space="preserve">needs verified pediatric dose logic beyond supportive care</x:t>
        </x:is>
      </x:c>
      <x:c r="O9" t="inlineStr">
        <x:is>
          <x:t xml:space="preserve">N</x:t>
        </x:is>
      </x:c>
      <x:c r="P9" t="inlineStr">
        <x:is>
          <x:t xml:space="preserve">Y</x:t>
        </x:is>
      </x:c>
      <x:c r="Q9" t="inlineStr">
        <x:is>
          <x:t xml:space="preserve">Needs in-person eval today if lethargy, dehydration, bloody stool, persistent vomiting, or unable to drink</x:t>
        </x:is>
      </x:c>
      <x:c r="R9" t="inlineStr">
        <x:is>
          <x:t xml:space="preserve">starter row; supportive care only</x:t>
        </x:is>
      </x:c>
      <x:c r="S9" t="inlineStr">
        <x:is>
          <x:t xml:space="preserve">Cera ORS รสส้ม [Glucose Anhydrous 3 g.+Sodium Chloride 0.53 g.+Potassium Chloride 0.23 g.+Sodium Citrate Dihydrate 0.44 g.]</x:t>
        </x:is>
      </x:c>
      <x:c r="T9" t="inlineStr">
        <x:is>
          <x:t xml:space="preserve">BDS008282</x:t>
        </x:is>
      </x:c>
      <x:c r="U9" t="inlineStr">
        <x:is>
          <x:t xml:space="preserve">1 sachet in 150 mL water; small frequent sips</x:t>
        </x:is>
      </x:c>
      <x:c r="V9" t="inlineStr">
        <x:is>
          <x:t xml:space="preserve">1–2 days</x:t>
        </x:is>
      </x:c>
      <x:c r="W9" t="inlineStr">
        <x:is>
          <x:t xml:space="preserve">1 box (5 sachets)</x:t>
        </x:is>
      </x:c>
      <x:c r="X9" t="inlineStr">
        <x:is>
          <x:t xml:space="preserve">bloating</x:t>
        </x:is>
      </x:c>
      <x:c r="Y9" t="inlineStr">
        <x:is>
          <x:t xml:space="preserve">mix correctly; small frequent sips</x:t>
        </x:is>
      </x:c>
      <x:c r="Z9" t="n">
        <x:v>76</x:v>
      </x:c>
    </x:row>
    <x:row r="10">
      <x:c r="A10" t="inlineStr">
        <x:is>
          <x:t xml:space="preserve">FRM0009</x:t>
        </x:is>
      </x:c>
      <x:c r="B10" t="inlineStr">
        <x:is>
          <x:t xml:space="preserve">uri_dry_cough_adult</x:t>
        </x:is>
      </x:c>
      <x:c r="C10" t="inlineStr">
        <x:is>
          <x:t xml:space="preserve">Acute viral URI with dry cough</x:t>
        </x:is>
      </x:c>
      <x:c r="D10" t="inlineStr">
        <x:is>
          <x:t xml:space="preserve">ENT</x:t>
        </x:is>
      </x:c>
      <x:c r="E10" t="inlineStr">
        <x:is>
          <x:t xml:space="preserve">adult</x:t>
        </x:is>
      </x:c>
      <x:c r="F10" t="inlineStr">
        <x:is>
          <x:t xml:space="preserve">routine_opd</x:t>
        </x:is>
      </x:c>
      <x:c r="G10" t="inlineStr">
        <x:is>
          <x:t xml:space="preserve">Y</x:t>
        </x:is>
      </x:c>
      <x:c r="H10" t="n">
        <x:v>1</x:v>
      </x:c>
      <x:c r="I10" t="inlineStr">
        <x:is>
          <x:t xml:space="preserve">J06.9</x:t>
        </x:is>
      </x:c>
      <x:c r="K10" t="inlineStr">
        <x:is>
          <x:t xml:space="preserve">Most likely</x:t>
        </x:is>
      </x:c>
      <x:c r="L10" t="inlineStr">
        <x:is>
          <x:t xml:space="preserve">dry cough / throat tickle without focal bacterial features</x:t>
        </x:is>
      </x:c>
      <x:c r="M10" t="inlineStr">
        <x:is>
          <x:t xml:space="preserve">uncomplicated dry cough disturbing sleep or activity</x:t>
        </x:is>
      </x:c>
      <x:c r="N10" t="inlineStr">
        <x:is>
          <x:t xml:space="preserve">SOB, wheeze, chest pain, or pneumonia concern</x:t>
        </x:is>
      </x:c>
      <x:c r="O10" t="inlineStr">
        <x:is>
          <x:t xml:space="preserve">N</x:t>
        </x:is>
      </x:c>
      <x:c r="P10" t="inlineStr">
        <x:is>
          <x:t xml:space="preserve">N</x:t>
        </x:is>
      </x:c>
      <x:c r="Q10" t="inlineStr">
        <x:is>
          <x:t xml:space="preserve">Avoid routine antibiotics; Needs in-person eval today if dyspnea, chest pain, or persistent high fever</x:t>
        </x:is>
      </x:c>
      <x:c r="R10" t="inlineStr">
        <x:is>
          <x:t xml:space="preserve">expanded starter row</x:t>
        </x:is>
      </x:c>
      <x:c r="S10" t="inlineStr">
        <x:is>
          <x:t xml:space="preserve">Tylenol 500 mg strip 10s [Paracetamol 500 mg.]</x:t>
        </x:is>
      </x:c>
      <x:c r="T10" t="inlineStr">
        <x:is>
          <x:t xml:space="preserve">BDS003762</x:t>
        </x:is>
      </x:c>
      <x:c r="U10" t="inlineStr">
        <x:is>
          <x:t xml:space="preserve">1–2 tabs PO q4–6h PRN fever/pain</x:t>
        </x:is>
      </x:c>
      <x:c r="V10" t="inlineStr">
        <x:is>
          <x:t xml:space="preserve">3 days</x:t>
        </x:is>
      </x:c>
      <x:c r="W10" t="inlineStr">
        <x:is>
          <x:t xml:space="preserve">1 strip (10 tabs)</x:t>
        </x:is>
      </x:c>
      <x:c r="X10" t="inlineStr">
        <x:is>
          <x:t xml:space="preserve">nausea, rash</x:t>
        </x:is>
      </x:c>
      <x:c r="Y10" t="inlineStr">
        <x:is>
          <x:t xml:space="preserve">avoid duplicate paracetamol; caution liver disease</x:t>
        </x:is>
      </x:c>
      <x:c r="Z10" t="n">
        <x:v>36</x:v>
      </x:c>
      <x:c r="AA10" t="inlineStr">
        <x:is>
          <x:t xml:space="preserve">Nasotapp [Brompheniramine Maleate 4 mg.+Phenylephrine HCl 10 mg.]</x:t>
        </x:is>
      </x:c>
      <x:c r="AB10" t="inlineStr">
        <x:is>
          <x:t xml:space="preserve">BDS045630</x:t>
        </x:is>
      </x:c>
      <x:c r="AC10" t="inlineStr">
        <x:is>
          <x:t xml:space="preserve">1 tab PO q4–6h</x:t>
        </x:is>
      </x:c>
      <x:c r="AD10" t="inlineStr">
        <x:is>
          <x:t xml:space="preserve">3–5 days</x:t>
        </x:is>
      </x:c>
      <x:c r="AE10" t="inlineStr">
        <x:is>
          <x:t xml:space="preserve">1 strip (10 tabs)</x:t>
        </x:is>
      </x:c>
      <x:c r="AF10" t="inlineStr">
        <x:is>
          <x:t xml:space="preserve">drowsy, palpitation</x:t>
        </x:is>
      </x:c>
      <x:c r="AG10" t="inlineStr">
        <x:is>
          <x:t xml:space="preserve">caution HTN; may cause sleepiness</x:t>
        </x:is>
      </x:c>
      <x:c r="AH10" t="n">
        <x:v>116</x:v>
      </x:c>
      <x:c r="AI10" t="inlineStr">
        <x:is>
          <x:t xml:space="preserve">Icolid (ควบคุมจำนวน) [Dextromethorphan HBr 15 mg.]</x:t>
        </x:is>
      </x:c>
      <x:c r="AJ10" t="inlineStr">
        <x:is>
          <x:t xml:space="preserve">BDS002211</x:t>
        </x:is>
      </x:c>
      <x:c r="AK10" t="inlineStr">
        <x:is>
          <x:t xml:space="preserve">1–2 tabs PO TID</x:t>
        </x:is>
      </x:c>
      <x:c r="AL10" t="inlineStr">
        <x:is>
          <x:t xml:space="preserve">3 days</x:t>
        </x:is>
      </x:c>
      <x:c r="AM10" t="inlineStr">
        <x:is>
          <x:t xml:space="preserve">1 strip (10 tabs)</x:t>
        </x:is>
      </x:c>
      <x:c r="AN10" t="inlineStr">
        <x:is>
          <x:t xml:space="preserve">drowsy, dizzy</x:t>
        </x:is>
      </x:c>
      <x:c r="AO10" t="inlineStr">
        <x:is>
          <x:t xml:space="preserve">avoid with serotonergic meds; do not suppress heavy sputum</x:t>
        </x:is>
      </x:c>
      <x:c r="AP10" t="n">
        <x:v>50</x:v>
      </x:c>
      <x:c r="AY10" t="inlineStr">
        <x:is>
          <x:t xml:space="preserve">Fartussin (ควบคุมจำนวน) [Dextromethorphan HBr 15 mg.+Glyceryl Guaiacolate 100 mg.+Terpin Hydrate 130 mg.]</x:t>
        </x:is>
      </x:c>
      <x:c r="AZ10" t="inlineStr">
        <x:is>
          <x:t xml:space="preserve">BDS007973</x:t>
        </x:is>
      </x:c>
      <x:c r="BA10" t="inlineStr">
        <x:is>
          <x:t xml:space="preserve">1–2 tabs PO TID–QID</x:t>
        </x:is>
      </x:c>
      <x:c r="BB10" t="inlineStr">
        <x:is>
          <x:t xml:space="preserve">3 days</x:t>
        </x:is>
      </x:c>
      <x:c r="BC10" t="inlineStr">
        <x:is>
          <x:t xml:space="preserve">1 strip (10 tabs)</x:t>
        </x:is>
      </x:c>
      <x:c r="BD10" t="inlineStr">
        <x:is>
          <x:t xml:space="preserve">drowsy, GI upset</x:t>
        </x:is>
      </x:c>
      <x:c r="BE10" t="inlineStr">
        <x:is>
          <x:t xml:space="preserve">limit ≤2 packs; avoid if heavy sputum suppression is undesirable</x:t>
        </x:is>
      </x:c>
      <x:c r="BG10" t="inlineStr">
        <x:is>
          <x:t xml:space="preserve">Telfast 180 mg [Fexofenadine HCl 180 mg.]</x:t>
        </x:is>
      </x:c>
      <x:c r="BH10" t="inlineStr">
        <x:is>
          <x:t xml:space="preserve">BDS003747</x:t>
        </x:is>
      </x:c>
      <x:c r="BI10" t="inlineStr">
        <x:is>
          <x:t xml:space="preserve">1 tab PO OD</x:t>
        </x:is>
      </x:c>
      <x:c r="BJ10" t="inlineStr">
        <x:is>
          <x:t xml:space="preserve">5 days</x:t>
        </x:is>
      </x:c>
      <x:c r="BK10" t="inlineStr">
        <x:is>
          <x:t xml:space="preserve">1 box (10 tabs)</x:t>
        </x:is>
      </x:c>
      <x:c r="BL10" t="inlineStr">
        <x:is>
          <x:t xml:space="preserve">headache, dry mouth</x:t>
        </x:is>
      </x:c>
      <x:c r="BM10" t="inlineStr">
        <x:is>
          <x:t xml:space="preserve">avoid taking with fruit juice close to dose</x:t>
        </x:is>
      </x:c>
      <x:c r="BN10" t="n">
        <x:v>500</x:v>
      </x:c>
    </x:row>
    <x:row r="11">
      <x:c r="A11" t="inlineStr">
        <x:is>
          <x:t xml:space="preserve">FRM0010</x:t>
        </x:is>
      </x:c>
      <x:c r="B11" t="inlineStr">
        <x:is>
          <x:t xml:space="preserve">eye_irritation_adult</x:t>
        </x:is>
      </x:c>
      <x:c r="C11" t="inlineStr">
        <x:is>
          <x:t xml:space="preserve">Eye irritation / dust exposure</x:t>
        </x:is>
      </x:c>
      <x:c r="D11" t="inlineStr">
        <x:is>
          <x:t xml:space="preserve">Eye</x:t>
        </x:is>
      </x:c>
      <x:c r="E11" t="inlineStr">
        <x:is>
          <x:t xml:space="preserve">adult</x:t>
        </x:is>
      </x:c>
      <x:c r="F11" t="inlineStr">
        <x:is>
          <x:t xml:space="preserve">routine_opd</x:t>
        </x:is>
      </x:c>
      <x:c r="G11" t="inlineStr">
        <x:is>
          <x:t xml:space="preserve">Y</x:t>
        </x:is>
      </x:c>
      <x:c r="H11" t="n">
        <x:v>1</x:v>
      </x:c>
      <x:c r="I11" t="inlineStr">
        <x:is>
          <x:t xml:space="preserve">H57.8</x:t>
        </x:is>
      </x:c>
      <x:c r="K11" t="inlineStr">
        <x:is>
          <x:t xml:space="preserve">Most likely</x:t>
        </x:is>
      </x:c>
      <x:c r="L11" t="inlineStr">
        <x:is>
          <x:t xml:space="preserve">irritation after dust / foreign material sensation without severe pain</x:t>
        </x:is>
      </x:c>
      <x:c r="M11" t="inlineStr">
        <x:is>
          <x:t xml:space="preserve">mild irritant eye discomfort outpatient case</x:t>
        </x:is>
      </x:c>
      <x:c r="N11" t="inlineStr">
        <x:is>
          <x:t xml:space="preserve">chemical burn, severe pain, photophobia, or vision loss</x:t>
        </x:is>
      </x:c>
      <x:c r="O11" t="inlineStr">
        <x:is>
          <x:t xml:space="preserve">N</x:t>
        </x:is>
      </x:c>
      <x:c r="P11" t="inlineStr">
        <x:is>
          <x:t xml:space="preserve">N</x:t>
        </x:is>
      </x:c>
      <x:c r="Q11" t="inlineStr">
        <x:is>
          <x:t xml:space="preserve">Needs in-person eval today if chemical exposure, severe pain, photophobia, or vision loss</x:t>
        </x:is>
      </x:c>
      <x:c r="R11" t="inlineStr">
        <x:is>
          <x:t xml:space="preserve">expanded starter row</x:t>
        </x:is>
      </x:c>
      <x:c r="S11" t="inlineStr">
        <x:is>
          <x:t xml:space="preserve">Op-Ize Eye Wash [Boric Acid 2.0 g.+Sodium Borate 0.5 g.+Zinc Sulphate 0.004 g./100 ml.]</x:t>
        </x:is>
      </x:c>
      <x:c r="T11" t="inlineStr">
        <x:is>
          <x:t xml:space="preserve">BDS046208</x:t>
        </x:is>
      </x:c>
      <x:c r="U11" t="inlineStr">
        <x:is>
          <x:t xml:space="preserve">use as eye wash BID–TID PRN</x:t>
        </x:is>
      </x:c>
      <x:c r="V11" t="inlineStr">
        <x:is>
          <x:t xml:space="preserve">3–5 days</x:t>
        </x:is>
      </x:c>
      <x:c r="W11" t="inlineStr">
        <x:is>
          <x:t xml:space="preserve">1 bottle (110 mL)</x:t>
        </x:is>
      </x:c>
      <x:c r="X11" t="inlineStr">
        <x:is>
          <x:t xml:space="preserve">temporary irritation</x:t>
        </x:is>
      </x:c>
      <x:c r="Y11" t="inlineStr">
        <x:is>
          <x:t xml:space="preserve">pain/vision loss/chemical burn → urgent eval</x:t>
        </x:is>
      </x:c>
      <x:c r="AA11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AB11" t="inlineStr">
        <x:is>
          <x:t xml:space="preserve">BDS004035</x:t>
        </x:is>
      </x:c>
      <x:c r="AC11" t="inlineStr">
        <x:is>
          <x:t xml:space="preserve">1–2 drops OU / affected eye PRN</x:t>
        </x:is>
      </x:c>
      <x:c r="AD11" t="inlineStr">
        <x:is>
          <x:t xml:space="preserve">5–7 days</x:t>
        </x:is>
      </x:c>
      <x:c r="AE11" t="inlineStr">
        <x:is>
          <x:t xml:space="preserve">1 box (20 tubes)</x:t>
        </x:is>
      </x:c>
      <x:c r="AF11" t="inlineStr">
        <x:is>
          <x:t xml:space="preserve">transient blur</x:t>
        </x:is>
      </x:c>
      <x:c r="AG11" t="inlineStr">
        <x:is>
          <x:t xml:space="preserve">contact lens precautions</x:t>
        </x:is>
      </x:c>
      <x:c r="AY11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Z11" t="inlineStr">
        <x:is>
          <x:t xml:space="preserve">BDS001552</x:t>
        </x:is>
      </x:c>
      <x:c r="BA11" t="inlineStr">
        <x:is>
          <x:t xml:space="preserve">1–2 drops OU / affected eye PRN</x:t>
        </x:is>
      </x:c>
      <x:c r="BB11" t="inlineStr">
        <x:is>
          <x:t xml:space="preserve">5–7 days</x:t>
        </x:is>
      </x:c>
      <x:c r="BC11" t="inlineStr">
        <x:is>
          <x:t xml:space="preserve">1 box (30 tubes)</x:t>
        </x:is>
      </x:c>
      <x:c r="BD11" t="inlineStr">
        <x:is>
          <x:t xml:space="preserve">transient blur</x:t>
        </x:is>
      </x:c>
      <x:c r="BE11" t="inlineStr">
        <x:is>
          <x:t xml:space="preserve">contact lens precautions</x:t>
        </x:is>
      </x:c>
      <x:c r="BG11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BH11" t="inlineStr">
        <x:is>
          <x:t xml:space="preserve">BDS003679</x:t>
        </x:is>
      </x:c>
      <x:c r="BI11" t="inlineStr">
        <x:is>
          <x:t xml:space="preserve">1–2 drops OU / affected eye PRN</x:t>
        </x:is>
      </x:c>
      <x:c r="BJ11" t="inlineStr">
        <x:is>
          <x:t xml:space="preserve">5–7 days</x:t>
        </x:is>
      </x:c>
      <x:c r="BK11" t="inlineStr">
        <x:is>
          <x:t xml:space="preserve">1 bottle (10 mL)</x:t>
        </x:is>
      </x:c>
      <x:c r="BL11" t="inlineStr">
        <x:is>
          <x:t xml:space="preserve">transient blur</x:t>
        </x:is>
      </x:c>
      <x:c r="BM11" t="inlineStr">
        <x:is>
          <x:t xml:space="preserve">contact lens precautions</x:t>
        </x:is>
      </x:c>
    </x:row>
    <x:row r="12">
      <x:c r="A12" t="inlineStr">
        <x:is>
          <x:t xml:space="preserve">FRM0011</x:t>
        </x:is>
      </x:c>
      <x:c r="B12" t="inlineStr">
        <x:is>
          <x:t xml:space="preserve">musculoskeletal_pain_adult</x:t>
        </x:is>
      </x:c>
      <x:c r="C12" t="inlineStr">
        <x:is>
          <x:t xml:space="preserve">Musculoskeletal pain / strain</x:t>
        </x:is>
      </x:c>
      <x:c r="D12" t="inlineStr">
        <x:is>
          <x:t xml:space="preserve">Pain</x:t>
        </x:is>
      </x:c>
      <x:c r="E12" t="inlineStr">
        <x:is>
          <x:t xml:space="preserve">adult</x:t>
        </x:is>
      </x:c>
      <x:c r="F12" t="inlineStr">
        <x:is>
          <x:t xml:space="preserve">routine_opd</x:t>
        </x:is>
      </x:c>
      <x:c r="G12" t="inlineStr">
        <x:is>
          <x:t xml:space="preserve">Y</x:t>
        </x:is>
      </x:c>
      <x:c r="H12" t="n">
        <x:v>1</x:v>
      </x:c>
      <x:c r="I12" t="inlineStr">
        <x:is>
          <x:t xml:space="preserve">M79.1</x:t>
        </x:is>
      </x:c>
      <x:c r="K12" t="inlineStr">
        <x:is>
          <x:t xml:space="preserve">Most likely</x:t>
        </x:is>
      </x:c>
      <x:c r="L12" t="inlineStr">
        <x:is>
          <x:t xml:space="preserve">muscle or soft tissue pain without trauma red flags</x:t>
        </x:is>
      </x:c>
      <x:c r="M12" t="inlineStr">
        <x:is>
          <x:t xml:space="preserve">simple neck / back / muscle pain outpatient case</x:t>
        </x:is>
      </x:c>
      <x:c r="N12" t="inlineStr">
        <x:is>
          <x:t xml:space="preserve">major trauma, neuro deficit, red hot joint, or severe swelling</x:t>
        </x:is>
      </x:c>
      <x:c r="O12" t="inlineStr">
        <x:is>
          <x:t xml:space="preserve">N</x:t>
        </x:is>
      </x:c>
      <x:c r="P12" t="inlineStr">
        <x:is>
          <x:t xml:space="preserve">N</x:t>
        </x:is>
      </x:c>
      <x:c r="Q12" t="inlineStr">
        <x:is>
          <x:t xml:space="preserve">Needs in-person eval today if trauma, weakness/numbness, red hot joint, or severe swelling</x:t>
        </x:is>
      </x:c>
      <x:c r="R12" t="inlineStr">
        <x:is>
          <x:t xml:space="preserve">expanded starter row</x:t>
        </x:is>
      </x:c>
      <x:c r="S12" t="inlineStr">
        <x:is>
          <x:t xml:space="preserve">Gofen 400 [Ibuprofen 400 mg.+Polyethylene 400+Porpylene Glycol]</x:t>
        </x:is>
      </x:c>
      <x:c r="T12" t="inlineStr">
        <x:is>
          <x:t xml:space="preserve">BDS002042</x:t>
        </x:is>
      </x:c>
      <x:c r="U12" t="inlineStr">
        <x:is>
          <x:t xml:space="preserve">1 cap PO q4–6h PRN pain</x:t>
        </x:is>
      </x:c>
      <x:c r="V12" t="inlineStr">
        <x:is>
          <x:t xml:space="preserve">3 days</x:t>
        </x:is>
      </x:c>
      <x:c r="W12" t="inlineStr">
        <x:is>
          <x:t xml:space="preserve">1 box (10 caps)</x:t>
        </x:is>
      </x:c>
      <x:c r="X12" t="inlineStr">
        <x:is>
          <x:t xml:space="preserve">GI upset</x:t>
        </x:is>
      </x:c>
      <x:c r="Y12" t="inlineStr">
        <x:is>
          <x:t xml:space="preserve">avoid PUD/GI bleed/CKD; pregnancy 3rd tri</x:t>
        </x:is>
      </x:c>
      <x:c r="Z12" t="n">
        <x:v>177</x:v>
      </x:c>
      <x:c r="AA12" t="inlineStr">
        <x:is>
          <x:t xml:space="preserve">Uniren Spray [Diclofenac Sodium 1 % w/w]</x:t>
        </x:is>
      </x:c>
      <x:c r="AB12" t="inlineStr">
        <x:is>
          <x:t xml:space="preserve">BDS003914</x:t>
        </x:is>
      </x:c>
      <x:c r="AC12" t="inlineStr">
        <x:is>
          <x:t xml:space="preserve">spray to affected area TID–QID</x:t>
        </x:is>
      </x:c>
      <x:c r="AD12" t="inlineStr">
        <x:is>
          <x:t xml:space="preserve">5 days</x:t>
        </x:is>
      </x:c>
      <x:c r="AE12" t="inlineStr">
        <x:is>
          <x:t xml:space="preserve">1 bottle (60 mL)</x:t>
        </x:is>
      </x:c>
      <x:c r="AF12" t="inlineStr">
        <x:is>
          <x:t xml:space="preserve">local skin irritation</x:t>
        </x:is>
      </x:c>
      <x:c r="AG12" t="inlineStr">
        <x:is>
          <x:t xml:space="preserve">avoid broken skin; NSAID allergy</x:t>
        </x:is>
      </x:c>
      <x:c r="AH12" t="n">
        <x:v>346</x:v>
      </x:c>
      <x:c r="AY12" t="inlineStr">
        <x:is>
          <x:t xml:space="preserve">Tylenol 500 mg strip 10s [Paracetamol 500 mg.]</x:t>
        </x:is>
      </x:c>
      <x:c r="AZ12" t="inlineStr">
        <x:is>
          <x:t xml:space="preserve">BDS003762</x:t>
        </x:is>
      </x:c>
      <x:c r="BA12" t="inlineStr">
        <x:is>
          <x:t xml:space="preserve">1–2 tabs PO q4–6h PRN pain</x:t>
        </x:is>
      </x:c>
      <x:c r="BB12" t="inlineStr">
        <x:is>
          <x:t xml:space="preserve">3 days</x:t>
        </x:is>
      </x:c>
      <x:c r="BC12" t="inlineStr">
        <x:is>
          <x:t xml:space="preserve">1 strip (10 tabs)</x:t>
        </x:is>
      </x:c>
      <x:c r="BD12" t="inlineStr">
        <x:is>
          <x:t xml:space="preserve">nausea, rash</x:t>
        </x:is>
      </x:c>
      <x:c r="BE12" t="inlineStr">
        <x:is>
          <x:t xml:space="preserve">avoid duplicate paracetamol; caution liver disease</x:t>
        </x:is>
      </x:c>
      <x:c r="BF12" t="n">
        <x:v>36</x:v>
      </x:c>
    </x:row>
    <x:row r="13">
      <x:c r="A13" t="inlineStr">
        <x:is>
          <x:t xml:space="preserve">FRM0012</x:t>
        </x:is>
      </x:c>
      <x:c r="B13" t="inlineStr">
        <x:is>
          <x:t xml:space="preserve">migraine_adult</x:t>
        </x:is>
      </x:c>
      <x:c r="C13" t="inlineStr">
        <x:is>
          <x:t xml:space="preserve">Migraine</x:t>
        </x:is>
      </x:c>
      <x:c r="D13" t="inlineStr">
        <x:is>
          <x:t xml:space="preserve">Neuro</x:t>
        </x:is>
      </x:c>
      <x:c r="E13" t="inlineStr">
        <x:is>
          <x:t xml:space="preserve">adult</x:t>
        </x:is>
      </x:c>
      <x:c r="F13" t="inlineStr">
        <x:is>
          <x:t xml:space="preserve">routine_opd</x:t>
        </x:is>
      </x:c>
      <x:c r="G13" t="inlineStr">
        <x:is>
          <x:t xml:space="preserve">Y</x:t>
        </x:is>
      </x:c>
      <x:c r="H13" t="n">
        <x:v>1</x:v>
      </x:c>
      <x:c r="I13" t="inlineStr">
        <x:is>
          <x:t xml:space="preserve">G43.909</x:t>
        </x:is>
      </x:c>
      <x:c r="K13" t="inlineStr">
        <x:is>
          <x:t xml:space="preserve">Most likely</x:t>
        </x:is>
      </x:c>
      <x:c r="L13" t="inlineStr">
        <x:is>
          <x:t xml:space="preserve">recurrent unilateral or migraine-type headache</x:t>
        </x:is>
      </x:c>
      <x:c r="M13" t="inlineStr">
        <x:is>
          <x:t xml:space="preserve">known / likely migraine outpatient case</x:t>
        </x:is>
      </x:c>
      <x:c r="N13" t="inlineStr">
        <x:is>
          <x:t xml:space="preserve">new neuro deficit, thunderclap headache, or fever/neck stiffness</x:t>
        </x:is>
      </x:c>
      <x:c r="O13" t="inlineStr">
        <x:is>
          <x:t xml:space="preserve">N</x:t>
        </x:is>
      </x:c>
      <x:c r="P13" t="inlineStr">
        <x:is>
          <x:t xml:space="preserve">N</x:t>
        </x:is>
      </x:c>
      <x:c r="Q13" t="inlineStr">
        <x:is>
          <x:t xml:space="preserve">Needs in-person eval today if thunderclap headache, neuro deficit, or fever with neck stiffness</x:t>
        </x:is>
      </x:c>
      <x:c r="R13" t="inlineStr">
        <x:is>
          <x:t xml:space="preserve">expanded starter row</x:t>
        </x:is>
      </x:c>
      <x:c r="S13" t="inlineStr">
        <x:is>
          <x:t xml:space="preserve">Relpax 40 mg [Eletriptan 40 mg.]</x:t>
        </x:is>
      </x:c>
      <x:c r="T13" t="inlineStr">
        <x:is>
          <x:t xml:space="preserve">BDS006840</x:t>
        </x:is>
      </x:c>
      <x:c r="U13" t="inlineStr">
        <x:is>
          <x:t xml:space="preserve">1 tab at migraine onset; may repeat once after 2 h</x:t>
        </x:is>
      </x:c>
      <x:c r="V13" t="inlineStr">
        <x:is>
          <x:t xml:space="preserve">PRN</x:t>
        </x:is>
      </x:c>
      <x:c r="W13" t="inlineStr">
        <x:is>
          <x:t xml:space="preserve">1 box (2 tabs)</x:t>
        </x:is>
      </x:c>
      <x:c r="X13" t="inlineStr">
        <x:is>
          <x:t xml:space="preserve">dizziness, nausea</x:t>
        </x:is>
      </x:c>
      <x:c r="Y13" t="inlineStr">
        <x:is>
          <x:t xml:space="preserve">avoid with ischemic heart disease/uncontrolled HTN</x:t>
        </x:is>
      </x:c>
      <x:c r="Z13" t="n">
        <x:v>516</x:v>
      </x:c>
      <x:c r="AA13" t="inlineStr">
        <x:is>
          <x:t xml:space="preserve">Tylenol 500 mg strip 10s [Paracetamol 500 mg.]</x:t>
        </x:is>
      </x:c>
      <x:c r="AB13" t="inlineStr">
        <x:is>
          <x:t xml:space="preserve">BDS003762</x:t>
        </x:is>
      </x:c>
      <x:c r="AC13" t="inlineStr">
        <x:is>
          <x:t xml:space="preserve">1–2 tabs PO q4–6h PRN pain</x:t>
        </x:is>
      </x:c>
      <x:c r="AD13" t="inlineStr">
        <x:is>
          <x:t xml:space="preserve">3 days</x:t>
        </x:is>
      </x:c>
      <x:c r="AE13" t="inlineStr">
        <x:is>
          <x:t xml:space="preserve">1 strip (10 tabs)</x:t>
        </x:is>
      </x:c>
      <x:c r="AF13" t="inlineStr">
        <x:is>
          <x:t xml:space="preserve">nausea, rash</x:t>
        </x:is>
      </x:c>
      <x:c r="AG13" t="inlineStr">
        <x:is>
          <x:t xml:space="preserve">avoid duplicate paracetamol; caution liver disease</x:t>
        </x:is>
      </x:c>
      <x:c r="AH13" t="n">
        <x:v>36</x:v>
      </x:c>
    </x:row>
    <x:row r="14">
      <x:c r="A14" t="inlineStr">
        <x:is>
          <x:t xml:space="preserve">FRM0013</x:t>
        </x:is>
      </x:c>
      <x:c r="B14" t="inlineStr">
        <x:is>
          <x:t xml:space="preserve">vertigo_adult</x:t>
        </x:is>
      </x:c>
      <x:c r="C14" t="inlineStr">
        <x:is>
          <x:t xml:space="preserve">Peripheral vertigo / dizziness</x:t>
        </x:is>
      </x:c>
      <x:c r="D14" t="inlineStr">
        <x:is>
          <x:t xml:space="preserve">Neuro</x:t>
        </x:is>
      </x:c>
      <x:c r="E14" t="inlineStr">
        <x:is>
          <x:t xml:space="preserve">adult</x:t>
        </x:is>
      </x:c>
      <x:c r="F14" t="inlineStr">
        <x:is>
          <x:t xml:space="preserve">routine_opd</x:t>
        </x:is>
      </x:c>
      <x:c r="G14" t="inlineStr">
        <x:is>
          <x:t xml:space="preserve">Y</x:t>
        </x:is>
      </x:c>
      <x:c r="H14" t="n">
        <x:v>1</x:v>
      </x:c>
      <x:c r="I14" t="inlineStr">
        <x:is>
          <x:t xml:space="preserve">R42</x:t>
        </x:is>
      </x:c>
      <x:c r="K14" t="inlineStr">
        <x:is>
          <x:t xml:space="preserve">Most likely</x:t>
        </x:is>
      </x:c>
      <x:c r="L14" t="inlineStr">
        <x:is>
          <x:t xml:space="preserve">spinning dizziness without stroke red flags</x:t>
        </x:is>
      </x:c>
      <x:c r="M14" t="inlineStr">
        <x:is>
          <x:t xml:space="preserve">simple vertigo outpatient case</x:t>
        </x:is>
      </x:c>
      <x:c r="N14" t="inlineStr">
        <x:is>
          <x:t xml:space="preserve">focal neuro deficit, severe headache, or unable to walk</x:t>
        </x:is>
      </x:c>
      <x:c r="O14" t="inlineStr">
        <x:is>
          <x:t xml:space="preserve">N</x:t>
        </x:is>
      </x:c>
      <x:c r="P14" t="inlineStr">
        <x:is>
          <x:t xml:space="preserve">N</x:t>
        </x:is>
      </x:c>
      <x:c r="Q14" t="inlineStr">
        <x:is>
          <x:t xml:space="preserve">Needs in-person eval today if focal neuro deficit, severe headache, or unable to walk</x:t>
        </x:is>
      </x:c>
      <x:c r="R14" t="inlineStr">
        <x:is>
          <x:t xml:space="preserve">expanded starter row</x:t>
        </x:is>
      </x:c>
      <x:c r="S14" t="inlineStr">
        <x:is>
          <x:t xml:space="preserve">Serc 24 mg [Betahistine dihydrochloride 24 mg.]</x:t>
        </x:is>
      </x:c>
      <x:c r="T14" t="inlineStr">
        <x:is>
          <x:t xml:space="preserve">BDS006571</x:t>
        </x:is>
      </x:c>
      <x:c r="U14" t="inlineStr">
        <x:is>
          <x:t xml:space="preserve">1 tab PO BID</x:t>
        </x:is>
      </x:c>
      <x:c r="V14" t="inlineStr">
        <x:is>
          <x:t xml:space="preserve">5 days</x:t>
        </x:is>
      </x:c>
      <x:c r="W14" t="inlineStr">
        <x:is>
          <x:t xml:space="preserve">1 box (20 tabs)</x:t>
        </x:is>
      </x:c>
      <x:c r="X14" t="inlineStr">
        <x:is>
          <x:t xml:space="preserve">nausea, headache</x:t>
        </x:is>
      </x:c>
      <x:c r="Y14" t="inlineStr">
        <x:is>
          <x:t xml:space="preserve">condition-specific; verify vertigo diagnosis</x:t>
        </x:is>
      </x:c>
    </x:row>
    <x:row r="15">
      <x:c r="A15" t="inlineStr">
        <x:is>
          <x:t xml:space="preserve">FRM0014</x:t>
        </x:is>
      </x:c>
      <x:c r="B15" t="inlineStr">
        <x:is>
          <x:t xml:space="preserve">oral_ulcer_adult</x:t>
        </x:is>
      </x:c>
      <x:c r="C15" t="inlineStr">
        <x:is>
          <x:t xml:space="preserve">Oral ulcer / aphthous ulcer</x:t>
        </x:is>
      </x:c>
      <x:c r="D15" t="inlineStr">
        <x:is>
          <x:t xml:space="preserve">ENT</x:t>
        </x:is>
      </x:c>
      <x:c r="E15" t="inlineStr">
        <x:is>
          <x:t xml:space="preserve">adult</x:t>
        </x:is>
      </x:c>
      <x:c r="F15" t="inlineStr">
        <x:is>
          <x:t xml:space="preserve">routine_opd</x:t>
        </x:is>
      </x:c>
      <x:c r="G15" t="inlineStr">
        <x:is>
          <x:t xml:space="preserve">Y</x:t>
        </x:is>
      </x:c>
      <x:c r="H15" t="n">
        <x:v>1</x:v>
      </x:c>
      <x:c r="I15" t="inlineStr">
        <x:is>
          <x:t xml:space="preserve">K12.0</x:t>
        </x:is>
      </x:c>
      <x:c r="K15" t="inlineStr">
        <x:is>
          <x:t xml:space="preserve">Most likely</x:t>
        </x:is>
      </x:c>
      <x:c r="L15" t="inlineStr">
        <x:is>
          <x:t xml:space="preserve">painful mouth ulcer without major infection red flags</x:t>
        </x:is>
      </x:c>
      <x:c r="M15" t="inlineStr">
        <x:is>
          <x:t xml:space="preserve">simple oral ulcer outpatient case</x:t>
        </x:is>
      </x:c>
      <x:c r="N15" t="inlineStr">
        <x:is>
          <x:t xml:space="preserve">large persistent ulcer, severe dehydration, or immunocompromised concern</x:t>
        </x:is>
      </x:c>
      <x:c r="O15" t="inlineStr">
        <x:is>
          <x:t xml:space="preserve">N</x:t>
        </x:is>
      </x:c>
      <x:c r="P15" t="inlineStr">
        <x:is>
          <x:t xml:space="preserve">N</x:t>
        </x:is>
      </x:c>
      <x:c r="Q15" t="inlineStr">
        <x:is>
          <x:t xml:space="preserve">Needs in-person eval today if large persistent ulcer, inability to drink, or major oral swelling</x:t>
        </x:is>
      </x:c>
      <x:c r="R15" t="inlineStr">
        <x:is>
          <x:t xml:space="preserve">expanded starter row</x:t>
        </x:is>
      </x:c>
      <x:c r="S15" t="inlineStr">
        <x:is>
          <x:t xml:space="preserve">Kamistad-Gel N [Lidocaine HCl 20 mg.+Chamomile Flower Extract 185 mg.+Ethanol 50% v/v+Tromethamole 1.37% w/w+Preservative (Benzalkonium Chloride 1 mg.)/1 g.]</x:t>
        </x:is>
      </x:c>
      <x:c r="T15" t="inlineStr">
        <x:is>
          <x:t xml:space="preserve">BDS002430</x:t>
        </x:is>
      </x:c>
      <x:c r="U15" t="inlineStr">
        <x:is>
          <x:t xml:space="preserve">apply to oral ulcer after meals and before bed</x:t>
        </x:is>
      </x:c>
      <x:c r="V15" t="inlineStr">
        <x:is>
          <x:t xml:space="preserve">5 days</x:t>
        </x:is>
      </x:c>
      <x:c r="W15" t="inlineStr">
        <x:is>
          <x:t xml:space="preserve">1 tube (10 g)</x:t>
        </x:is>
      </x:c>
      <x:c r="X15" t="inlineStr">
        <x:is>
          <x:t xml:space="preserve">local numbness, irritation</x:t>
        </x:is>
      </x:c>
      <x:c r="Y15" t="inlineStr">
        <x:is>
          <x:t xml:space="preserve">avoid swallowing large amounts</x:t>
        </x:is>
      </x:c>
    </x:row>
    <x:row r="16">
      <x:c r="A16" t="inlineStr">
        <x:is>
          <x:t xml:space="preserve">FRM0015</x:t>
        </x:is>
      </x:c>
      <x:c r="B16" t="inlineStr">
        <x:is>
          <x:t xml:space="preserve">common_cold_adult</x:t>
        </x:is>
      </x:c>
      <x:c r="C16" t="inlineStr">
        <x:is>
          <x:t xml:space="preserve">Common cold / viral URI</x:t>
        </x:is>
      </x:c>
      <x:c r="D16" t="inlineStr">
        <x:is>
          <x:t xml:space="preserve">ENT</x:t>
        </x:is>
      </x:c>
      <x:c r="E16" t="inlineStr">
        <x:is>
          <x:t xml:space="preserve">adult</x:t>
        </x:is>
      </x:c>
      <x:c r="F16" t="inlineStr">
        <x:is>
          <x:t xml:space="preserve">routine_opd</x:t>
        </x:is>
      </x:c>
      <x:c r="G16" t="inlineStr">
        <x:is>
          <x:t xml:space="preserve">Y</x:t>
        </x:is>
      </x:c>
      <x:c r="H16" t="n">
        <x:v>1</x:v>
      </x:c>
      <x:c r="I16" t="inlineStr">
        <x:is>
          <x:t xml:space="preserve">J00</x:t>
        </x:is>
      </x:c>
      <x:c r="K16" t="inlineStr">
        <x:is>
          <x:t xml:space="preserve">Most likely</x:t>
        </x:is>
      </x:c>
      <x:c r="L16" t="inlineStr">
        <x:is>
          <x:t xml:space="preserve">runny nose / sneezing / mild URI without red flags</x:t>
        </x:is>
      </x:c>
      <x:c r="M16" t="inlineStr">
        <x:is>
          <x:t xml:space="preserve">simple common cold outpatient case</x:t>
        </x:is>
      </x:c>
      <x:c r="N16" t="inlineStr">
        <x:is>
          <x:t xml:space="preserve">SOB, chest pain, or high persistent fever</x:t>
        </x:is>
      </x:c>
      <x:c r="O16" t="inlineStr">
        <x:is>
          <x:t xml:space="preserve">N</x:t>
        </x:is>
      </x:c>
      <x:c r="P16" t="inlineStr">
        <x:is>
          <x:t xml:space="preserve">N</x:t>
        </x:is>
      </x:c>
      <x:c r="Q16" t="inlineStr">
        <x:is>
          <x:t xml:space="preserve">Avoid routine antibiotics; Needs in-person eval today if dyspnea, chest pain, or persistent high fever</x:t>
        </x:is>
      </x:c>
      <x:c r="R16" t="inlineStr">
        <x:is>
          <x:t xml:space="preserve">expanded common OPD row</x:t>
        </x:is>
      </x:c>
      <x:c r="S16" t="inlineStr">
        <x:is>
          <x:t xml:space="preserve">Tylenol 500 mg strip 10s [Paracetamol 500 mg.]</x:t>
        </x:is>
      </x:c>
      <x:c r="T16" t="inlineStr">
        <x:is>
          <x:t xml:space="preserve">BDS003762</x:t>
        </x:is>
      </x:c>
      <x:c r="U16" t="inlineStr">
        <x:is>
          <x:t xml:space="preserve">1–2 tabs PO q4–6h PRN fever/pain</x:t>
        </x:is>
      </x:c>
      <x:c r="V16" t="inlineStr">
        <x:is>
          <x:t xml:space="preserve">3 days</x:t>
        </x:is>
      </x:c>
      <x:c r="W16" t="inlineStr">
        <x:is>
          <x:t xml:space="preserve">1 strip (10 tabs)</x:t>
        </x:is>
      </x:c>
      <x:c r="X16" t="inlineStr">
        <x:is>
          <x:t xml:space="preserve">nausea, rash</x:t>
        </x:is>
      </x:c>
      <x:c r="Y16" t="inlineStr">
        <x:is>
          <x:t xml:space="preserve">avoid duplicate paracetamol; caution liver disease</x:t>
        </x:is>
      </x:c>
      <x:c r="Z16" t="n">
        <x:v>36</x:v>
      </x:c>
      <x:c r="AA16" t="inlineStr">
        <x:is>
          <x:t xml:space="preserve">Nasotapp [Brompheniramine Maleate 4 mg.+Phenylephrine HCl 10 mg.]</x:t>
        </x:is>
      </x:c>
      <x:c r="AB16" t="inlineStr">
        <x:is>
          <x:t xml:space="preserve">BDS045630</x:t>
        </x:is>
      </x:c>
      <x:c r="AC16" t="inlineStr">
        <x:is>
          <x:t xml:space="preserve">1 tab PO q4–6h</x:t>
        </x:is>
      </x:c>
      <x:c r="AD16" t="inlineStr">
        <x:is>
          <x:t xml:space="preserve">3–5 days</x:t>
        </x:is>
      </x:c>
      <x:c r="AE16" t="inlineStr">
        <x:is>
          <x:t xml:space="preserve">1 strip (10 tabs)</x:t>
        </x:is>
      </x:c>
      <x:c r="AF16" t="inlineStr">
        <x:is>
          <x:t xml:space="preserve">drowsy, palpitation</x:t>
        </x:is>
      </x:c>
      <x:c r="AG16" t="inlineStr">
        <x:is>
          <x:t xml:space="preserve">caution HTN; may cause sleepiness</x:t>
        </x:is>
      </x:c>
      <x:c r="AH16" t="n">
        <x:v>116</x:v>
      </x:c>
      <x:c r="AI16" t="inlineStr">
        <x:is>
          <x:t xml:space="preserve">Klean &amp; Kare Saline เล็ก [Sodium Chloride 0.9 g./100 ml.]</x:t>
        </x:is>
      </x:c>
      <x:c r="AJ16" t="inlineStr">
        <x:is>
          <x:t xml:space="preserve">BDS044320</x:t>
        </x:is>
      </x:c>
      <x:c r="AK16" t="inlineStr">
        <x:is>
          <x:t xml:space="preserve">irrigate / rinse nasal cavity PRN</x:t>
        </x:is>
      </x:c>
      <x:c r="AL16" t="inlineStr">
        <x:is>
          <x:t xml:space="preserve">5 days</x:t>
        </x:is>
      </x:c>
      <x:c r="AM16" t="inlineStr">
        <x:is>
          <x:t xml:space="preserve">1 bottle (100 mL)</x:t>
        </x:is>
      </x:c>
      <x:c r="AN16" t="inlineStr">
        <x:is>
          <x:t xml:space="preserve">mild local discomfort</x:t>
        </x:is>
      </x:c>
      <x:c r="AO16" t="inlineStr">
        <x:is>
          <x:t xml:space="preserve">sterile technique; stop if severe ear pain</x:t>
        </x:is>
      </x:c>
      <x:c r="AY16" t="inlineStr">
        <x:is>
          <x:t xml:space="preserve">Telfast 180 mg [Fexofenadine HCl 180 mg.]</x:t>
        </x:is>
      </x:c>
      <x:c r="AZ16" t="inlineStr">
        <x:is>
          <x:t xml:space="preserve">BDS003747</x:t>
        </x:is>
      </x:c>
      <x:c r="BA16" t="inlineStr">
        <x:is>
          <x:t xml:space="preserve">1 tab PO OD</x:t>
        </x:is>
      </x:c>
      <x:c r="BB16" t="inlineStr">
        <x:is>
          <x:t xml:space="preserve">5 days</x:t>
        </x:is>
      </x:c>
      <x:c r="BC16" t="inlineStr">
        <x:is>
          <x:t xml:space="preserve">1 box (10 tabs)</x:t>
        </x:is>
      </x:c>
      <x:c r="BD16" t="inlineStr">
        <x:is>
          <x:t xml:space="preserve">headache, dry mouth</x:t>
        </x:is>
      </x:c>
      <x:c r="BE16" t="inlineStr">
        <x:is>
          <x:t xml:space="preserve">avoid taking with fruit juice close to dose</x:t>
        </x:is>
      </x:c>
      <x:c r="BF16" t="n">
        <x:v>500</x:v>
      </x:c>
      <x:c r="BG16" t="inlineStr">
        <x:is>
          <x:t xml:space="preserve">Iliadin Spray [Oxymetazoline Hydrochloride 0.05% (0.5 mg./1 ml.)]</x:t>
        </x:is>
      </x:c>
      <x:c r="BH16" t="inlineStr">
        <x:is>
          <x:t xml:space="preserve">BDS002215</x:t>
        </x:is>
      </x:c>
      <x:c r="BI16" t="inlineStr">
        <x:is>
          <x:t xml:space="preserve">1–2 sprays/nostril BID–TID (max 3 days)</x:t>
        </x:is>
      </x:c>
      <x:c r="BJ16" t="inlineStr">
        <x:is>
          <x:t xml:space="preserve">3 days</x:t>
        </x:is>
      </x:c>
      <x:c r="BK16" t="inlineStr">
        <x:is>
          <x:t xml:space="preserve">1 bottle (10 mL)</x:t>
        </x:is>
      </x:c>
      <x:c r="BL16" t="inlineStr">
        <x:is>
          <x:t xml:space="preserve">local irritation</x:t>
        </x:is>
      </x:c>
      <x:c r="BM16" t="inlineStr">
        <x:is>
          <x:t xml:space="preserve">≤3 days; rebound congestion; caution HTN</x:t>
        </x:is>
      </x:c>
      <x:c r="BN16" t="n">
        <x:v>262</x:v>
      </x:c>
    </x:row>
    <x:row r="17">
      <x:c r="A17" t="inlineStr">
        <x:is>
          <x:t xml:space="preserve">FRM0016</x:t>
        </x:is>
      </x:c>
      <x:c r="B17" t="inlineStr">
        <x:is>
          <x:t xml:space="preserve">nasal_blockage_adult</x:t>
        </x:is>
      </x:c>
      <x:c r="C17" t="inlineStr">
        <x:is>
          <x:t xml:space="preserve">Nasal blockage / congestion</x:t>
        </x:is>
      </x:c>
      <x:c r="D17" t="inlineStr">
        <x:is>
          <x:t xml:space="preserve">ENT</x:t>
        </x:is>
      </x:c>
      <x:c r="E17" t="inlineStr">
        <x:is>
          <x:t xml:space="preserve">adult</x:t>
        </x:is>
      </x:c>
      <x:c r="F17" t="inlineStr">
        <x:is>
          <x:t xml:space="preserve">routine_opd</x:t>
        </x:is>
      </x:c>
      <x:c r="G17" t="inlineStr">
        <x:is>
          <x:t xml:space="preserve">Y</x:t>
        </x:is>
      </x:c>
      <x:c r="H17" t="n">
        <x:v>1</x:v>
      </x:c>
      <x:c r="I17" t="inlineStr">
        <x:is>
          <x:t xml:space="preserve">R09.81</x:t>
        </x:is>
      </x:c>
      <x:c r="K17" t="inlineStr">
        <x:is>
          <x:t xml:space="preserve">Most likely</x:t>
        </x:is>
      </x:c>
      <x:c r="L17" t="inlineStr">
        <x:is>
          <x:t xml:space="preserve">blocked nose without major infection red flags</x:t>
        </x:is>
      </x:c>
      <x:c r="M17" t="inlineStr">
        <x:is>
          <x:t xml:space="preserve">simple nasal congestion outpatient case</x:t>
        </x:is>
      </x:c>
      <x:c r="N17" t="inlineStr">
        <x:is>
          <x:t xml:space="preserve">severe sinus pain, facial swelling, or prolonged oxymetazoline use</x:t>
        </x:is>
      </x:c>
      <x:c r="O17" t="inlineStr">
        <x:is>
          <x:t xml:space="preserve">N</x:t>
        </x:is>
      </x:c>
      <x:c r="P17" t="inlineStr">
        <x:is>
          <x:t xml:space="preserve">N</x:t>
        </x:is>
      </x:c>
      <x:c r="Q17" t="inlineStr">
        <x:is>
          <x:t xml:space="preserve">Needs in-person eval today if severe sinus pain, facial swelling, or breathing difficulty</x:t>
        </x:is>
      </x:c>
      <x:c r="R17" t="inlineStr">
        <x:is>
          <x:t xml:space="preserve">expanded common OPD row</x:t>
        </x:is>
      </x:c>
      <x:c r="S17" t="inlineStr">
        <x:is>
          <x:t xml:space="preserve">Nasotapp [Brompheniramine Maleate 4 mg.+Phenylephrine HCl 10 mg.]</x:t>
        </x:is>
      </x:c>
      <x:c r="T17" t="inlineStr">
        <x:is>
          <x:t xml:space="preserve">BDS045630</x:t>
        </x:is>
      </x:c>
      <x:c r="U17" t="inlineStr">
        <x:is>
          <x:t xml:space="preserve">1 tab PO q4–6h</x:t>
        </x:is>
      </x:c>
      <x:c r="V17" t="inlineStr">
        <x:is>
          <x:t xml:space="preserve">3 days</x:t>
        </x:is>
      </x:c>
      <x:c r="W17" t="inlineStr">
        <x:is>
          <x:t xml:space="preserve">1 strip (10 tabs)</x:t>
        </x:is>
      </x:c>
      <x:c r="X17" t="inlineStr">
        <x:is>
          <x:t xml:space="preserve">drowsy, palpitation</x:t>
        </x:is>
      </x:c>
      <x:c r="Y17" t="inlineStr">
        <x:is>
          <x:t xml:space="preserve">caution HTN; may cause sleepiness</x:t>
        </x:is>
      </x:c>
      <x:c r="Z17" t="n">
        <x:v>116</x:v>
      </x:c>
      <x:c r="AA17" t="inlineStr">
        <x:is>
          <x:t xml:space="preserve">Iliadin Spray [Oxymetazoline Hydrochloride 0.05% (0.5 mg./1 ml.)]</x:t>
        </x:is>
      </x:c>
      <x:c r="AB17" t="inlineStr">
        <x:is>
          <x:t xml:space="preserve">BDS002215</x:t>
        </x:is>
      </x:c>
      <x:c r="AC17" t="inlineStr">
        <x:is>
          <x:t xml:space="preserve">1–2 sprays/nostril BID–TID (max 3 days)</x:t>
        </x:is>
      </x:c>
      <x:c r="AD17" t="inlineStr">
        <x:is>
          <x:t xml:space="preserve">3 days</x:t>
        </x:is>
      </x:c>
      <x:c r="AE17" t="inlineStr">
        <x:is>
          <x:t xml:space="preserve">1 bottle (10 mL)</x:t>
        </x:is>
      </x:c>
      <x:c r="AF17" t="inlineStr">
        <x:is>
          <x:t xml:space="preserve">local irritation</x:t>
        </x:is>
      </x:c>
      <x:c r="AG17" t="inlineStr">
        <x:is>
          <x:t xml:space="preserve">≤3 days; rebound congestion; caution HTN</x:t>
        </x:is>
      </x:c>
      <x:c r="AH17" t="n">
        <x:v>262</x:v>
      </x:c>
      <x:c r="AI17" t="inlineStr">
        <x:is>
          <x:t xml:space="preserve">Klean &amp; Kare Saline เล็ก [Sodium Chloride 0.9 g./100 ml.]</x:t>
        </x:is>
      </x:c>
      <x:c r="AJ17" t="inlineStr">
        <x:is>
          <x:t xml:space="preserve">BDS044320</x:t>
        </x:is>
      </x:c>
      <x:c r="AK17" t="inlineStr">
        <x:is>
          <x:t xml:space="preserve">irrigate / rinse nasal cavity PRN</x:t>
        </x:is>
      </x:c>
      <x:c r="AL17" t="inlineStr">
        <x:is>
          <x:t xml:space="preserve">5 days</x:t>
        </x:is>
      </x:c>
      <x:c r="AM17" t="inlineStr">
        <x:is>
          <x:t xml:space="preserve">1 bottle (100 mL)</x:t>
        </x:is>
      </x:c>
      <x:c r="AN17" t="inlineStr">
        <x:is>
          <x:t xml:space="preserve">mild local discomfort</x:t>
        </x:is>
      </x:c>
      <x:c r="AO17" t="inlineStr">
        <x:is>
          <x:t xml:space="preserve">sterile technique; stop if severe ear pain</x:t>
        </x:is>
      </x:c>
      <x:c r="AY17" t="inlineStr">
        <x:is>
          <x:t xml:space="preserve">Nasonex 60 doses [Mometasone Furoate Monohydrate (eq. to Mometasone Furoate 50 mcg/dose)+Preservative (Benzalkonium Chloride 0.2 mg/g)]</x:t>
        </x:is>
      </x:c>
      <x:c r="AZ17" t="inlineStr">
        <x:is>
          <x:t xml:space="preserve">BDS002805</x:t>
        </x:is>
      </x:c>
      <x:c r="BA17" t="inlineStr">
        <x:is>
          <x:t xml:space="preserve">2 sprays/nostril OD</x:t>
        </x:is>
      </x:c>
      <x:c r="BB17" t="inlineStr">
        <x:is>
          <x:t xml:space="preserve">7–14 days</x:t>
        </x:is>
      </x:c>
      <x:c r="BC17" t="inlineStr">
        <x:is>
          <x:t xml:space="preserve">1 bottle (60 doses)</x:t>
        </x:is>
      </x:c>
      <x:c r="BD17" t="inlineStr">
        <x:is>
          <x:t xml:space="preserve">nasal dryness, epistaxis</x:t>
        </x:is>
      </x:c>
      <x:c r="BE17" t="inlineStr">
        <x:is>
          <x:t xml:space="preserve">daily use; slower onset over days</x:t>
        </x:is>
      </x:c>
    </x:row>
    <x:row r="18">
      <x:c r="A18" t="inlineStr">
        <x:is>
          <x:t xml:space="preserve">FRM0017</x:t>
        </x:is>
      </x:c>
      <x:c r="B18" t="inlineStr">
        <x:is>
          <x:t xml:space="preserve">viral_fever_bodyache_adult</x:t>
        </x:is>
      </x:c>
      <x:c r="C18" t="inlineStr">
        <x:is>
          <x:t xml:space="preserve">Viral fever / body ache</x:t>
        </x:is>
      </x:c>
      <x:c r="D18" t="inlineStr">
        <x:is>
          <x:t xml:space="preserve">General</x:t>
        </x:is>
      </x:c>
      <x:c r="E18" t="inlineStr">
        <x:is>
          <x:t xml:space="preserve">adult</x:t>
        </x:is>
      </x:c>
      <x:c r="F18" t="inlineStr">
        <x:is>
          <x:t xml:space="preserve">routine_opd</x:t>
        </x:is>
      </x:c>
      <x:c r="G18" t="inlineStr">
        <x:is>
          <x:t xml:space="preserve">Y</x:t>
        </x:is>
      </x:c>
      <x:c r="H18" t="n">
        <x:v>1</x:v>
      </x:c>
      <x:c r="I18" t="inlineStr">
        <x:is>
          <x:t xml:space="preserve">B34.9</x:t>
        </x:is>
      </x:c>
      <x:c r="J18" t="inlineStr">
        <x:is>
          <x:t xml:space="preserve">R52</x:t>
        </x:is>
      </x:c>
      <x:c r="K18" t="inlineStr">
        <x:is>
          <x:t xml:space="preserve">Most likely</x:t>
        </x:is>
      </x:c>
      <x:c r="L18" t="inlineStr">
        <x:is>
          <x:t xml:space="preserve">fever and body ache without focal bacterial features</x:t>
        </x:is>
      </x:c>
      <x:c r="M18" t="inlineStr">
        <x:is>
          <x:t xml:space="preserve">simple viral febrile illness outpatient case</x:t>
        </x:is>
      </x:c>
      <x:c r="N18" t="inlineStr">
        <x:is>
          <x:t xml:space="preserve">dyspnea, dehydration, or persistent high fever</x:t>
        </x:is>
      </x:c>
      <x:c r="O18" t="inlineStr">
        <x:is>
          <x:t xml:space="preserve">N</x:t>
        </x:is>
      </x:c>
      <x:c r="P18" t="inlineStr">
        <x:is>
          <x:t xml:space="preserve">N</x:t>
        </x:is>
      </x:c>
      <x:c r="Q18" t="inlineStr">
        <x:is>
          <x:t xml:space="preserve">Avoid routine antibiotics; Needs in-person eval today if dyspnea, dehydration, or persistent high fever</x:t>
        </x:is>
      </x:c>
      <x:c r="R18" t="inlineStr">
        <x:is>
          <x:t xml:space="preserve">expanded common OPD row</x:t>
        </x:is>
      </x:c>
      <x:c r="S18" t="inlineStr">
        <x:is>
          <x:t xml:space="preserve">Tylenol 500 mg strip 10s [Paracetamol 500 mg.]</x:t>
        </x:is>
      </x:c>
      <x:c r="T18" t="inlineStr">
        <x:is>
          <x:t xml:space="preserve">BDS003762</x:t>
        </x:is>
      </x:c>
      <x:c r="U18" t="inlineStr">
        <x:is>
          <x:t xml:space="preserve">1–2 tabs PO q4–6h PRN fever/pain</x:t>
        </x:is>
      </x:c>
      <x:c r="V18" t="inlineStr">
        <x:is>
          <x:t xml:space="preserve">3 days</x:t>
        </x:is>
      </x:c>
      <x:c r="W18" t="inlineStr">
        <x:is>
          <x:t xml:space="preserve">1 strip (10 tabs)</x:t>
        </x:is>
      </x:c>
      <x:c r="X18" t="inlineStr">
        <x:is>
          <x:t xml:space="preserve">nausea, rash</x:t>
        </x:is>
      </x:c>
      <x:c r="Y18" t="inlineStr">
        <x:is>
          <x:t xml:space="preserve">avoid duplicate paracetamol; caution liver disease</x:t>
        </x:is>
      </x:c>
      <x:c r="Z18" t="n">
        <x:v>36</x:v>
      </x:c>
      <x:c r="AA18" t="inlineStr">
        <x:is>
          <x:t xml:space="preserve">Gofen 400 [Ibuprofen 400 mg.+Polyethylene 400+Porpylene Glycol]</x:t>
        </x:is>
      </x:c>
      <x:c r="AB18" t="inlineStr">
        <x:is>
          <x:t xml:space="preserve">BDS002042</x:t>
        </x:is>
      </x:c>
      <x:c r="AC18" t="inlineStr">
        <x:is>
          <x:t xml:space="preserve">1 cap PO q4–6h PRN pain</x:t>
        </x:is>
      </x:c>
      <x:c r="AD18" t="inlineStr">
        <x:is>
          <x:t xml:space="preserve">3 days</x:t>
        </x:is>
      </x:c>
      <x:c r="AE18" t="inlineStr">
        <x:is>
          <x:t xml:space="preserve">1 box (10 caps)</x:t>
        </x:is>
      </x:c>
      <x:c r="AF18" t="inlineStr">
        <x:is>
          <x:t xml:space="preserve">GI upset</x:t>
        </x:is>
      </x:c>
      <x:c r="AG18" t="inlineStr">
        <x:is>
          <x:t xml:space="preserve">avoid PUD/GI bleed/CKD; pregnancy 3rd tri</x:t>
        </x:is>
      </x:c>
      <x:c r="AH18" t="n">
        <x:v>177</x:v>
      </x:c>
    </x:row>
    <x:row r="19">
      <x:c r="A19" t="inlineStr">
        <x:is>
          <x:t xml:space="preserve">FRM0018</x:t>
        </x:is>
      </x:c>
      <x:c r="B19" t="inlineStr">
        <x:is>
          <x:t xml:space="preserve">abdominal_gas_bloating_adult</x:t>
        </x:is>
      </x:c>
      <x:c r="C19" t="inlineStr">
        <x:is>
          <x:t xml:space="preserve">Generalized bloating / flatulence</x:t>
        </x:is>
      </x:c>
      <x:c r="D19" t="inlineStr">
        <x:is>
          <x:t xml:space="preserve">GI</x:t>
        </x:is>
      </x:c>
      <x:c r="E19" t="inlineStr">
        <x:is>
          <x:t xml:space="preserve">adult</x:t>
        </x:is>
      </x:c>
      <x:c r="F19" t="inlineStr">
        <x:is>
          <x:t xml:space="preserve">routine_opd</x:t>
        </x:is>
      </x:c>
      <x:c r="G19" t="inlineStr">
        <x:is>
          <x:t xml:space="preserve">Y</x:t>
        </x:is>
      </x:c>
      <x:c r="H19" t="n">
        <x:v>1</x:v>
      </x:c>
      <x:c r="I19" t="inlineStr">
        <x:is>
          <x:t xml:space="preserve">R14</x:t>
        </x:is>
      </x:c>
      <x:c r="K19" t="inlineStr">
        <x:is>
          <x:t xml:space="preserve">Most likely</x:t>
        </x:is>
      </x:c>
      <x:c r="L19" t="inlineStr">
        <x:is>
          <x:t xml:space="preserve">bloating or gas without acute abdomen red flags</x:t>
        </x:is>
      </x:c>
      <x:c r="M19" t="inlineStr">
        <x:is>
          <x:t xml:space="preserve">general bloating / gas without alarm features</x:t>
        </x:is>
      </x:c>
      <x:c r="N19" t="inlineStr">
        <x:is>
          <x:t xml:space="preserve">severe pain, vomiting, or GI bleed</x:t>
        </x:is>
      </x:c>
      <x:c r="O19" t="inlineStr">
        <x:is>
          <x:t xml:space="preserve">N</x:t>
        </x:is>
      </x:c>
      <x:c r="P19" t="inlineStr">
        <x:is>
          <x:t xml:space="preserve">N</x:t>
        </x:is>
      </x:c>
      <x:c r="Q19" t="inlineStr">
        <x:is>
          <x:t xml:space="preserve">Needs in-person eval today if severe pain, persistent vomiting, GI bleed, or abdominal distension with obstipation</x:t>
        </x:is>
      </x:c>
      <x:c r="R19" t="inlineStr">
        <x:is>
          <x:t xml:space="preserve">refined v3 main gas row</x:t>
        </x:is>
      </x:c>
      <x:c r="S19" t="inlineStr">
        <x:is>
          <x:t xml:space="preserve">Air-X 120 [Simethicone 120 mg.]</x:t>
        </x:is>
      </x:c>
      <x:c r="T19" t="inlineStr">
        <x:is>
          <x:t xml:space="preserve">BDS001079</x:t>
        </x:is>
      </x:c>
      <x:c r="U19" t="inlineStr">
        <x:is>
          <x:t xml:space="preserve">1 chewable tab PO TID–QID</x:t>
        </x:is>
      </x:c>
      <x:c r="V19" t="inlineStr">
        <x:is>
          <x:t xml:space="preserve">3 days</x:t>
        </x:is>
      </x:c>
      <x:c r="W19" t="inlineStr">
        <x:is>
          <x:t xml:space="preserve">2 strips (20 tabs)</x:t>
        </x:is>
      </x:c>
      <x:c r="X19" t="inlineStr">
        <x:is>
          <x:t xml:space="preserve">bloating relief; minimal SE</x:t>
        </x:is>
      </x:c>
      <x:c r="Y19" t="inlineStr">
        <x:is>
          <x:t xml:space="preserve">chew before swallowing</x:t>
        </x:is>
      </x:c>
      <x:c r="AA19" t="inlineStr">
        <x:is>
          <x:t xml:space="preserve">Gogaz [Simethicone 200 mg.]</x:t>
        </x:is>
      </x:c>
      <x:c r="AB19" t="inlineStr">
        <x:is>
          <x:t xml:space="preserve">BDS006054</x:t>
        </x:is>
      </x:c>
      <x:c r="AC19" t="inlineStr">
        <x:is>
          <x:t xml:space="preserve">1 cap PO OD–BID after meals</x:t>
        </x:is>
      </x:c>
      <x:c r="AD19" t="inlineStr">
        <x:is>
          <x:t xml:space="preserve">3 days</x:t>
        </x:is>
      </x:c>
      <x:c r="AE19" t="inlineStr">
        <x:is>
          <x:t xml:space="preserve">1 box (10 caps)</x:t>
        </x:is>
      </x:c>
      <x:c r="AF19" t="inlineStr">
        <x:is>
          <x:t xml:space="preserve">minimal GI SE</x:t>
        </x:is>
      </x:c>
      <x:c r="AG19" t="inlineStr">
        <x:is>
          <x:t xml:space="preserve">after meals / bedtime</x:t>
        </x:is>
      </x:c>
    </x:row>
    <x:row r="20">
      <x:c r="A20" t="inlineStr">
        <x:is>
          <x:t xml:space="preserve">FRM0019</x:t>
        </x:is>
      </x:c>
      <x:c r="B20" t="inlineStr">
        <x:is>
          <x:t xml:space="preserve">abdominal_colic_adult</x:t>
        </x:is>
      </x:c>
      <x:c r="C20" t="inlineStr">
        <x:is>
          <x:t xml:space="preserve">Abdominal colic / cramp</x:t>
        </x:is>
      </x:c>
      <x:c r="D20" t="inlineStr">
        <x:is>
          <x:t xml:space="preserve">GI</x:t>
        </x:is>
      </x:c>
      <x:c r="E20" t="inlineStr">
        <x:is>
          <x:t xml:space="preserve">adult</x:t>
        </x:is>
      </x:c>
      <x:c r="F20" t="inlineStr">
        <x:is>
          <x:t xml:space="preserve">routine_opd</x:t>
        </x:is>
      </x:c>
      <x:c r="G20" t="inlineStr">
        <x:is>
          <x:t xml:space="preserve">Y</x:t>
        </x:is>
      </x:c>
      <x:c r="H20" t="n">
        <x:v>1</x:v>
      </x:c>
      <x:c r="I20" t="inlineStr">
        <x:is>
          <x:t xml:space="preserve">R10.4</x:t>
        </x:is>
      </x:c>
      <x:c r="K20" t="inlineStr">
        <x:is>
          <x:t xml:space="preserve">Most likely</x:t>
        </x:is>
      </x:c>
      <x:c r="L20" t="inlineStr">
        <x:is>
          <x:t xml:space="preserve">cramping pain without peritonitis/red-flag features</x:t>
        </x:is>
      </x:c>
      <x:c r="M20" t="inlineStr">
        <x:is>
          <x:t xml:space="preserve">simple abdominal cramp outpatient case</x:t>
        </x:is>
      </x:c>
      <x:c r="N20" t="inlineStr">
        <x:is>
          <x:t xml:space="preserve">localized peritonitis, fever, or severe dehydration</x:t>
        </x:is>
      </x:c>
      <x:c r="O20" t="inlineStr">
        <x:is>
          <x:t xml:space="preserve">N</x:t>
        </x:is>
      </x:c>
      <x:c r="P20" t="inlineStr">
        <x:is>
          <x:t xml:space="preserve">N</x:t>
        </x:is>
      </x:c>
      <x:c r="Q20" t="inlineStr">
        <x:is>
          <x:t xml:space="preserve">Needs in-person eval today if localized severe pain, guarding, fever, or repeated vomiting</x:t>
        </x:is>
      </x:c>
      <x:c r="R20" t="inlineStr">
        <x:is>
          <x:t xml:space="preserve">expanded common OPD row</x:t>
        </x:is>
      </x:c>
      <x:c r="S20" t="inlineStr">
        <x:is>
          <x:t xml:space="preserve">Buscopan [Hyoscine-N-butylbromide 10 mg.]</x:t>
        </x:is>
      </x:c>
      <x:c r="T20" t="inlineStr">
        <x:is>
          <x:t xml:space="preserve">BDS001283</x:t>
        </x:is>
      </x:c>
      <x:c r="U20" t="inlineStr">
        <x:is>
          <x:t xml:space="preserve">1–2 tabs PO TID–QID PRN cramp</x:t>
        </x:is>
      </x:c>
      <x:c r="V20" t="inlineStr">
        <x:is>
          <x:t xml:space="preserve">3 days</x:t>
        </x:is>
      </x:c>
      <x:c r="W20" t="inlineStr">
        <x:is>
          <x:t xml:space="preserve">2 strips (20 tabs)</x:t>
        </x:is>
      </x:c>
      <x:c r="X20" t="inlineStr">
        <x:is>
          <x:t xml:space="preserve">dry mouth, dizziness</x:t>
        </x:is>
      </x:c>
      <x:c r="Y20" t="inlineStr">
        <x:is>
          <x:t xml:space="preserve">caution glaucoma/BPH</x:t>
        </x:is>
      </x:c>
      <x:c r="AA20" t="inlineStr">
        <x:is>
          <x:t xml:space="preserve">Air-X 120 [Simethicone 120 mg.]</x:t>
        </x:is>
      </x:c>
      <x:c r="AB20" t="inlineStr">
        <x:is>
          <x:t xml:space="preserve">BDS001079</x:t>
        </x:is>
      </x:c>
      <x:c r="AC20" t="inlineStr">
        <x:is>
          <x:t xml:space="preserve">1 chewable tab PO TID–QID</x:t>
        </x:is>
      </x:c>
      <x:c r="AD20" t="inlineStr">
        <x:is>
          <x:t xml:space="preserve">3 days</x:t>
        </x:is>
      </x:c>
      <x:c r="AE20" t="inlineStr">
        <x:is>
          <x:t xml:space="preserve">1 strip (10 tabs)</x:t>
        </x:is>
      </x:c>
      <x:c r="AF20" t="inlineStr">
        <x:is>
          <x:t xml:space="preserve">bloating relief; minimal SE</x:t>
        </x:is>
      </x:c>
      <x:c r="AG20" t="inlineStr">
        <x:is>
          <x:t xml:space="preserve">chew before swallowing</x:t>
        </x:is>
      </x:c>
    </x:row>
    <x:row r="21">
      <x:c r="A21" t="inlineStr">
        <x:is>
          <x:t xml:space="preserve">FRM0020</x:t>
        </x:is>
      </x:c>
      <x:c r="B21" t="inlineStr">
        <x:is>
          <x:t xml:space="preserve">muscle_spasm_adult</x:t>
        </x:is>
      </x:c>
      <x:c r="C21" t="inlineStr">
        <x:is>
          <x:t xml:space="preserve">Muscle spasm</x:t>
        </x:is>
      </x:c>
      <x:c r="D21" t="inlineStr">
        <x:is>
          <x:t xml:space="preserve">Pain</x:t>
        </x:is>
      </x:c>
      <x:c r="E21" t="inlineStr">
        <x:is>
          <x:t xml:space="preserve">adult</x:t>
        </x:is>
      </x:c>
      <x:c r="F21" t="inlineStr">
        <x:is>
          <x:t xml:space="preserve">routine_opd</x:t>
        </x:is>
      </x:c>
      <x:c r="G21" t="inlineStr">
        <x:is>
          <x:t xml:space="preserve">Y</x:t>
        </x:is>
      </x:c>
      <x:c r="H21" t="n">
        <x:v>1</x:v>
      </x:c>
      <x:c r="I21" t="inlineStr">
        <x:is>
          <x:t xml:space="preserve">M62.838</x:t>
        </x:is>
      </x:c>
      <x:c r="K21" t="inlineStr">
        <x:is>
          <x:t xml:space="preserve">Most likely</x:t>
        </x:is>
      </x:c>
      <x:c r="L21" t="inlineStr">
        <x:is>
          <x:t xml:space="preserve">muscle spasm / tightness without trauma red flags</x:t>
        </x:is>
      </x:c>
      <x:c r="M21" t="inlineStr">
        <x:is>
          <x:t xml:space="preserve">simple muscle spasm outpatient case</x:t>
        </x:is>
      </x:c>
      <x:c r="N21" t="inlineStr">
        <x:is>
          <x:t xml:space="preserve">major trauma or neuro deficit</x:t>
        </x:is>
      </x:c>
      <x:c r="O21" t="inlineStr">
        <x:is>
          <x:t xml:space="preserve">N</x:t>
        </x:is>
      </x:c>
      <x:c r="P21" t="inlineStr">
        <x:is>
          <x:t xml:space="preserve">N</x:t>
        </x:is>
      </x:c>
      <x:c r="Q21" t="inlineStr">
        <x:is>
          <x:t xml:space="preserve">Needs in-person eval today if major trauma, weakness/numbness, or severe swelling</x:t>
        </x:is>
      </x:c>
      <x:c r="R21" t="inlineStr">
        <x:is>
          <x:t xml:space="preserve">expanded common OPD row</x:t>
        </x:is>
      </x:c>
      <x:c r="S21" t="inlineStr">
        <x:is>
          <x:t xml:space="preserve">Biocalm [Tolperisone 50 mg.]</x:t>
        </x:is>
      </x:c>
      <x:c r="T21" t="inlineStr">
        <x:is>
          <x:t xml:space="preserve">BDS001271</x:t>
        </x:is>
      </x:c>
      <x:c r="U21" t="inlineStr">
        <x:is>
          <x:t xml:space="preserve">1 tab PO TID</x:t>
        </x:is>
      </x:c>
      <x:c r="V21" t="inlineStr">
        <x:is>
          <x:t xml:space="preserve">3 days</x:t>
        </x:is>
      </x:c>
      <x:c r="W21" t="inlineStr">
        <x:is>
          <x:t xml:space="preserve">1 strip (10 tabs)</x:t>
        </x:is>
      </x:c>
      <x:c r="X21" t="inlineStr">
        <x:is>
          <x:t xml:space="preserve">drowsy, dizziness</x:t>
        </x:is>
      </x:c>
      <x:c r="Y21" t="inlineStr">
        <x:is>
          <x:t xml:space="preserve">caution driving if sleepy</x:t>
        </x:is>
      </x:c>
      <x:c r="Z21" t="n">
        <x:v>80</x:v>
      </x:c>
      <x:c r="AA21" t="inlineStr">
        <x:is>
          <x:t xml:space="preserve">Tylenol 500 mg strip 10s [Paracetamol 500 mg.]</x:t>
        </x:is>
      </x:c>
      <x:c r="AB21" t="inlineStr">
        <x:is>
          <x:t xml:space="preserve">BDS003762</x:t>
        </x:is>
      </x:c>
      <x:c r="AC21" t="inlineStr">
        <x:is>
          <x:t xml:space="preserve">1–2 tabs PO q4–6h PRN pain</x:t>
        </x:is>
      </x:c>
      <x:c r="AD21" t="inlineStr">
        <x:is>
          <x:t xml:space="preserve">3 days</x:t>
        </x:is>
      </x:c>
      <x:c r="AE21" t="inlineStr">
        <x:is>
          <x:t xml:space="preserve">1 strip (10 tabs)</x:t>
        </x:is>
      </x:c>
      <x:c r="AF21" t="inlineStr">
        <x:is>
          <x:t xml:space="preserve">nausea, rash</x:t>
        </x:is>
      </x:c>
      <x:c r="AG21" t="inlineStr">
        <x:is>
          <x:t xml:space="preserve">avoid duplicate paracetamol; caution liver disease</x:t>
        </x:is>
      </x:c>
      <x:c r="AH21" t="n">
        <x:v>36</x:v>
      </x:c>
      <x:c r="AI21" t="inlineStr">
        <x:is>
          <x:t xml:space="preserve">Uniren Spray [Diclofenac Sodium 1 % w/w]</x:t>
        </x:is>
      </x:c>
      <x:c r="AJ21" t="inlineStr">
        <x:is>
          <x:t xml:space="preserve">BDS003914</x:t>
        </x:is>
      </x:c>
      <x:c r="AK21" t="inlineStr">
        <x:is>
          <x:t xml:space="preserve">spray to affected area TID–QID</x:t>
        </x:is>
      </x:c>
      <x:c r="AL21" t="inlineStr">
        <x:is>
          <x:t xml:space="preserve">5 days</x:t>
        </x:is>
      </x:c>
      <x:c r="AM21" t="inlineStr">
        <x:is>
          <x:t xml:space="preserve">1 bottle (60 mL)</x:t>
        </x:is>
      </x:c>
      <x:c r="AN21" t="inlineStr">
        <x:is>
          <x:t xml:space="preserve">local skin irritation</x:t>
        </x:is>
      </x:c>
      <x:c r="AO21" t="inlineStr">
        <x:is>
          <x:t xml:space="preserve">avoid broken skin; NSAID allergy</x:t>
        </x:is>
      </x:c>
      <x:c r="AP21" t="n">
        <x:v>346</x:v>
      </x:c>
    </x:row>
    <x:row r="22">
      <x:c r="A22" t="inlineStr">
        <x:is>
          <x:t xml:space="preserve">FRM0021</x:t>
        </x:is>
      </x:c>
      <x:c r="B22" t="inlineStr">
        <x:is>
          <x:t xml:space="preserve">tension_headache_adult</x:t>
        </x:is>
      </x:c>
      <x:c r="C22" t="inlineStr">
        <x:is>
          <x:t xml:space="preserve">Tension-type headache</x:t>
        </x:is>
      </x:c>
      <x:c r="D22" t="inlineStr">
        <x:is>
          <x:t xml:space="preserve">Neuro</x:t>
        </x:is>
      </x:c>
      <x:c r="E22" t="inlineStr">
        <x:is>
          <x:t xml:space="preserve">adult</x:t>
        </x:is>
      </x:c>
      <x:c r="F22" t="inlineStr">
        <x:is>
          <x:t xml:space="preserve">routine_opd</x:t>
        </x:is>
      </x:c>
      <x:c r="G22" t="inlineStr">
        <x:is>
          <x:t xml:space="preserve">Y</x:t>
        </x:is>
      </x:c>
      <x:c r="H22" t="n">
        <x:v>1</x:v>
      </x:c>
      <x:c r="I22" t="inlineStr">
        <x:is>
          <x:t xml:space="preserve">G44.209</x:t>
        </x:is>
      </x:c>
      <x:c r="K22" t="inlineStr">
        <x:is>
          <x:t xml:space="preserve">Most likely</x:t>
        </x:is>
      </x:c>
      <x:c r="L22" t="inlineStr">
        <x:is>
          <x:t xml:space="preserve">band-like or non-migraine headache without neuro red flags</x:t>
        </x:is>
      </x:c>
      <x:c r="M22" t="inlineStr">
        <x:is>
          <x:t xml:space="preserve">simple tension headache outpatient case</x:t>
        </x:is>
      </x:c>
      <x:c r="N22" t="inlineStr">
        <x:is>
          <x:t xml:space="preserve">thunderclap headache or focal neuro deficit</x:t>
        </x:is>
      </x:c>
      <x:c r="O22" t="inlineStr">
        <x:is>
          <x:t xml:space="preserve">N</x:t>
        </x:is>
      </x:c>
      <x:c r="P22" t="inlineStr">
        <x:is>
          <x:t xml:space="preserve">N</x:t>
        </x:is>
      </x:c>
      <x:c r="Q22" t="inlineStr">
        <x:is>
          <x:t xml:space="preserve">Needs in-person eval today if thunderclap headache, neuro deficit, or fever with neck stiffness</x:t>
        </x:is>
      </x:c>
      <x:c r="R22" t="inlineStr">
        <x:is>
          <x:t xml:space="preserve">expanded common OPD row</x:t>
        </x:is>
      </x:c>
      <x:c r="S22" t="inlineStr">
        <x:is>
          <x:t xml:space="preserve">Tylenol 500 mg strip 10s [Paracetamol 500 mg.]</x:t>
        </x:is>
      </x:c>
      <x:c r="T22" t="inlineStr">
        <x:is>
          <x:t xml:space="preserve">BDS003762</x:t>
        </x:is>
      </x:c>
      <x:c r="U22" t="inlineStr">
        <x:is>
          <x:t xml:space="preserve">1–2 tabs PO q4–6h PRN headache</x:t>
        </x:is>
      </x:c>
      <x:c r="V22" t="inlineStr">
        <x:is>
          <x:t xml:space="preserve">3 days</x:t>
        </x:is>
      </x:c>
      <x:c r="W22" t="inlineStr">
        <x:is>
          <x:t xml:space="preserve">1 strip (10 tabs)</x:t>
        </x:is>
      </x:c>
      <x:c r="X22" t="inlineStr">
        <x:is>
          <x:t xml:space="preserve">nausea, rash</x:t>
        </x:is>
      </x:c>
      <x:c r="Y22" t="inlineStr">
        <x:is>
          <x:t xml:space="preserve">avoid duplicate paracetamol; caution liver disease</x:t>
        </x:is>
      </x:c>
      <x:c r="Z22" t="n">
        <x:v>36</x:v>
      </x:c>
      <x:c r="AA22" t="inlineStr">
        <x:is>
          <x:t xml:space="preserve">Gofen 400 [Ibuprofen 400 mg.+Polyethylene 400+Porpylene Glycol]</x:t>
        </x:is>
      </x:c>
      <x:c r="AB22" t="inlineStr">
        <x:is>
          <x:t xml:space="preserve">BDS002042</x:t>
        </x:is>
      </x:c>
      <x:c r="AC22" t="inlineStr">
        <x:is>
          <x:t xml:space="preserve">1 cap PO q4–6h PRN pain</x:t>
        </x:is>
      </x:c>
      <x:c r="AD22" t="inlineStr">
        <x:is>
          <x:t xml:space="preserve">3 days</x:t>
        </x:is>
      </x:c>
      <x:c r="AE22" t="inlineStr">
        <x:is>
          <x:t xml:space="preserve">1 box (10 caps)</x:t>
        </x:is>
      </x:c>
      <x:c r="AF22" t="inlineStr">
        <x:is>
          <x:t xml:space="preserve">GI upset</x:t>
        </x:is>
      </x:c>
      <x:c r="AG22" t="inlineStr">
        <x:is>
          <x:t xml:space="preserve">avoid PUD/GI bleed/CKD; pregnancy 3rd tri</x:t>
        </x:is>
      </x:c>
      <x:c r="AH22" t="n">
        <x:v>177</x:v>
      </x:c>
    </x:row>
    <x:row r="23">
      <x:c r="A23" t="inlineStr">
        <x:is>
          <x:t xml:space="preserve">FRM0022</x:t>
        </x:is>
      </x:c>
      <x:c r="B23" t="inlineStr">
        <x:is>
          <x:t xml:space="preserve">inflammatory_pain_adult</x:t>
        </x:is>
      </x:c>
      <x:c r="C23" t="inlineStr">
        <x:is>
          <x:t xml:space="preserve">Inflammatory pain / joint flare</x:t>
        </x:is>
      </x:c>
      <x:c r="D23" t="inlineStr">
        <x:is>
          <x:t xml:space="preserve">Pain</x:t>
        </x:is>
      </x:c>
      <x:c r="E23" t="inlineStr">
        <x:is>
          <x:t xml:space="preserve">adult</x:t>
        </x:is>
      </x:c>
      <x:c r="F23" t="inlineStr">
        <x:is>
          <x:t xml:space="preserve">routine_opd</x:t>
        </x:is>
      </x:c>
      <x:c r="G23" t="inlineStr">
        <x:is>
          <x:t xml:space="preserve">Y</x:t>
        </x:is>
      </x:c>
      <x:c r="H23" t="n">
        <x:v>1</x:v>
      </x:c>
      <x:c r="I23" t="inlineStr">
        <x:is>
          <x:t xml:space="preserve">M25.50</x:t>
        </x:is>
      </x:c>
      <x:c r="K23" t="inlineStr">
        <x:is>
          <x:t xml:space="preserve">Most likely</x:t>
        </x:is>
      </x:c>
      <x:c r="L23" t="inlineStr">
        <x:is>
          <x:t xml:space="preserve">inflammatory pain without septic joint red flags</x:t>
        </x:is>
      </x:c>
      <x:c r="M23" t="inlineStr">
        <x:is>
          <x:t xml:space="preserve">simple inflammatory pain outpatient case</x:t>
        </x:is>
      </x:c>
      <x:c r="N23" t="inlineStr">
        <x:is>
          <x:t xml:space="preserve">red hot joint, fever, or trauma</x:t>
        </x:is>
      </x:c>
      <x:c r="O23" t="inlineStr">
        <x:is>
          <x:t xml:space="preserve">N</x:t>
        </x:is>
      </x:c>
      <x:c r="P23" t="inlineStr">
        <x:is>
          <x:t xml:space="preserve">N</x:t>
        </x:is>
      </x:c>
      <x:c r="Q23" t="inlineStr">
        <x:is>
          <x:t xml:space="preserve">Needs in-person eval today if red hot joint, fever, severe swelling, or inability to bear weight</x:t>
        </x:is>
      </x:c>
      <x:c r="R23" t="inlineStr">
        <x:is>
          <x:t xml:space="preserve">expanded common OPD row</x:t>
        </x:is>
      </x:c>
      <x:c r="S23" t="inlineStr">
        <x:is>
          <x:t xml:space="preserve">Gofen 400 [Ibuprofen 400 mg.+Polyethylene 400+Porpylene Glycol]</x:t>
        </x:is>
      </x:c>
      <x:c r="T23" t="inlineStr">
        <x:is>
          <x:t xml:space="preserve">BDS002042</x:t>
        </x:is>
      </x:c>
      <x:c r="U23" t="inlineStr">
        <x:is>
          <x:t xml:space="preserve">1 cap PO q4–6h PRN pain</x:t>
        </x:is>
      </x:c>
      <x:c r="V23" t="inlineStr">
        <x:is>
          <x:t xml:space="preserve">3 days</x:t>
        </x:is>
      </x:c>
      <x:c r="W23" t="inlineStr">
        <x:is>
          <x:t xml:space="preserve">1 box (10 caps)</x:t>
        </x:is>
      </x:c>
      <x:c r="X23" t="inlineStr">
        <x:is>
          <x:t xml:space="preserve">GI upset</x:t>
        </x:is>
      </x:c>
      <x:c r="Y23" t="inlineStr">
        <x:is>
          <x:t xml:space="preserve">avoid PUD/GI bleed/CKD; pregnancy 3rd tri</x:t>
        </x:is>
      </x:c>
      <x:c r="Z23" t="n">
        <x:v>177</x:v>
      </x:c>
      <x:c r="AA23" t="inlineStr">
        <x:is>
          <x:t xml:space="preserve">Uniren Spray [Diclofenac Sodium 1 % w/w]</x:t>
        </x:is>
      </x:c>
      <x:c r="AB23" t="inlineStr">
        <x:is>
          <x:t xml:space="preserve">BDS003914</x:t>
        </x:is>
      </x:c>
      <x:c r="AC23" t="inlineStr">
        <x:is>
          <x:t xml:space="preserve">spray to affected area TID–QID</x:t>
        </x:is>
      </x:c>
      <x:c r="AD23" t="inlineStr">
        <x:is>
          <x:t xml:space="preserve">5 days</x:t>
        </x:is>
      </x:c>
      <x:c r="AE23" t="inlineStr">
        <x:is>
          <x:t xml:space="preserve">1 bottle (60 mL)</x:t>
        </x:is>
      </x:c>
      <x:c r="AF23" t="inlineStr">
        <x:is>
          <x:t xml:space="preserve">local skin irritation</x:t>
        </x:is>
      </x:c>
      <x:c r="AG23" t="inlineStr">
        <x:is>
          <x:t xml:space="preserve">avoid broken skin; NSAID allergy</x:t>
        </x:is>
      </x:c>
      <x:c r="AH23" t="n">
        <x:v>346</x:v>
      </x:c>
      <x:c r="AY23" t="inlineStr">
        <x:is>
          <x:t xml:space="preserve">Arcoxia 60 mg [Etoricoxib 60 mg.]</x:t>
        </x:is>
      </x:c>
      <x:c r="AZ23" t="inlineStr">
        <x:is>
          <x:t xml:space="preserve">BDS001078</x:t>
        </x:is>
      </x:c>
      <x:c r="BA23" t="inlineStr">
        <x:is>
          <x:t xml:space="preserve">1 tab PO OD after food</x:t>
        </x:is>
      </x:c>
      <x:c r="BB23" t="inlineStr">
        <x:is>
          <x:t xml:space="preserve">3 days</x:t>
        </x:is>
      </x:c>
      <x:c r="BC23" t="inlineStr">
        <x:is>
          <x:t xml:space="preserve">1 strip (5 tabs)</x:t>
        </x:is>
      </x:c>
      <x:c r="BD23" t="inlineStr">
        <x:is>
          <x:t xml:space="preserve">GI upset, edema</x:t>
        </x:is>
      </x:c>
      <x:c r="BE23" t="inlineStr">
        <x:is>
          <x:t xml:space="preserve">avoid CKD/uncontrolled HTN/PUD</x:t>
        </x:is>
      </x:c>
    </x:row>
    <x:row r="24">
      <x:c r="A24" t="inlineStr">
        <x:is>
          <x:t xml:space="preserve">FRM0023</x:t>
        </x:is>
      </x:c>
      <x:c r="B24" t="inlineStr">
        <x:is>
          <x:t xml:space="preserve">dry_skin_adult</x:t>
        </x:is>
      </x:c>
      <x:c r="C24" t="inlineStr">
        <x:is>
          <x:t xml:space="preserve">Dry skin / xerosis</x:t>
        </x:is>
      </x:c>
      <x:c r="D24" t="inlineStr">
        <x:is>
          <x:t xml:space="preserve">Skin</x:t>
        </x:is>
      </x:c>
      <x:c r="E24" t="inlineStr">
        <x:is>
          <x:t xml:space="preserve">adult</x:t>
        </x:is>
      </x:c>
      <x:c r="F24" t="inlineStr">
        <x:is>
          <x:t xml:space="preserve">routine_opd</x:t>
        </x:is>
      </x:c>
      <x:c r="G24" t="inlineStr">
        <x:is>
          <x:t xml:space="preserve">Y</x:t>
        </x:is>
      </x:c>
      <x:c r="H24" t="n">
        <x:v>1</x:v>
      </x:c>
      <x:c r="I24" t="inlineStr">
        <x:is>
          <x:t xml:space="preserve">L85.3</x:t>
        </x:is>
      </x:c>
      <x:c r="K24" t="inlineStr">
        <x:is>
          <x:t xml:space="preserve">Most likely</x:t>
        </x:is>
      </x:c>
      <x:c r="L24" t="inlineStr">
        <x:is>
          <x:t xml:space="preserve">dry rough skin without infection</x:t>
        </x:is>
      </x:c>
      <x:c r="M24" t="inlineStr">
        <x:is>
          <x:t xml:space="preserve">simple dry skin outpatient case</x:t>
        </x:is>
      </x:c>
      <x:c r="N24" t="inlineStr">
        <x:is>
          <x:t xml:space="preserve">cracking with infection or severe eczema flare</x:t>
        </x:is>
      </x:c>
      <x:c r="O24" t="inlineStr">
        <x:is>
          <x:t xml:space="preserve">N</x:t>
        </x:is>
      </x:c>
      <x:c r="P24" t="inlineStr">
        <x:is>
          <x:t xml:space="preserve">N</x:t>
        </x:is>
      </x:c>
      <x:c r="Q24" t="inlineStr">
        <x:is>
          <x:t xml:space="preserve">Needs in-person eval today if widespread severe eczema, infected cracks, or significant pain</x:t>
        </x:is>
      </x:c>
      <x:c r="R24" t="inlineStr">
        <x:is>
          <x:t xml:space="preserve">expanded common OPD row</x:t>
        </x:is>
      </x:c>
      <x:c r="S24" t="inlineStr">
        <x:is>
          <x:t xml:space="preserve">Diabederm Urea Cream 10% [10% Urea]</x:t>
        </x:is>
      </x:c>
      <x:c r="T24" t="inlineStr">
        <x:is>
          <x:t xml:space="preserve">BDS001682</x:t>
        </x:is>
      </x:c>
      <x:c r="U24" t="inlineStr">
        <x:is>
          <x:t xml:space="preserve">apply to dry skin BID–TID</x:t>
        </x:is>
      </x:c>
      <x:c r="V24" t="inlineStr">
        <x:is>
          <x:t xml:space="preserve">7 days</x:t>
        </x:is>
      </x:c>
      <x:c r="W24" t="inlineStr">
        <x:is>
          <x:t xml:space="preserve">1 tube (35 g)</x:t>
        </x:is>
      </x:c>
      <x:c r="X24" t="inlineStr">
        <x:is>
          <x:t xml:space="preserve">local irritation</x:t>
        </x:is>
      </x:c>
      <x:c r="Y24" t="inlineStr">
        <x:is>
          <x:t xml:space="preserve">avoid open wound</x:t>
        </x:is>
      </x:c>
      <x:c r="AY24" t="inlineStr">
        <x:is>
          <x:t xml:space="preserve">Diabederm Urea Cream 20% [20% Urea]</x:t>
        </x:is>
      </x:c>
      <x:c r="AZ24" t="inlineStr">
        <x:is>
          <x:t xml:space="preserve">BDS001683</x:t>
        </x:is>
      </x:c>
      <x:c r="BA24" t="inlineStr">
        <x:is>
          <x:t xml:space="preserve">apply to thicker dry skin BID</x:t>
        </x:is>
      </x:c>
      <x:c r="BB24" t="inlineStr">
        <x:is>
          <x:t xml:space="preserve">7 days</x:t>
        </x:is>
      </x:c>
      <x:c r="BC24" t="inlineStr">
        <x:is>
          <x:t xml:space="preserve">1 tube (35 g)</x:t>
        </x:is>
      </x:c>
      <x:c r="BD24" t="inlineStr">
        <x:is>
          <x:t xml:space="preserve">local irritation</x:t>
        </x:is>
      </x:c>
      <x:c r="BE24" t="inlineStr">
        <x:is>
          <x:t xml:space="preserve">stronger; avoid sensitive/open skin</x:t>
        </x:is>
      </x:c>
    </x:row>
    <x:row r="25">
      <x:c r="A25" t="inlineStr">
        <x:is>
          <x:t xml:space="preserve">FRM0024</x:t>
        </x:is>
      </x:c>
      <x:c r="B25" t="inlineStr">
        <x:is>
          <x:t xml:space="preserve">itchy_dermatitis_adult</x:t>
        </x:is>
      </x:c>
      <x:c r="C25" t="inlineStr">
        <x:is>
          <x:t xml:space="preserve">Dermatitis / eczema flare</x:t>
        </x:is>
      </x:c>
      <x:c r="D25" t="inlineStr">
        <x:is>
          <x:t xml:space="preserve">Skin</x:t>
        </x:is>
      </x:c>
      <x:c r="E25" t="inlineStr">
        <x:is>
          <x:t xml:space="preserve">adult</x:t>
        </x:is>
      </x:c>
      <x:c r="F25" t="inlineStr">
        <x:is>
          <x:t xml:space="preserve">routine_opd</x:t>
        </x:is>
      </x:c>
      <x:c r="G25" t="inlineStr">
        <x:is>
          <x:t xml:space="preserve">Y</x:t>
        </x:is>
      </x:c>
      <x:c r="H25" t="n">
        <x:v>1</x:v>
      </x:c>
      <x:c r="I25" t="inlineStr">
        <x:is>
          <x:t xml:space="preserve">L30.9</x:t>
        </x:is>
      </x:c>
      <x:c r="K25" t="inlineStr">
        <x:is>
          <x:t xml:space="preserve">Most likely</x:t>
        </x:is>
      </x:c>
      <x:c r="L25" t="inlineStr">
        <x:is>
          <x:t xml:space="preserve">itchy dermatitis without cellulitis or severe flare</x:t>
        </x:is>
      </x:c>
      <x:c r="M25" t="inlineStr">
        <x:is>
          <x:t xml:space="preserve">eczema / dermatitis pattern with itch and dry inflamed skin</x:t>
        </x:is>
      </x:c>
      <x:c r="N25" t="inlineStr">
        <x:is>
          <x:t xml:space="preserve">widespread infection, weeping cellulitis, or face/eye involvement needing review</x:t>
        </x:is>
      </x:c>
      <x:c r="O25" t="inlineStr">
        <x:is>
          <x:t xml:space="preserve">N</x:t>
        </x:is>
      </x:c>
      <x:c r="P25" t="inlineStr">
        <x:is>
          <x:t xml:space="preserve">N</x:t>
        </x:is>
      </x:c>
      <x:c r="Q25" t="inlineStr">
        <x:is>
          <x:t xml:space="preserve">Needs in-person eval today if infected rash, extensive blistering, or facial/eye involvement</x:t>
        </x:is>
      </x:c>
      <x:c r="R25" t="inlineStr">
        <x:is>
          <x:t xml:space="preserve">refined v3 main dermatitis row</x:t>
        </x:is>
      </x:c>
      <x:c r="S25" t="inlineStr">
        <x:is>
          <x:t xml:space="preserve">Zyrtec [Cetirizine dihydrochloride 10 mg.]</x:t>
        </x:is>
      </x:c>
      <x:c r="T25" t="inlineStr">
        <x:is>
          <x:t xml:space="preserve">BDS004213</x:t>
        </x:is>
      </x:c>
      <x:c r="U25" t="inlineStr">
        <x:is>
          <x:t xml:space="preserve">1 tab PO OD</x:t>
        </x:is>
      </x:c>
      <x:c r="V25" t="inlineStr">
        <x:is>
          <x:t xml:space="preserve">5 days</x:t>
        </x:is>
      </x:c>
      <x:c r="W25" t="inlineStr">
        <x:is>
          <x:t xml:space="preserve">1 box (10 tabs)</x:t>
        </x:is>
      </x:c>
      <x:c r="X25" t="inlineStr">
        <x:is>
          <x:t xml:space="preserve">drowsy, dry mouth</x:t>
        </x:is>
      </x:c>
      <x:c r="Y25" t="inlineStr">
        <x:is>
          <x:t xml:space="preserve">caution driving if sleepy</x:t>
        </x:is>
      </x:c>
      <x:c r="Z25" t="n">
        <x:v>216</x:v>
      </x:c>
      <x:c r="AA25" t="inlineStr">
        <x:is>
          <x:t xml:space="preserve">Aristocort 0.02% [Triamcinolone Acetonide 0.02%]</x:t>
        </x:is>
      </x:c>
      <x:c r="AB25" t="inlineStr">
        <x:is>
          <x:t xml:space="preserve">BDS001057</x:t>
        </x:is>
      </x:c>
      <x:c r="AC25" t="inlineStr">
        <x:is>
          <x:t xml:space="preserve">apply thinly BID–TID</x:t>
        </x:is>
      </x:c>
      <x:c r="AD25" t="inlineStr">
        <x:is>
          <x:t xml:space="preserve">5 days</x:t>
        </x:is>
      </x:c>
      <x:c r="AE25" t="inlineStr">
        <x:is>
          <x:t xml:space="preserve">1 tube (15 g)</x:t>
        </x:is>
      </x:c>
      <x:c r="AF25" t="inlineStr">
        <x:is>
          <x:t xml:space="preserve">local irritation</x:t>
        </x:is>
      </x:c>
      <x:c r="AG25" t="inlineStr">
        <x:is>
          <x:t xml:space="preserve">short course; avoid face/folds/open wound</x:t>
        </x:is>
      </x:c>
      <x:c r="AY25" t="inlineStr">
        <x:is>
          <x:t xml:space="preserve">Antergan Cream [Hydrocortisone Acetate 5 mg+Mepyramine Maleate 20 mg/1 g]</x:t>
        </x:is>
      </x:c>
      <x:c r="AZ25" t="inlineStr">
        <x:is>
          <x:t xml:space="preserve">BDS006745</x:t>
        </x:is>
      </x:c>
      <x:c r="BA25" t="inlineStr">
        <x:is>
          <x:t xml:space="preserve">apply thinly BID–TID to itchy areas</x:t>
        </x:is>
      </x:c>
      <x:c r="BB25" t="inlineStr">
        <x:is>
          <x:t xml:space="preserve">5 days</x:t>
        </x:is>
      </x:c>
      <x:c r="BC25" t="inlineStr">
        <x:is>
          <x:t xml:space="preserve">1 tube (10 g)</x:t>
        </x:is>
      </x:c>
      <x:c r="BD25" t="inlineStr">
        <x:is>
          <x:t xml:space="preserve">local irritation</x:t>
        </x:is>
      </x:c>
      <x:c r="BE25" t="inlineStr">
        <x:is>
          <x:t xml:space="preserve">avoid face/eye/open wound</x:t>
        </x:is>
      </x:c>
    </x:row>
    <x:row r="26">
      <x:c r="A26" t="inlineStr">
        <x:is>
          <x:t xml:space="preserve">FRM0025</x:t>
        </x:is>
      </x:c>
      <x:c r="B26" t="inlineStr">
        <x:is>
          <x:t xml:space="preserve">insect_bite_reaction_adult</x:t>
        </x:is>
      </x:c>
      <x:c r="C26" t="inlineStr">
        <x:is>
          <x:t xml:space="preserve">Insect bite reaction / itchy bite</x:t>
        </x:is>
      </x:c>
      <x:c r="D26" t="inlineStr">
        <x:is>
          <x:t xml:space="preserve">Skin</x:t>
        </x:is>
      </x:c>
      <x:c r="E26" t="inlineStr">
        <x:is>
          <x:t xml:space="preserve">adult</x:t>
        </x:is>
      </x:c>
      <x:c r="F26" t="inlineStr">
        <x:is>
          <x:t xml:space="preserve">routine_opd</x:t>
        </x:is>
      </x:c>
      <x:c r="G26" t="inlineStr">
        <x:is>
          <x:t xml:space="preserve">Y</x:t>
        </x:is>
      </x:c>
      <x:c r="H26" t="n">
        <x:v>1</x:v>
      </x:c>
      <x:c r="I26" t="inlineStr">
        <x:is>
          <x:t xml:space="preserve">W57</x:t>
        </x:is>
      </x:c>
      <x:c r="K26" t="inlineStr">
        <x:is>
          <x:t xml:space="preserve">Most likely</x:t>
        </x:is>
      </x:c>
      <x:c r="L26" t="inlineStr">
        <x:is>
          <x:t xml:space="preserve">localized itchy bite reaction without anaphylaxis/cellulitis</x:t>
        </x:is>
      </x:c>
      <x:c r="M26" t="inlineStr">
        <x:is>
          <x:t xml:space="preserve">simple insect bite outpatient case</x:t>
        </x:is>
      </x:c>
      <x:c r="N26" t="inlineStr">
        <x:is>
          <x:t xml:space="preserve">facial swelling, dyspnea, or spreading infection</x:t>
        </x:is>
      </x:c>
      <x:c r="O26" t="inlineStr">
        <x:is>
          <x:t xml:space="preserve">N</x:t>
        </x:is>
      </x:c>
      <x:c r="P26" t="inlineStr">
        <x:is>
          <x:t xml:space="preserve">N</x:t>
        </x:is>
      </x:c>
      <x:c r="Q26" t="inlineStr">
        <x:is>
          <x:t xml:space="preserve">Needs in-person eval today if facial swelling, dyspnea, or rapidly spreading redness</x:t>
        </x:is>
      </x:c>
      <x:c r="R26" t="inlineStr">
        <x:is>
          <x:t xml:space="preserve">expanded common OPD row</x:t>
        </x:is>
      </x:c>
      <x:c r="S26" t="inlineStr">
        <x:is>
          <x:t xml:space="preserve">Zyrtec [Cetirizine dihydrochloride 10 mg.]</x:t>
        </x:is>
      </x:c>
      <x:c r="T26" t="inlineStr">
        <x:is>
          <x:t xml:space="preserve">BDS004213</x:t>
        </x:is>
      </x:c>
      <x:c r="U26" t="inlineStr">
        <x:is>
          <x:t xml:space="preserve">1 tab PO OD</x:t>
        </x:is>
      </x:c>
      <x:c r="V26" t="inlineStr">
        <x:is>
          <x:t xml:space="preserve">3–5 days</x:t>
        </x:is>
      </x:c>
      <x:c r="W26" t="inlineStr">
        <x:is>
          <x:t xml:space="preserve">1 box (10 tabs)</x:t>
        </x:is>
      </x:c>
      <x:c r="X26" t="inlineStr">
        <x:is>
          <x:t xml:space="preserve">drowsy, dry mouth</x:t>
        </x:is>
      </x:c>
      <x:c r="Y26" t="inlineStr">
        <x:is>
          <x:t xml:space="preserve">caution driving if sleepy</x:t>
        </x:is>
      </x:c>
      <x:c r="Z26" t="n">
        <x:v>216</x:v>
      </x:c>
      <x:c r="AA26" t="inlineStr">
        <x:is>
          <x:t xml:space="preserve">Antergan Cream [Hydrocortisone Acetate 5 mg+Mepyramine Maleate 20 mg/1 g]</x:t>
        </x:is>
      </x:c>
      <x:c r="AB26" t="inlineStr">
        <x:is>
          <x:t xml:space="preserve">BDS006745</x:t>
        </x:is>
      </x:c>
      <x:c r="AC26" t="inlineStr">
        <x:is>
          <x:t xml:space="preserve">apply thinly BID–TID to bite area</x:t>
        </x:is>
      </x:c>
      <x:c r="AD26" t="inlineStr">
        <x:is>
          <x:t xml:space="preserve">3–5 days</x:t>
        </x:is>
      </x:c>
      <x:c r="AE26" t="inlineStr">
        <x:is>
          <x:t xml:space="preserve">1 tube (10 g)</x:t>
        </x:is>
      </x:c>
      <x:c r="AF26" t="inlineStr">
        <x:is>
          <x:t xml:space="preserve">local irritation</x:t>
        </x:is>
      </x:c>
      <x:c r="AG26" t="inlineStr">
        <x:is>
          <x:t xml:space="preserve">avoid face/eye/open wound</x:t>
        </x:is>
      </x:c>
    </x:row>
    <x:row r="27">
      <x:c r="A27" t="inlineStr">
        <x:is>
          <x:t xml:space="preserve">FRM0026</x:t>
        </x:is>
      </x:c>
      <x:c r="B27" t="inlineStr">
        <x:is>
          <x:t xml:space="preserve">herpes_labialis_adult</x:t>
        </x:is>
      </x:c>
      <x:c r="C27" t="inlineStr">
        <x:is>
          <x:t xml:space="preserve">Herpes labialis / cold sore</x:t>
        </x:is>
      </x:c>
      <x:c r="D27" t="inlineStr">
        <x:is>
          <x:t xml:space="preserve">Skin</x:t>
        </x:is>
      </x:c>
      <x:c r="E27" t="inlineStr">
        <x:is>
          <x:t xml:space="preserve">adult</x:t>
        </x:is>
      </x:c>
      <x:c r="F27" t="inlineStr">
        <x:is>
          <x:t xml:space="preserve">routine_opd</x:t>
        </x:is>
      </x:c>
      <x:c r="G27" t="inlineStr">
        <x:is>
          <x:t xml:space="preserve">Y</x:t>
        </x:is>
      </x:c>
      <x:c r="H27" t="n">
        <x:v>1</x:v>
      </x:c>
      <x:c r="I27" t="inlineStr">
        <x:is>
          <x:t xml:space="preserve">B00.1</x:t>
        </x:is>
      </x:c>
      <x:c r="K27" t="inlineStr">
        <x:is>
          <x:t xml:space="preserve">Most likely</x:t>
        </x:is>
      </x:c>
      <x:c r="L27" t="inlineStr">
        <x:is>
          <x:t xml:space="preserve">typical cold sore / herpes simplex lesion</x:t>
        </x:is>
      </x:c>
      <x:c r="M27" t="inlineStr">
        <x:is>
          <x:t xml:space="preserve">simple recurrent herpes labialis outpatient case</x:t>
        </x:is>
      </x:c>
      <x:c r="N27" t="inlineStr">
        <x:is>
          <x:t xml:space="preserve">eye involvement or severe immunocompromise</x:t>
        </x:is>
      </x:c>
      <x:c r="O27" t="inlineStr">
        <x:is>
          <x:t xml:space="preserve">N</x:t>
        </x:is>
      </x:c>
      <x:c r="P27" t="inlineStr">
        <x:is>
          <x:t xml:space="preserve">N</x:t>
        </x:is>
      </x:c>
      <x:c r="Q27" t="inlineStr">
        <x:is>
          <x:t xml:space="preserve">Needs in-person eval today if eye involvement, severe facial spread, or major immunocompromise</x:t>
        </x:is>
      </x:c>
      <x:c r="R27" t="inlineStr">
        <x:is>
          <x:t xml:space="preserve">expanded common OPD row</x:t>
        </x:is>
      </x:c>
      <x:c r="S27" t="inlineStr">
        <x:is>
          <x:t xml:space="preserve">Acyvir 400 mg [Acyclovir 400 mg.]</x:t>
        </x:is>
      </x:c>
      <x:c r="T27" t="inlineStr">
        <x:is>
          <x:t xml:space="preserve">BDS008064</x:t>
        </x:is>
      </x:c>
      <x:c r="U27" t="inlineStr">
        <x:is>
          <x:t xml:space="preserve">1 tab PO q6h</x:t>
        </x:is>
      </x:c>
      <x:c r="V27" t="inlineStr">
        <x:is>
          <x:t xml:space="preserve">5 days</x:t>
        </x:is>
      </x:c>
      <x:c r="W27" t="inlineStr">
        <x:is>
          <x:t xml:space="preserve">3 strips (15 tabs)</x:t>
        </x:is>
      </x:c>
      <x:c r="X27" t="inlineStr">
        <x:is>
          <x:t xml:space="preserve">nausea, headache</x:t>
        </x:is>
      </x:c>
      <x:c r="Y27" t="inlineStr">
        <x:is>
          <x:t xml:space="preserve">start early for best effect; hydrate well</x:t>
        </x:is>
      </x:c>
    </x:row>
    <x:row r="28">
      <x:c r="A28" t="inlineStr">
        <x:is>
          <x:t xml:space="preserve">FRM0027</x:t>
        </x:is>
      </x:c>
      <x:c r="B28" t="inlineStr">
        <x:is>
          <x:t xml:space="preserve">herpes_zoster_adult</x:t>
        </x:is>
      </x:c>
      <x:c r="C28" t="inlineStr">
        <x:is>
          <x:t xml:space="preserve">Herpes zoster / shingles</x:t>
        </x:is>
      </x:c>
      <x:c r="D28" t="inlineStr">
        <x:is>
          <x:t xml:space="preserve">Skin</x:t>
        </x:is>
      </x:c>
      <x:c r="E28" t="inlineStr">
        <x:is>
          <x:t xml:space="preserve">adult</x:t>
        </x:is>
      </x:c>
      <x:c r="F28" t="inlineStr">
        <x:is>
          <x:t xml:space="preserve">routine_opd</x:t>
        </x:is>
      </x:c>
      <x:c r="G28" t="inlineStr">
        <x:is>
          <x:t xml:space="preserve">Y</x:t>
        </x:is>
      </x:c>
      <x:c r="H28" t="n">
        <x:v>1</x:v>
      </x:c>
      <x:c r="I28" t="inlineStr">
        <x:is>
          <x:t xml:space="preserve">B02.9</x:t>
        </x:is>
      </x:c>
      <x:c r="K28" t="inlineStr">
        <x:is>
          <x:t xml:space="preserve">Most likely</x:t>
        </x:is>
      </x:c>
      <x:c r="L28" t="inlineStr">
        <x:is>
          <x:t xml:space="preserve">typical dermatomal vesicular rash / zoster</x:t>
        </x:is>
      </x:c>
      <x:c r="M28" t="inlineStr">
        <x:is>
          <x:t xml:space="preserve">simple shingles outpatient case</x:t>
        </x:is>
      </x:c>
      <x:c r="N28" t="inlineStr">
        <x:is>
          <x:t xml:space="preserve">eye involvement, severe pain, or immunocompromise</x:t>
        </x:is>
      </x:c>
      <x:c r="O28" t="inlineStr">
        <x:is>
          <x:t xml:space="preserve">N</x:t>
        </x:is>
      </x:c>
      <x:c r="P28" t="inlineStr">
        <x:is>
          <x:t xml:space="preserve">N</x:t>
        </x:is>
      </x:c>
      <x:c r="Q28" t="inlineStr">
        <x:is>
          <x:t xml:space="preserve">Needs in-person eval today if eye involvement, facial zoster, severe pain, or immunocompromise</x:t>
        </x:is>
      </x:c>
      <x:c r="R28" t="inlineStr">
        <x:is>
          <x:t xml:space="preserve">expanded common OPD row</x:t>
        </x:is>
      </x:c>
      <x:c r="S28" t="inlineStr">
        <x:is>
          <x:t xml:space="preserve">Acyvir 800 mg [Acyclovir 800 mg.]</x:t>
        </x:is>
      </x:c>
      <x:c r="T28" t="inlineStr">
        <x:is>
          <x:t xml:space="preserve">BDS008065</x:t>
        </x:is>
      </x:c>
      <x:c r="U28" t="inlineStr">
        <x:is>
          <x:t xml:space="preserve">1 tab PO 5x/day</x:t>
        </x:is>
      </x:c>
      <x:c r="V28" t="inlineStr">
        <x:is>
          <x:t xml:space="preserve">5 days</x:t>
        </x:is>
      </x:c>
      <x:c r="W28" t="inlineStr">
        <x:is>
          <x:t xml:space="preserve">5 strips (25 tabs)</x:t>
        </x:is>
      </x:c>
      <x:c r="X28" t="inlineStr">
        <x:is>
          <x:t xml:space="preserve">nausea, headache</x:t>
        </x:is>
      </x:c>
      <x:c r="Y28" t="inlineStr">
        <x:is>
          <x:t xml:space="preserve">hydrate well; early treatment preferred</x:t>
        </x:is>
      </x:c>
      <x:c r="AA28" t="inlineStr">
        <x:is>
          <x:t xml:space="preserve">Tylenol 500 mg strip 10s [Paracetamol 500 mg.]</x:t>
        </x:is>
      </x:c>
      <x:c r="AB28" t="inlineStr">
        <x:is>
          <x:t xml:space="preserve">BDS003762</x:t>
        </x:is>
      </x:c>
      <x:c r="AC28" t="inlineStr">
        <x:is>
          <x:t xml:space="preserve">1–2 tabs PO q4–6h PRN pain</x:t>
        </x:is>
      </x:c>
      <x:c r="AD28" t="inlineStr">
        <x:is>
          <x:t xml:space="preserve">5 days</x:t>
        </x:is>
      </x:c>
      <x:c r="AE28" t="inlineStr">
        <x:is>
          <x:t xml:space="preserve">2 strips (20 tabs)</x:t>
        </x:is>
      </x:c>
      <x:c r="AF28" t="inlineStr">
        <x:is>
          <x:t xml:space="preserve">nausea, rash</x:t>
        </x:is>
      </x:c>
      <x:c r="AG28" t="inlineStr">
        <x:is>
          <x:t xml:space="preserve">avoid duplicate paracetamol; caution liver disease</x:t>
        </x:is>
      </x:c>
      <x:c r="AH28" t="n">
        <x:v>36</x:v>
      </x:c>
    </x:row>
    <x:row r="29">
      <x:c r="A29" t="inlineStr">
        <x:is>
          <x:t xml:space="preserve">FRM0028</x:t>
        </x:is>
      </x:c>
      <x:c r="B29" t="inlineStr">
        <x:is>
          <x:t xml:space="preserve">tinea_pruritic_rash_adult</x:t>
        </x:is>
      </x:c>
      <x:c r="C29" t="inlineStr">
        <x:is>
          <x:t xml:space="preserve">Tinea corporis / pruritic fungal rash</x:t>
        </x:is>
      </x:c>
      <x:c r="D29" t="inlineStr">
        <x:is>
          <x:t xml:space="preserve">Skin</x:t>
        </x:is>
      </x:c>
      <x:c r="E29" t="inlineStr">
        <x:is>
          <x:t xml:space="preserve">adult</x:t>
        </x:is>
      </x:c>
      <x:c r="F29" t="inlineStr">
        <x:is>
          <x:t xml:space="preserve">routine_opd</x:t>
        </x:is>
      </x:c>
      <x:c r="G29" t="inlineStr">
        <x:is>
          <x:t xml:space="preserve">Y</x:t>
        </x:is>
      </x:c>
      <x:c r="H29" t="n">
        <x:v>1</x:v>
      </x:c>
      <x:c r="I29" t="inlineStr">
        <x:is>
          <x:t xml:space="preserve">B35.9</x:t>
        </x:is>
      </x:c>
      <x:c r="K29" t="inlineStr">
        <x:is>
          <x:t xml:space="preserve">Most likely</x:t>
        </x:is>
      </x:c>
      <x:c r="L29" t="inlineStr">
        <x:is>
          <x:t xml:space="preserve">fungal-looking itchy rash without severe infection</x:t>
        </x:is>
      </x:c>
      <x:c r="M29" t="inlineStr">
        <x:is>
          <x:t xml:space="preserve">annular/scaly localized fungal-type rash</x:t>
        </x:is>
      </x:c>
      <x:c r="N29" t="inlineStr">
        <x:is>
          <x:t xml:space="preserve">severe widespread rash or uncertain diagnosis</x:t>
        </x:is>
      </x:c>
      <x:c r="O29" t="inlineStr">
        <x:is>
          <x:t xml:space="preserve">N</x:t>
        </x:is>
      </x:c>
      <x:c r="P29" t="inlineStr">
        <x:is>
          <x:t xml:space="preserve">N</x:t>
        </x:is>
      </x:c>
      <x:c r="Q29" t="inlineStr">
        <x:is>
          <x:t xml:space="preserve">Needs in-person eval today if widespread rash, severe inflammation, or no improvement</x:t>
        </x:is>
      </x:c>
      <x:c r="R29" t="inlineStr">
        <x:is>
          <x:t xml:space="preserve">refined v3</x:t>
        </x:is>
      </x:c>
      <x:c r="S29" t="inlineStr">
        <x:is>
          <x:t xml:space="preserve">Canasone C.B. Cream [Clotrimazole 1%+Betamethasone Dipropionate (eq. to Betamethasone 0.1%) w/w]</x:t>
        </x:is>
      </x:c>
      <x:c r="T29" t="inlineStr">
        <x:is>
          <x:t xml:space="preserve">BDS001491</x:t>
        </x:is>
      </x:c>
      <x:c r="U29" t="inlineStr">
        <x:is>
          <x:t xml:space="preserve">apply thinly BID</x:t>
        </x:is>
      </x:c>
      <x:c r="V29" t="inlineStr">
        <x:is>
          <x:t xml:space="preserve">7 days</x:t>
        </x:is>
      </x:c>
      <x:c r="W29" t="inlineStr">
        <x:is>
          <x:t xml:space="preserve">1 tube (15 g)</x:t>
        </x:is>
      </x:c>
      <x:c r="X29" t="inlineStr">
        <x:is>
          <x:t xml:space="preserve">local irritation</x:t>
        </x:is>
      </x:c>
      <x:c r="Y29" t="inlineStr">
        <x:is>
          <x:t xml:space="preserve">short course only; steroid-containing antifungal combo</x:t>
        </x:is>
      </x:c>
    </x:row>
    <x:row r="30">
      <x:c r="A30" t="inlineStr">
        <x:is>
          <x:t xml:space="preserve">FRM0029</x:t>
        </x:is>
      </x:c>
      <x:c r="B30" t="inlineStr">
        <x:is>
          <x:t xml:space="preserve">oral_thrush_adult</x:t>
        </x:is>
      </x:c>
      <x:c r="C30" t="inlineStr">
        <x:is>
          <x:t xml:space="preserve">Oral thrush / candidiasis</x:t>
        </x:is>
      </x:c>
      <x:c r="D30" t="inlineStr">
        <x:is>
          <x:t xml:space="preserve">ENT</x:t>
        </x:is>
      </x:c>
      <x:c r="E30" t="inlineStr">
        <x:is>
          <x:t xml:space="preserve">adult</x:t>
        </x:is>
      </x:c>
      <x:c r="F30" t="inlineStr">
        <x:is>
          <x:t xml:space="preserve">routine_opd</x:t>
        </x:is>
      </x:c>
      <x:c r="G30" t="inlineStr">
        <x:is>
          <x:t xml:space="preserve">Y</x:t>
        </x:is>
      </x:c>
      <x:c r="H30" t="n">
        <x:v>1</x:v>
      </x:c>
      <x:c r="I30" t="inlineStr">
        <x:is>
          <x:t xml:space="preserve">B37.0</x:t>
        </x:is>
      </x:c>
      <x:c r="K30" t="inlineStr">
        <x:is>
          <x:t xml:space="preserve">Most likely</x:t>
        </x:is>
      </x:c>
      <x:c r="L30" t="inlineStr">
        <x:is>
          <x:t xml:space="preserve">white oral plaques / thrush-like lesions</x:t>
        </x:is>
      </x:c>
      <x:c r="M30" t="inlineStr">
        <x:is>
          <x:t xml:space="preserve">simple oral thrush outpatient case</x:t>
        </x:is>
      </x:c>
      <x:c r="N30" t="inlineStr">
        <x:is>
          <x:t xml:space="preserve">inability to eat/drink or major immunocompromise</x:t>
        </x:is>
      </x:c>
      <x:c r="O30" t="inlineStr">
        <x:is>
          <x:t xml:space="preserve">N</x:t>
        </x:is>
      </x:c>
      <x:c r="P30" t="inlineStr">
        <x:is>
          <x:t xml:space="preserve">N</x:t>
        </x:is>
      </x:c>
      <x:c r="Q30" t="inlineStr">
        <x:is>
          <x:t xml:space="preserve">Needs in-person eval today if unable to drink, severe pain, or major immunocompromise</x:t>
        </x:is>
      </x:c>
      <x:c r="R30" t="inlineStr">
        <x:is>
          <x:t xml:space="preserve">expanded common OPD row</x:t>
        </x:is>
      </x:c>
      <x:c r="S30" t="inlineStr">
        <x:is>
          <x:t xml:space="preserve">Nyst Oral [Nystatin 100,000 Unit/1 ml.]</x:t>
        </x:is>
      </x:c>
      <x:c r="T30" t="inlineStr">
        <x:is>
          <x:t xml:space="preserve">BDS045631</x:t>
        </x:is>
      </x:c>
      <x:c r="U30" t="inlineStr">
        <x:is>
          <x:t xml:space="preserve">1 dropper PO QID after meals and HS</x:t>
        </x:is>
      </x:c>
      <x:c r="V30" t="inlineStr">
        <x:is>
          <x:t xml:space="preserve">5–7 days</x:t>
        </x:is>
      </x:c>
      <x:c r="W30" t="inlineStr">
        <x:is>
          <x:t xml:space="preserve">1 bottle (12 mL)</x:t>
        </x:is>
      </x:c>
      <x:c r="X30" t="inlineStr">
        <x:is>
          <x:t xml:space="preserve">bad taste, mild GI upset</x:t>
        </x:is>
      </x:c>
      <x:c r="Y30" t="inlineStr">
        <x:is>
          <x:t xml:space="preserve">keep in mouth before swallowing when possible</x:t>
        </x:is>
      </x:c>
    </x:row>
    <x:row r="31">
      <x:c r="A31" t="inlineStr">
        <x:is>
          <x:t xml:space="preserve">FRM0030</x:t>
        </x:is>
      </x:c>
      <x:c r="B31" t="inlineStr">
        <x:is>
          <x:t xml:space="preserve">minor_burn_adult</x:t>
        </x:is>
      </x:c>
      <x:c r="C31" t="inlineStr">
        <x:is>
          <x:t xml:space="preserve">Acute minor superficial burn</x:t>
        </x:is>
      </x:c>
      <x:c r="D31" t="inlineStr">
        <x:is>
          <x:t xml:space="preserve">Skin</x:t>
        </x:is>
      </x:c>
      <x:c r="E31" t="inlineStr">
        <x:is>
          <x:t xml:space="preserve">adult</x:t>
        </x:is>
      </x:c>
      <x:c r="F31" t="inlineStr">
        <x:is>
          <x:t xml:space="preserve">routine_opd</x:t>
        </x:is>
      </x:c>
      <x:c r="G31" t="inlineStr">
        <x:is>
          <x:t xml:space="preserve">Y</x:t>
        </x:is>
      </x:c>
      <x:c r="H31" t="n">
        <x:v>1</x:v>
      </x:c>
      <x:c r="I31" t="inlineStr">
        <x:is>
          <x:t xml:space="preserve">T30.0</x:t>
        </x:is>
      </x:c>
      <x:c r="K31" t="inlineStr">
        <x:is>
          <x:t xml:space="preserve">Most likely</x:t>
        </x:is>
      </x:c>
      <x:c r="L31" t="inlineStr">
        <x:is>
          <x:t xml:space="preserve">minor superficial burn without deep tissue injury</x:t>
        </x:is>
      </x:c>
      <x:c r="M31" t="inlineStr">
        <x:is>
          <x:t xml:space="preserve">fresh small superficial burn without deep tissue injury</x:t>
        </x:is>
      </x:c>
      <x:c r="N31" t="inlineStr">
        <x:is>
          <x:t xml:space="preserve">large burn, facial/genital burn, or blistering extensive area</x:t>
        </x:is>
      </x:c>
      <x:c r="O31" t="inlineStr">
        <x:is>
          <x:t xml:space="preserve">N</x:t>
        </x:is>
      </x:c>
      <x:c r="P31" t="inlineStr">
        <x:is>
          <x:t xml:space="preserve">N</x:t>
        </x:is>
      </x:c>
      <x:c r="Q31" t="inlineStr">
        <x:is>
          <x:t xml:space="preserve">Needs in-person eval today if large burn, facial/genital burn, or circumferential burn</x:t>
        </x:is>
      </x:c>
      <x:c r="R31" t="inlineStr">
        <x:is>
          <x:t xml:space="preserve">refined v3 main fresh-burn row</x:t>
        </x:is>
      </x:c>
      <x:c r="S31" t="inlineStr">
        <x:is>
          <x:t xml:space="preserve">Aloe Gel [วุ้นจากว่านหางจระเข้ 87.399 %]</x:t>
        </x:is>
      </x:c>
      <x:c r="T31" t="inlineStr">
        <x:is>
          <x:t xml:space="preserve">BDS001007</x:t>
        </x:is>
      </x:c>
      <x:c r="U31" t="inlineStr">
        <x:is>
          <x:t xml:space="preserve">apply to affected area BID–TID</x:t>
        </x:is>
      </x:c>
      <x:c r="V31" t="inlineStr">
        <x:is>
          <x:t xml:space="preserve">5 days</x:t>
        </x:is>
      </x:c>
      <x:c r="W31" t="inlineStr">
        <x:is>
          <x:t xml:space="preserve">1 tube (30 g)</x:t>
        </x:is>
      </x:c>
      <x:c r="X31" t="inlineStr">
        <x:is>
          <x:t xml:space="preserve">local irritation</x:t>
        </x:is>
      </x:c>
      <x:c r="Y31" t="inlineStr">
        <x:is>
          <x:t xml:space="preserve">for minor superficial burn only</x:t>
        </x:is>
      </x:c>
      <x:c r="AY31" t="inlineStr">
        <x:is>
          <x:t xml:space="preserve">Mebo [Beta-sitosterol 0.25%]</x:t>
        </x:is>
      </x:c>
      <x:c r="AZ31" t="inlineStr">
        <x:is>
          <x:t xml:space="preserve">BDS002801</x:t>
        </x:is>
      </x:c>
      <x:c r="BA31" t="inlineStr">
        <x:is>
          <x:t xml:space="preserve">apply to affected area BID–TID</x:t>
        </x:is>
      </x:c>
      <x:c r="BB31" t="inlineStr">
        <x:is>
          <x:t xml:space="preserve">5 days</x:t>
        </x:is>
      </x:c>
      <x:c r="BC31" t="inlineStr">
        <x:is>
          <x:t xml:space="preserve">1 tube (10 g)</x:t>
        </x:is>
      </x:c>
      <x:c r="BD31" t="inlineStr">
        <x:is>
          <x:t xml:space="preserve">local irritation</x:t>
        </x:is>
      </x:c>
      <x:c r="BE31" t="inlineStr">
        <x:is>
          <x:t xml:space="preserve">for minor superficial burn only</x:t>
        </x:is>
      </x:c>
    </x:row>
    <x:row r="32">
      <x:c r="A32" t="inlineStr">
        <x:is>
          <x:t xml:space="preserve">FRM0031</x:t>
        </x:is>
      </x:c>
      <x:c r="B32" t="inlineStr">
        <x:is>
          <x:t xml:space="preserve">minor_skin_infection_topical_adult</x:t>
        </x:is>
      </x:c>
      <x:c r="C32" t="inlineStr">
        <x:is>
          <x:t xml:space="preserve">Topical bacterial skin support (nonspecific)</x:t>
        </x:is>
      </x:c>
      <x:c r="D32" t="inlineStr">
        <x:is>
          <x:t xml:space="preserve">Skin</x:t>
        </x:is>
      </x:c>
      <x:c r="E32" t="inlineStr">
        <x:is>
          <x:t xml:space="preserve">adult</x:t>
        </x:is>
      </x:c>
      <x:c r="F32" t="inlineStr">
        <x:is>
          <x:t xml:space="preserve">routine_opd</x:t>
        </x:is>
      </x:c>
      <x:c r="G32" t="inlineStr">
        <x:is>
          <x:t xml:space="preserve">N</x:t>
        </x:is>
      </x:c>
      <x:c r="H32" t="n">
        <x:v>9</x:v>
      </x:c>
      <x:c r="I32" t="inlineStr">
        <x:is>
          <x:t xml:space="preserve">L08.9</x:t>
        </x:is>
      </x:c>
      <x:c r="K32" t="inlineStr">
        <x:is>
          <x:t xml:space="preserve">Most likely</x:t>
        </x:is>
      </x:c>
      <x:c r="L32" t="inlineStr">
        <x:is>
          <x:t xml:space="preserve">small localized superficial skin infection</x:t>
        </x:is>
      </x:c>
      <x:c r="M32" t="inlineStr">
        <x:is>
          <x:t xml:space="preserve">small localized superficial bacterial skin lesion without systemic features</x:t>
        </x:is>
      </x:c>
      <x:c r="N32" t="inlineStr">
        <x:is>
          <x:t xml:space="preserve">fever, rapidly spreading cellulitis, or deep abscess</x:t>
        </x:is>
      </x:c>
      <x:c r="O32" t="inlineStr">
        <x:is>
          <x:t xml:space="preserve">N</x:t>
        </x:is>
      </x:c>
      <x:c r="P32" t="inlineStr">
        <x:is>
          <x:t xml:space="preserve">N</x:t>
        </x:is>
      </x:c>
      <x:c r="Q32" t="inlineStr">
        <x:is>
          <x:t xml:space="preserve">Needs in-person eval today if fever, spreading cellulitis, or deep abscess</x:t>
        </x:is>
      </x:c>
      <x:c r="R32" t="inlineStr">
        <x:is>
          <x:t xml:space="preserve">v5 compressed overlap; prefer specific bacterial skin rows</x:t>
        </x:is>
      </x:c>
      <x:c r="S32" t="inlineStr">
        <x:is>
          <x:t xml:space="preserve">Garamycin Cream [Gentamicin 1 mg./1 g.]</x:t>
        </x:is>
      </x:c>
      <x:c r="T32" t="inlineStr">
        <x:is>
          <x:t xml:space="preserve">BDS002003</x:t>
        </x:is>
      </x:c>
      <x:c r="U32" t="inlineStr">
        <x:is>
          <x:t xml:space="preserve">apply thinly TID–QID</x:t>
        </x:is>
      </x:c>
      <x:c r="V32" t="inlineStr">
        <x:is>
          <x:t xml:space="preserve">5 days</x:t>
        </x:is>
      </x:c>
      <x:c r="W32" t="inlineStr">
        <x:is>
          <x:t xml:space="preserve">1 tube (5 g)</x:t>
        </x:is>
      </x:c>
      <x:c r="X32" t="inlineStr">
        <x:is>
          <x:t xml:space="preserve">local irritation</x:t>
        </x:is>
      </x:c>
      <x:c r="Y32" t="inlineStr">
        <x:is>
          <x:t xml:space="preserve">topical use only; avoid large area without review</x:t>
        </x:is>
      </x:c>
    </x:row>
    <x:row r="33">
      <x:c r="A33" t="inlineStr">
        <x:is>
          <x:t xml:space="preserve">FRM0032</x:t>
        </x:is>
      </x:c>
      <x:c r="B33" t="inlineStr">
        <x:is>
          <x:t xml:space="preserve">allergic_conjunctivitis_adult</x:t>
        </x:is>
      </x:c>
      <x:c r="C33" t="inlineStr">
        <x:is>
          <x:t xml:space="preserve">Allergic conjunctivitis</x:t>
        </x:is>
      </x:c>
      <x:c r="D33" t="inlineStr">
        <x:is>
          <x:t xml:space="preserve">Eye</x:t>
        </x:is>
      </x:c>
      <x:c r="E33" t="inlineStr">
        <x:is>
          <x:t xml:space="preserve">adult</x:t>
        </x:is>
      </x:c>
      <x:c r="F33" t="inlineStr">
        <x:is>
          <x:t xml:space="preserve">routine_opd</x:t>
        </x:is>
      </x:c>
      <x:c r="G33" t="inlineStr">
        <x:is>
          <x:t xml:space="preserve">Y</x:t>
        </x:is>
      </x:c>
      <x:c r="H33" t="n">
        <x:v>1</x:v>
      </x:c>
      <x:c r="I33" t="inlineStr">
        <x:is>
          <x:t xml:space="preserve">H10.1</x:t>
        </x:is>
      </x:c>
      <x:c r="K33" t="inlineStr">
        <x:is>
          <x:t xml:space="preserve">Most likely</x:t>
        </x:is>
      </x:c>
      <x:c r="L33" t="inlineStr">
        <x:is>
          <x:t xml:space="preserve">itchy watery eyes with allergy pattern</x:t>
        </x:is>
      </x:c>
      <x:c r="M33" t="inlineStr">
        <x:is>
          <x:t xml:space="preserve">simple allergic conjunctivitis outpatient case</x:t>
        </x:is>
      </x:c>
      <x:c r="N33" t="inlineStr">
        <x:is>
          <x:t xml:space="preserve">eye pain, photophobia, or vision loss</x:t>
        </x:is>
      </x:c>
      <x:c r="O33" t="inlineStr">
        <x:is>
          <x:t xml:space="preserve">N</x:t>
        </x:is>
      </x:c>
      <x:c r="P33" t="inlineStr">
        <x:is>
          <x:t xml:space="preserve">N</x:t>
        </x:is>
      </x:c>
      <x:c r="Q33" t="inlineStr">
        <x:is>
          <x:t xml:space="preserve">Needs in-person eval today if eye pain, photophobia, vision loss, or purulent discharge</x:t>
        </x:is>
      </x:c>
      <x:c r="R33" t="inlineStr">
        <x:is>
          <x:t xml:space="preserve">expanded common OPD row</x:t>
        </x:is>
      </x:c>
      <x:c r="S33" t="inlineStr">
        <x:is>
          <x:t xml:space="preserve">Zyrtec [Cetirizine dihydrochloride 10 mg.]</x:t>
        </x:is>
      </x:c>
      <x:c r="T33" t="inlineStr">
        <x:is>
          <x:t xml:space="preserve">BDS004213</x:t>
        </x:is>
      </x:c>
      <x:c r="U33" t="inlineStr">
        <x:is>
          <x:t xml:space="preserve">1 tab PO OD</x:t>
        </x:is>
      </x:c>
      <x:c r="V33" t="inlineStr">
        <x:is>
          <x:t xml:space="preserve">5 days</x:t>
        </x:is>
      </x:c>
      <x:c r="W33" t="inlineStr">
        <x:is>
          <x:t xml:space="preserve">1 box (10 tabs)</x:t>
        </x:is>
      </x:c>
      <x:c r="X33" t="inlineStr">
        <x:is>
          <x:t xml:space="preserve">drowsy, dry mouth</x:t>
        </x:is>
      </x:c>
      <x:c r="Y33" t="inlineStr">
        <x:is>
          <x:t xml:space="preserve">caution driving if sleepy</x:t>
        </x:is>
      </x:c>
      <x:c r="Z33" t="n">
        <x:v>216</x:v>
      </x:c>
      <x:c r="AA33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AB33" t="inlineStr">
        <x:is>
          <x:t xml:space="preserve">BDS004035</x:t>
        </x:is>
      </x:c>
      <x:c r="AC33" t="inlineStr">
        <x:is>
          <x:t xml:space="preserve">1–2 drops OU / affected eye PRN</x:t>
        </x:is>
      </x:c>
      <x:c r="AD33" t="inlineStr">
        <x:is>
          <x:t xml:space="preserve">5–7 days</x:t>
        </x:is>
      </x:c>
      <x:c r="AE33" t="inlineStr">
        <x:is>
          <x:t xml:space="preserve">1 box (20 tubes)</x:t>
        </x:is>
      </x:c>
      <x:c r="AF33" t="inlineStr">
        <x:is>
          <x:t xml:space="preserve">transient blur</x:t>
        </x:is>
      </x:c>
      <x:c r="AG33" t="inlineStr">
        <x:is>
          <x:t xml:space="preserve">contact lens precautions</x:t>
        </x:is>
      </x:c>
      <x:c r="AY33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Z33" t="inlineStr">
        <x:is>
          <x:t xml:space="preserve">BDS001552</x:t>
        </x:is>
      </x:c>
      <x:c r="BA33" t="inlineStr">
        <x:is>
          <x:t xml:space="preserve">1–2 drops OU / affected eye PRN</x:t>
        </x:is>
      </x:c>
      <x:c r="BB33" t="inlineStr">
        <x:is>
          <x:t xml:space="preserve">5–7 days</x:t>
        </x:is>
      </x:c>
      <x:c r="BC33" t="inlineStr">
        <x:is>
          <x:t xml:space="preserve">1 box (30 tubes)</x:t>
        </x:is>
      </x:c>
      <x:c r="BD33" t="inlineStr">
        <x:is>
          <x:t xml:space="preserve">transient blur</x:t>
        </x:is>
      </x:c>
      <x:c r="BE33" t="inlineStr">
        <x:is>
          <x:t xml:space="preserve">contact lens precautions</x:t>
        </x:is>
      </x:c>
    </x:row>
    <x:row r="34">
      <x:c r="A34" t="inlineStr">
        <x:is>
          <x:t xml:space="preserve">FRM0033</x:t>
        </x:is>
      </x:c>
      <x:c r="B34" t="inlineStr">
        <x:is>
          <x:t xml:space="preserve">bacterial_sinusitis_adult</x:t>
        </x:is>
      </x:c>
      <x:c r="C34" t="inlineStr">
        <x:is>
          <x:t xml:space="preserve">Acute bacterial sinusitis</x:t>
        </x:is>
      </x:c>
      <x:c r="D34" t="inlineStr">
        <x:is>
          <x:t xml:space="preserve">ENT</x:t>
        </x:is>
      </x:c>
      <x:c r="E34" t="inlineStr">
        <x:is>
          <x:t xml:space="preserve">adult</x:t>
        </x:is>
      </x:c>
      <x:c r="F34" t="inlineStr">
        <x:is>
          <x:t xml:space="preserve">routine_opd</x:t>
        </x:is>
      </x:c>
      <x:c r="G34" t="inlineStr">
        <x:is>
          <x:t xml:space="preserve">Y</x:t>
        </x:is>
      </x:c>
      <x:c r="H34" t="n">
        <x:v>1</x:v>
      </x:c>
      <x:c r="I34" t="inlineStr">
        <x:is>
          <x:t xml:space="preserve">J01.90</x:t>
        </x:is>
      </x:c>
      <x:c r="K34" t="inlineStr">
        <x:is>
          <x:t xml:space="preserve">Most likely</x:t>
        </x:is>
      </x:c>
      <x:c r="L34" t="inlineStr">
        <x:is>
          <x:t xml:space="preserve">facial pain / purulent discharge / bacterial pattern</x:t>
        </x:is>
      </x:c>
      <x:c r="M34" t="inlineStr">
        <x:is>
          <x:t xml:space="preserve">use only when bacterial sinusitis is likely</x:t>
        </x:is>
      </x:c>
      <x:c r="N34" t="inlineStr">
        <x:is>
          <x:t xml:space="preserve">orbital symptoms, severe swelling, or major systemic illness</x:t>
        </x:is>
      </x:c>
      <x:c r="O34" t="inlineStr">
        <x:is>
          <x:t xml:space="preserve">Y</x:t>
        </x:is>
      </x:c>
      <x:c r="P34" t="inlineStr">
        <x:is>
          <x:t xml:space="preserve">N</x:t>
        </x:is>
      </x:c>
      <x:c r="Q34" t="inlineStr">
        <x:is>
          <x:t xml:space="preserve">Needs in-person eval today if orbital symptoms, severe facial swelling, or high persistent fever</x:t>
        </x:is>
      </x:c>
      <x:c r="R34" t="inlineStr">
        <x:is>
          <x:t xml:space="preserve">v5 bacterial default row; use only when bacterial pattern likely</x:t>
        </x:is>
      </x:c>
      <x:c r="S34" t="inlineStr">
        <x:is>
          <x:t xml:space="preserve">AMK 1000 mg [Amoxicillin 875 mg.+Clavulanic Acid 125 mg.]</x:t>
        </x:is>
      </x:c>
      <x:c r="T34" t="inlineStr">
        <x:is>
          <x:t xml:space="preserve">BDS001103</x:t>
        </x:is>
      </x:c>
      <x:c r="U34" t="inlineStr">
        <x:is>
          <x:t xml:space="preserve">1 tab PO BID</x:t>
        </x:is>
      </x:c>
      <x:c r="V34" t="inlineStr">
        <x:is>
          <x:t xml:space="preserve">5 days</x:t>
        </x:is>
      </x:c>
      <x:c r="W34" t="inlineStr">
        <x:is>
          <x:t xml:space="preserve">1 box (10 tabs)</x:t>
        </x:is>
      </x:c>
      <x:c r="X34" t="inlineStr">
        <x:is>
          <x:t xml:space="preserve">diarrhea, nausea</x:t>
        </x:is>
      </x:c>
      <x:c r="Y34" t="inlineStr">
        <x:is>
          <x:t xml:space="preserve">penicillin allergy; use only when bacterial likely</x:t>
        </x:is>
      </x:c>
      <x:c r="AA34" t="inlineStr">
        <x:is>
          <x:t xml:space="preserve">Tylenol 500 mg strip 10s [Paracetamol 500 mg.]</x:t>
        </x:is>
      </x:c>
      <x:c r="AB34" t="inlineStr">
        <x:is>
          <x:t xml:space="preserve">BDS003762</x:t>
        </x:is>
      </x:c>
      <x:c r="AC34" t="inlineStr">
        <x:is>
          <x:t xml:space="preserve">1–2 tabs PO q4–6h PRN pain</x:t>
        </x:is>
      </x:c>
      <x:c r="AD34" t="inlineStr">
        <x:is>
          <x:t xml:space="preserve">3 days</x:t>
        </x:is>
      </x:c>
      <x:c r="AE34" t="inlineStr">
        <x:is>
          <x:t xml:space="preserve">1 strip (10 tabs)</x:t>
        </x:is>
      </x:c>
      <x:c r="AF34" t="inlineStr">
        <x:is>
          <x:t xml:space="preserve">nausea, rash</x:t>
        </x:is>
      </x:c>
      <x:c r="AG34" t="inlineStr">
        <x:is>
          <x:t xml:space="preserve">avoid duplicate paracetamol; caution liver disease</x:t>
        </x:is>
      </x:c>
      <x:c r="AH34" t="n">
        <x:v>36</x:v>
      </x:c>
      <x:c r="AI34" t="inlineStr">
        <x:is>
          <x:t xml:space="preserve">Klean &amp; Kare Saline เล็ก [Sodium Chloride 0.9 g./100 ml.]</x:t>
        </x:is>
      </x:c>
      <x:c r="AJ34" t="inlineStr">
        <x:is>
          <x:t xml:space="preserve">BDS044320</x:t>
        </x:is>
      </x:c>
      <x:c r="AK34" t="inlineStr">
        <x:is>
          <x:t xml:space="preserve">irrigate / rinse nasal cavity PRN</x:t>
        </x:is>
      </x:c>
      <x:c r="AL34" t="inlineStr">
        <x:is>
          <x:t xml:space="preserve">5 days</x:t>
        </x:is>
      </x:c>
      <x:c r="AM34" t="inlineStr">
        <x:is>
          <x:t xml:space="preserve">1 bottle (100 mL)</x:t>
        </x:is>
      </x:c>
      <x:c r="AN34" t="inlineStr">
        <x:is>
          <x:t xml:space="preserve">mild local discomfort</x:t>
        </x:is>
      </x:c>
      <x:c r="AO34" t="inlineStr">
        <x:is>
          <x:t xml:space="preserve">sterile technique; stop if severe ear pain</x:t>
        </x:is>
      </x:c>
      <x:c r="AY34" t="inlineStr">
        <x:is>
          <x:t xml:space="preserve">Iliadin Spray [Oxymetazoline Hydrochloride 0.05% (0.5 mg./1 ml.)]</x:t>
        </x:is>
      </x:c>
      <x:c r="AZ34" t="inlineStr">
        <x:is>
          <x:t xml:space="preserve">BDS002215</x:t>
        </x:is>
      </x:c>
      <x:c r="BA34" t="inlineStr">
        <x:is>
          <x:t xml:space="preserve">1–2 sprays/nostril BID–TID (max 3 days)</x:t>
        </x:is>
      </x:c>
      <x:c r="BB34" t="inlineStr">
        <x:is>
          <x:t xml:space="preserve">3 days</x:t>
        </x:is>
      </x:c>
      <x:c r="BC34" t="inlineStr">
        <x:is>
          <x:t xml:space="preserve">1 bottle (10 mL)</x:t>
        </x:is>
      </x:c>
      <x:c r="BD34" t="inlineStr">
        <x:is>
          <x:t xml:space="preserve">local irritation</x:t>
        </x:is>
      </x:c>
      <x:c r="BE34" t="inlineStr">
        <x:is>
          <x:t xml:space="preserve">≤3 days; rebound congestion; caution HTN</x:t>
        </x:is>
      </x:c>
      <x:c r="BF34" t="n">
        <x:v>262</x:v>
      </x:c>
    </x:row>
    <x:row r="35">
      <x:c r="A35" t="inlineStr">
        <x:is>
          <x:t xml:space="preserve">FRM0034</x:t>
        </x:is>
      </x:c>
      <x:c r="B35" t="inlineStr">
        <x:is>
          <x:t xml:space="preserve">bacterial_pharyngitis_adult</x:t>
        </x:is>
      </x:c>
      <x:c r="C35" t="inlineStr">
        <x:is>
          <x:t xml:space="preserve">Bacterial pharyngitis / tonsillitis</x:t>
        </x:is>
      </x:c>
      <x:c r="D35" t="inlineStr">
        <x:is>
          <x:t xml:space="preserve">ENT</x:t>
        </x:is>
      </x:c>
      <x:c r="E35" t="inlineStr">
        <x:is>
          <x:t xml:space="preserve">adult</x:t>
        </x:is>
      </x:c>
      <x:c r="F35" t="inlineStr">
        <x:is>
          <x:t xml:space="preserve">routine_opd</x:t>
        </x:is>
      </x:c>
      <x:c r="G35" t="inlineStr">
        <x:is>
          <x:t xml:space="preserve">Y</x:t>
        </x:is>
      </x:c>
      <x:c r="H35" t="n">
        <x:v>1</x:v>
      </x:c>
      <x:c r="I35" t="inlineStr">
        <x:is>
          <x:t xml:space="preserve">J02.8</x:t>
        </x:is>
      </x:c>
      <x:c r="K35" t="inlineStr">
        <x:is>
          <x:t xml:space="preserve">Most likely</x:t>
        </x:is>
      </x:c>
      <x:c r="L35" t="inlineStr">
        <x:is>
          <x:t xml:space="preserve">fever + exudate / bacterial throat pattern</x:t>
        </x:is>
      </x:c>
      <x:c r="M35" t="inlineStr">
        <x:is>
          <x:t xml:space="preserve">use only when bacterial pharyngitis/tonsillitis is likely</x:t>
        </x:is>
      </x:c>
      <x:c r="N35" t="inlineStr">
        <x:is>
          <x:t xml:space="preserve">drooling, muffled voice, or peritonsillar concern</x:t>
        </x:is>
      </x:c>
      <x:c r="O35" t="inlineStr">
        <x:is>
          <x:t xml:space="preserve">Y</x:t>
        </x:is>
      </x:c>
      <x:c r="P35" t="inlineStr">
        <x:is>
          <x:t xml:space="preserve">N</x:t>
        </x:is>
      </x:c>
      <x:c r="Q35" t="inlineStr">
        <x:is>
          <x:t xml:space="preserve">Needs in-person eval today if drooling, muffled voice, dyspnea, or severe unilateral swelling</x:t>
        </x:is>
      </x:c>
      <x:c r="R35" t="inlineStr">
        <x:is>
          <x:t xml:space="preserve">v5 bacterial default row; use only when bacterial pattern likely</x:t>
        </x:is>
      </x:c>
      <x:c r="S35" t="inlineStr">
        <x:is>
          <x:t xml:space="preserve">Ibiamox 500 mg [Amoxicillin 500 mg.]</x:t>
        </x:is>
      </x:c>
      <x:c r="T35" t="inlineStr">
        <x:is>
          <x:t xml:space="preserve">BDS002201</x:t>
        </x:is>
      </x:c>
      <x:c r="U35" t="inlineStr">
        <x:is>
          <x:t xml:space="preserve">1 cap PO TID</x:t>
        </x:is>
      </x:c>
      <x:c r="V35" t="inlineStr">
        <x:is>
          <x:t xml:space="preserve">5 days</x:t>
        </x:is>
      </x:c>
      <x:c r="W35" t="inlineStr">
        <x:is>
          <x:t xml:space="preserve">2 strips (20 caps)</x:t>
        </x:is>
      </x:c>
      <x:c r="X35" t="inlineStr">
        <x:is>
          <x:t xml:space="preserve">diarrhea, rash</x:t>
        </x:is>
      </x:c>
      <x:c r="Y35" t="inlineStr">
        <x:is>
          <x:t xml:space="preserve">penicillin allergy; use only when bacterial likely</x:t>
        </x:is>
      </x:c>
      <x:c r="Z35" t="n">
        <x:v>110</x:v>
      </x:c>
      <x:c r="AA35" t="inlineStr">
        <x:is>
          <x:t xml:space="preserve">Tylenol 500 mg strip 10s [Paracetamol 500 mg.]</x:t>
        </x:is>
      </x:c>
      <x:c r="AB35" t="inlineStr">
        <x:is>
          <x:t xml:space="preserve">BDS003762</x:t>
        </x:is>
      </x:c>
      <x:c r="AC35" t="inlineStr">
        <x:is>
          <x:t xml:space="preserve">1–2 tabs PO q4–6h PRN pain</x:t>
        </x:is>
      </x:c>
      <x:c r="AD35" t="inlineStr">
        <x:is>
          <x:t xml:space="preserve">3 days</x:t>
        </x:is>
      </x:c>
      <x:c r="AE35" t="inlineStr">
        <x:is>
          <x:t xml:space="preserve">1 strip (10 tabs)</x:t>
        </x:is>
      </x:c>
      <x:c r="AF35" t="inlineStr">
        <x:is>
          <x:t xml:space="preserve">nausea, rash</x:t>
        </x:is>
      </x:c>
      <x:c r="AG35" t="inlineStr">
        <x:is>
          <x:t xml:space="preserve">avoid duplicate paracetamol; caution liver disease</x:t>
        </x:is>
      </x:c>
      <x:c r="AH35" t="n">
        <x:v>36</x:v>
      </x:c>
      <x:c r="AI35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AJ35" t="inlineStr">
        <x:is>
          <x:t xml:space="preserve">BDS002411</x:t>
        </x:is>
      </x:c>
      <x:c r="AK35" t="inlineStr">
        <x:is>
          <x:t xml:space="preserve">2 sprays to mouth/throat TID</x:t>
        </x:is>
      </x:c>
      <x:c r="AL35" t="inlineStr">
        <x:is>
          <x:t xml:space="preserve">5 days</x:t>
        </x:is>
      </x:c>
      <x:c r="AM35" t="inlineStr">
        <x:is>
          <x:t xml:space="preserve">1 bottle (15 mL)</x:t>
        </x:is>
      </x:c>
      <x:c r="AN35" t="inlineStr">
        <x:is>
          <x:t xml:space="preserve">local irritation</x:t>
        </x:is>
      </x:c>
      <x:c r="AO35" t="inlineStr">
        <x:is>
          <x:t xml:space="preserve">avoid if ingredient allergy</x:t>
        </x:is>
      </x:c>
      <x:c r="AP35" t="n">
        <x:v>163.5</x:v>
      </x:c>
      <x:c r="AY35" t="inlineStr">
        <x:is>
          <x:t xml:space="preserve">Difflam Forte Spray [Benzydamine Hydrochloride 3 mg.+Ethanol+Saccharin Sodium+Methyl Hydroxybenzoate+Glycerol+PEG-40 Hydrogenated castor oil/ml.]</x:t>
        </x:is>
      </x:c>
      <x:c r="AZ35" t="inlineStr">
        <x:is>
          <x:t xml:space="preserve">BDS006462</x:t>
        </x:is>
      </x:c>
      <x:c r="BA35" t="inlineStr">
        <x:is>
          <x:t xml:space="preserve">2–4 sprays to throat PRN</x:t>
        </x:is>
      </x:c>
      <x:c r="BB35" t="inlineStr">
        <x:is>
          <x:t xml:space="preserve">5 days</x:t>
        </x:is>
      </x:c>
      <x:c r="BC35" t="inlineStr">
        <x:is>
          <x:t xml:space="preserve">1 bottle (15 mL)</x:t>
        </x:is>
      </x:c>
      <x:c r="BD35" t="inlineStr">
        <x:is>
          <x:t xml:space="preserve">local stinging, numbness</x:t>
        </x:is>
      </x:c>
      <x:c r="BE35" t="inlineStr">
        <x:is>
          <x:t xml:space="preserve">do not swallow large amounts</x:t>
        </x:is>
      </x:c>
      <x:c r="BF35" t="n">
        <x:v>529</x:v>
      </x:c>
    </x:row>
    <x:row r="36">
      <x:c r="A36" t="inlineStr">
        <x:is>
          <x:t xml:space="preserve">FRM0035</x:t>
        </x:is>
      </x:c>
      <x:c r="B36" t="inlineStr">
        <x:is>
          <x:t xml:space="preserve">nasal_irrigation_support_adult</x:t>
        </x:is>
      </x:c>
      <x:c r="C36" t="inlineStr">
        <x:is>
          <x:t xml:space="preserve">Nasal irrigation support / saline wash</x:t>
        </x:is>
      </x:c>
      <x:c r="D36" t="inlineStr">
        <x:is>
          <x:t xml:space="preserve">ENT</x:t>
        </x:is>
      </x:c>
      <x:c r="E36" t="inlineStr">
        <x:is>
          <x:t xml:space="preserve">adult</x:t>
        </x:is>
      </x:c>
      <x:c r="F36" t="inlineStr">
        <x:is>
          <x:t xml:space="preserve">routine_opd</x:t>
        </x:is>
      </x:c>
      <x:c r="G36" t="inlineStr">
        <x:is>
          <x:t xml:space="preserve">N</x:t>
        </x:is>
      </x:c>
      <x:c r="H36" t="n">
        <x:v>9</x:v>
      </x:c>
      <x:c r="I36" t="inlineStr">
        <x:is>
          <x:t xml:space="preserve">Z29.8</x:t>
        </x:is>
      </x:c>
      <x:c r="K36" t="inlineStr">
        <x:is>
          <x:t xml:space="preserve">Most likely</x:t>
        </x:is>
      </x:c>
      <x:c r="L36" t="inlineStr">
        <x:is>
          <x:t xml:space="preserve">safe saline support for nasal symptoms</x:t>
        </x:is>
      </x:c>
      <x:c r="M36" t="inlineStr">
        <x:is>
          <x:t xml:space="preserve">adjunctive support row for nasal symptoms / dust / dryness</x:t>
        </x:is>
      </x:c>
      <x:c r="N36" t="inlineStr">
        <x:is>
          <x:t xml:space="preserve">severe epistaxis or major ear pain after use</x:t>
        </x:is>
      </x:c>
      <x:c r="O36" t="inlineStr">
        <x:is>
          <x:t xml:space="preserve">N</x:t>
        </x:is>
      </x:c>
      <x:c r="P36" t="inlineStr">
        <x:is>
          <x:t xml:space="preserve">N</x:t>
        </x:is>
      </x:c>
      <x:c r="Q36" t="inlineStr">
        <x:is>
          <x:t xml:space="preserve">Needs in-person eval today if severe epistaxis, facial pain, or major ear pain after irrigation</x:t>
        </x:is>
      </x:c>
      <x:c r="R36" t="inlineStr">
        <x:is>
          <x:t xml:space="preserve">refined v3: support row only; keep only explicit saline wash inputs</x:t>
        </x:is>
      </x:c>
      <x:c r="S36" t="inlineStr">
        <x:is>
          <x:t xml:space="preserve">Klean &amp; Kare Saline เล็ก [Sodium Chloride 0.9 g./100 ml.]</x:t>
        </x:is>
      </x:c>
      <x:c r="T36" t="inlineStr">
        <x:is>
          <x:t xml:space="preserve">BDS044320</x:t>
        </x:is>
      </x:c>
      <x:c r="U36" t="inlineStr">
        <x:is>
          <x:t xml:space="preserve">irrigate / rinse nasal cavity PRN</x:t>
        </x:is>
      </x:c>
      <x:c r="V36" t="inlineStr">
        <x:is>
          <x:t xml:space="preserve">5 days</x:t>
        </x:is>
      </x:c>
      <x:c r="W36" t="inlineStr">
        <x:is>
          <x:t xml:space="preserve">1 bottle (100 mL)</x:t>
        </x:is>
      </x:c>
      <x:c r="X36" t="inlineStr">
        <x:is>
          <x:t xml:space="preserve">mild local discomfort</x:t>
        </x:is>
      </x:c>
      <x:c r="Y36" t="inlineStr">
        <x:is>
          <x:t xml:space="preserve">sterile technique; stop if severe ear pain</x:t>
        </x:is>
      </x:c>
      <x:c r="AY36" t="inlineStr">
        <x:is>
          <x:t xml:space="preserve">Iliadin Spray [Oxymetazoline Hydrochloride 0.05% (0.5 mg./1 ml.)]</x:t>
        </x:is>
      </x:c>
      <x:c r="AZ36" t="inlineStr">
        <x:is>
          <x:t xml:space="preserve">BDS002215</x:t>
        </x:is>
      </x:c>
      <x:c r="BA36" t="inlineStr">
        <x:is>
          <x:t xml:space="preserve">1–2 sprays/nostril BID–TID (max 3 days)</x:t>
        </x:is>
      </x:c>
      <x:c r="BB36" t="inlineStr">
        <x:is>
          <x:t xml:space="preserve">3 days</x:t>
        </x:is>
      </x:c>
      <x:c r="BC36" t="inlineStr">
        <x:is>
          <x:t xml:space="preserve">1 bottle (10 mL)</x:t>
        </x:is>
      </x:c>
      <x:c r="BD36" t="inlineStr">
        <x:is>
          <x:t xml:space="preserve">local irritation</x:t>
        </x:is>
      </x:c>
      <x:c r="BE36" t="inlineStr">
        <x:is>
          <x:t xml:space="preserve">≤3 days; rebound congestion; caution HTN</x:t>
        </x:is>
      </x:c>
      <x:c r="BF36" t="n">
        <x:v>262</x:v>
      </x:c>
      <x:c r="BG36" t="inlineStr">
        <x:is>
          <x:t xml:space="preserve">Nasonex 60 doses [Mometasone Furoate Monohydrate (eq. to Mometasone Furoate 50 mcg/dose)+Preservative (Benzalkonium Chloride 0.2 mg/g)]</x:t>
        </x:is>
      </x:c>
      <x:c r="BH36" t="inlineStr">
        <x:is>
          <x:t xml:space="preserve">BDS002805</x:t>
        </x:is>
      </x:c>
      <x:c r="BI36" t="inlineStr">
        <x:is>
          <x:t xml:space="preserve">2 sprays/nostril OD</x:t>
        </x:is>
      </x:c>
      <x:c r="BJ36" t="inlineStr">
        <x:is>
          <x:t xml:space="preserve">7–14 days</x:t>
        </x:is>
      </x:c>
      <x:c r="BK36" t="inlineStr">
        <x:is>
          <x:t xml:space="preserve">1 bottle (60 doses)</x:t>
        </x:is>
      </x:c>
      <x:c r="BL36" t="inlineStr">
        <x:is>
          <x:t xml:space="preserve">nasal dryness, epistaxis</x:t>
        </x:is>
      </x:c>
      <x:c r="BM36" t="inlineStr">
        <x:is>
          <x:t xml:space="preserve">daily use; slower onset over days</x:t>
        </x:is>
      </x:c>
    </x:row>
    <x:row r="37">
      <x:c r="A37" t="inlineStr">
        <x:is>
          <x:t xml:space="preserve">FRM0036</x:t>
        </x:is>
      </x:c>
      <x:c r="B37" t="inlineStr">
        <x:is>
          <x:t xml:space="preserve">eye_lubrication_adult</x:t>
        </x:is>
      </x:c>
      <x:c r="C37" t="inlineStr">
        <x:is>
          <x:t xml:space="preserve">Eye lubrication support</x:t>
        </x:is>
      </x:c>
      <x:c r="D37" t="inlineStr">
        <x:is>
          <x:t xml:space="preserve">Eye</x:t>
        </x:is>
      </x:c>
      <x:c r="E37" t="inlineStr">
        <x:is>
          <x:t xml:space="preserve">adult</x:t>
        </x:is>
      </x:c>
      <x:c r="F37" t="inlineStr">
        <x:is>
          <x:t xml:space="preserve">routine_opd</x:t>
        </x:is>
      </x:c>
      <x:c r="G37" t="inlineStr">
        <x:is>
          <x:t xml:space="preserve">N</x:t>
        </x:is>
      </x:c>
      <x:c r="H37" t="n">
        <x:v>9</x:v>
      </x:c>
      <x:c r="I37" t="inlineStr">
        <x:is>
          <x:t xml:space="preserve">Z76.89</x:t>
        </x:is>
      </x:c>
      <x:c r="K37" t="inlineStr">
        <x:is>
          <x:t xml:space="preserve">Most likely</x:t>
        </x:is>
      </x:c>
      <x:c r="L37" t="inlineStr">
        <x:is>
          <x:t xml:space="preserve">dry / irritated eye needing lubricant support</x:t>
        </x:is>
      </x:c>
      <x:c r="M37" t="inlineStr">
        <x:is>
          <x:t xml:space="preserve">support row when dry eye or mild irritation is primary</x:t>
        </x:is>
      </x:c>
      <x:c r="N37" t="inlineStr">
        <x:is>
          <x:t xml:space="preserve">pain, photophobia, or vision loss</x:t>
        </x:is>
      </x:c>
      <x:c r="O37" t="inlineStr">
        <x:is>
          <x:t xml:space="preserve">N</x:t>
        </x:is>
      </x:c>
      <x:c r="P37" t="inlineStr">
        <x:is>
          <x:t xml:space="preserve">N</x:t>
        </x:is>
      </x:c>
      <x:c r="Q37" t="inlineStr">
        <x:is>
          <x:t xml:space="preserve">Needs in-person eval today if eye pain, photophobia, or vision loss</x:t>
        </x:is>
      </x:c>
      <x:c r="R37" t="inlineStr">
        <x:is>
          <x:t xml:space="preserve">refined v3: support row only; dry eye maps to main dry_eye_adult</x:t>
        </x:is>
      </x:c>
      <x:c r="S37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T37" t="inlineStr">
        <x:is>
          <x:t xml:space="preserve">BDS004035</x:t>
        </x:is>
      </x:c>
      <x:c r="U37" t="inlineStr">
        <x:is>
          <x:t xml:space="preserve">1–2 drops OU / affected eye PRN</x:t>
        </x:is>
      </x:c>
      <x:c r="V37" t="inlineStr">
        <x:is>
          <x:t xml:space="preserve">5–7 days</x:t>
        </x:is>
      </x:c>
      <x:c r="W37" t="inlineStr">
        <x:is>
          <x:t xml:space="preserve">1 box (20 tubes)</x:t>
        </x:is>
      </x:c>
      <x:c r="X37" t="inlineStr">
        <x:is>
          <x:t xml:space="preserve">transient blur</x:t>
        </x:is>
      </x:c>
      <x:c r="Y37" t="inlineStr">
        <x:is>
          <x:t xml:space="preserve">contact lens precautions</x:t>
        </x:is>
      </x:c>
      <x:c r="AA37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B37" t="inlineStr">
        <x:is>
          <x:t xml:space="preserve">BDS001552</x:t>
        </x:is>
      </x:c>
      <x:c r="AC37" t="inlineStr">
        <x:is>
          <x:t xml:space="preserve">1–2 drops OU / affected eye PRN</x:t>
        </x:is>
      </x:c>
      <x:c r="AD37" t="inlineStr">
        <x:is>
          <x:t xml:space="preserve">5–7 days</x:t>
        </x:is>
      </x:c>
      <x:c r="AE37" t="inlineStr">
        <x:is>
          <x:t xml:space="preserve">1 box (30 tubes)</x:t>
        </x:is>
      </x:c>
      <x:c r="AF37" t="inlineStr">
        <x:is>
          <x:t xml:space="preserve">transient blur</x:t>
        </x:is>
      </x:c>
      <x:c r="AG37" t="inlineStr">
        <x:is>
          <x:t xml:space="preserve">contact lens precautions</x:t>
        </x:is>
      </x:c>
      <x:c r="AY37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AZ37" t="inlineStr">
        <x:is>
          <x:t xml:space="preserve">BDS003679</x:t>
        </x:is>
      </x:c>
      <x:c r="BA37" t="inlineStr">
        <x:is>
          <x:t xml:space="preserve">1–2 drops OU / affected eye PRN</x:t>
        </x:is>
      </x:c>
      <x:c r="BB37" t="inlineStr">
        <x:is>
          <x:t xml:space="preserve">5–7 days</x:t>
        </x:is>
      </x:c>
      <x:c r="BC37" t="inlineStr">
        <x:is>
          <x:t xml:space="preserve">1 bottle (10 mL)</x:t>
        </x:is>
      </x:c>
      <x:c r="BD37" t="inlineStr">
        <x:is>
          <x:t xml:space="preserve">transient blur</x:t>
        </x:is>
      </x:c>
      <x:c r="BE37" t="inlineStr">
        <x:is>
          <x:t xml:space="preserve">contact lens precautions</x:t>
        </x:is>
      </x:c>
    </x:row>
    <x:row r="38">
      <x:c r="A38" t="inlineStr">
        <x:is>
          <x:t xml:space="preserve">FRM0037</x:t>
        </x:is>
      </x:c>
      <x:c r="B38" t="inlineStr">
        <x:is>
          <x:t xml:space="preserve">joint_pain_topical_support_adult</x:t>
        </x:is>
      </x:c>
      <x:c r="C38" t="inlineStr">
        <x:is>
          <x:t xml:space="preserve">Joint pain topical support</x:t>
        </x:is>
      </x:c>
      <x:c r="D38" t="inlineStr">
        <x:is>
          <x:t xml:space="preserve">Pain</x:t>
        </x:is>
      </x:c>
      <x:c r="E38" t="inlineStr">
        <x:is>
          <x:t xml:space="preserve">adult</x:t>
        </x:is>
      </x:c>
      <x:c r="F38" t="inlineStr">
        <x:is>
          <x:t xml:space="preserve">routine_opd</x:t>
        </x:is>
      </x:c>
      <x:c r="G38" t="inlineStr">
        <x:is>
          <x:t xml:space="preserve">N</x:t>
        </x:is>
      </x:c>
      <x:c r="H38" t="n">
        <x:v>9</x:v>
      </x:c>
      <x:c r="I38" t="inlineStr">
        <x:is>
          <x:t xml:space="preserve">M25.50</x:t>
        </x:is>
      </x:c>
      <x:c r="K38" t="inlineStr">
        <x:is>
          <x:t xml:space="preserve">Most likely</x:t>
        </x:is>
      </x:c>
      <x:c r="L38" t="inlineStr">
        <x:is>
          <x:t xml:space="preserve">localized joint pain where topical support is reasonable</x:t>
        </x:is>
      </x:c>
      <x:c r="M38" t="inlineStr">
        <x:is>
          <x:t xml:space="preserve">support row for localized joint/muscle pain</x:t>
        </x:is>
      </x:c>
      <x:c r="N38" t="inlineStr">
        <x:is>
          <x:t xml:space="preserve">red hot joint, major swelling, or trauma</x:t>
        </x:is>
      </x:c>
      <x:c r="O38" t="inlineStr">
        <x:is>
          <x:t xml:space="preserve">N</x:t>
        </x:is>
      </x:c>
      <x:c r="P38" t="inlineStr">
        <x:is>
          <x:t xml:space="preserve">N</x:t>
        </x:is>
      </x:c>
      <x:c r="Q38" t="inlineStr">
        <x:is>
          <x:t xml:space="preserve">Needs in-person eval today if red hot joint, trauma, or major swelling</x:t>
        </x:is>
      </x:c>
      <x:c r="R38" t="inlineStr">
        <x:is>
          <x:t xml:space="preserve">refined v3: support row only; broad pain maps to musculoskeletal/inflammatory rows</x:t>
        </x:is>
      </x:c>
      <x:c r="S38" t="inlineStr">
        <x:is>
          <x:t xml:space="preserve">Uniren Spray [Diclofenac Sodium 1 % w/w]</x:t>
        </x:is>
      </x:c>
      <x:c r="T38" t="inlineStr">
        <x:is>
          <x:t xml:space="preserve">BDS003914</x:t>
        </x:is>
      </x:c>
      <x:c r="U38" t="inlineStr">
        <x:is>
          <x:t xml:space="preserve">spray to affected area TID–QID</x:t>
        </x:is>
      </x:c>
      <x:c r="V38" t="inlineStr">
        <x:is>
          <x:t xml:space="preserve">5 days</x:t>
        </x:is>
      </x:c>
      <x:c r="W38" t="inlineStr">
        <x:is>
          <x:t xml:space="preserve">1 bottle (60 mL)</x:t>
        </x:is>
      </x:c>
      <x:c r="X38" t="inlineStr">
        <x:is>
          <x:t xml:space="preserve">local skin irritation</x:t>
        </x:is>
      </x:c>
      <x:c r="Y38" t="inlineStr">
        <x:is>
          <x:t xml:space="preserve">avoid broken skin; NSAID allergy</x:t>
        </x:is>
      </x:c>
      <x:c r="Z38" t="n">
        <x:v>346</x:v>
      </x:c>
      <x:c r="AY38" t="inlineStr">
        <x:is>
          <x:t xml:space="preserve">Gofen 400 [Ibuprofen 400 mg.+Polyethylene 400+Porpylene Glycol]</x:t>
        </x:is>
      </x:c>
      <x:c r="AZ38" t="inlineStr">
        <x:is>
          <x:t xml:space="preserve">BDS002042</x:t>
        </x:is>
      </x:c>
      <x:c r="BA38" t="inlineStr">
        <x:is>
          <x:t xml:space="preserve">1 cap PO q4–6h PRN pain</x:t>
        </x:is>
      </x:c>
      <x:c r="BB38" t="inlineStr">
        <x:is>
          <x:t xml:space="preserve">3 days</x:t>
        </x:is>
      </x:c>
      <x:c r="BC38" t="inlineStr">
        <x:is>
          <x:t xml:space="preserve">1 box (10 caps)</x:t>
        </x:is>
      </x:c>
      <x:c r="BD38" t="inlineStr">
        <x:is>
          <x:t xml:space="preserve">GI upset</x:t>
        </x:is>
      </x:c>
      <x:c r="BE38" t="inlineStr">
        <x:is>
          <x:t xml:space="preserve">avoid PUD/GI bleed/CKD; pregnancy 3rd tri</x:t>
        </x:is>
      </x:c>
      <x:c r="BF38" t="n">
        <x:v>177</x:v>
      </x:c>
    </x:row>
    <x:row r="39">
      <x:c r="A39" t="inlineStr">
        <x:is>
          <x:t xml:space="preserve">FRM0038</x:t>
        </x:is>
      </x:c>
      <x:c r="B39" t="inlineStr">
        <x:is>
          <x:t xml:space="preserve">gas_belching_adult</x:t>
        </x:is>
      </x:c>
      <x:c r="C39" t="inlineStr">
        <x:is>
          <x:t xml:space="preserve">Dyspepsia-type gas / belching</x:t>
        </x:is>
      </x:c>
      <x:c r="D39" t="inlineStr">
        <x:is>
          <x:t xml:space="preserve">GI</x:t>
        </x:is>
      </x:c>
      <x:c r="E39" t="inlineStr">
        <x:is>
          <x:t xml:space="preserve">adult</x:t>
        </x:is>
      </x:c>
      <x:c r="F39" t="inlineStr">
        <x:is>
          <x:t xml:space="preserve">routine_opd</x:t>
        </x:is>
      </x:c>
      <x:c r="G39" t="inlineStr">
        <x:is>
          <x:t xml:space="preserve">Y</x:t>
        </x:is>
      </x:c>
      <x:c r="H39" t="n">
        <x:v>1</x:v>
      </x:c>
      <x:c r="I39" t="inlineStr">
        <x:is>
          <x:t xml:space="preserve">R14.2</x:t>
        </x:is>
      </x:c>
      <x:c r="K39" t="inlineStr">
        <x:is>
          <x:t xml:space="preserve">Most likely</x:t>
        </x:is>
      </x:c>
      <x:c r="L39" t="inlineStr">
        <x:is>
          <x:t xml:space="preserve">gas, belching, bloating without alarm features</x:t>
        </x:is>
      </x:c>
      <x:c r="M39" t="inlineStr">
        <x:is>
          <x:t xml:space="preserve">post-meal belching / dyspeptic gas without alarm features</x:t>
        </x:is>
      </x:c>
      <x:c r="N39" t="inlineStr">
        <x:is>
          <x:t xml:space="preserve">GI bleed, weight loss, or persistent vomiting</x:t>
        </x:is>
      </x:c>
      <x:c r="O39" t="inlineStr">
        <x:is>
          <x:t xml:space="preserve">N</x:t>
        </x:is>
      </x:c>
      <x:c r="P39" t="inlineStr">
        <x:is>
          <x:t xml:space="preserve">N</x:t>
        </x:is>
      </x:c>
      <x:c r="Q39" t="inlineStr">
        <x:is>
          <x:t xml:space="preserve">Needs in-person eval today if GI bleed, weight loss, severe persistent pain, or persistent vomiting</x:t>
        </x:is>
      </x:c>
      <x:c r="R39" t="inlineStr">
        <x:is>
          <x:t xml:space="preserve">refined v3 differentiated from generalized bloating</x:t>
        </x:is>
      </x:c>
      <x:c r="S39" t="inlineStr">
        <x:is>
          <x:t xml:space="preserve">Gogaz [Simethicone 200 mg.]</x:t>
        </x:is>
      </x:c>
      <x:c r="T39" t="inlineStr">
        <x:is>
          <x:t xml:space="preserve">BDS006054</x:t>
        </x:is>
      </x:c>
      <x:c r="U39" t="inlineStr">
        <x:is>
          <x:t xml:space="preserve">1 cap PO OD–BID after meals</x:t>
        </x:is>
      </x:c>
      <x:c r="V39" t="inlineStr">
        <x:is>
          <x:t xml:space="preserve">3 days</x:t>
        </x:is>
      </x:c>
      <x:c r="W39" t="inlineStr">
        <x:is>
          <x:t xml:space="preserve">1 box (10 caps)</x:t>
        </x:is>
      </x:c>
      <x:c r="X39" t="inlineStr">
        <x:is>
          <x:t xml:space="preserve">minimal GI SE</x:t>
        </x:is>
      </x:c>
      <x:c r="Y39" t="inlineStr">
        <x:is>
          <x:t xml:space="preserve">after meals / bedtime</x:t>
        </x:is>
      </x:c>
      <x:c r="AA39" t="inlineStr">
        <x:is>
          <x:t xml:space="preserve">Air-X 120 [Simethicone 120 mg.]</x:t>
        </x:is>
      </x:c>
      <x:c r="AB39" t="inlineStr">
        <x:is>
          <x:t xml:space="preserve">BDS001079</x:t>
        </x:is>
      </x:c>
      <x:c r="AC39" t="inlineStr">
        <x:is>
          <x:t xml:space="preserve">1 chewable tab PO TID–QID</x:t>
        </x:is>
      </x:c>
      <x:c r="AD39" t="inlineStr">
        <x:is>
          <x:t xml:space="preserve">3 days</x:t>
        </x:is>
      </x:c>
      <x:c r="AE39" t="inlineStr">
        <x:is>
          <x:t xml:space="preserve">1 strip (10 tabs)</x:t>
        </x:is>
      </x:c>
      <x:c r="AF39" t="inlineStr">
        <x:is>
          <x:t xml:space="preserve">bloating relief; minimal SE</x:t>
        </x:is>
      </x:c>
      <x:c r="AG39" t="inlineStr">
        <x:is>
          <x:t xml:space="preserve">chew before swallowing</x:t>
        </x:is>
      </x:c>
    </x:row>
    <x:row r="40">
      <x:c r="A40" t="inlineStr">
        <x:is>
          <x:t xml:space="preserve">FRM0039</x:t>
        </x:is>
      </x:c>
      <x:c r="B40" t="inlineStr">
        <x:is>
          <x:t xml:space="preserve">burn_aftercare_minor_adult</x:t>
        </x:is>
      </x:c>
      <x:c r="C40" t="inlineStr">
        <x:is>
          <x:t xml:space="preserve">Minor burn aftercare</x:t>
        </x:is>
      </x:c>
      <x:c r="D40" t="inlineStr">
        <x:is>
          <x:t xml:space="preserve">Skin</x:t>
        </x:is>
      </x:c>
      <x:c r="E40" t="inlineStr">
        <x:is>
          <x:t xml:space="preserve">adult</x:t>
        </x:is>
      </x:c>
      <x:c r="F40" t="inlineStr">
        <x:is>
          <x:t xml:space="preserve">routine_opd</x:t>
        </x:is>
      </x:c>
      <x:c r="G40" t="inlineStr">
        <x:is>
          <x:t xml:space="preserve">N</x:t>
        </x:is>
      </x:c>
      <x:c r="H40" t="n">
        <x:v>9</x:v>
      </x:c>
      <x:c r="I40" t="inlineStr">
        <x:is>
          <x:t xml:space="preserve">Z51.89</x:t>
        </x:is>
      </x:c>
      <x:c r="K40" t="inlineStr">
        <x:is>
          <x:t xml:space="preserve">Most likely</x:t>
        </x:is>
      </x:c>
      <x:c r="L40" t="inlineStr">
        <x:is>
          <x:t xml:space="preserve">aftercare support for very minor superficial burn</x:t>
        </x:is>
      </x:c>
      <x:c r="M40" t="inlineStr">
        <x:is>
          <x:t xml:space="preserve">minor burn follow-up / supportive care</x:t>
        </x:is>
      </x:c>
      <x:c r="N40" t="inlineStr">
        <x:is>
          <x:t xml:space="preserve">infection, worsening pain, or deep burn</x:t>
        </x:is>
      </x:c>
      <x:c r="O40" t="inlineStr">
        <x:is>
          <x:t xml:space="preserve">N</x:t>
        </x:is>
      </x:c>
      <x:c r="P40" t="inlineStr">
        <x:is>
          <x:t xml:space="preserve">N</x:t>
        </x:is>
      </x:c>
      <x:c r="Q40" t="inlineStr">
        <x:is>
          <x:t xml:space="preserve">Needs in-person eval today if infection, worsening pain, blister expansion, or deep burn</x:t>
        </x:is>
      </x:c>
      <x:c r="R40" t="inlineStr">
        <x:is>
          <x:t xml:space="preserve">refined v3: follow-up/support row only; fresh burn maps to minor_burn_adult</x:t>
        </x:is>
      </x:c>
      <x:c r="S40" t="inlineStr">
        <x:is>
          <x:t xml:space="preserve">Mebo [Beta-sitosterol 0.25%]</x:t>
        </x:is>
      </x:c>
      <x:c r="T40" t="inlineStr">
        <x:is>
          <x:t xml:space="preserve">BDS002801</x:t>
        </x:is>
      </x:c>
      <x:c r="U40" t="inlineStr">
        <x:is>
          <x:t xml:space="preserve">apply to affected area BID–TID</x:t>
        </x:is>
      </x:c>
      <x:c r="V40" t="inlineStr">
        <x:is>
          <x:t xml:space="preserve">5 days</x:t>
        </x:is>
      </x:c>
      <x:c r="W40" t="inlineStr">
        <x:is>
          <x:t xml:space="preserve">1 tube (10 g)</x:t>
        </x:is>
      </x:c>
      <x:c r="X40" t="inlineStr">
        <x:is>
          <x:t xml:space="preserve">local irritation</x:t>
        </x:is>
      </x:c>
      <x:c r="Y40" t="inlineStr">
        <x:is>
          <x:t xml:space="preserve">for minor superficial burn only</x:t>
        </x:is>
      </x:c>
      <x:c r="AA40" t="inlineStr">
        <x:is>
          <x:t xml:space="preserve">Aloe Gel [วุ้นจากว่านหางจระเข้ 87.399 %]</x:t>
        </x:is>
      </x:c>
      <x:c r="AB40" t="inlineStr">
        <x:is>
          <x:t xml:space="preserve">BDS001007</x:t>
        </x:is>
      </x:c>
      <x:c r="AC40" t="inlineStr">
        <x:is>
          <x:t xml:space="preserve">apply to affected area BID–TID</x:t>
        </x:is>
      </x:c>
      <x:c r="AD40" t="inlineStr">
        <x:is>
          <x:t xml:space="preserve">5 days</x:t>
        </x:is>
      </x:c>
      <x:c r="AE40" t="inlineStr">
        <x:is>
          <x:t xml:space="preserve">1 tube (30 g)</x:t>
        </x:is>
      </x:c>
      <x:c r="AF40" t="inlineStr">
        <x:is>
          <x:t xml:space="preserve">local irritation</x:t>
        </x:is>
      </x:c>
      <x:c r="AG40" t="inlineStr">
        <x:is>
          <x:t xml:space="preserve">for minor superficial burn only</x:t>
        </x:is>
      </x:c>
    </x:row>
    <x:row r="41">
      <x:c r="A41" t="inlineStr">
        <x:is>
          <x:t xml:space="preserve">FRM0040</x:t>
        </x:is>
      </x:c>
      <x:c r="B41" t="inlineStr">
        <x:is>
          <x:t xml:space="preserve">itchy_localized_rash_adult</x:t>
        </x:is>
      </x:c>
      <x:c r="C41" t="inlineStr">
        <x:is>
          <x:t xml:space="preserve">Localized itchy rash NOS</x:t>
        </x:is>
      </x:c>
      <x:c r="D41" t="inlineStr">
        <x:is>
          <x:t xml:space="preserve">Skin</x:t>
        </x:is>
      </x:c>
      <x:c r="E41" t="inlineStr">
        <x:is>
          <x:t xml:space="preserve">adult</x:t>
        </x:is>
      </x:c>
      <x:c r="F41" t="inlineStr">
        <x:is>
          <x:t xml:space="preserve">routine_opd</x:t>
        </x:is>
      </x:c>
      <x:c r="G41" t="inlineStr">
        <x:is>
          <x:t xml:space="preserve">Y</x:t>
        </x:is>
      </x:c>
      <x:c r="H41" t="n">
        <x:v>1</x:v>
      </x:c>
      <x:c r="I41" t="inlineStr">
        <x:is>
          <x:t xml:space="preserve">R21</x:t>
        </x:is>
      </x:c>
      <x:c r="K41" t="inlineStr">
        <x:is>
          <x:t xml:space="preserve">Most likely</x:t>
        </x:is>
      </x:c>
      <x:c r="L41" t="inlineStr">
        <x:is>
          <x:t xml:space="preserve">localized itchy rash without severe skin red flags</x:t>
        </x:is>
      </x:c>
      <x:c r="M41" t="inlineStr">
        <x:is>
          <x:t xml:space="preserve">small localized itchy rash when dermatitis/insect bite/tinea are not clearly favored</x:t>
        </x:is>
      </x:c>
      <x:c r="N41" t="inlineStr">
        <x:is>
          <x:t xml:space="preserve">mucosal involvement, blistering, or non-blanching rash</x:t>
        </x:is>
      </x:c>
      <x:c r="O41" t="inlineStr">
        <x:is>
          <x:t xml:space="preserve">N</x:t>
        </x:is>
      </x:c>
      <x:c r="P41" t="inlineStr">
        <x:is>
          <x:t xml:space="preserve">N</x:t>
        </x:is>
      </x:c>
      <x:c r="Q41" t="inlineStr">
        <x:is>
          <x:t xml:space="preserve">Needs in-person eval today if mucosal lesions, blistering, non-blanching rash, or facial swelling</x:t>
        </x:is>
      </x:c>
      <x:c r="R41" t="inlineStr">
        <x:is>
          <x:t xml:space="preserve">refined v3 narrowed nonspecific row</x:t>
        </x:is>
      </x:c>
      <x:c r="S41" t="inlineStr">
        <x:is>
          <x:t xml:space="preserve">Zyrtec [Cetirizine dihydrochloride 10 mg.]</x:t>
        </x:is>
      </x:c>
      <x:c r="T41" t="inlineStr">
        <x:is>
          <x:t xml:space="preserve">BDS004213</x:t>
        </x:is>
      </x:c>
      <x:c r="U41" t="inlineStr">
        <x:is>
          <x:t xml:space="preserve">1 tab PO OD</x:t>
        </x:is>
      </x:c>
      <x:c r="V41" t="inlineStr">
        <x:is>
          <x:t xml:space="preserve">5 days</x:t>
        </x:is>
      </x:c>
      <x:c r="W41" t="inlineStr">
        <x:is>
          <x:t xml:space="preserve">1 box (10 tabs)</x:t>
        </x:is>
      </x:c>
      <x:c r="X41" t="inlineStr">
        <x:is>
          <x:t xml:space="preserve">drowsy, dry mouth</x:t>
        </x:is>
      </x:c>
      <x:c r="Y41" t="inlineStr">
        <x:is>
          <x:t xml:space="preserve">caution driving if sleepy</x:t>
        </x:is>
      </x:c>
      <x:c r="Z41" t="n">
        <x:v>216</x:v>
      </x:c>
      <x:c r="AA41" t="inlineStr">
        <x:is>
          <x:t xml:space="preserve">Antergan Cream [Hydrocortisone Acetate 5 mg+Mepyramine Maleate 20 mg/1 g]</x:t>
        </x:is>
      </x:c>
      <x:c r="AB41" t="inlineStr">
        <x:is>
          <x:t xml:space="preserve">BDS006745</x:t>
        </x:is>
      </x:c>
      <x:c r="AC41" t="inlineStr">
        <x:is>
          <x:t xml:space="preserve">apply thinly BID–TID to itchy areas</x:t>
        </x:is>
      </x:c>
      <x:c r="AD41" t="inlineStr">
        <x:is>
          <x:t xml:space="preserve">5 days</x:t>
        </x:is>
      </x:c>
      <x:c r="AE41" t="inlineStr">
        <x:is>
          <x:t xml:space="preserve">1 tube (10 g)</x:t>
        </x:is>
      </x:c>
      <x:c r="AF41" t="inlineStr">
        <x:is>
          <x:t xml:space="preserve">local irritation</x:t>
        </x:is>
      </x:c>
      <x:c r="AG41" t="inlineStr">
        <x:is>
          <x:t xml:space="preserve">avoid face/eye/open wound</x:t>
        </x:is>
      </x:c>
      <x:c r="AY41" t="inlineStr">
        <x:is>
          <x:t xml:space="preserve">Aristocort 0.02% [Triamcinolone Acetonide 0.02%]</x:t>
        </x:is>
      </x:c>
      <x:c r="AZ41" t="inlineStr">
        <x:is>
          <x:t xml:space="preserve">BDS001057</x:t>
        </x:is>
      </x:c>
      <x:c r="BA41" t="inlineStr">
        <x:is>
          <x:t xml:space="preserve">apply thinly BID–TID</x:t>
        </x:is>
      </x:c>
      <x:c r="BB41" t="inlineStr">
        <x:is>
          <x:t xml:space="preserve">5 days</x:t>
        </x:is>
      </x:c>
      <x:c r="BC41" t="inlineStr">
        <x:is>
          <x:t xml:space="preserve">1 tube (15 g)</x:t>
        </x:is>
      </x:c>
      <x:c r="BD41" t="inlineStr">
        <x:is>
          <x:t xml:space="preserve">local irritation</x:t>
        </x:is>
      </x:c>
      <x:c r="BE41" t="inlineStr">
        <x:is>
          <x:t xml:space="preserve">short course; avoid face/folds/open wound</x:t>
        </x:is>
      </x:c>
    </x:row>
    <x:row r="42">
      <x:c r="A42" t="inlineStr">
        <x:is>
          <x:t xml:space="preserve">FRM0041</x:t>
        </x:is>
      </x:c>
      <x:c r="B42" t="inlineStr">
        <x:is>
          <x:t xml:space="preserve">allergic_rhinitis_congestion_adult</x:t>
        </x:is>
      </x:c>
      <x:c r="C42" t="inlineStr">
        <x:is>
          <x:t xml:space="preserve">Allergic rhinitis with congestion</x:t>
        </x:is>
      </x:c>
      <x:c r="D42" t="inlineStr">
        <x:is>
          <x:t xml:space="preserve">ENT</x:t>
        </x:is>
      </x:c>
      <x:c r="E42" t="inlineStr">
        <x:is>
          <x:t xml:space="preserve">adult</x:t>
        </x:is>
      </x:c>
      <x:c r="F42" t="inlineStr">
        <x:is>
          <x:t xml:space="preserve">routine_opd</x:t>
        </x:is>
      </x:c>
      <x:c r="G42" t="inlineStr">
        <x:is>
          <x:t xml:space="preserve">Y</x:t>
        </x:is>
      </x:c>
      <x:c r="H42" t="n">
        <x:v>1</x:v>
      </x:c>
      <x:c r="I42" t="inlineStr">
        <x:is>
          <x:t xml:space="preserve">J30.9</x:t>
        </x:is>
      </x:c>
      <x:c r="K42" t="inlineStr">
        <x:is>
          <x:t xml:space="preserve">Most likely</x:t>
        </x:is>
      </x:c>
      <x:c r="L42" t="inlineStr">
        <x:is>
          <x:t xml:space="preserve">allergy-type runny nose plus congestion/blockage</x:t>
        </x:is>
      </x:c>
      <x:c r="M42" t="inlineStr">
        <x:is>
          <x:t xml:space="preserve">allergic rhinitis with prominent congestion but no bacterial red flags</x:t>
        </x:is>
      </x:c>
      <x:c r="N42" t="inlineStr">
        <x:is>
          <x:t xml:space="preserve">high fever, marked facial pain, or sinus/orbital red flags</x:t>
        </x:is>
      </x:c>
      <x:c r="O42" t="inlineStr">
        <x:is>
          <x:t xml:space="preserve">N</x:t>
        </x:is>
      </x:c>
      <x:c r="P42" t="inlineStr">
        <x:is>
          <x:t xml:space="preserve">N</x:t>
        </x:is>
      </x:c>
      <x:c r="Q42" t="inlineStr">
        <x:is>
          <x:t xml:space="preserve">Needs in-person eval today if dyspnea, facial swelling, severe sinus pain, or persistent high fever</x:t>
        </x:is>
      </x:c>
      <x:c r="R42" t="inlineStr">
        <x:is>
          <x:t xml:space="preserve">v3 added</x:t>
        </x:is>
      </x:c>
      <x:c r="S42" t="inlineStr">
        <x:is>
          <x:t xml:space="preserve">Zyrtec [Cetirizine dihydrochloride 10 mg.]</x:t>
        </x:is>
      </x:c>
      <x:c r="T42" t="inlineStr">
        <x:is>
          <x:t xml:space="preserve">BDS004213</x:t>
        </x:is>
      </x:c>
      <x:c r="U42" t="inlineStr">
        <x:is>
          <x:t xml:space="preserve">1 tab PO OD</x:t>
        </x:is>
      </x:c>
      <x:c r="V42" t="inlineStr">
        <x:is>
          <x:t xml:space="preserve">5 days</x:t>
        </x:is>
      </x:c>
      <x:c r="W42" t="inlineStr">
        <x:is>
          <x:t xml:space="preserve">1 box (10 tabs)</x:t>
        </x:is>
      </x:c>
      <x:c r="X42" t="inlineStr">
        <x:is>
          <x:t xml:space="preserve">drowsy, dry mouth</x:t>
        </x:is>
      </x:c>
      <x:c r="Y42" t="inlineStr">
        <x:is>
          <x:t xml:space="preserve">caution driving if sleepy</x:t>
        </x:is>
      </x:c>
      <x:c r="Z42" t="n">
        <x:v>216</x:v>
      </x:c>
      <x:c r="AA42" t="inlineStr">
        <x:is>
          <x:t xml:space="preserve">Nasonex 60 doses [Mometasone Furoate Monohydrate (eq. to Mometasone Furoate 50 mcg/dose)+Preservative (Benzalkonium Chloride 0.2 mg/g)]</x:t>
        </x:is>
      </x:c>
      <x:c r="AB42" t="inlineStr">
        <x:is>
          <x:t xml:space="preserve">BDS002805</x:t>
        </x:is>
      </x:c>
      <x:c r="AC42" t="inlineStr">
        <x:is>
          <x:t xml:space="preserve">2 sprays/nostril OD</x:t>
        </x:is>
      </x:c>
      <x:c r="AD42" t="inlineStr">
        <x:is>
          <x:t xml:space="preserve">7–14 days</x:t>
        </x:is>
      </x:c>
      <x:c r="AE42" t="inlineStr">
        <x:is>
          <x:t xml:space="preserve">1 bottle (60 doses)</x:t>
        </x:is>
      </x:c>
      <x:c r="AF42" t="inlineStr">
        <x:is>
          <x:t xml:space="preserve">nasal dryness, epistaxis</x:t>
        </x:is>
      </x:c>
      <x:c r="AG42" t="inlineStr">
        <x:is>
          <x:t xml:space="preserve">daily use; slower onset over days</x:t>
        </x:is>
      </x:c>
      <x:c r="AI42" t="inlineStr">
        <x:is>
          <x:t xml:space="preserve">Iliadin Spray [Oxymetazoline Hydrochloride 0.05% (0.5 mg./1 ml.)]</x:t>
        </x:is>
      </x:c>
      <x:c r="AJ42" t="inlineStr">
        <x:is>
          <x:t xml:space="preserve">BDS002215</x:t>
        </x:is>
      </x:c>
      <x:c r="AK42" t="inlineStr">
        <x:is>
          <x:t xml:space="preserve">1–2 sprays/nostril BID–TID (max 3 days)</x:t>
        </x:is>
      </x:c>
      <x:c r="AL42" t="inlineStr">
        <x:is>
          <x:t xml:space="preserve">3 days</x:t>
        </x:is>
      </x:c>
      <x:c r="AM42" t="inlineStr">
        <x:is>
          <x:t xml:space="preserve">1 bottle (10 mL)</x:t>
        </x:is>
      </x:c>
      <x:c r="AN42" t="inlineStr">
        <x:is>
          <x:t xml:space="preserve">local irritation</x:t>
        </x:is>
      </x:c>
      <x:c r="AO42" t="inlineStr">
        <x:is>
          <x:t xml:space="preserve">≤3 days; rebound congestion; caution HTN</x:t>
        </x:is>
      </x:c>
      <x:c r="AP42" t="n">
        <x:v>262</x:v>
      </x:c>
      <x:c r="AY42" t="inlineStr">
        <x:is>
          <x:t xml:space="preserve">Telfast 180 mg [Fexofenadine HCl 180 mg.]</x:t>
        </x:is>
      </x:c>
      <x:c r="AZ42" t="inlineStr">
        <x:is>
          <x:t xml:space="preserve">BDS003747</x:t>
        </x:is>
      </x:c>
      <x:c r="BA42" t="inlineStr">
        <x:is>
          <x:t xml:space="preserve">1 tab PO OD</x:t>
        </x:is>
      </x:c>
      <x:c r="BB42" t="inlineStr">
        <x:is>
          <x:t xml:space="preserve">5 days</x:t>
        </x:is>
      </x:c>
      <x:c r="BC42" t="inlineStr">
        <x:is>
          <x:t xml:space="preserve">1 box (10 tabs)</x:t>
        </x:is>
      </x:c>
      <x:c r="BD42" t="inlineStr">
        <x:is>
          <x:t xml:space="preserve">headache, dry mouth</x:t>
        </x:is>
      </x:c>
      <x:c r="BE42" t="inlineStr">
        <x:is>
          <x:t xml:space="preserve">avoid taking with fruit juice close to dose</x:t>
        </x:is>
      </x:c>
      <x:c r="BF42" t="n">
        <x:v>500</x:v>
      </x:c>
      <x:c r="BG42" t="inlineStr">
        <x:is>
          <x:t xml:space="preserve">Nasotapp [Brompheniramine Maleate 4 mg.+Phenylephrine HCl 10 mg.]</x:t>
        </x:is>
      </x:c>
      <x:c r="BH42" t="inlineStr">
        <x:is>
          <x:t xml:space="preserve">BDS045630</x:t>
        </x:is>
      </x:c>
      <x:c r="BI42" t="inlineStr">
        <x:is>
          <x:t xml:space="preserve">1 tab PO q4–6h</x:t>
        </x:is>
      </x:c>
      <x:c r="BJ42" t="inlineStr">
        <x:is>
          <x:t xml:space="preserve">3 days</x:t>
        </x:is>
      </x:c>
      <x:c r="BK42" t="inlineStr">
        <x:is>
          <x:t xml:space="preserve">1 strip (10 tabs)</x:t>
        </x:is>
      </x:c>
      <x:c r="BL42" t="inlineStr">
        <x:is>
          <x:t xml:space="preserve">drowsy, palpitation</x:t>
        </x:is>
      </x:c>
      <x:c r="BM42" t="inlineStr">
        <x:is>
          <x:t xml:space="preserve">caution HTN; may cause sleepiness</x:t>
        </x:is>
      </x:c>
      <x:c r="BN42" t="n">
        <x:v>116</x:v>
      </x:c>
    </x:row>
    <x:row r="43">
      <x:c r="A43" t="inlineStr">
        <x:is>
          <x:t xml:space="preserve">FRM0042</x:t>
        </x:is>
      </x:c>
      <x:c r="B43" t="inlineStr">
        <x:is>
          <x:t xml:space="preserve">uri_sneezing_runny_nose_adult</x:t>
        </x:is>
      </x:c>
      <x:c r="C43" t="inlineStr">
        <x:is>
          <x:t xml:space="preserve">Viral URI with sneezing / runny nose</x:t>
        </x:is>
      </x:c>
      <x:c r="D43" t="inlineStr">
        <x:is>
          <x:t xml:space="preserve">ENT</x:t>
        </x:is>
      </x:c>
      <x:c r="E43" t="inlineStr">
        <x:is>
          <x:t xml:space="preserve">adult</x:t>
        </x:is>
      </x:c>
      <x:c r="F43" t="inlineStr">
        <x:is>
          <x:t xml:space="preserve">routine_opd</x:t>
        </x:is>
      </x:c>
      <x:c r="G43" t="inlineStr">
        <x:is>
          <x:t xml:space="preserve">Y</x:t>
        </x:is>
      </x:c>
      <x:c r="H43" t="n">
        <x:v>1</x:v>
      </x:c>
      <x:c r="I43" t="inlineStr">
        <x:is>
          <x:t xml:space="preserve">J06.9</x:t>
        </x:is>
      </x:c>
      <x:c r="K43" t="inlineStr">
        <x:is>
          <x:t xml:space="preserve">Most likely</x:t>
        </x:is>
      </x:c>
      <x:c r="L43" t="inlineStr">
        <x:is>
          <x:t xml:space="preserve">runny nose and sneezing without bacterial pattern</x:t>
        </x:is>
      </x:c>
      <x:c r="M43" t="inlineStr">
        <x:is>
          <x:t xml:space="preserve">common cold / viral URI dominated by sneezing and rhinorrhea</x:t>
        </x:is>
      </x:c>
      <x:c r="N43" t="inlineStr">
        <x:is>
          <x:t xml:space="preserve">dyspnea, chest pain, or bacterial red flags</x:t>
        </x:is>
      </x:c>
      <x:c r="O43" t="inlineStr">
        <x:is>
          <x:t xml:space="preserve">N</x:t>
        </x:is>
      </x:c>
      <x:c r="P43" t="inlineStr">
        <x:is>
          <x:t xml:space="preserve">N</x:t>
        </x:is>
      </x:c>
      <x:c r="Q43" t="inlineStr">
        <x:is>
          <x:t xml:space="preserve">Avoid routine antibiotics; Needs in-person eval today if dyspnea, chest pain, or persistent high fever</x:t>
        </x:is>
      </x:c>
      <x:c r="R43" t="inlineStr">
        <x:is>
          <x:t xml:space="preserve">v3 added</x:t>
        </x:is>
      </x:c>
      <x:c r="S43" t="inlineStr">
        <x:is>
          <x:t xml:space="preserve">Tylenol 500 mg strip 10s [Paracetamol 500 mg.]</x:t>
        </x:is>
      </x:c>
      <x:c r="T43" t="inlineStr">
        <x:is>
          <x:t xml:space="preserve">BDS003762</x:t>
        </x:is>
      </x:c>
      <x:c r="U43" t="inlineStr">
        <x:is>
          <x:t xml:space="preserve">1–2 tabs PO q4–6h PRN fever/pain</x:t>
        </x:is>
      </x:c>
      <x:c r="V43" t="inlineStr">
        <x:is>
          <x:t xml:space="preserve">3 days</x:t>
        </x:is>
      </x:c>
      <x:c r="W43" t="inlineStr">
        <x:is>
          <x:t xml:space="preserve">1 strip (10 tabs)</x:t>
        </x:is>
      </x:c>
      <x:c r="X43" t="inlineStr">
        <x:is>
          <x:t xml:space="preserve">nausea, rash</x:t>
        </x:is>
      </x:c>
      <x:c r="Y43" t="inlineStr">
        <x:is>
          <x:t xml:space="preserve">avoid duplicate paracetamol; caution liver disease</x:t>
        </x:is>
      </x:c>
      <x:c r="Z43" t="n">
        <x:v>36</x:v>
      </x:c>
      <x:c r="AA43" t="inlineStr">
        <x:is>
          <x:t xml:space="preserve">Nasotapp [Brompheniramine Maleate 4 mg.+Phenylephrine HCl 10 mg.]</x:t>
        </x:is>
      </x:c>
      <x:c r="AB43" t="inlineStr">
        <x:is>
          <x:t xml:space="preserve">BDS045630</x:t>
        </x:is>
      </x:c>
      <x:c r="AC43" t="inlineStr">
        <x:is>
          <x:t xml:space="preserve">1 tab PO q4–6h</x:t>
        </x:is>
      </x:c>
      <x:c r="AD43" t="inlineStr">
        <x:is>
          <x:t xml:space="preserve">3–5 days</x:t>
        </x:is>
      </x:c>
      <x:c r="AE43" t="inlineStr">
        <x:is>
          <x:t xml:space="preserve">1 strip (10 tabs)</x:t>
        </x:is>
      </x:c>
      <x:c r="AF43" t="inlineStr">
        <x:is>
          <x:t xml:space="preserve">drowsy, palpitation</x:t>
        </x:is>
      </x:c>
      <x:c r="AG43" t="inlineStr">
        <x:is>
          <x:t xml:space="preserve">caution HTN; may cause sleepiness</x:t>
        </x:is>
      </x:c>
      <x:c r="AH43" t="n">
        <x:v>116</x:v>
      </x:c>
      <x:c r="AY43" t="inlineStr">
        <x:is>
          <x:t xml:space="preserve">Zyrtec [Cetirizine dihydrochloride 10 mg.]</x:t>
        </x:is>
      </x:c>
      <x:c r="AZ43" t="inlineStr">
        <x:is>
          <x:t xml:space="preserve">BDS004213</x:t>
        </x:is>
      </x:c>
      <x:c r="BA43" t="inlineStr">
        <x:is>
          <x:t xml:space="preserve">1 tab PO OD</x:t>
        </x:is>
      </x:c>
      <x:c r="BB43" t="inlineStr">
        <x:is>
          <x:t xml:space="preserve">5 days</x:t>
        </x:is>
      </x:c>
      <x:c r="BC43" t="inlineStr">
        <x:is>
          <x:t xml:space="preserve">1 box (10 tabs)</x:t>
        </x:is>
      </x:c>
      <x:c r="BD43" t="inlineStr">
        <x:is>
          <x:t xml:space="preserve">drowsy, dry mouth</x:t>
        </x:is>
      </x:c>
      <x:c r="BE43" t="inlineStr">
        <x:is>
          <x:t xml:space="preserve">caution driving if sleepy</x:t>
        </x:is>
      </x:c>
      <x:c r="BF43" t="n">
        <x:v>216</x:v>
      </x:c>
      <x:c r="BG43" t="inlineStr">
        <x:is>
          <x:t xml:space="preserve">Iliadin Spray [Oxymetazoline Hydrochloride 0.05% (0.5 mg./1 ml.)]</x:t>
        </x:is>
      </x:c>
      <x:c r="BH43" t="inlineStr">
        <x:is>
          <x:t xml:space="preserve">BDS002215</x:t>
        </x:is>
      </x:c>
      <x:c r="BI43" t="inlineStr">
        <x:is>
          <x:t xml:space="preserve">1–2 sprays/nostril BID–TID (max 3 days)</x:t>
        </x:is>
      </x:c>
      <x:c r="BJ43" t="inlineStr">
        <x:is>
          <x:t xml:space="preserve">3 days</x:t>
        </x:is>
      </x:c>
      <x:c r="BK43" t="inlineStr">
        <x:is>
          <x:t xml:space="preserve">1 bottle (10 mL)</x:t>
        </x:is>
      </x:c>
      <x:c r="BL43" t="inlineStr">
        <x:is>
          <x:t xml:space="preserve">local irritation</x:t>
        </x:is>
      </x:c>
      <x:c r="BM43" t="inlineStr">
        <x:is>
          <x:t xml:space="preserve">≤3 days; rebound congestion; caution HTN</x:t>
        </x:is>
      </x:c>
      <x:c r="BN43" t="n">
        <x:v>262</x:v>
      </x:c>
    </x:row>
    <x:row r="44">
      <x:c r="A44" t="inlineStr">
        <x:is>
          <x:t xml:space="preserve">FRM0043</x:t>
        </x:is>
      </x:c>
      <x:c r="B44" t="inlineStr">
        <x:is>
          <x:t xml:space="preserve">acute_pharyngitis_viral_adult</x:t>
        </x:is>
      </x:c>
      <x:c r="C44" t="inlineStr">
        <x:is>
          <x:t xml:space="preserve">Acute viral pharyngitis</x:t>
        </x:is>
      </x:c>
      <x:c r="D44" t="inlineStr">
        <x:is>
          <x:t xml:space="preserve">ENT</x:t>
        </x:is>
      </x:c>
      <x:c r="E44" t="inlineStr">
        <x:is>
          <x:t xml:space="preserve">adult</x:t>
        </x:is>
      </x:c>
      <x:c r="F44" t="inlineStr">
        <x:is>
          <x:t xml:space="preserve">routine_opd</x:t>
        </x:is>
      </x:c>
      <x:c r="G44" t="inlineStr">
        <x:is>
          <x:t xml:space="preserve">Y</x:t>
        </x:is>
      </x:c>
      <x:c r="H44" t="n">
        <x:v>1</x:v>
      </x:c>
      <x:c r="I44" t="inlineStr">
        <x:is>
          <x:t xml:space="preserve">J02.9</x:t>
        </x:is>
      </x:c>
      <x:c r="K44" t="inlineStr">
        <x:is>
          <x:t xml:space="preserve">Most likely</x:t>
        </x:is>
      </x:c>
      <x:c r="L44" t="inlineStr">
        <x:is>
          <x:t xml:space="preserve">sore throat / irritation without clear bacterial pattern</x:t>
        </x:is>
      </x:c>
      <x:c r="M44" t="inlineStr">
        <x:is>
          <x:t xml:space="preserve">viral sore throat / pharyngitis without strong bacterial features</x:t>
        </x:is>
      </x:c>
      <x:c r="N44" t="inlineStr">
        <x:is>
          <x:t xml:space="preserve">drooling, muffled voice, trismus, or severe unilateral swelling</x:t>
        </x:is>
      </x:c>
      <x:c r="O44" t="inlineStr">
        <x:is>
          <x:t xml:space="preserve">N</x:t>
        </x:is>
      </x:c>
      <x:c r="P44" t="inlineStr">
        <x:is>
          <x:t xml:space="preserve">N</x:t>
        </x:is>
      </x:c>
      <x:c r="Q44" t="inlineStr">
        <x:is>
          <x:t xml:space="preserve">Avoid routine antibiotics; Needs in-person eval today if drooling, muffled voice, dyspnea, or inability to swallow fluids</x:t>
        </x:is>
      </x:c>
      <x:c r="R44" t="inlineStr">
        <x:is>
          <x:t xml:space="preserve">v3 added</x:t>
        </x:is>
      </x:c>
      <x:c r="S44" t="inlineStr">
        <x:is>
          <x:t xml:space="preserve">Tylenol 500 mg strip 10s [Paracetamol 500 mg.]</x:t>
        </x:is>
      </x:c>
      <x:c r="T44" t="inlineStr">
        <x:is>
          <x:t xml:space="preserve">BDS003762</x:t>
        </x:is>
      </x:c>
      <x:c r="U44" t="inlineStr">
        <x:is>
          <x:t xml:space="preserve">1–2 tabs PO q4–6h PRN pain/fever</x:t>
        </x:is>
      </x:c>
      <x:c r="V44" t="inlineStr">
        <x:is>
          <x:t xml:space="preserve">3 days</x:t>
        </x:is>
      </x:c>
      <x:c r="W44" t="inlineStr">
        <x:is>
          <x:t xml:space="preserve">1 strip (10 tabs)</x:t>
        </x:is>
      </x:c>
      <x:c r="X44" t="inlineStr">
        <x:is>
          <x:t xml:space="preserve">nausea, rash</x:t>
        </x:is>
      </x:c>
      <x:c r="Y44" t="inlineStr">
        <x:is>
          <x:t xml:space="preserve">avoid duplicate paracetamol; caution liver disease</x:t>
        </x:is>
      </x:c>
      <x:c r="Z44" t="n">
        <x:v>36</x:v>
      </x:c>
      <x:c r="AA44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AB44" t="inlineStr">
        <x:is>
          <x:t xml:space="preserve">BDS002411</x:t>
        </x:is>
      </x:c>
      <x:c r="AC44" t="inlineStr">
        <x:is>
          <x:t xml:space="preserve">2 sprays to mouth/throat TID</x:t>
        </x:is>
      </x:c>
      <x:c r="AD44" t="inlineStr">
        <x:is>
          <x:t xml:space="preserve">5 days</x:t>
        </x:is>
      </x:c>
      <x:c r="AE44" t="inlineStr">
        <x:is>
          <x:t xml:space="preserve">1 bottle (15 mL)</x:t>
        </x:is>
      </x:c>
      <x:c r="AF44" t="inlineStr">
        <x:is>
          <x:t xml:space="preserve">local irritation</x:t>
        </x:is>
      </x:c>
      <x:c r="AG44" t="inlineStr">
        <x:is>
          <x:t xml:space="preserve">avoid if ingredient allergy</x:t>
        </x:is>
      </x:c>
      <x:c r="AH44" t="n">
        <x:v>163.5</x:v>
      </x:c>
      <x:c r="AI44" t="inlineStr">
        <x:is>
          <x:t xml:space="preserve">Strepsils Citrus Lemon SF HHR ซอง 6s [2,4-Dichlorobenzyl Alcohol 1.2 mg.+Amylmetacresol 0.6 mg.]</x:t>
        </x:is>
      </x:c>
      <x:c r="AJ44" t="inlineStr">
        <x:is>
          <x:t xml:space="preserve">BDS003574</x:t>
        </x:is>
      </x:c>
      <x:c r="AK44" t="inlineStr">
        <x:is>
          <x:t xml:space="preserve">1 lozenge dissolve slowly q2–3h PRN</x:t>
        </x:is>
      </x:c>
      <x:c r="AL44" t="inlineStr">
        <x:is>
          <x:t xml:space="preserve">3–5 days</x:t>
        </x:is>
      </x:c>
      <x:c r="AM44" t="inlineStr">
        <x:is>
          <x:t xml:space="preserve">1 sachet (6 lozenges)</x:t>
        </x:is>
      </x:c>
      <x:c r="AN44" t="inlineStr">
        <x:is>
          <x:t xml:space="preserve">local mouth irritation</x:t>
        </x:is>
      </x:c>
      <x:c r="AO44" t="inlineStr">
        <x:is>
          <x:t xml:space="preserve">not for very young children</x:t>
        </x:is>
      </x:c>
      <x:c r="AY44" t="inlineStr">
        <x:is>
          <x:t xml:space="preserve">Difflam Forte Spray [Benzydamine Hydrochloride 3 mg.+Ethanol+Saccharin Sodium+Methyl Hydroxybenzoate+Glycerol+PEG-40 Hydrogenated castor oil/ml.]</x:t>
        </x:is>
      </x:c>
      <x:c r="AZ44" t="inlineStr">
        <x:is>
          <x:t xml:space="preserve">BDS006462</x:t>
        </x:is>
      </x:c>
      <x:c r="BA44" t="inlineStr">
        <x:is>
          <x:t xml:space="preserve">2–4 sprays to throat PRN</x:t>
        </x:is>
      </x:c>
      <x:c r="BB44" t="inlineStr">
        <x:is>
          <x:t xml:space="preserve">5 days</x:t>
        </x:is>
      </x:c>
      <x:c r="BC44" t="inlineStr">
        <x:is>
          <x:t xml:space="preserve">1 bottle (15 mL)</x:t>
        </x:is>
      </x:c>
      <x:c r="BD44" t="inlineStr">
        <x:is>
          <x:t xml:space="preserve">local stinging, numbness</x:t>
        </x:is>
      </x:c>
      <x:c r="BE44" t="inlineStr">
        <x:is>
          <x:t xml:space="preserve">do not swallow large amounts</x:t>
        </x:is>
      </x:c>
      <x:c r="BF44" t="n">
        <x:v>529</x:v>
      </x:c>
    </x:row>
    <x:row r="45">
      <x:c r="A45" t="inlineStr">
        <x:is>
          <x:t xml:space="preserve">FRM0044</x:t>
        </x:is>
      </x:c>
      <x:c r="B45" t="inlineStr">
        <x:is>
          <x:t xml:space="preserve">postnasal_drip_cough_adult</x:t>
        </x:is>
      </x:c>
      <x:c r="C45" t="inlineStr">
        <x:is>
          <x:t xml:space="preserve">Postnasal drip / upper airway cough syndrome</x:t>
        </x:is>
      </x:c>
      <x:c r="D45" t="inlineStr">
        <x:is>
          <x:t xml:space="preserve">ENT</x:t>
        </x:is>
      </x:c>
      <x:c r="E45" t="inlineStr">
        <x:is>
          <x:t xml:space="preserve">adult</x:t>
        </x:is>
      </x:c>
      <x:c r="F45" t="inlineStr">
        <x:is>
          <x:t xml:space="preserve">routine_opd</x:t>
        </x:is>
      </x:c>
      <x:c r="G45" t="inlineStr">
        <x:is>
          <x:t xml:space="preserve">Y</x:t>
        </x:is>
      </x:c>
      <x:c r="H45" t="n">
        <x:v>1</x:v>
      </x:c>
      <x:c r="I45" t="inlineStr">
        <x:is>
          <x:t xml:space="preserve">R05.9</x:t>
        </x:is>
      </x:c>
      <x:c r="J45" t="inlineStr">
        <x:is>
          <x:t xml:space="preserve">R09.82</x:t>
        </x:is>
      </x:c>
      <x:c r="K45" t="inlineStr">
        <x:is>
          <x:t xml:space="preserve">Most likely</x:t>
        </x:is>
      </x:c>
      <x:c r="L45" t="inlineStr">
        <x:is>
          <x:t xml:space="preserve">throat clearing / drip sensation with cough, usually worse at night</x:t>
        </x:is>
      </x:c>
      <x:c r="M45" t="inlineStr">
        <x:is>
          <x:t xml:space="preserve">cough likely driven by rhinitis/postnasal drip without lower respiratory red flags</x:t>
        </x:is>
      </x:c>
      <x:c r="N45" t="inlineStr">
        <x:is>
          <x:t xml:space="preserve">dyspnea, wheeze, chest pain, or pneumonia concern</x:t>
        </x:is>
      </x:c>
      <x:c r="O45" t="inlineStr">
        <x:is>
          <x:t xml:space="preserve">N</x:t>
        </x:is>
      </x:c>
      <x:c r="P45" t="inlineStr">
        <x:is>
          <x:t xml:space="preserve">N</x:t>
        </x:is>
      </x:c>
      <x:c r="Q45" t="inlineStr">
        <x:is>
          <x:t xml:space="preserve">Needs in-person eval today if dyspnea, chest pain, wheeze, or persistent high fever</x:t>
        </x:is>
      </x:c>
      <x:c r="R45" t="inlineStr">
        <x:is>
          <x:t xml:space="preserve">v3 added</x:t>
        </x:is>
      </x:c>
      <x:c r="S45" t="inlineStr">
        <x:is>
          <x:t xml:space="preserve">Nasotapp [Brompheniramine Maleate 4 mg.+Phenylephrine HCl 10 mg.]</x:t>
        </x:is>
      </x:c>
      <x:c r="T45" t="inlineStr">
        <x:is>
          <x:t xml:space="preserve">BDS045630</x:t>
        </x:is>
      </x:c>
      <x:c r="U45" t="inlineStr">
        <x:is>
          <x:t xml:space="preserve">1 tab PO q4–6h</x:t>
        </x:is>
      </x:c>
      <x:c r="V45" t="inlineStr">
        <x:is>
          <x:t xml:space="preserve">3–5 days</x:t>
        </x:is>
      </x:c>
      <x:c r="W45" t="inlineStr">
        <x:is>
          <x:t xml:space="preserve">1 strip (10 tabs)</x:t>
        </x:is>
      </x:c>
      <x:c r="X45" t="inlineStr">
        <x:is>
          <x:t xml:space="preserve">drowsy, palpitation</x:t>
        </x:is>
      </x:c>
      <x:c r="Y45" t="inlineStr">
        <x:is>
          <x:t xml:space="preserve">caution HTN; may cause sleepiness</x:t>
        </x:is>
      </x:c>
      <x:c r="Z45" t="n">
        <x:v>116</x:v>
      </x:c>
      <x:c r="AA45" t="inlineStr">
        <x:is>
          <x:t xml:space="preserve">Nasonex 60 doses [Mometasone Furoate Monohydrate (eq. to Mometasone Furoate 50 mcg/dose)+Preservative (Benzalkonium Chloride 0.2 mg/g)]</x:t>
        </x:is>
      </x:c>
      <x:c r="AB45" t="inlineStr">
        <x:is>
          <x:t xml:space="preserve">BDS002805</x:t>
        </x:is>
      </x:c>
      <x:c r="AC45" t="inlineStr">
        <x:is>
          <x:t xml:space="preserve">2 sprays/nostril OD</x:t>
        </x:is>
      </x:c>
      <x:c r="AD45" t="inlineStr">
        <x:is>
          <x:t xml:space="preserve">7–14 days</x:t>
        </x:is>
      </x:c>
      <x:c r="AE45" t="inlineStr">
        <x:is>
          <x:t xml:space="preserve">1 bottle (60 doses)</x:t>
        </x:is>
      </x:c>
      <x:c r="AF45" t="inlineStr">
        <x:is>
          <x:t xml:space="preserve">nasal dryness, epistaxis</x:t>
        </x:is>
      </x:c>
      <x:c r="AG45" t="inlineStr">
        <x:is>
          <x:t xml:space="preserve">daily use; slower onset over days</x:t>
        </x:is>
      </x:c>
      <x:c r="AY45" t="inlineStr">
        <x:is>
          <x:t xml:space="preserve">Zyrtec [Cetirizine dihydrochloride 10 mg.]</x:t>
        </x:is>
      </x:c>
      <x:c r="AZ45" t="inlineStr">
        <x:is>
          <x:t xml:space="preserve">BDS004213</x:t>
        </x:is>
      </x:c>
      <x:c r="BA45" t="inlineStr">
        <x:is>
          <x:t xml:space="preserve">1 tab PO OD</x:t>
        </x:is>
      </x:c>
      <x:c r="BB45" t="inlineStr">
        <x:is>
          <x:t xml:space="preserve">5 days</x:t>
        </x:is>
      </x:c>
      <x:c r="BC45" t="inlineStr">
        <x:is>
          <x:t xml:space="preserve">1 box (10 tabs)</x:t>
        </x:is>
      </x:c>
      <x:c r="BD45" t="inlineStr">
        <x:is>
          <x:t xml:space="preserve">drowsy, dry mouth</x:t>
        </x:is>
      </x:c>
      <x:c r="BE45" t="inlineStr">
        <x:is>
          <x:t xml:space="preserve">caution driving if sleepy</x:t>
        </x:is>
      </x:c>
      <x:c r="BF45" t="n">
        <x:v>216</x:v>
      </x:c>
      <x:c r="BG45" t="inlineStr">
        <x:is>
          <x:t xml:space="preserve">Klean &amp; Kare Saline เล็ก [Sodium Chloride 0.9 g./100 ml.]</x:t>
        </x:is>
      </x:c>
      <x:c r="BH45" t="inlineStr">
        <x:is>
          <x:t xml:space="preserve">BDS044320</x:t>
        </x:is>
      </x:c>
      <x:c r="BI45" t="inlineStr">
        <x:is>
          <x:t xml:space="preserve">irrigate / rinse nasal cavity PRN</x:t>
        </x:is>
      </x:c>
      <x:c r="BJ45" t="inlineStr">
        <x:is>
          <x:t xml:space="preserve">5 days</x:t>
        </x:is>
      </x:c>
      <x:c r="BK45" t="inlineStr">
        <x:is>
          <x:t xml:space="preserve">1 bottle (100 mL)</x:t>
        </x:is>
      </x:c>
      <x:c r="BL45" t="inlineStr">
        <x:is>
          <x:t xml:space="preserve">mild local discomfort</x:t>
        </x:is>
      </x:c>
      <x:c r="BM45" t="inlineStr">
        <x:is>
          <x:t xml:space="preserve">sterile technique; stop if severe ear pain</x:t>
        </x:is>
      </x:c>
    </x:row>
    <x:row r="46">
      <x:c r="A46" t="inlineStr">
        <x:is>
          <x:t xml:space="preserve">FRM0045</x:t>
        </x:is>
      </x:c>
      <x:c r="B46" t="inlineStr">
        <x:is>
          <x:t xml:space="preserve">post_viral_cough_adult</x:t>
        </x:is>
      </x:c>
      <x:c r="C46" t="inlineStr">
        <x:is>
          <x:t xml:space="preserve">Post-viral cough</x:t>
        </x:is>
      </x:c>
      <x:c r="D46" t="inlineStr">
        <x:is>
          <x:t xml:space="preserve">ENT</x:t>
        </x:is>
      </x:c>
      <x:c r="E46" t="inlineStr">
        <x:is>
          <x:t xml:space="preserve">adult</x:t>
        </x:is>
      </x:c>
      <x:c r="F46" t="inlineStr">
        <x:is>
          <x:t xml:space="preserve">routine_opd</x:t>
        </x:is>
      </x:c>
      <x:c r="G46" t="inlineStr">
        <x:is>
          <x:t xml:space="preserve">Y</x:t>
        </x:is>
      </x:c>
      <x:c r="H46" t="n">
        <x:v>1</x:v>
      </x:c>
      <x:c r="I46" t="inlineStr">
        <x:is>
          <x:t xml:space="preserve">R05.8</x:t>
        </x:is>
      </x:c>
      <x:c r="K46" t="inlineStr">
        <x:is>
          <x:t xml:space="preserve">Most likely</x:t>
        </x:is>
      </x:c>
      <x:c r="L46" t="inlineStr">
        <x:is>
          <x:t xml:space="preserve">persistent mild cough after URI without major red flags</x:t>
        </x:is>
      </x:c>
      <x:c r="M46" t="inlineStr">
        <x:is>
          <x:t xml:space="preserve">residual cough after recent viral URI, uncomplicated outpatient pattern</x:t>
        </x:is>
      </x:c>
      <x:c r="N46" t="inlineStr">
        <x:is>
          <x:t xml:space="preserve">dyspnea, hemoptysis, chest pain, or prolonged worsening cough</x:t>
        </x:is>
      </x:c>
      <x:c r="O46" t="inlineStr">
        <x:is>
          <x:t xml:space="preserve">N</x:t>
        </x:is>
      </x:c>
      <x:c r="P46" t="inlineStr">
        <x:is>
          <x:t xml:space="preserve">N</x:t>
        </x:is>
      </x:c>
      <x:c r="Q46" t="inlineStr">
        <x:is>
          <x:t xml:space="preserve">Needs in-person eval today if dyspnea, chest pain, hemoptysis, or cough is worsening/persistent</x:t>
        </x:is>
      </x:c>
      <x:c r="R46" t="inlineStr">
        <x:is>
          <x:t xml:space="preserve">v3 added</x:t>
        </x:is>
      </x:c>
      <x:c r="S46" t="inlineStr">
        <x:is>
          <x:t xml:space="preserve">Fartussin (ควบคุมจำนวน) [Dextromethorphan HBr 15 mg.+Glyceryl Guaiacolate 100 mg.+Terpin Hydrate 130 mg.]</x:t>
        </x:is>
      </x:c>
      <x:c r="T46" t="inlineStr">
        <x:is>
          <x:t xml:space="preserve">BDS007973</x:t>
        </x:is>
      </x:c>
      <x:c r="U46" t="inlineStr">
        <x:is>
          <x:t xml:space="preserve">1 tab PO TID–QID PRN cough</x:t>
        </x:is>
      </x:c>
      <x:c r="V46" t="inlineStr">
        <x:is>
          <x:t xml:space="preserve">3 days</x:t>
        </x:is>
      </x:c>
      <x:c r="W46" t="inlineStr">
        <x:is>
          <x:t xml:space="preserve">1 strip (10 tabs)</x:t>
        </x:is>
      </x:c>
      <x:c r="X46" t="inlineStr">
        <x:is>
          <x:t xml:space="preserve">drowsy, GI upset</x:t>
        </x:is>
      </x:c>
      <x:c r="Y46" t="inlineStr">
        <x:is>
          <x:t xml:space="preserve">sedating; limit quantity; avoid driving</x:t>
        </x:is>
      </x:c>
      <x:c r="AA46" t="inlineStr">
        <x:is>
          <x:t xml:space="preserve">Zyrtec [Cetirizine dihydrochloride 10 mg.]</x:t>
        </x:is>
      </x:c>
      <x:c r="AB46" t="inlineStr">
        <x:is>
          <x:t xml:space="preserve">BDS004213</x:t>
        </x:is>
      </x:c>
      <x:c r="AC46" t="inlineStr">
        <x:is>
          <x:t xml:space="preserve">1 tab PO OD</x:t>
        </x:is>
      </x:c>
      <x:c r="AD46" t="inlineStr">
        <x:is>
          <x:t xml:space="preserve">5 days</x:t>
        </x:is>
      </x:c>
      <x:c r="AE46" t="inlineStr">
        <x:is>
          <x:t xml:space="preserve">1 box (10 tabs)</x:t>
        </x:is>
      </x:c>
      <x:c r="AF46" t="inlineStr">
        <x:is>
          <x:t xml:space="preserve">drowsy, dry mouth</x:t>
        </x:is>
      </x:c>
      <x:c r="AG46" t="inlineStr">
        <x:is>
          <x:t xml:space="preserve">caution driving if sleepy</x:t>
        </x:is>
      </x:c>
      <x:c r="AH46" t="n">
        <x:v>216</x:v>
      </x:c>
      <x:c r="AY46" t="inlineStr">
        <x:is>
          <x:t xml:space="preserve">Icolid (ควบคุมจำนวน) [Dextromethorphan HBr 15 mg.]</x:t>
        </x:is>
      </x:c>
      <x:c r="AZ46" t="inlineStr">
        <x:is>
          <x:t xml:space="preserve">BDS002211</x:t>
        </x:is>
      </x:c>
      <x:c r="BA46" t="inlineStr">
        <x:is>
          <x:t xml:space="preserve">1 tab PO TID–QID PRN cough</x:t>
        </x:is>
      </x:c>
      <x:c r="BB46" t="inlineStr">
        <x:is>
          <x:t xml:space="preserve">3 days</x:t>
        </x:is>
      </x:c>
      <x:c r="BC46" t="inlineStr">
        <x:is>
          <x:t xml:space="preserve">1 strip (10 tabs)</x:t>
        </x:is>
      </x:c>
      <x:c r="BD46" t="inlineStr">
        <x:is>
          <x:t xml:space="preserve">drowsy, dizzy</x:t>
        </x:is>
      </x:c>
      <x:c r="BE46" t="inlineStr">
        <x:is>
          <x:t xml:space="preserve">sedating; limit quantity; avoid driving</x:t>
        </x:is>
      </x:c>
      <x:c r="BF46" t="n">
        <x:v>50</x:v>
      </x:c>
      <x:c r="BG46" t="inlineStr">
        <x:is>
          <x:t xml:space="preserve">Nac Long [Acetylcysteine 600 mg.]</x:t>
        </x:is>
      </x:c>
      <x:c r="BH46" t="inlineStr">
        <x:is>
          <x:t xml:space="preserve">BDS002901</x:t>
        </x:is>
      </x:c>
      <x:c r="BI46" t="inlineStr">
        <x:is>
          <x:t xml:space="preserve">1 eff tab PO OD</x:t>
        </x:is>
      </x:c>
      <x:c r="BJ46" t="inlineStr">
        <x:is>
          <x:t xml:space="preserve">5 days</x:t>
        </x:is>
      </x:c>
      <x:c r="BK46" t="inlineStr">
        <x:is>
          <x:t xml:space="preserve">1 tube (10 tabs)</x:t>
        </x:is>
      </x:c>
      <x:c r="BL46" t="inlineStr">
        <x:is>
          <x:t xml:space="preserve">GI upset</x:t>
        </x:is>
      </x:c>
      <x:c r="BM46" t="inlineStr">
        <x:is>
          <x:t xml:space="preserve">encourage hydration</x:t>
        </x:is>
      </x:c>
      <x:c r="BN46" t="n">
        <x:v>270</x:v>
      </x:c>
    </x:row>
    <x:row r="47">
      <x:c r="A47" t="inlineStr">
        <x:is>
          <x:t xml:space="preserve">FRM0046</x:t>
        </x:is>
      </x:c>
      <x:c r="B47" t="inlineStr">
        <x:is>
          <x:t xml:space="preserve">laryngitis_irritation_adult</x:t>
        </x:is>
      </x:c>
      <x:c r="C47" t="inlineStr">
        <x:is>
          <x:t xml:space="preserve">Laryngitis / voice irritation</x:t>
        </x:is>
      </x:c>
      <x:c r="D47" t="inlineStr">
        <x:is>
          <x:t xml:space="preserve">ENT</x:t>
        </x:is>
      </x:c>
      <x:c r="E47" t="inlineStr">
        <x:is>
          <x:t xml:space="preserve">adult</x:t>
        </x:is>
      </x:c>
      <x:c r="F47" t="inlineStr">
        <x:is>
          <x:t xml:space="preserve">routine_opd</x:t>
        </x:is>
      </x:c>
      <x:c r="G47" t="inlineStr">
        <x:is>
          <x:t xml:space="preserve">Y</x:t>
        </x:is>
      </x:c>
      <x:c r="H47" t="n">
        <x:v>1</x:v>
      </x:c>
      <x:c r="I47" t="inlineStr">
        <x:is>
          <x:t xml:space="preserve">J04.0</x:t>
        </x:is>
      </x:c>
      <x:c r="K47" t="inlineStr">
        <x:is>
          <x:t xml:space="preserve">Most likely</x:t>
        </x:is>
      </x:c>
      <x:c r="L47" t="inlineStr">
        <x:is>
          <x:t xml:space="preserve">hoarseness / throat irritation without airway red flags</x:t>
        </x:is>
      </x:c>
      <x:c r="M47" t="inlineStr">
        <x:is>
          <x:t xml:space="preserve">mild laryngitis / voice overuse / throat irritation outpatient case</x:t>
        </x:is>
      </x:c>
      <x:c r="N47" t="inlineStr">
        <x:is>
          <x:t xml:space="preserve">stridor, dyspnea, drooling, or severe systemic illness</x:t>
        </x:is>
      </x:c>
      <x:c r="O47" t="inlineStr">
        <x:is>
          <x:t xml:space="preserve">N</x:t>
        </x:is>
      </x:c>
      <x:c r="P47" t="inlineStr">
        <x:is>
          <x:t xml:space="preserve">N</x:t>
        </x:is>
      </x:c>
      <x:c r="Q47" t="inlineStr">
        <x:is>
          <x:t xml:space="preserve">Needs in-person eval today if stridor, dyspnea, drooling, or inability to swallow</x:t>
        </x:is>
      </x:c>
      <x:c r="R47" t="inlineStr">
        <x:is>
          <x:t xml:space="preserve">v3 added</x:t>
        </x:is>
      </x:c>
      <x:c r="S47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T47" t="inlineStr">
        <x:is>
          <x:t xml:space="preserve">BDS002411</x:t>
        </x:is>
      </x:c>
      <x:c r="U47" t="inlineStr">
        <x:is>
          <x:t xml:space="preserve">2 sprays to mouth/throat TID</x:t>
        </x:is>
      </x:c>
      <x:c r="V47" t="inlineStr">
        <x:is>
          <x:t xml:space="preserve">5 days</x:t>
        </x:is>
      </x:c>
      <x:c r="W47" t="inlineStr">
        <x:is>
          <x:t xml:space="preserve">1 bottle (15 mL)</x:t>
        </x:is>
      </x:c>
      <x:c r="X47" t="inlineStr">
        <x:is>
          <x:t xml:space="preserve">local irritation</x:t>
        </x:is>
      </x:c>
      <x:c r="Y47" t="inlineStr">
        <x:is>
          <x:t xml:space="preserve">avoid if ingredient allergy</x:t>
        </x:is>
      </x:c>
      <x:c r="Z47" t="n">
        <x:v>163.5</x:v>
      </x:c>
      <x:c r="AA47" t="inlineStr">
        <x:is>
          <x:t xml:space="preserve">Strepsils Citrus Lemon SF HHR ซอง 6s [2,4-Dichlorobenzyl Alcohol 1.2 mg.+Amylmetacresol 0.6 mg.]</x:t>
        </x:is>
      </x:c>
      <x:c r="AB47" t="inlineStr">
        <x:is>
          <x:t xml:space="preserve">BDS003574</x:t>
        </x:is>
      </x:c>
      <x:c r="AC47" t="inlineStr">
        <x:is>
          <x:t xml:space="preserve">1 lozenge dissolve slowly q2–3h PRN</x:t>
        </x:is>
      </x:c>
      <x:c r="AD47" t="inlineStr">
        <x:is>
          <x:t xml:space="preserve">3–5 days</x:t>
        </x:is>
      </x:c>
      <x:c r="AE47" t="inlineStr">
        <x:is>
          <x:t xml:space="preserve">1 sachet (6 lozenges)</x:t>
        </x:is>
      </x:c>
      <x:c r="AF47" t="inlineStr">
        <x:is>
          <x:t xml:space="preserve">local mouth irritation</x:t>
        </x:is>
      </x:c>
      <x:c r="AG47" t="inlineStr">
        <x:is>
          <x:t xml:space="preserve">not for very young children</x:t>
        </x:is>
      </x:c>
      <x:c r="AY47" t="inlineStr">
        <x:is>
          <x:t xml:space="preserve">Difflam Forte Spray [Benzydamine Hydrochloride 3 mg.+Ethanol+Saccharin Sodium+Methyl Hydroxybenzoate+Glycerol+PEG-40 Hydrogenated castor oil/ml.]</x:t>
        </x:is>
      </x:c>
      <x:c r="AZ47" t="inlineStr">
        <x:is>
          <x:t xml:space="preserve">BDS006462</x:t>
        </x:is>
      </x:c>
      <x:c r="BA47" t="inlineStr">
        <x:is>
          <x:t xml:space="preserve">2–4 sprays to throat PRN</x:t>
        </x:is>
      </x:c>
      <x:c r="BB47" t="inlineStr">
        <x:is>
          <x:t xml:space="preserve">5 days</x:t>
        </x:is>
      </x:c>
      <x:c r="BC47" t="inlineStr">
        <x:is>
          <x:t xml:space="preserve">1 bottle (15 mL)</x:t>
        </x:is>
      </x:c>
      <x:c r="BD47" t="inlineStr">
        <x:is>
          <x:t xml:space="preserve">local stinging, numbness</x:t>
        </x:is>
      </x:c>
      <x:c r="BE47" t="inlineStr">
        <x:is>
          <x:t xml:space="preserve">do not swallow large amounts</x:t>
        </x:is>
      </x:c>
      <x:c r="BF47" t="n">
        <x:v>529</x:v>
      </x:c>
      <x:c r="BG47" t="inlineStr">
        <x:is>
          <x:t xml:space="preserve">Tylenol 500 mg strip 10s [Paracetamol 500 mg.]</x:t>
        </x:is>
      </x:c>
      <x:c r="BH47" t="inlineStr">
        <x:is>
          <x:t xml:space="preserve">BDS003762</x:t>
        </x:is>
      </x:c>
      <x:c r="BI47" t="inlineStr">
        <x:is>
          <x:t xml:space="preserve">1–2 tabs PO q4–6h PRN pain</x:t>
        </x:is>
      </x:c>
      <x:c r="BJ47" t="inlineStr">
        <x:is>
          <x:t xml:space="preserve">3 days</x:t>
        </x:is>
      </x:c>
      <x:c r="BK47" t="inlineStr">
        <x:is>
          <x:t xml:space="preserve">1 strip (10 tabs)</x:t>
        </x:is>
      </x:c>
      <x:c r="BL47" t="inlineStr">
        <x:is>
          <x:t xml:space="preserve">nausea, rash</x:t>
        </x:is>
      </x:c>
      <x:c r="BM47" t="inlineStr">
        <x:is>
          <x:t xml:space="preserve">avoid duplicate paracetamol; caution liver disease</x:t>
        </x:is>
      </x:c>
      <x:c r="BN47" t="n">
        <x:v>36</x:v>
      </x:c>
    </x:row>
    <x:row r="48">
      <x:c r="A48" t="inlineStr">
        <x:is>
          <x:t xml:space="preserve">FRM0047</x:t>
        </x:is>
      </x:c>
      <x:c r="B48" t="inlineStr">
        <x:is>
          <x:t xml:space="preserve">gastroenteritis_mild_adult</x:t>
        </x:is>
      </x:c>
      <x:c r="C48" t="inlineStr">
        <x:is>
          <x:t xml:space="preserve">Mild viral gastroenteritis</x:t>
        </x:is>
      </x:c>
      <x:c r="D48" t="inlineStr">
        <x:is>
          <x:t xml:space="preserve">GI</x:t>
        </x:is>
      </x:c>
      <x:c r="E48" t="inlineStr">
        <x:is>
          <x:t xml:space="preserve">adult</x:t>
        </x:is>
      </x:c>
      <x:c r="F48" t="inlineStr">
        <x:is>
          <x:t xml:space="preserve">routine_opd</x:t>
        </x:is>
      </x:c>
      <x:c r="G48" t="inlineStr">
        <x:is>
          <x:t xml:space="preserve">Y</x:t>
        </x:is>
      </x:c>
      <x:c r="H48" t="n">
        <x:v>1</x:v>
      </x:c>
      <x:c r="I48" t="inlineStr">
        <x:is>
          <x:t xml:space="preserve">A09</x:t>
        </x:is>
      </x:c>
      <x:c r="K48" t="inlineStr">
        <x:is>
          <x:t xml:space="preserve">Most likely</x:t>
        </x:is>
      </x:c>
      <x:c r="L48" t="inlineStr">
        <x:is>
          <x:t xml:space="preserve">mild watery diarrhea / GI upset without dysentery</x:t>
        </x:is>
      </x:c>
      <x:c r="M48" t="inlineStr">
        <x:is>
          <x:t xml:space="preserve">mild uncomplicated viral gastroenteritis / loose stool outpatient case</x:t>
        </x:is>
      </x:c>
      <x:c r="N48" t="inlineStr">
        <x:is>
          <x:t xml:space="preserve">bloody stool, severe pain, persistent vomiting, or dehydration</x:t>
        </x:is>
      </x:c>
      <x:c r="O48" t="inlineStr">
        <x:is>
          <x:t xml:space="preserve">N</x:t>
        </x:is>
      </x:c>
      <x:c r="P48" t="inlineStr">
        <x:is>
          <x:t xml:space="preserve">N</x:t>
        </x:is>
      </x:c>
      <x:c r="Q48" t="inlineStr">
        <x:is>
          <x:t xml:space="preserve">Avoid routine antibiotics; Needs in-person eval today if dehydration, bloody stool, severe abdominal pain, or persistent vomiting</x:t>
        </x:is>
      </x:c>
      <x:c r="R48" t="inlineStr">
        <x:is>
          <x:t xml:space="preserve">v3 added</x:t>
        </x:is>
      </x:c>
      <x:c r="S48" t="inlineStr">
        <x:is>
          <x:t xml:space="preserve">Cera ORS รสส้ม [Glucose Anhydrous 3 g.+Sodium Chloride 0.53 g.+Potassium Chloride 0.23 g.+Sodium Citrate Dihydrate 0.44 g.]</x:t>
        </x:is>
      </x:c>
      <x:c r="T48" t="inlineStr">
        <x:is>
          <x:t xml:space="preserve">BDS008282</x:t>
        </x:is>
      </x:c>
      <x:c r="U48" t="inlineStr">
        <x:is>
          <x:t xml:space="preserve">1 sachet in 150 mL water; sip frequently / after each loose stool</x:t>
        </x:is>
      </x:c>
      <x:c r="V48" t="inlineStr">
        <x:is>
          <x:t xml:space="preserve">1–2 days</x:t>
        </x:is>
      </x:c>
      <x:c r="W48" t="inlineStr">
        <x:is>
          <x:t xml:space="preserve">1 box (5 sachets)</x:t>
        </x:is>
      </x:c>
      <x:c r="X48" t="inlineStr">
        <x:is>
          <x:t xml:space="preserve">bloating</x:t>
        </x:is>
      </x:c>
      <x:c r="Y48" t="inlineStr">
        <x:is>
          <x:t xml:space="preserve">mix correctly; small frequent sips</x:t>
        </x:is>
      </x:c>
      <x:c r="Z48" t="n">
        <x:v>76</x:v>
      </x:c>
      <x:c r="AA48" t="inlineStr">
        <x:is>
          <x:t xml:space="preserve">Bioflor [Lyophilized Saccharomyces boulardii 250 mg.]</x:t>
        </x:is>
      </x:c>
      <x:c r="AB48" t="inlineStr">
        <x:is>
          <x:t xml:space="preserve">BDS001248</x:t>
        </x:is>
      </x:c>
      <x:c r="AC48" t="inlineStr">
        <x:is>
          <x:t xml:space="preserve">1 sachet PO BID</x:t>
        </x:is>
      </x:c>
      <x:c r="AD48" t="inlineStr">
        <x:is>
          <x:t xml:space="preserve">3 days</x:t>
        </x:is>
      </x:c>
      <x:c r="AE48" t="inlineStr">
        <x:is>
          <x:t xml:space="preserve">6 sachets</x:t>
        </x:is>
      </x:c>
      <x:c r="AF48" t="inlineStr">
        <x:is>
          <x:t xml:space="preserve">bloating</x:t>
        </x:is>
      </x:c>
      <x:c r="AG48" t="inlineStr">
        <x:is>
          <x:t xml:space="preserve">assess bloody stool/high fever before simple OPD treatment</x:t>
        </x:is>
      </x:c>
      <x:c r="AY48" t="inlineStr">
        <x:is>
          <x:t xml:space="preserve">Dehecta [Dioctahedral Smectite 3 g./20 ml.]</x:t>
        </x:is>
      </x:c>
      <x:c r="AZ48" t="inlineStr">
        <x:is>
          <x:t xml:space="preserve">BDS042304</x:t>
        </x:is>
      </x:c>
      <x:c r="BA48" t="inlineStr">
        <x:is>
          <x:t xml:space="preserve">1 sachet PO TID–QID</x:t>
        </x:is>
      </x:c>
      <x:c r="BB48" t="inlineStr">
        <x:is>
          <x:t xml:space="preserve">2 days</x:t>
        </x:is>
      </x:c>
      <x:c r="BC48" t="inlineStr">
        <x:is>
          <x:t xml:space="preserve">6 sachets</x:t>
        </x:is>
      </x:c>
      <x:c r="BD48" t="inlineStr">
        <x:is>
          <x:t xml:space="preserve">constipation, bloating</x:t>
        </x:is>
      </x:c>
      <x:c r="BE48" t="inlineStr">
        <x:is>
          <x:t xml:space="preserve">separate from other oral meds</x:t>
        </x:is>
      </x:c>
      <x:c r="BG48" t="inlineStr">
        <x:is>
          <x:t xml:space="preserve">Hidrasec 100 mg. [Racecadotril 100 mg.]</x:t>
        </x:is>
      </x:c>
      <x:c r="BH48" t="inlineStr">
        <x:is>
          <x:t xml:space="preserve">BDS043842</x:t>
        </x:is>
      </x:c>
      <x:c r="BI48" t="inlineStr">
        <x:is>
          <x:t xml:space="preserve">1 cap PO q8h</x:t>
        </x:is>
      </x:c>
      <x:c r="BJ48" t="inlineStr">
        <x:is>
          <x:t xml:space="preserve">2–3 days</x:t>
        </x:is>
      </x:c>
      <x:c r="BK48" t="inlineStr">
        <x:is>
          <x:t xml:space="preserve">1 box (10 caps)</x:t>
        </x:is>
      </x:c>
      <x:c r="BL48" t="inlineStr">
        <x:is>
          <x:t xml:space="preserve">nausea</x:t>
        </x:is>
      </x:c>
      <x:c r="BM48" t="inlineStr">
        <x:is>
          <x:t xml:space="preserve">avoid if bloody stool/high fever; assess dehydration</x:t>
        </x:is>
      </x:c>
    </x:row>
    <x:row r="49">
      <x:c r="A49" t="inlineStr">
        <x:is>
          <x:t xml:space="preserve">FRM0048</x:t>
        </x:is>
      </x:c>
      <x:c r="B49" t="inlineStr">
        <x:is>
          <x:t xml:space="preserve">traveler_diarrhea_support_adult</x:t>
        </x:is>
      </x:c>
      <x:c r="C49" t="inlineStr">
        <x:is>
          <x:t xml:space="preserve">Traveler diarrhea support (mild, non-bloody)</x:t>
        </x:is>
      </x:c>
      <x:c r="D49" t="inlineStr">
        <x:is>
          <x:t xml:space="preserve">GI</x:t>
        </x:is>
      </x:c>
      <x:c r="E49" t="inlineStr">
        <x:is>
          <x:t xml:space="preserve">adult</x:t>
        </x:is>
      </x:c>
      <x:c r="F49" t="inlineStr">
        <x:is>
          <x:t xml:space="preserve">routine_opd</x:t>
        </x:is>
      </x:c>
      <x:c r="G49" t="inlineStr">
        <x:is>
          <x:t xml:space="preserve">N</x:t>
        </x:is>
      </x:c>
      <x:c r="H49" t="n">
        <x:v>9</x:v>
      </x:c>
      <x:c r="I49" t="inlineStr">
        <x:is>
          <x:t xml:space="preserve">A09</x:t>
        </x:is>
      </x:c>
      <x:c r="K49" t="inlineStr">
        <x:is>
          <x:t xml:space="preserve">Most likely</x:t>
        </x:is>
      </x:c>
      <x:c r="L49" t="inlineStr">
        <x:is>
          <x:t xml:space="preserve">mild non-bloody diarrhea during travel without red flags</x:t>
        </x:is>
      </x:c>
      <x:c r="M49" t="inlineStr">
        <x:is>
          <x:t xml:space="preserve">supportive outpatient treatment for mild non-bloody traveler diarrhea</x:t>
        </x:is>
      </x:c>
      <x:c r="N49" t="inlineStr">
        <x:is>
          <x:t xml:space="preserve">bloody stool, severe fever, severe pain, or dehydration</x:t>
        </x:is>
      </x:c>
      <x:c r="O49" t="inlineStr">
        <x:is>
          <x:t xml:space="preserve">N</x:t>
        </x:is>
      </x:c>
      <x:c r="P49" t="inlineStr">
        <x:is>
          <x:t xml:space="preserve">N</x:t>
        </x:is>
      </x:c>
      <x:c r="Q49" t="inlineStr">
        <x:is>
          <x:t xml:space="preserve">Avoid routine antibiotics in mild cases; Needs in-person eval today if dehydration, bloody stool, or severe fever/abdominal pain</x:t>
        </x:is>
      </x:c>
      <x:c r="R49" t="inlineStr">
        <x:is>
          <x:t xml:space="preserve">v3 added</x:t>
        </x:is>
      </x:c>
      <x:c r="S49" t="inlineStr">
        <x:is>
          <x:t xml:space="preserve">Cera ORS รสส้ม [Glucose Anhydrous 3 g.+Sodium Chloride 0.53 g.+Potassium Chloride 0.23 g.+Sodium Citrate Dihydrate 0.44 g.]</x:t>
        </x:is>
      </x:c>
      <x:c r="T49" t="inlineStr">
        <x:is>
          <x:t xml:space="preserve">BDS008282</x:t>
        </x:is>
      </x:c>
      <x:c r="U49" t="inlineStr">
        <x:is>
          <x:t xml:space="preserve">1 sachet in 150 mL water; sip frequently / after each loose stool</x:t>
        </x:is>
      </x:c>
      <x:c r="V49" t="inlineStr">
        <x:is>
          <x:t xml:space="preserve">1–2 days</x:t>
        </x:is>
      </x:c>
      <x:c r="W49" t="inlineStr">
        <x:is>
          <x:t xml:space="preserve">1 box (5 sachets)</x:t>
        </x:is>
      </x:c>
      <x:c r="X49" t="inlineStr">
        <x:is>
          <x:t xml:space="preserve">bloating</x:t>
        </x:is>
      </x:c>
      <x:c r="Y49" t="inlineStr">
        <x:is>
          <x:t xml:space="preserve">mix correctly; small frequent sips</x:t>
        </x:is>
      </x:c>
      <x:c r="Z49" t="n">
        <x:v>76</x:v>
      </x:c>
      <x:c r="AA49" t="inlineStr">
        <x:is>
          <x:t xml:space="preserve">Bioflor [Lyophilized Saccharomyces boulardii 250 mg.]</x:t>
        </x:is>
      </x:c>
      <x:c r="AB49" t="inlineStr">
        <x:is>
          <x:t xml:space="preserve">BDS001248</x:t>
        </x:is>
      </x:c>
      <x:c r="AC49" t="inlineStr">
        <x:is>
          <x:t xml:space="preserve">1 sachet PO BID</x:t>
        </x:is>
      </x:c>
      <x:c r="AD49" t="inlineStr">
        <x:is>
          <x:t xml:space="preserve">3 days</x:t>
        </x:is>
      </x:c>
      <x:c r="AE49" t="inlineStr">
        <x:is>
          <x:t xml:space="preserve">6 sachets</x:t>
        </x:is>
      </x:c>
      <x:c r="AF49" t="inlineStr">
        <x:is>
          <x:t xml:space="preserve">bloating</x:t>
        </x:is>
      </x:c>
      <x:c r="AG49" t="inlineStr">
        <x:is>
          <x:t xml:space="preserve">assess bloody stool/high fever before simple OPD treatment</x:t>
        </x:is>
      </x:c>
      <x:c r="AI49" t="inlineStr">
        <x:is>
          <x:t xml:space="preserve">Hidrasec 100 mg. [Racecadotril 100 mg.]</x:t>
        </x:is>
      </x:c>
      <x:c r="AJ49" t="inlineStr">
        <x:is>
          <x:t xml:space="preserve">BDS043842</x:t>
        </x:is>
      </x:c>
      <x:c r="AK49" t="inlineStr">
        <x:is>
          <x:t xml:space="preserve">1 cap PO q8h</x:t>
        </x:is>
      </x:c>
      <x:c r="AL49" t="inlineStr">
        <x:is>
          <x:t xml:space="preserve">2–3 days</x:t>
        </x:is>
      </x:c>
      <x:c r="AM49" t="inlineStr">
        <x:is>
          <x:t xml:space="preserve">1 box (10 caps)</x:t>
        </x:is>
      </x:c>
      <x:c r="AN49" t="inlineStr">
        <x:is>
          <x:t xml:space="preserve">nausea</x:t>
        </x:is>
      </x:c>
      <x:c r="AO49" t="inlineStr">
        <x:is>
          <x:t xml:space="preserve">avoid if bloody stool/high fever; assess dehydration</x:t>
        </x:is>
      </x:c>
      <x:c r="AY49" t="inlineStr">
        <x:is>
          <x:t xml:space="preserve">Dehecta [Dioctahedral Smectite 3 g./20 ml.]</x:t>
        </x:is>
      </x:c>
      <x:c r="AZ49" t="inlineStr">
        <x:is>
          <x:t xml:space="preserve">BDS042304</x:t>
        </x:is>
      </x:c>
      <x:c r="BA49" t="inlineStr">
        <x:is>
          <x:t xml:space="preserve">1 sachet PO TID–QID</x:t>
        </x:is>
      </x:c>
      <x:c r="BB49" t="inlineStr">
        <x:is>
          <x:t xml:space="preserve">2 days</x:t>
        </x:is>
      </x:c>
      <x:c r="BC49" t="inlineStr">
        <x:is>
          <x:t xml:space="preserve">6 sachets</x:t>
        </x:is>
      </x:c>
      <x:c r="BD49" t="inlineStr">
        <x:is>
          <x:t xml:space="preserve">constipation, bloating</x:t>
        </x:is>
      </x:c>
      <x:c r="BE49" t="inlineStr">
        <x:is>
          <x:t xml:space="preserve">separate from other oral meds</x:t>
        </x:is>
      </x:c>
    </x:row>
    <x:row r="50">
      <x:c r="A50" t="inlineStr">
        <x:is>
          <x:t xml:space="preserve">FRM0049</x:t>
        </x:is>
      </x:c>
      <x:c r="B50" t="inlineStr">
        <x:is>
          <x:t xml:space="preserve">functional_bloating_adult</x:t>
        </x:is>
      </x:c>
      <x:c r="C50" t="inlineStr">
        <x:is>
          <x:t xml:space="preserve">Functional bloating / flatulence</x:t>
        </x:is>
      </x:c>
      <x:c r="D50" t="inlineStr">
        <x:is>
          <x:t xml:space="preserve">GI</x:t>
        </x:is>
      </x:c>
      <x:c r="E50" t="inlineStr">
        <x:is>
          <x:t xml:space="preserve">adult</x:t>
        </x:is>
      </x:c>
      <x:c r="F50" t="inlineStr">
        <x:is>
          <x:t xml:space="preserve">routine_opd</x:t>
        </x:is>
      </x:c>
      <x:c r="G50" t="inlineStr">
        <x:is>
          <x:t xml:space="preserve">Y</x:t>
        </x:is>
      </x:c>
      <x:c r="H50" t="n">
        <x:v>1</x:v>
      </x:c>
      <x:c r="I50" t="inlineStr">
        <x:is>
          <x:t xml:space="preserve">R14.0</x:t>
        </x:is>
      </x:c>
      <x:c r="K50" t="inlineStr">
        <x:is>
          <x:t xml:space="preserve">Most likely</x:t>
        </x:is>
      </x:c>
      <x:c r="L50" t="inlineStr">
        <x:is>
          <x:t xml:space="preserve">bloating / gas without severe pain or alarm features</x:t>
        </x:is>
      </x:c>
      <x:c r="M50" t="inlineStr">
        <x:is>
          <x:t xml:space="preserve">simple functional bloating / flatulence outpatient case</x:t>
        </x:is>
      </x:c>
      <x:c r="N50" t="inlineStr">
        <x:is>
          <x:t xml:space="preserve">weight loss, GI bleed, persistent vomiting, or severe localized pain</x:t>
        </x:is>
      </x:c>
      <x:c r="O50" t="inlineStr">
        <x:is>
          <x:t xml:space="preserve">N</x:t>
        </x:is>
      </x:c>
      <x:c r="P50" t="inlineStr">
        <x:is>
          <x:t xml:space="preserve">N</x:t>
        </x:is>
      </x:c>
      <x:c r="Q50" t="inlineStr">
        <x:is>
          <x:t xml:space="preserve">Needs in-person eval today if GI bleed, weight loss, severe persistent pain, or persistent vomiting</x:t>
        </x:is>
      </x:c>
      <x:c r="R50" t="inlineStr">
        <x:is>
          <x:t xml:space="preserve">v3 added</x:t>
        </x:is>
      </x:c>
      <x:c r="S50" t="inlineStr">
        <x:is>
          <x:t xml:space="preserve">Air-X 120 [Simethicone 120 mg.]</x:t>
        </x:is>
      </x:c>
      <x:c r="T50" t="inlineStr">
        <x:is>
          <x:t xml:space="preserve">BDS001079</x:t>
        </x:is>
      </x:c>
      <x:c r="U50" t="inlineStr">
        <x:is>
          <x:t xml:space="preserve">1 chewable tab PO TID–QID</x:t>
        </x:is>
      </x:c>
      <x:c r="V50" t="inlineStr">
        <x:is>
          <x:t xml:space="preserve">3 days</x:t>
        </x:is>
      </x:c>
      <x:c r="W50" t="inlineStr">
        <x:is>
          <x:t xml:space="preserve">1 strip (10 tabs)</x:t>
        </x:is>
      </x:c>
      <x:c r="X50" t="inlineStr">
        <x:is>
          <x:t xml:space="preserve">bloating relief; minimal SE</x:t>
        </x:is>
      </x:c>
      <x:c r="Y50" t="inlineStr">
        <x:is>
          <x:t xml:space="preserve">chew before swallowing</x:t>
        </x:is>
      </x:c>
      <x:c r="AA50" t="inlineStr">
        <x:is>
          <x:t xml:space="preserve">Gogaz [Simethicone 200 mg.]</x:t>
        </x:is>
      </x:c>
      <x:c r="AB50" t="inlineStr">
        <x:is>
          <x:t xml:space="preserve">BDS006054</x:t>
        </x:is>
      </x:c>
      <x:c r="AC50" t="inlineStr">
        <x:is>
          <x:t xml:space="preserve">1 cap PO OD–BID after meals</x:t>
        </x:is>
      </x:c>
      <x:c r="AD50" t="inlineStr">
        <x:is>
          <x:t xml:space="preserve">3 days</x:t>
        </x:is>
      </x:c>
      <x:c r="AE50" t="inlineStr">
        <x:is>
          <x:t xml:space="preserve">1 box (10 caps)</x:t>
        </x:is>
      </x:c>
      <x:c r="AF50" t="inlineStr">
        <x:is>
          <x:t xml:space="preserve">minimal GI SE</x:t>
        </x:is>
      </x:c>
      <x:c r="AG50" t="inlineStr">
        <x:is>
          <x:t xml:space="preserve">after meals / bedtime</x:t>
        </x:is>
      </x:c>
      <x:c r="AY50" t="inlineStr">
        <x:is>
          <x:t xml:space="preserve">Buscopan [Hyoscine-N-butylbromide 10 mg.]</x:t>
        </x:is>
      </x:c>
      <x:c r="AZ50" t="inlineStr">
        <x:is>
          <x:t xml:space="preserve">BDS001283</x:t>
        </x:is>
      </x:c>
      <x:c r="BA50" t="inlineStr">
        <x:is>
          <x:t xml:space="preserve">1 tab PO TID PRN cramp</x:t>
        </x:is>
      </x:c>
      <x:c r="BB50" t="inlineStr">
        <x:is>
          <x:t xml:space="preserve">3 days</x:t>
        </x:is>
      </x:c>
      <x:c r="BC50" t="inlineStr">
        <x:is>
          <x:t xml:space="preserve">1 strip (10 tabs)</x:t>
        </x:is>
      </x:c>
      <x:c r="BD50" t="inlineStr">
        <x:is>
          <x:t xml:space="preserve">dry mouth, dizziness</x:t>
        </x:is>
      </x:c>
      <x:c r="BE50" t="inlineStr">
        <x:is>
          <x:t xml:space="preserve">avoid glaucoma/urinary retention</x:t>
        </x:is>
      </x:c>
    </x:row>
    <x:row r="51">
      <x:c r="A51" t="inlineStr">
        <x:is>
          <x:t xml:space="preserve">FRM0050</x:t>
        </x:is>
      </x:c>
      <x:c r="B51" t="inlineStr">
        <x:is>
          <x:t xml:space="preserve">dyspepsia_gas_adult</x:t>
        </x:is>
      </x:c>
      <x:c r="C51" t="inlineStr">
        <x:is>
          <x:t xml:space="preserve">Dyspeptic gas / post-meal belching</x:t>
        </x:is>
      </x:c>
      <x:c r="D51" t="inlineStr">
        <x:is>
          <x:t xml:space="preserve">GI</x:t>
        </x:is>
      </x:c>
      <x:c r="E51" t="inlineStr">
        <x:is>
          <x:t xml:space="preserve">adult</x:t>
        </x:is>
      </x:c>
      <x:c r="F51" t="inlineStr">
        <x:is>
          <x:t xml:space="preserve">routine_opd</x:t>
        </x:is>
      </x:c>
      <x:c r="G51" t="inlineStr">
        <x:is>
          <x:t xml:space="preserve">Y</x:t>
        </x:is>
      </x:c>
      <x:c r="H51" t="n">
        <x:v>1</x:v>
      </x:c>
      <x:c r="I51" t="inlineStr">
        <x:is>
          <x:t xml:space="preserve">K30</x:t>
        </x:is>
      </x:c>
      <x:c r="K51" t="inlineStr">
        <x:is>
          <x:t xml:space="preserve">Most likely</x:t>
        </x:is>
      </x:c>
      <x:c r="L51" t="inlineStr">
        <x:is>
          <x:t xml:space="preserve">belching / gas after meals without GI bleeding or weight loss</x:t>
        </x:is>
      </x:c>
      <x:c r="M51" t="inlineStr">
        <x:is>
          <x:t xml:space="preserve">post-meal dyspeptic gas / belching pattern without alarm symptoms</x:t>
        </x:is>
      </x:c>
      <x:c r="N51" t="inlineStr">
        <x:is>
          <x:t xml:space="preserve">GI bleed, weight loss, recurrent vomiting, or severe localized abdominal pain</x:t>
        </x:is>
      </x:c>
      <x:c r="O51" t="inlineStr">
        <x:is>
          <x:t xml:space="preserve">N</x:t>
        </x:is>
      </x:c>
      <x:c r="P51" t="inlineStr">
        <x:is>
          <x:t xml:space="preserve">N</x:t>
        </x:is>
      </x:c>
      <x:c r="Q51" t="inlineStr">
        <x:is>
          <x:t xml:space="preserve">Needs in-person eval today if GI bleed, weight loss, severe persistent pain, or persistent vomiting</x:t>
        </x:is>
      </x:c>
      <x:c r="R51" t="inlineStr">
        <x:is>
          <x:t xml:space="preserve">v3 added</x:t>
        </x:is>
      </x:c>
      <x:c r="S51" t="inlineStr">
        <x:is>
          <x:t xml:space="preserve">Gogaz [Simethicone 200 mg.]</x:t>
        </x:is>
      </x:c>
      <x:c r="T51" t="inlineStr">
        <x:is>
          <x:t xml:space="preserve">BDS006054</x:t>
        </x:is>
      </x:c>
      <x:c r="U51" t="inlineStr">
        <x:is>
          <x:t xml:space="preserve">1 cap PO OD–BID after meals</x:t>
        </x:is>
      </x:c>
      <x:c r="V51" t="inlineStr">
        <x:is>
          <x:t xml:space="preserve">3 days</x:t>
        </x:is>
      </x:c>
      <x:c r="W51" t="inlineStr">
        <x:is>
          <x:t xml:space="preserve">1 box (10 caps)</x:t>
        </x:is>
      </x:c>
      <x:c r="X51" t="inlineStr">
        <x:is>
          <x:t xml:space="preserve">minimal GI SE</x:t>
        </x:is>
      </x:c>
      <x:c r="Y51" t="inlineStr">
        <x:is>
          <x:t xml:space="preserve">after meals / bedtime</x:t>
        </x:is>
      </x:c>
      <x:c r="AA51" t="inlineStr">
        <x:is>
          <x:t xml:space="preserve">Air-X 120 [Simethicone 120 mg.]</x:t>
        </x:is>
      </x:c>
      <x:c r="AB51" t="inlineStr">
        <x:is>
          <x:t xml:space="preserve">BDS001079</x:t>
        </x:is>
      </x:c>
      <x:c r="AC51" t="inlineStr">
        <x:is>
          <x:t xml:space="preserve">1 chewable tab PO TID–QID</x:t>
        </x:is>
      </x:c>
      <x:c r="AD51" t="inlineStr">
        <x:is>
          <x:t xml:space="preserve">3 days</x:t>
        </x:is>
      </x:c>
      <x:c r="AE51" t="inlineStr">
        <x:is>
          <x:t xml:space="preserve">1 strip (10 tabs)</x:t>
        </x:is>
      </x:c>
      <x:c r="AF51" t="inlineStr">
        <x:is>
          <x:t xml:space="preserve">bloating relief; minimal SE</x:t>
        </x:is>
      </x:c>
      <x:c r="AG51" t="inlineStr">
        <x:is>
          <x:t xml:space="preserve">chew before swallowing</x:t>
        </x:is>
      </x:c>
      <x:c r="AY51" t="inlineStr">
        <x:is>
          <x:t xml:space="preserve">Buscopan [Hyoscine-N-butylbromide 10 mg.]</x:t>
        </x:is>
      </x:c>
      <x:c r="AZ51" t="inlineStr">
        <x:is>
          <x:t xml:space="preserve">BDS001283</x:t>
        </x:is>
      </x:c>
      <x:c r="BA51" t="inlineStr">
        <x:is>
          <x:t xml:space="preserve">1 tab PO TID PRN cramp</x:t>
        </x:is>
      </x:c>
      <x:c r="BB51" t="inlineStr">
        <x:is>
          <x:t xml:space="preserve">3 days</x:t>
        </x:is>
      </x:c>
      <x:c r="BC51" t="inlineStr">
        <x:is>
          <x:t xml:space="preserve">1 strip (10 tabs)</x:t>
        </x:is>
      </x:c>
      <x:c r="BD51" t="inlineStr">
        <x:is>
          <x:t xml:space="preserve">dry mouth, dizziness</x:t>
        </x:is>
      </x:c>
      <x:c r="BE51" t="inlineStr">
        <x:is>
          <x:t xml:space="preserve">avoid glaucoma/urinary retention</x:t>
        </x:is>
      </x:c>
    </x:row>
    <x:row r="52">
      <x:c r="A52" t="inlineStr">
        <x:is>
          <x:t xml:space="preserve">FRM0051</x:t>
        </x:is>
      </x:c>
      <x:c r="B52" t="inlineStr">
        <x:is>
          <x:t xml:space="preserve">neck_shoulder_strain_adult</x:t>
        </x:is>
      </x:c>
      <x:c r="C52" t="inlineStr">
        <x:is>
          <x:t xml:space="preserve">Neck / shoulder strain</x:t>
        </x:is>
      </x:c>
      <x:c r="D52" t="inlineStr">
        <x:is>
          <x:t xml:space="preserve">Pain</x:t>
        </x:is>
      </x:c>
      <x:c r="E52" t="inlineStr">
        <x:is>
          <x:t xml:space="preserve">adult</x:t>
        </x:is>
      </x:c>
      <x:c r="F52" t="inlineStr">
        <x:is>
          <x:t xml:space="preserve">routine_opd</x:t>
        </x:is>
      </x:c>
      <x:c r="G52" t="inlineStr">
        <x:is>
          <x:t xml:space="preserve">Y</x:t>
        </x:is>
      </x:c>
      <x:c r="H52" t="n">
        <x:v>1</x:v>
      </x:c>
      <x:c r="I52" t="inlineStr">
        <x:is>
          <x:t xml:space="preserve">M54.2</x:t>
        </x:is>
      </x:c>
      <x:c r="K52" t="inlineStr">
        <x:is>
          <x:t xml:space="preserve">Most likely</x:t>
        </x:is>
      </x:c>
      <x:c r="L52" t="inlineStr">
        <x:is>
          <x:t xml:space="preserve">neck-shoulder muscle pain / spasm without trauma red flags</x:t>
        </x:is>
      </x:c>
      <x:c r="M52" t="inlineStr">
        <x:is>
          <x:t xml:space="preserve">simple neck / shoulder strain outpatient case</x:t>
        </x:is>
      </x:c>
      <x:c r="N52" t="inlineStr">
        <x:is>
          <x:t xml:space="preserve">trauma, neuro deficit, meningism, or major weakness</x:t>
        </x:is>
      </x:c>
      <x:c r="O52" t="inlineStr">
        <x:is>
          <x:t xml:space="preserve">N</x:t>
        </x:is>
      </x:c>
      <x:c r="P52" t="inlineStr">
        <x:is>
          <x:t xml:space="preserve">N</x:t>
        </x:is>
      </x:c>
      <x:c r="Q52" t="inlineStr">
        <x:is>
          <x:t xml:space="preserve">Needs in-person eval today if trauma, weakness/numbness, severe headache/neck stiffness, or major swelling</x:t>
        </x:is>
      </x:c>
      <x:c r="R52" t="inlineStr">
        <x:is>
          <x:t xml:space="preserve">v3 added</x:t>
        </x:is>
      </x:c>
      <x:c r="S52" t="inlineStr">
        <x:is>
          <x:t xml:space="preserve">Gofen 400 [Ibuprofen 400 mg.+Polyethylene 400+Porpylene Glycol]</x:t>
        </x:is>
      </x:c>
      <x:c r="T52" t="inlineStr">
        <x:is>
          <x:t xml:space="preserve">BDS002042</x:t>
        </x:is>
      </x:c>
      <x:c r="U52" t="inlineStr">
        <x:is>
          <x:t xml:space="preserve">1 cap PO q4–6h PRN pain</x:t>
        </x:is>
      </x:c>
      <x:c r="V52" t="inlineStr">
        <x:is>
          <x:t xml:space="preserve">3 days</x:t>
        </x:is>
      </x:c>
      <x:c r="W52" t="inlineStr">
        <x:is>
          <x:t xml:space="preserve">1 box (10 caps)</x:t>
        </x:is>
      </x:c>
      <x:c r="X52" t="inlineStr">
        <x:is>
          <x:t xml:space="preserve">GI upset</x:t>
        </x:is>
      </x:c>
      <x:c r="Y52" t="inlineStr">
        <x:is>
          <x:t xml:space="preserve">avoid PUD/GI bleed/CKD; pregnancy 3rd tri</x:t>
        </x:is>
      </x:c>
      <x:c r="Z52" t="n">
        <x:v>177</x:v>
      </x:c>
      <x:c r="AA52" t="inlineStr">
        <x:is>
          <x:t xml:space="preserve">Biocalm [Tolperisone 50 mg.]</x:t>
        </x:is>
      </x:c>
      <x:c r="AB52" t="inlineStr">
        <x:is>
          <x:t xml:space="preserve">BDS001271</x:t>
        </x:is>
      </x:c>
      <x:c r="AC52" t="inlineStr">
        <x:is>
          <x:t xml:space="preserve">1 tab PO TID</x:t>
        </x:is>
      </x:c>
      <x:c r="AD52" t="inlineStr">
        <x:is>
          <x:t xml:space="preserve">3 days</x:t>
        </x:is>
      </x:c>
      <x:c r="AE52" t="inlineStr">
        <x:is>
          <x:t xml:space="preserve">1 strip (10 tabs)</x:t>
        </x:is>
      </x:c>
      <x:c r="AF52" t="inlineStr">
        <x:is>
          <x:t xml:space="preserve">dizziness</x:t>
        </x:is>
      </x:c>
      <x:c r="AG52" t="inlineStr">
        <x:is>
          <x:t xml:space="preserve">may cause drowsiness in some patients</x:t>
        </x:is>
      </x:c>
      <x:c r="AH52" t="n">
        <x:v>80</x:v>
      </x:c>
      <x:c r="AI52" t="inlineStr">
        <x:is>
          <x:t xml:space="preserve">Uniren Spray [Diclofenac Sodium 1 % w/w]</x:t>
        </x:is>
      </x:c>
      <x:c r="AJ52" t="inlineStr">
        <x:is>
          <x:t xml:space="preserve">BDS003914</x:t>
        </x:is>
      </x:c>
      <x:c r="AK52" t="inlineStr">
        <x:is>
          <x:t xml:space="preserve">spray to affected area TID–QID</x:t>
        </x:is>
      </x:c>
      <x:c r="AL52" t="inlineStr">
        <x:is>
          <x:t xml:space="preserve">5 days</x:t>
        </x:is>
      </x:c>
      <x:c r="AM52" t="inlineStr">
        <x:is>
          <x:t xml:space="preserve">1 bottle (60 mL)</x:t>
        </x:is>
      </x:c>
      <x:c r="AN52" t="inlineStr">
        <x:is>
          <x:t xml:space="preserve">local skin irritation</x:t>
        </x:is>
      </x:c>
      <x:c r="AO52" t="inlineStr">
        <x:is>
          <x:t xml:space="preserve">avoid broken skin; NSAID allergy</x:t>
        </x:is>
      </x:c>
      <x:c r="AP52" t="n">
        <x:v>346</x:v>
      </x:c>
      <x:c r="AY52" t="inlineStr">
        <x:is>
          <x:t xml:space="preserve">Perskindol Classic Gel [Menthol 1.5%+Pine Needle Oil 1.35%+Wintergreen Oil 0.35%+Orange Oil 0.4%]</x:t>
        </x:is>
      </x:c>
      <x:c r="AZ52" t="inlineStr">
        <x:is>
          <x:t xml:space="preserve">BDS003118</x:t>
        </x:is>
      </x:c>
      <x:c r="BA52" t="inlineStr">
        <x:is>
          <x:t xml:space="preserve">apply to affected area TID–QID</x:t>
        </x:is>
      </x:c>
      <x:c r="BB52" t="inlineStr">
        <x:is>
          <x:t xml:space="preserve">5 days</x:t>
        </x:is>
      </x:c>
      <x:c r="BC52" t="inlineStr">
        <x:is>
          <x:t xml:space="preserve">1 tube (100 mL)</x:t>
        </x:is>
      </x:c>
      <x:c r="BD52" t="inlineStr">
        <x:is>
          <x:t xml:space="preserve">local irritation</x:t>
        </x:is>
      </x:c>
      <x:c r="BE52" t="inlineStr">
        <x:is>
          <x:t xml:space="preserve">avoid broken skin</x:t>
        </x:is>
      </x:c>
      <x:c r="BG52" t="inlineStr">
        <x:is>
          <x:t xml:space="preserve">Tylenol 500 mg strip 10s [Paracetamol 500 mg.]</x:t>
        </x:is>
      </x:c>
      <x:c r="BH52" t="inlineStr">
        <x:is>
          <x:t xml:space="preserve">BDS003762</x:t>
        </x:is>
      </x:c>
      <x:c r="BI52" t="inlineStr">
        <x:is>
          <x:t xml:space="preserve">1–2 tabs PO q4–6h PRN pain</x:t>
        </x:is>
      </x:c>
      <x:c r="BJ52" t="inlineStr">
        <x:is>
          <x:t xml:space="preserve">3 days</x:t>
        </x:is>
      </x:c>
      <x:c r="BK52" t="inlineStr">
        <x:is>
          <x:t xml:space="preserve">1 strip (10 tabs)</x:t>
        </x:is>
      </x:c>
      <x:c r="BL52" t="inlineStr">
        <x:is>
          <x:t xml:space="preserve">nausea, rash</x:t>
        </x:is>
      </x:c>
      <x:c r="BM52" t="inlineStr">
        <x:is>
          <x:t xml:space="preserve">avoid duplicate paracetamol; caution liver disease</x:t>
        </x:is>
      </x:c>
      <x:c r="BN52" t="n">
        <x:v>36</x:v>
      </x:c>
    </x:row>
    <x:row r="53">
      <x:c r="A53" t="inlineStr">
        <x:is>
          <x:t xml:space="preserve">FRM0052</x:t>
        </x:is>
      </x:c>
      <x:c r="B53" t="inlineStr">
        <x:is>
          <x:t xml:space="preserve">low_back_pain_simple_adult</x:t>
        </x:is>
      </x:c>
      <x:c r="C53" t="inlineStr">
        <x:is>
          <x:t xml:space="preserve">Simple low back pain</x:t>
        </x:is>
      </x:c>
      <x:c r="D53" t="inlineStr">
        <x:is>
          <x:t xml:space="preserve">Pain</x:t>
        </x:is>
      </x:c>
      <x:c r="E53" t="inlineStr">
        <x:is>
          <x:t xml:space="preserve">adult</x:t>
        </x:is>
      </x:c>
      <x:c r="F53" t="inlineStr">
        <x:is>
          <x:t xml:space="preserve">routine_opd</x:t>
        </x:is>
      </x:c>
      <x:c r="G53" t="inlineStr">
        <x:is>
          <x:t xml:space="preserve">Y</x:t>
        </x:is>
      </x:c>
      <x:c r="H53" t="n">
        <x:v>1</x:v>
      </x:c>
      <x:c r="I53" t="inlineStr">
        <x:is>
          <x:t xml:space="preserve">M54.5</x:t>
        </x:is>
      </x:c>
      <x:c r="K53" t="inlineStr">
        <x:is>
          <x:t xml:space="preserve">Most likely</x:t>
        </x:is>
      </x:c>
      <x:c r="L53" t="inlineStr">
        <x:is>
          <x:t xml:space="preserve">mechanical low back pain without neurologic red flags</x:t>
        </x:is>
      </x:c>
      <x:c r="M53" t="inlineStr">
        <x:is>
          <x:t xml:space="preserve">simple non-traumatic low back pain outpatient case</x:t>
        </x:is>
      </x:c>
      <x:c r="N53" t="inlineStr">
        <x:is>
          <x:t xml:space="preserve">cauda equina symptoms, trauma, fever, or progressive neuro deficit</x:t>
        </x:is>
      </x:c>
      <x:c r="O53" t="inlineStr">
        <x:is>
          <x:t xml:space="preserve">N</x:t>
        </x:is>
      </x:c>
      <x:c r="P53" t="inlineStr">
        <x:is>
          <x:t xml:space="preserve">N</x:t>
        </x:is>
      </x:c>
      <x:c r="Q53" t="inlineStr">
        <x:is>
          <x:t xml:space="preserve">Needs in-person eval today if urinary retention/incontinence, saddle anesthesia, trauma, fever, or weakness/numbness</x:t>
        </x:is>
      </x:c>
      <x:c r="R53" t="inlineStr">
        <x:is>
          <x:t xml:space="preserve">v3 added</x:t>
        </x:is>
      </x:c>
      <x:c r="S53" t="inlineStr">
        <x:is>
          <x:t xml:space="preserve">Gofen 400 [Ibuprofen 400 mg.+Polyethylene 400+Porpylene Glycol]</x:t>
        </x:is>
      </x:c>
      <x:c r="T53" t="inlineStr">
        <x:is>
          <x:t xml:space="preserve">BDS002042</x:t>
        </x:is>
      </x:c>
      <x:c r="U53" t="inlineStr">
        <x:is>
          <x:t xml:space="preserve">1 cap PO q4–6h PRN pain</x:t>
        </x:is>
      </x:c>
      <x:c r="V53" t="inlineStr">
        <x:is>
          <x:t xml:space="preserve">3 days</x:t>
        </x:is>
      </x:c>
      <x:c r="W53" t="inlineStr">
        <x:is>
          <x:t xml:space="preserve">1 box (10 caps)</x:t>
        </x:is>
      </x:c>
      <x:c r="X53" t="inlineStr">
        <x:is>
          <x:t xml:space="preserve">GI upset</x:t>
        </x:is>
      </x:c>
      <x:c r="Y53" t="inlineStr">
        <x:is>
          <x:t xml:space="preserve">avoid PUD/GI bleed/CKD; pregnancy 3rd tri</x:t>
        </x:is>
      </x:c>
      <x:c r="Z53" t="n">
        <x:v>177</x:v>
      </x:c>
      <x:c r="AA53" t="inlineStr">
        <x:is>
          <x:t xml:space="preserve">Biocalm [Tolperisone 50 mg.]</x:t>
        </x:is>
      </x:c>
      <x:c r="AB53" t="inlineStr">
        <x:is>
          <x:t xml:space="preserve">BDS001271</x:t>
        </x:is>
      </x:c>
      <x:c r="AC53" t="inlineStr">
        <x:is>
          <x:t xml:space="preserve">1 tab PO TID</x:t>
        </x:is>
      </x:c>
      <x:c r="AD53" t="inlineStr">
        <x:is>
          <x:t xml:space="preserve">3 days</x:t>
        </x:is>
      </x:c>
      <x:c r="AE53" t="inlineStr">
        <x:is>
          <x:t xml:space="preserve">1 strip (10 tabs)</x:t>
        </x:is>
      </x:c>
      <x:c r="AF53" t="inlineStr">
        <x:is>
          <x:t xml:space="preserve">dizziness</x:t>
        </x:is>
      </x:c>
      <x:c r="AG53" t="inlineStr">
        <x:is>
          <x:t xml:space="preserve">may cause drowsiness in some patients</x:t>
        </x:is>
      </x:c>
      <x:c r="AH53" t="n">
        <x:v>80</x:v>
      </x:c>
      <x:c r="AI53" t="inlineStr">
        <x:is>
          <x:t xml:space="preserve">Uniren Spray [Diclofenac Sodium 1 % w/w]</x:t>
        </x:is>
      </x:c>
      <x:c r="AJ53" t="inlineStr">
        <x:is>
          <x:t xml:space="preserve">BDS003914</x:t>
        </x:is>
      </x:c>
      <x:c r="AK53" t="inlineStr">
        <x:is>
          <x:t xml:space="preserve">spray to affected area TID–QID</x:t>
        </x:is>
      </x:c>
      <x:c r="AL53" t="inlineStr">
        <x:is>
          <x:t xml:space="preserve">5 days</x:t>
        </x:is>
      </x:c>
      <x:c r="AM53" t="inlineStr">
        <x:is>
          <x:t xml:space="preserve">1 bottle (60 mL)</x:t>
        </x:is>
      </x:c>
      <x:c r="AN53" t="inlineStr">
        <x:is>
          <x:t xml:space="preserve">local skin irritation</x:t>
        </x:is>
      </x:c>
      <x:c r="AO53" t="inlineStr">
        <x:is>
          <x:t xml:space="preserve">avoid broken skin; NSAID allergy</x:t>
        </x:is>
      </x:c>
      <x:c r="AP53" t="n">
        <x:v>346</x:v>
      </x:c>
      <x:c r="AY53" t="inlineStr">
        <x:is>
          <x:t xml:space="preserve">Synflex [Naproxen sodium 275 mg.]</x:t>
        </x:is>
      </x:c>
      <x:c r="AZ53" t="inlineStr">
        <x:is>
          <x:t xml:space="preserve">BDS003568</x:t>
        </x:is>
      </x:c>
      <x:c r="BA53" t="inlineStr">
        <x:is>
          <x:t xml:space="preserve">1 tab PO BID after food</x:t>
        </x:is>
      </x:c>
      <x:c r="BB53" t="inlineStr">
        <x:is>
          <x:t xml:space="preserve">3 days</x:t>
        </x:is>
      </x:c>
      <x:c r="BC53" t="inlineStr">
        <x:is>
          <x:t xml:space="preserve">1 strip (6 tabs)</x:t>
        </x:is>
      </x:c>
      <x:c r="BD53" t="inlineStr">
        <x:is>
          <x:t xml:space="preserve">GI upset</x:t>
        </x:is>
      </x:c>
      <x:c r="BE53" t="inlineStr">
        <x:is>
          <x:t xml:space="preserve">avoid PUD/GI bleed/CKD; take after food</x:t>
        </x:is>
      </x:c>
      <x:c r="BG53" t="inlineStr">
        <x:is>
          <x:t xml:space="preserve">Tylenol 500 mg strip 10s [Paracetamol 500 mg.]</x:t>
        </x:is>
      </x:c>
      <x:c r="BH53" t="inlineStr">
        <x:is>
          <x:t xml:space="preserve">BDS003762</x:t>
        </x:is>
      </x:c>
      <x:c r="BI53" t="inlineStr">
        <x:is>
          <x:t xml:space="preserve">1–2 tabs PO q4–6h PRN pain</x:t>
        </x:is>
      </x:c>
      <x:c r="BJ53" t="inlineStr">
        <x:is>
          <x:t xml:space="preserve">3 days</x:t>
        </x:is>
      </x:c>
      <x:c r="BK53" t="inlineStr">
        <x:is>
          <x:t xml:space="preserve">1 strip (10 tabs)</x:t>
        </x:is>
      </x:c>
      <x:c r="BL53" t="inlineStr">
        <x:is>
          <x:t xml:space="preserve">nausea, rash</x:t>
        </x:is>
      </x:c>
      <x:c r="BM53" t="inlineStr">
        <x:is>
          <x:t xml:space="preserve">avoid duplicate paracetamol; caution liver disease</x:t>
        </x:is>
      </x:c>
      <x:c r="BN53" t="n">
        <x:v>36</x:v>
      </x:c>
    </x:row>
    <x:row r="54">
      <x:c r="A54" t="inlineStr">
        <x:is>
          <x:t xml:space="preserve">FRM0053</x:t>
        </x:is>
      </x:c>
      <x:c r="B54" t="inlineStr">
        <x:is>
          <x:t xml:space="preserve">sprain_strain_mild_adult</x:t>
        </x:is>
      </x:c>
      <x:c r="C54" t="inlineStr">
        <x:is>
          <x:t xml:space="preserve">Mild sprain / strain</x:t>
        </x:is>
      </x:c>
      <x:c r="D54" t="inlineStr">
        <x:is>
          <x:t xml:space="preserve">Pain</x:t>
        </x:is>
      </x:c>
      <x:c r="E54" t="inlineStr">
        <x:is>
          <x:t xml:space="preserve">adult</x:t>
        </x:is>
      </x:c>
      <x:c r="F54" t="inlineStr">
        <x:is>
          <x:t xml:space="preserve">routine_opd</x:t>
        </x:is>
      </x:c>
      <x:c r="G54" t="inlineStr">
        <x:is>
          <x:t xml:space="preserve">Y</x:t>
        </x:is>
      </x:c>
      <x:c r="H54" t="n">
        <x:v>1</x:v>
      </x:c>
      <x:c r="I54" t="inlineStr">
        <x:is>
          <x:t xml:space="preserve">T14.8</x:t>
        </x:is>
      </x:c>
      <x:c r="K54" t="inlineStr">
        <x:is>
          <x:t xml:space="preserve">Most likely</x:t>
        </x:is>
      </x:c>
      <x:c r="L54" t="inlineStr">
        <x:is>
          <x:t xml:space="preserve">minor soft tissue sprain/strain without fracture red flags</x:t>
        </x:is>
      </x:c>
      <x:c r="M54" t="inlineStr">
        <x:is>
          <x:t xml:space="preserve">minor sprain / strain outpatient case without major trauma</x:t>
        </x:is>
      </x:c>
      <x:c r="N54" t="inlineStr">
        <x:is>
          <x:t xml:space="preserve">deformity, inability to bear weight, or suspected fracture</x:t>
        </x:is>
      </x:c>
      <x:c r="O54" t="inlineStr">
        <x:is>
          <x:t xml:space="preserve">N</x:t>
        </x:is>
      </x:c>
      <x:c r="P54" t="inlineStr">
        <x:is>
          <x:t xml:space="preserve">N</x:t>
        </x:is>
      </x:c>
      <x:c r="Q54" t="inlineStr">
        <x:is>
          <x:t xml:space="preserve">Needs in-person eval today if deformity, inability to bear weight, severe swelling, or suspected fracture</x:t>
        </x:is>
      </x:c>
      <x:c r="R54" t="inlineStr">
        <x:is>
          <x:t xml:space="preserve">v3 added</x:t>
        </x:is>
      </x:c>
      <x:c r="S54" t="inlineStr">
        <x:is>
          <x:t xml:space="preserve">Gofen 400 [Ibuprofen 400 mg.+Polyethylene 400+Porpylene Glycol]</x:t>
        </x:is>
      </x:c>
      <x:c r="T54" t="inlineStr">
        <x:is>
          <x:t xml:space="preserve">BDS002042</x:t>
        </x:is>
      </x:c>
      <x:c r="U54" t="inlineStr">
        <x:is>
          <x:t xml:space="preserve">1 cap PO q4–6h PRN pain</x:t>
        </x:is>
      </x:c>
      <x:c r="V54" t="inlineStr">
        <x:is>
          <x:t xml:space="preserve">3 days</x:t>
        </x:is>
      </x:c>
      <x:c r="W54" t="inlineStr">
        <x:is>
          <x:t xml:space="preserve">1 box (10 caps)</x:t>
        </x:is>
      </x:c>
      <x:c r="X54" t="inlineStr">
        <x:is>
          <x:t xml:space="preserve">GI upset</x:t>
        </x:is>
      </x:c>
      <x:c r="Y54" t="inlineStr">
        <x:is>
          <x:t xml:space="preserve">avoid PUD/GI bleed/CKD; pregnancy 3rd tri</x:t>
        </x:is>
      </x:c>
      <x:c r="Z54" t="n">
        <x:v>177</x:v>
      </x:c>
      <x:c r="AA54" t="inlineStr">
        <x:is>
          <x:t xml:space="preserve">Uniren Spray [Diclofenac Sodium 1 % w/w]</x:t>
        </x:is>
      </x:c>
      <x:c r="AB54" t="inlineStr">
        <x:is>
          <x:t xml:space="preserve">BDS003914</x:t>
        </x:is>
      </x:c>
      <x:c r="AC54" t="inlineStr">
        <x:is>
          <x:t xml:space="preserve">spray to affected area TID–QID</x:t>
        </x:is>
      </x:c>
      <x:c r="AD54" t="inlineStr">
        <x:is>
          <x:t xml:space="preserve">5 days</x:t>
        </x:is>
      </x:c>
      <x:c r="AE54" t="inlineStr">
        <x:is>
          <x:t xml:space="preserve">1 bottle (60 mL)</x:t>
        </x:is>
      </x:c>
      <x:c r="AF54" t="inlineStr">
        <x:is>
          <x:t xml:space="preserve">local skin irritation</x:t>
        </x:is>
      </x:c>
      <x:c r="AG54" t="inlineStr">
        <x:is>
          <x:t xml:space="preserve">avoid broken skin; NSAID allergy</x:t>
        </x:is>
      </x:c>
      <x:c r="AH54" t="n">
        <x:v>346</x:v>
      </x:c>
      <x:c r="AY54" t="inlineStr">
        <x:is>
          <x:t xml:space="preserve">Arcoxia 60 mg [Etoricoxib 60 mg.]</x:t>
        </x:is>
      </x:c>
      <x:c r="AZ54" t="inlineStr">
        <x:is>
          <x:t xml:space="preserve">BDS001078</x:t>
        </x:is>
      </x:c>
      <x:c r="BA54" t="inlineStr">
        <x:is>
          <x:t xml:space="preserve">1 tab PO OD after food</x:t>
        </x:is>
      </x:c>
      <x:c r="BB54" t="inlineStr">
        <x:is>
          <x:t xml:space="preserve">3 days</x:t>
        </x:is>
      </x:c>
      <x:c r="BC54" t="inlineStr">
        <x:is>
          <x:t xml:space="preserve">1 strip (5 tabs)</x:t>
        </x:is>
      </x:c>
      <x:c r="BD54" t="inlineStr">
        <x:is>
          <x:t xml:space="preserve">GI upset, edema</x:t>
        </x:is>
      </x:c>
      <x:c r="BE54" t="inlineStr">
        <x:is>
          <x:t xml:space="preserve">avoid PUD/GI bleed/CKD; CV risk</x:t>
        </x:is>
      </x:c>
      <x:c r="BG54" t="inlineStr">
        <x:is>
          <x:t xml:space="preserve">Perskindol Classic Gel [Menthol 1.5%+Pine Needle Oil 1.35%+Wintergreen Oil 0.35%+Orange Oil 0.4%]</x:t>
        </x:is>
      </x:c>
      <x:c r="BH54" t="inlineStr">
        <x:is>
          <x:t xml:space="preserve">BDS003118</x:t>
        </x:is>
      </x:c>
      <x:c r="BI54" t="inlineStr">
        <x:is>
          <x:t xml:space="preserve">apply to affected area TID–QID</x:t>
        </x:is>
      </x:c>
      <x:c r="BJ54" t="inlineStr">
        <x:is>
          <x:t xml:space="preserve">5 days</x:t>
        </x:is>
      </x:c>
      <x:c r="BK54" t="inlineStr">
        <x:is>
          <x:t xml:space="preserve">1 tube (100 mL)</x:t>
        </x:is>
      </x:c>
      <x:c r="BL54" t="inlineStr">
        <x:is>
          <x:t xml:space="preserve">local irritation</x:t>
        </x:is>
      </x:c>
      <x:c r="BM54" t="inlineStr">
        <x:is>
          <x:t xml:space="preserve">avoid broken skin</x:t>
        </x:is>
      </x:c>
    </x:row>
    <x:row r="55">
      <x:c r="A55" t="inlineStr">
        <x:is>
          <x:t xml:space="preserve">FRM0054</x:t>
        </x:is>
      </x:c>
      <x:c r="B55" t="inlineStr">
        <x:is>
          <x:t xml:space="preserve">knee_joint_pain_adult</x:t>
        </x:is>
      </x:c>
      <x:c r="C55" t="inlineStr">
        <x:is>
          <x:t xml:space="preserve">Knee / localized joint pain</x:t>
        </x:is>
      </x:c>
      <x:c r="D55" t="inlineStr">
        <x:is>
          <x:t xml:space="preserve">Pain</x:t>
        </x:is>
      </x:c>
      <x:c r="E55" t="inlineStr">
        <x:is>
          <x:t xml:space="preserve">adult</x:t>
        </x:is>
      </x:c>
      <x:c r="F55" t="inlineStr">
        <x:is>
          <x:t xml:space="preserve">routine_opd</x:t>
        </x:is>
      </x:c>
      <x:c r="G55" t="inlineStr">
        <x:is>
          <x:t xml:space="preserve">Y</x:t>
        </x:is>
      </x:c>
      <x:c r="H55" t="n">
        <x:v>1</x:v>
      </x:c>
      <x:c r="I55" t="inlineStr">
        <x:is>
          <x:t xml:space="preserve">M25.56</x:t>
        </x:is>
      </x:c>
      <x:c r="K55" t="inlineStr">
        <x:is>
          <x:t xml:space="preserve">Most likely</x:t>
        </x:is>
      </x:c>
      <x:c r="L55" t="inlineStr">
        <x:is>
          <x:t xml:space="preserve">localized joint pain without hot swollen joint or trauma red flags</x:t>
        </x:is>
      </x:c>
      <x:c r="M55" t="inlineStr">
        <x:is>
          <x:t xml:space="preserve">mild localized knee/joint pain outpatient case</x:t>
        </x:is>
      </x:c>
      <x:c r="N55" t="inlineStr">
        <x:is>
          <x:t xml:space="preserve">red hot joint, large effusion, fever, or major trauma</x:t>
        </x:is>
      </x:c>
      <x:c r="O55" t="inlineStr">
        <x:is>
          <x:t xml:space="preserve">N</x:t>
        </x:is>
      </x:c>
      <x:c r="P55" t="inlineStr">
        <x:is>
          <x:t xml:space="preserve">N</x:t>
        </x:is>
      </x:c>
      <x:c r="Q55" t="inlineStr">
        <x:is>
          <x:t xml:space="preserve">Needs in-person eval today if red hot joint, major swelling, trauma, or inability to bear weight</x:t>
        </x:is>
      </x:c>
      <x:c r="R55" t="inlineStr">
        <x:is>
          <x:t xml:space="preserve">v3 added</x:t>
        </x:is>
      </x:c>
      <x:c r="S55" t="inlineStr">
        <x:is>
          <x:t xml:space="preserve">Arcoxia 60 mg [Etoricoxib 60 mg.]</x:t>
        </x:is>
      </x:c>
      <x:c r="T55" t="inlineStr">
        <x:is>
          <x:t xml:space="preserve">BDS001078</x:t>
        </x:is>
      </x:c>
      <x:c r="U55" t="inlineStr">
        <x:is>
          <x:t xml:space="preserve">1 tab PO OD after food</x:t>
        </x:is>
      </x:c>
      <x:c r="V55" t="inlineStr">
        <x:is>
          <x:t xml:space="preserve">3 days</x:t>
        </x:is>
      </x:c>
      <x:c r="W55" t="inlineStr">
        <x:is>
          <x:t xml:space="preserve">1 strip (5 tabs)</x:t>
        </x:is>
      </x:c>
      <x:c r="X55" t="inlineStr">
        <x:is>
          <x:t xml:space="preserve">GI upset, edema</x:t>
        </x:is>
      </x:c>
      <x:c r="Y55" t="inlineStr">
        <x:is>
          <x:t xml:space="preserve">avoid PUD/GI bleed/CKD; CV risk</x:t>
        </x:is>
      </x:c>
      <x:c r="AA55" t="inlineStr">
        <x:is>
          <x:t xml:space="preserve">Uniren Spray [Diclofenac Sodium 1 % w/w]</x:t>
        </x:is>
      </x:c>
      <x:c r="AB55" t="inlineStr">
        <x:is>
          <x:t xml:space="preserve">BDS003914</x:t>
        </x:is>
      </x:c>
      <x:c r="AC55" t="inlineStr">
        <x:is>
          <x:t xml:space="preserve">spray to affected area TID–QID</x:t>
        </x:is>
      </x:c>
      <x:c r="AD55" t="inlineStr">
        <x:is>
          <x:t xml:space="preserve">5 days</x:t>
        </x:is>
      </x:c>
      <x:c r="AE55" t="inlineStr">
        <x:is>
          <x:t xml:space="preserve">1 bottle (60 mL)</x:t>
        </x:is>
      </x:c>
      <x:c r="AF55" t="inlineStr">
        <x:is>
          <x:t xml:space="preserve">local skin irritation</x:t>
        </x:is>
      </x:c>
      <x:c r="AG55" t="inlineStr">
        <x:is>
          <x:t xml:space="preserve">avoid broken skin; NSAID allergy</x:t>
        </x:is>
      </x:c>
      <x:c r="AH55" t="n">
        <x:v>346</x:v>
      </x:c>
      <x:c r="AY55" t="inlineStr">
        <x:is>
          <x:t xml:space="preserve">Celebrex 200 mg [Celecoxib 200 mg.]</x:t>
        </x:is>
      </x:c>
      <x:c r="AZ55" t="inlineStr">
        <x:is>
          <x:t xml:space="preserve">BDS001509</x:t>
        </x:is>
      </x:c>
      <x:c r="BA55" t="inlineStr">
        <x:is>
          <x:t xml:space="preserve">1 cap PO BID after food</x:t>
        </x:is>
      </x:c>
      <x:c r="BB55" t="inlineStr">
        <x:is>
          <x:t xml:space="preserve">3 days</x:t>
        </x:is>
      </x:c>
      <x:c r="BC55" t="inlineStr">
        <x:is>
          <x:t xml:space="preserve">1 box (10 caps)</x:t>
        </x:is>
      </x:c>
      <x:c r="BD55" t="inlineStr">
        <x:is>
          <x:t xml:space="preserve">GI upset, edema</x:t>
        </x:is>
      </x:c>
      <x:c r="BE55" t="inlineStr">
        <x:is>
          <x:t xml:space="preserve">CV risk; sulfa allergy caution; avoid late pregnancy</x:t>
        </x:is>
      </x:c>
      <x:c r="BG55" t="inlineStr">
        <x:is>
          <x:t xml:space="preserve">Tylenol 500 mg strip 10s [Paracetamol 500 mg.]</x:t>
        </x:is>
      </x:c>
      <x:c r="BH55" t="inlineStr">
        <x:is>
          <x:t xml:space="preserve">BDS003762</x:t>
        </x:is>
      </x:c>
      <x:c r="BI55" t="inlineStr">
        <x:is>
          <x:t xml:space="preserve">1–2 tabs PO q4–6h PRN pain</x:t>
        </x:is>
      </x:c>
      <x:c r="BJ55" t="inlineStr">
        <x:is>
          <x:t xml:space="preserve">3 days</x:t>
        </x:is>
      </x:c>
      <x:c r="BK55" t="inlineStr">
        <x:is>
          <x:t xml:space="preserve">1 strip (10 tabs)</x:t>
        </x:is>
      </x:c>
      <x:c r="BL55" t="inlineStr">
        <x:is>
          <x:t xml:space="preserve">nausea, rash</x:t>
        </x:is>
      </x:c>
      <x:c r="BM55" t="inlineStr">
        <x:is>
          <x:t xml:space="preserve">avoid duplicate paracetamol; caution liver disease</x:t>
        </x:is>
      </x:c>
      <x:c r="BN55" t="n">
        <x:v>36</x:v>
      </x:c>
    </x:row>
    <x:row r="56">
      <x:c r="A56" t="inlineStr">
        <x:is>
          <x:t xml:space="preserve">FRM0055</x:t>
        </x:is>
      </x:c>
      <x:c r="B56" t="inlineStr">
        <x:is>
          <x:t xml:space="preserve">contact_dermatitis_adult</x:t>
        </x:is>
      </x:c>
      <x:c r="C56" t="inlineStr">
        <x:is>
          <x:t xml:space="preserve">Contact dermatitis / irritant rash</x:t>
        </x:is>
      </x:c>
      <x:c r="D56" t="inlineStr">
        <x:is>
          <x:t xml:space="preserve">Skin</x:t>
        </x:is>
      </x:c>
      <x:c r="E56" t="inlineStr">
        <x:is>
          <x:t xml:space="preserve">adult</x:t>
        </x:is>
      </x:c>
      <x:c r="F56" t="inlineStr">
        <x:is>
          <x:t xml:space="preserve">routine_opd</x:t>
        </x:is>
      </x:c>
      <x:c r="G56" t="inlineStr">
        <x:is>
          <x:t xml:space="preserve">Y</x:t>
        </x:is>
      </x:c>
      <x:c r="H56" t="n">
        <x:v>1</x:v>
      </x:c>
      <x:c r="I56" t="inlineStr">
        <x:is>
          <x:t xml:space="preserve">L25.9</x:t>
        </x:is>
      </x:c>
      <x:c r="K56" t="inlineStr">
        <x:is>
          <x:t xml:space="preserve">Most likely</x:t>
        </x:is>
      </x:c>
      <x:c r="L56" t="inlineStr">
        <x:is>
          <x:t xml:space="preserve">itchy inflamed rash after contact exposure / irritant pattern</x:t>
        </x:is>
      </x:c>
      <x:c r="M56" t="inlineStr">
        <x:is>
          <x:t xml:space="preserve">contact/irritant dermatitis without infection or severe skin red flags</x:t>
        </x:is>
      </x:c>
      <x:c r="N56" t="inlineStr">
        <x:is>
          <x:t xml:space="preserve">blistering, mucosal lesions, or facial swelling</x:t>
        </x:is>
      </x:c>
      <x:c r="O56" t="inlineStr">
        <x:is>
          <x:t xml:space="preserve">N</x:t>
        </x:is>
      </x:c>
      <x:c r="P56" t="inlineStr">
        <x:is>
          <x:t xml:space="preserve">N</x:t>
        </x:is>
      </x:c>
      <x:c r="Q56" t="inlineStr">
        <x:is>
          <x:t xml:space="preserve">Needs in-person eval today if facial swelling, blistering, mucosal lesions, or rapidly spreading painful rash</x:t>
        </x:is>
      </x:c>
      <x:c r="R56" t="inlineStr">
        <x:is>
          <x:t xml:space="preserve">v3 added</x:t>
        </x:is>
      </x:c>
      <x:c r="S56" t="inlineStr">
        <x:is>
          <x:t xml:space="preserve">Zyrtec [Cetirizine dihydrochloride 10 mg.]</x:t>
        </x:is>
      </x:c>
      <x:c r="T56" t="inlineStr">
        <x:is>
          <x:t xml:space="preserve">BDS004213</x:t>
        </x:is>
      </x:c>
      <x:c r="U56" t="inlineStr">
        <x:is>
          <x:t xml:space="preserve">1 tab PO OD</x:t>
        </x:is>
      </x:c>
      <x:c r="V56" t="inlineStr">
        <x:is>
          <x:t xml:space="preserve">5 days</x:t>
        </x:is>
      </x:c>
      <x:c r="W56" t="inlineStr">
        <x:is>
          <x:t xml:space="preserve">1 box (10 tabs)</x:t>
        </x:is>
      </x:c>
      <x:c r="X56" t="inlineStr">
        <x:is>
          <x:t xml:space="preserve">drowsy, dry mouth</x:t>
        </x:is>
      </x:c>
      <x:c r="Y56" t="inlineStr">
        <x:is>
          <x:t xml:space="preserve">caution driving if sleepy</x:t>
        </x:is>
      </x:c>
      <x:c r="Z56" t="n">
        <x:v>216</x:v>
      </x:c>
      <x:c r="AA56" t="inlineStr">
        <x:is>
          <x:t xml:space="preserve">Aristocort 0.02% [Triamcinolone Acetonide 0.02%]</x:t>
        </x:is>
      </x:c>
      <x:c r="AB56" t="inlineStr">
        <x:is>
          <x:t xml:space="preserve">BDS001057</x:t>
        </x:is>
      </x:c>
      <x:c r="AC56" t="inlineStr">
        <x:is>
          <x:t xml:space="preserve">apply thinly BID–TID</x:t>
        </x:is>
      </x:c>
      <x:c r="AD56" t="inlineStr">
        <x:is>
          <x:t xml:space="preserve">5 days</x:t>
        </x:is>
      </x:c>
      <x:c r="AE56" t="inlineStr">
        <x:is>
          <x:t xml:space="preserve">1 tube (15 g)</x:t>
        </x:is>
      </x:c>
      <x:c r="AF56" t="inlineStr">
        <x:is>
          <x:t xml:space="preserve">local irritation</x:t>
        </x:is>
      </x:c>
      <x:c r="AG56" t="inlineStr">
        <x:is>
          <x:t xml:space="preserve">short course; avoid face/folds/open wound</x:t>
        </x:is>
      </x:c>
      <x:c r="AI56" t="inlineStr">
        <x:is>
          <x:t xml:space="preserve">Diabederm Urea Cream 10% [10% Urea]</x:t>
        </x:is>
      </x:c>
      <x:c r="AJ56" t="inlineStr">
        <x:is>
          <x:t xml:space="preserve">BDS001682</x:t>
        </x:is>
      </x:c>
      <x:c r="AK56" t="inlineStr">
        <x:is>
          <x:t xml:space="preserve">apply to dry/irritated skin BID–TID</x:t>
        </x:is>
      </x:c>
      <x:c r="AL56" t="inlineStr">
        <x:is>
          <x:t xml:space="preserve">7 days</x:t>
        </x:is>
      </x:c>
      <x:c r="AM56" t="inlineStr">
        <x:is>
          <x:t xml:space="preserve">1 tube (35 g)</x:t>
        </x:is>
      </x:c>
      <x:c r="AN56" t="inlineStr">
        <x:is>
          <x:t xml:space="preserve">local irritation</x:t>
        </x:is>
      </x:c>
      <x:c r="AO56" t="inlineStr">
        <x:is>
          <x:t xml:space="preserve">avoid open wound</x:t>
        </x:is>
      </x:c>
      <x:c r="AY56" t="inlineStr">
        <x:is>
          <x:t xml:space="preserve">Antergan Cream [Hydrocortisone Acetate 5 mg+Mepyramine Maleate 20 mg/1 g]</x:t>
        </x:is>
      </x:c>
      <x:c r="AZ56" t="inlineStr">
        <x:is>
          <x:t xml:space="preserve">BDS006745</x:t>
        </x:is>
      </x:c>
      <x:c r="BA56" t="inlineStr">
        <x:is>
          <x:t xml:space="preserve">apply thinly BID–TID to itchy areas</x:t>
        </x:is>
      </x:c>
      <x:c r="BB56" t="inlineStr">
        <x:is>
          <x:t xml:space="preserve">5 days</x:t>
        </x:is>
      </x:c>
      <x:c r="BC56" t="inlineStr">
        <x:is>
          <x:t xml:space="preserve">1 tube (10 g)</x:t>
        </x:is>
      </x:c>
      <x:c r="BD56" t="inlineStr">
        <x:is>
          <x:t xml:space="preserve">local irritation</x:t>
        </x:is>
      </x:c>
      <x:c r="BE56" t="inlineStr">
        <x:is>
          <x:t xml:space="preserve">avoid face/eye/open wound</x:t>
        </x:is>
      </x:c>
      <x:c r="BG56" t="inlineStr">
        <x:is>
          <x:t xml:space="preserve">Telfast 180 mg [Fexofenadine HCl 180 mg.]</x:t>
        </x:is>
      </x:c>
      <x:c r="BH56" t="inlineStr">
        <x:is>
          <x:t xml:space="preserve">BDS003747</x:t>
        </x:is>
      </x:c>
      <x:c r="BI56" t="inlineStr">
        <x:is>
          <x:t xml:space="preserve">1 tab PO OD</x:t>
        </x:is>
      </x:c>
      <x:c r="BJ56" t="inlineStr">
        <x:is>
          <x:t xml:space="preserve">5 days</x:t>
        </x:is>
      </x:c>
      <x:c r="BK56" t="inlineStr">
        <x:is>
          <x:t xml:space="preserve">1 box (10 tabs)</x:t>
        </x:is>
      </x:c>
      <x:c r="BL56" t="inlineStr">
        <x:is>
          <x:t xml:space="preserve">headache, dry mouth</x:t>
        </x:is>
      </x:c>
      <x:c r="BM56" t="inlineStr">
        <x:is>
          <x:t xml:space="preserve">avoid taking with fruit juice close to dose</x:t>
        </x:is>
      </x:c>
      <x:c r="BN56" t="n">
        <x:v>500</x:v>
      </x:c>
    </x:row>
    <x:row r="57">
      <x:c r="A57" t="inlineStr">
        <x:is>
          <x:t xml:space="preserve">FRM0056</x:t>
        </x:is>
      </x:c>
      <x:c r="B57" t="inlineStr">
        <x:is>
          <x:t xml:space="preserve">urticaria_mild_adult</x:t>
        </x:is>
      </x:c>
      <x:c r="C57" t="inlineStr">
        <x:is>
          <x:t xml:space="preserve">Mild urticaria / hives</x:t>
        </x:is>
      </x:c>
      <x:c r="D57" t="inlineStr">
        <x:is>
          <x:t xml:space="preserve">Skin</x:t>
        </x:is>
      </x:c>
      <x:c r="E57" t="inlineStr">
        <x:is>
          <x:t xml:space="preserve">adult</x:t>
        </x:is>
      </x:c>
      <x:c r="F57" t="inlineStr">
        <x:is>
          <x:t xml:space="preserve">routine_opd</x:t>
        </x:is>
      </x:c>
      <x:c r="G57" t="inlineStr">
        <x:is>
          <x:t xml:space="preserve">Y</x:t>
        </x:is>
      </x:c>
      <x:c r="H57" t="n">
        <x:v>1</x:v>
      </x:c>
      <x:c r="I57" t="inlineStr">
        <x:is>
          <x:t xml:space="preserve">L50.9</x:t>
        </x:is>
      </x:c>
      <x:c r="K57" t="inlineStr">
        <x:is>
          <x:t xml:space="preserve">Most likely</x:t>
        </x:is>
      </x:c>
      <x:c r="L57" t="inlineStr">
        <x:is>
          <x:t xml:space="preserve">itchy transient wheals / hives without airway compromise</x:t>
        </x:is>
      </x:c>
      <x:c r="M57" t="inlineStr">
        <x:is>
          <x:t xml:space="preserve">mild urticaria/hives outpatient case without anaphylaxis red flags</x:t>
        </x:is>
      </x:c>
      <x:c r="N57" t="inlineStr">
        <x:is>
          <x:t xml:space="preserve">facial swelling, dyspnea, hypotension, or mucosal involvement</x:t>
        </x:is>
      </x:c>
      <x:c r="O57" t="inlineStr">
        <x:is>
          <x:t xml:space="preserve">N</x:t>
        </x:is>
      </x:c>
      <x:c r="P57" t="inlineStr">
        <x:is>
          <x:t xml:space="preserve">N</x:t>
        </x:is>
      </x:c>
      <x:c r="Q57" t="inlineStr">
        <x:is>
          <x:t xml:space="preserve">Needs in-person eval today if dyspnea, lip/tongue swelling, dizziness, or widespread worsening reaction</x:t>
        </x:is>
      </x:c>
      <x:c r="R57" t="inlineStr">
        <x:is>
          <x:t xml:space="preserve">v3 added</x:t>
        </x:is>
      </x:c>
      <x:c r="S57" t="inlineStr">
        <x:is>
          <x:t xml:space="preserve">Zyrtec [Cetirizine dihydrochloride 10 mg.]</x:t>
        </x:is>
      </x:c>
      <x:c r="T57" t="inlineStr">
        <x:is>
          <x:t xml:space="preserve">BDS004213</x:t>
        </x:is>
      </x:c>
      <x:c r="U57" t="inlineStr">
        <x:is>
          <x:t xml:space="preserve">1 tab PO OD</x:t>
        </x:is>
      </x:c>
      <x:c r="V57" t="inlineStr">
        <x:is>
          <x:t xml:space="preserve">5 days</x:t>
        </x:is>
      </x:c>
      <x:c r="W57" t="inlineStr">
        <x:is>
          <x:t xml:space="preserve">1 box (10 tabs)</x:t>
        </x:is>
      </x:c>
      <x:c r="X57" t="inlineStr">
        <x:is>
          <x:t xml:space="preserve">drowsy, dry mouth</x:t>
        </x:is>
      </x:c>
      <x:c r="Y57" t="inlineStr">
        <x:is>
          <x:t xml:space="preserve">caution driving if sleepy</x:t>
        </x:is>
      </x:c>
      <x:c r="Z57" t="n">
        <x:v>216</x:v>
      </x:c>
      <x:c r="AA57" t="inlineStr">
        <x:is>
          <x:t xml:space="preserve">Antergan Cream [Hydrocortisone Acetate 5 mg+Mepyramine Maleate 20 mg/1 g]</x:t>
        </x:is>
      </x:c>
      <x:c r="AB57" t="inlineStr">
        <x:is>
          <x:t xml:space="preserve">BDS006745</x:t>
        </x:is>
      </x:c>
      <x:c r="AC57" t="inlineStr">
        <x:is>
          <x:t xml:space="preserve">apply thinly BID–TID to itchy areas</x:t>
        </x:is>
      </x:c>
      <x:c r="AD57" t="inlineStr">
        <x:is>
          <x:t xml:space="preserve">3–5 days</x:t>
        </x:is>
      </x:c>
      <x:c r="AE57" t="inlineStr">
        <x:is>
          <x:t xml:space="preserve">1 tube (10 g)</x:t>
        </x:is>
      </x:c>
      <x:c r="AF57" t="inlineStr">
        <x:is>
          <x:t xml:space="preserve">local irritation</x:t>
        </x:is>
      </x:c>
      <x:c r="AG57" t="inlineStr">
        <x:is>
          <x:t xml:space="preserve">avoid face/eye/open wound</x:t>
        </x:is>
      </x:c>
      <x:c r="AY57" t="inlineStr">
        <x:is>
          <x:t xml:space="preserve">Telfast 180 mg [Fexofenadine HCl 180 mg.]</x:t>
        </x:is>
      </x:c>
      <x:c r="AZ57" t="inlineStr">
        <x:is>
          <x:t xml:space="preserve">BDS003747</x:t>
        </x:is>
      </x:c>
      <x:c r="BA57" t="inlineStr">
        <x:is>
          <x:t xml:space="preserve">1 tab PO OD</x:t>
        </x:is>
      </x:c>
      <x:c r="BB57" t="inlineStr">
        <x:is>
          <x:t xml:space="preserve">5 days</x:t>
        </x:is>
      </x:c>
      <x:c r="BC57" t="inlineStr">
        <x:is>
          <x:t xml:space="preserve">1 box (10 tabs)</x:t>
        </x:is>
      </x:c>
      <x:c r="BD57" t="inlineStr">
        <x:is>
          <x:t xml:space="preserve">headache, dry mouth</x:t>
        </x:is>
      </x:c>
      <x:c r="BE57" t="inlineStr">
        <x:is>
          <x:t xml:space="preserve">avoid taking with fruit juice close to dose</x:t>
        </x:is>
      </x:c>
      <x:c r="BF57" t="n">
        <x:v>500</x:v>
      </x:c>
      <x:c r="BG57" t="inlineStr">
        <x:is>
          <x:t xml:space="preserve">Aristocort 0.02% [Triamcinolone Acetonide 0.02%]</x:t>
        </x:is>
      </x:c>
      <x:c r="BH57" t="inlineStr">
        <x:is>
          <x:t xml:space="preserve">BDS001057</x:t>
        </x:is>
      </x:c>
      <x:c r="BI57" t="inlineStr">
        <x:is>
          <x:t xml:space="preserve">apply thinly BID–TID</x:t>
        </x:is>
      </x:c>
      <x:c r="BJ57" t="inlineStr">
        <x:is>
          <x:t xml:space="preserve">3–5 days</x:t>
        </x:is>
      </x:c>
      <x:c r="BK57" t="inlineStr">
        <x:is>
          <x:t xml:space="preserve">1 tube (15 g)</x:t>
        </x:is>
      </x:c>
      <x:c r="BL57" t="inlineStr">
        <x:is>
          <x:t xml:space="preserve">local irritation</x:t>
        </x:is>
      </x:c>
      <x:c r="BM57" t="inlineStr">
        <x:is>
          <x:t xml:space="preserve">short course; avoid face/folds/open wound</x:t>
        </x:is>
      </x:c>
    </x:row>
    <x:row r="58">
      <x:c r="A58" t="inlineStr">
        <x:is>
          <x:t xml:space="preserve">FRM0057</x:t>
        </x:is>
      </x:c>
      <x:c r="B58" t="inlineStr">
        <x:is>
          <x:t xml:space="preserve">pruritus_localized_adult</x:t>
        </x:is>
      </x:c>
      <x:c r="C58" t="inlineStr">
        <x:is>
          <x:t xml:space="preserve">Localized pruritus</x:t>
        </x:is>
      </x:c>
      <x:c r="D58" t="inlineStr">
        <x:is>
          <x:t xml:space="preserve">Skin</x:t>
        </x:is>
      </x:c>
      <x:c r="E58" t="inlineStr">
        <x:is>
          <x:t xml:space="preserve">adult</x:t>
        </x:is>
      </x:c>
      <x:c r="F58" t="inlineStr">
        <x:is>
          <x:t xml:space="preserve">routine_opd</x:t>
        </x:is>
      </x:c>
      <x:c r="G58" t="inlineStr">
        <x:is>
          <x:t xml:space="preserve">Y</x:t>
        </x:is>
      </x:c>
      <x:c r="H58" t="n">
        <x:v>1</x:v>
      </x:c>
      <x:c r="I58" t="inlineStr">
        <x:is>
          <x:t xml:space="preserve">L29.9</x:t>
        </x:is>
      </x:c>
      <x:c r="K58" t="inlineStr">
        <x:is>
          <x:t xml:space="preserve">Most likely</x:t>
        </x:is>
      </x:c>
      <x:c r="L58" t="inlineStr">
        <x:is>
          <x:t xml:space="preserve">localized itch without major rash or systemic red flags</x:t>
        </x:is>
      </x:c>
      <x:c r="M58" t="inlineStr">
        <x:is>
          <x:t xml:space="preserve">localized itch outpatient case when a more specific cause is not obvious</x:t>
        </x:is>
      </x:c>
      <x:c r="N58" t="inlineStr">
        <x:is>
          <x:t xml:space="preserve">blistering, infection, or generalized/systemic itch pattern</x:t>
        </x:is>
      </x:c>
      <x:c r="O58" t="inlineStr">
        <x:is>
          <x:t xml:space="preserve">N</x:t>
        </x:is>
      </x:c>
      <x:c r="P58" t="inlineStr">
        <x:is>
          <x:t xml:space="preserve">N</x:t>
        </x:is>
      </x:c>
      <x:c r="Q58" t="inlineStr">
        <x:is>
          <x:t xml:space="preserve">Needs in-person eval today if infected skin, blistering, facial swelling, or generalized severe rash</x:t>
        </x:is>
      </x:c>
      <x:c r="R58" t="inlineStr">
        <x:is>
          <x:t xml:space="preserve">v3 added</x:t>
        </x:is>
      </x:c>
      <x:c r="S58" t="inlineStr">
        <x:is>
          <x:t xml:space="preserve">Zyrtec [Cetirizine dihydrochloride 10 mg.]</x:t>
        </x:is>
      </x:c>
      <x:c r="T58" t="inlineStr">
        <x:is>
          <x:t xml:space="preserve">BDS004213</x:t>
        </x:is>
      </x:c>
      <x:c r="U58" t="inlineStr">
        <x:is>
          <x:t xml:space="preserve">1 tab PO OD</x:t>
        </x:is>
      </x:c>
      <x:c r="V58" t="inlineStr">
        <x:is>
          <x:t xml:space="preserve">5 days</x:t>
        </x:is>
      </x:c>
      <x:c r="W58" t="inlineStr">
        <x:is>
          <x:t xml:space="preserve">1 box (10 tabs)</x:t>
        </x:is>
      </x:c>
      <x:c r="X58" t="inlineStr">
        <x:is>
          <x:t xml:space="preserve">drowsy, dry mouth</x:t>
        </x:is>
      </x:c>
      <x:c r="Y58" t="inlineStr">
        <x:is>
          <x:t xml:space="preserve">caution driving if sleepy</x:t>
        </x:is>
      </x:c>
      <x:c r="Z58" t="n">
        <x:v>216</x:v>
      </x:c>
      <x:c r="AA58" t="inlineStr">
        <x:is>
          <x:t xml:space="preserve">Antergan Cream [Hydrocortisone Acetate 5 mg+Mepyramine Maleate 20 mg/1 g]</x:t>
        </x:is>
      </x:c>
      <x:c r="AB58" t="inlineStr">
        <x:is>
          <x:t xml:space="preserve">BDS006745</x:t>
        </x:is>
      </x:c>
      <x:c r="AC58" t="inlineStr">
        <x:is>
          <x:t xml:space="preserve">apply thinly BID–TID to itchy areas</x:t>
        </x:is>
      </x:c>
      <x:c r="AD58" t="inlineStr">
        <x:is>
          <x:t xml:space="preserve">5 days</x:t>
        </x:is>
      </x:c>
      <x:c r="AE58" t="inlineStr">
        <x:is>
          <x:t xml:space="preserve">1 tube (10 g)</x:t>
        </x:is>
      </x:c>
      <x:c r="AF58" t="inlineStr">
        <x:is>
          <x:t xml:space="preserve">local irritation</x:t>
        </x:is>
      </x:c>
      <x:c r="AG58" t="inlineStr">
        <x:is>
          <x:t xml:space="preserve">avoid face/eye/open wound</x:t>
        </x:is>
      </x:c>
      <x:c r="AY58" t="inlineStr">
        <x:is>
          <x:t xml:space="preserve">Aristocort 0.02% [Triamcinolone Acetonide 0.02%]</x:t>
        </x:is>
      </x:c>
      <x:c r="AZ58" t="inlineStr">
        <x:is>
          <x:t xml:space="preserve">BDS001057</x:t>
        </x:is>
      </x:c>
      <x:c r="BA58" t="inlineStr">
        <x:is>
          <x:t xml:space="preserve">apply thinly BID–TID</x:t>
        </x:is>
      </x:c>
      <x:c r="BB58" t="inlineStr">
        <x:is>
          <x:t xml:space="preserve">5 days</x:t>
        </x:is>
      </x:c>
      <x:c r="BC58" t="inlineStr">
        <x:is>
          <x:t xml:space="preserve">1 tube (15 g)</x:t>
        </x:is>
      </x:c>
      <x:c r="BD58" t="inlineStr">
        <x:is>
          <x:t xml:space="preserve">local irritation</x:t>
        </x:is>
      </x:c>
      <x:c r="BE58" t="inlineStr">
        <x:is>
          <x:t xml:space="preserve">short course; avoid face/folds/open wound</x:t>
        </x:is>
      </x:c>
    </x:row>
    <x:row r="59">
      <x:c r="A59" t="inlineStr">
        <x:is>
          <x:t xml:space="preserve">FRM0058</x:t>
        </x:is>
      </x:c>
      <x:c r="B59" t="inlineStr">
        <x:is>
          <x:t xml:space="preserve">tinea_corporis_localized_adult</x:t>
        </x:is>
      </x:c>
      <x:c r="C59" t="inlineStr">
        <x:is>
          <x:t xml:space="preserve">Localized tinea corporis / fungal rash</x:t>
        </x:is>
      </x:c>
      <x:c r="D59" t="inlineStr">
        <x:is>
          <x:t xml:space="preserve">Skin</x:t>
        </x:is>
      </x:c>
      <x:c r="E59" t="inlineStr">
        <x:is>
          <x:t xml:space="preserve">adult</x:t>
        </x:is>
      </x:c>
      <x:c r="F59" t="inlineStr">
        <x:is>
          <x:t xml:space="preserve">routine_opd</x:t>
        </x:is>
      </x:c>
      <x:c r="G59" t="inlineStr">
        <x:is>
          <x:t xml:space="preserve">Y</x:t>
        </x:is>
      </x:c>
      <x:c r="H59" t="n">
        <x:v>1</x:v>
      </x:c>
      <x:c r="I59" t="inlineStr">
        <x:is>
          <x:t xml:space="preserve">B35.4</x:t>
        </x:is>
      </x:c>
      <x:c r="K59" t="inlineStr">
        <x:is>
          <x:t xml:space="preserve">Most likely</x:t>
        </x:is>
      </x:c>
      <x:c r="L59" t="inlineStr">
        <x:is>
          <x:t xml:space="preserve">scaly annular or fungal-type localized itchy rash</x:t>
        </x:is>
      </x:c>
      <x:c r="M59" t="inlineStr">
        <x:is>
          <x:t xml:space="preserve">localized tinea-type rash outpatient case</x:t>
        </x:is>
      </x:c>
      <x:c r="N59" t="inlineStr">
        <x:is>
          <x:t xml:space="preserve">face/genitals/extensive disease or secondary infection</x:t>
        </x:is>
      </x:c>
      <x:c r="O59" t="inlineStr">
        <x:is>
          <x:t xml:space="preserve">N</x:t>
        </x:is>
      </x:c>
      <x:c r="P59" t="inlineStr">
        <x:is>
          <x:t xml:space="preserve">N</x:t>
        </x:is>
      </x:c>
      <x:c r="Q59" t="inlineStr">
        <x:is>
          <x:t xml:space="preserve">Needs in-person eval today if facial/genital involvement, extensive spread, pus, or severe inflammation</x:t>
        </x:is>
      </x:c>
      <x:c r="R59" t="inlineStr">
        <x:is>
          <x:t xml:space="preserve">v3 added</x:t>
        </x:is>
      </x:c>
      <x:c r="S59" t="inlineStr">
        <x:is>
          <x:t xml:space="preserve">Canasone C.B. Cream [Clotrimazole 1%+Betamethasone Dipropionate (eq. to Betamethasone 0.1%) w/w]</x:t>
        </x:is>
      </x:c>
      <x:c r="T59" t="inlineStr">
        <x:is>
          <x:t xml:space="preserve">BDS001491</x:t>
        </x:is>
      </x:c>
      <x:c r="U59" t="inlineStr">
        <x:is>
          <x:t xml:space="preserve">apply thinly BID</x:t>
        </x:is>
      </x:c>
      <x:c r="V59" t="inlineStr">
        <x:is>
          <x:t xml:space="preserve">7–14 days</x:t>
        </x:is>
      </x:c>
      <x:c r="W59" t="inlineStr">
        <x:is>
          <x:t xml:space="preserve">1 tube (15 g)</x:t>
        </x:is>
      </x:c>
      <x:c r="X59" t="inlineStr">
        <x:is>
          <x:t xml:space="preserve">local irritation</x:t>
        </x:is>
      </x:c>
      <x:c r="Y59" t="inlineStr">
        <x:is>
          <x:t xml:space="preserve">steroid-containing antifungal combo; use short course</x:t>
        </x:is>
      </x:c>
      <x:c r="AY59" t="inlineStr">
        <x:is>
          <x:t xml:space="preserve">Zyrtec [Cetirizine dihydrochloride 10 mg.]</x:t>
        </x:is>
      </x:c>
      <x:c r="AZ59" t="inlineStr">
        <x:is>
          <x:t xml:space="preserve">BDS004213</x:t>
        </x:is>
      </x:c>
      <x:c r="BA59" t="inlineStr">
        <x:is>
          <x:t xml:space="preserve">1 tab PO OD if itchy</x:t>
        </x:is>
      </x:c>
      <x:c r="BB59" t="inlineStr">
        <x:is>
          <x:t xml:space="preserve">5 days</x:t>
        </x:is>
      </x:c>
      <x:c r="BC59" t="inlineStr">
        <x:is>
          <x:t xml:space="preserve">1 box (10 tabs)</x:t>
        </x:is>
      </x:c>
      <x:c r="BD59" t="inlineStr">
        <x:is>
          <x:t xml:space="preserve">drowsy, dry mouth</x:t>
        </x:is>
      </x:c>
      <x:c r="BE59" t="inlineStr">
        <x:is>
          <x:t xml:space="preserve">caution driving if sleepy</x:t>
        </x:is>
      </x:c>
      <x:c r="BF59" t="n">
        <x:v>216</x:v>
      </x:c>
    </x:row>
    <x:row r="60">
      <x:c r="A60" t="inlineStr">
        <x:is>
          <x:t xml:space="preserve">FRM0059</x:t>
        </x:is>
      </x:c>
      <x:c r="B60" t="inlineStr">
        <x:is>
          <x:t xml:space="preserve">impetigo_localized_adult</x:t>
        </x:is>
      </x:c>
      <x:c r="C60" t="inlineStr">
        <x:is>
          <x:t xml:space="preserve">Localized impetigo (topical-first)</x:t>
        </x:is>
      </x:c>
      <x:c r="D60" t="inlineStr">
        <x:is>
          <x:t xml:space="preserve">Skin</x:t>
        </x:is>
      </x:c>
      <x:c r="E60" t="inlineStr">
        <x:is>
          <x:t xml:space="preserve">adult</x:t>
        </x:is>
      </x:c>
      <x:c r="F60" t="inlineStr">
        <x:is>
          <x:t xml:space="preserve">routine_opd</x:t>
        </x:is>
      </x:c>
      <x:c r="G60" t="inlineStr">
        <x:is>
          <x:t xml:space="preserve">Y</x:t>
        </x:is>
      </x:c>
      <x:c r="H60" t="n">
        <x:v>1</x:v>
      </x:c>
      <x:c r="I60" t="inlineStr">
        <x:is>
          <x:t xml:space="preserve">L01.0</x:t>
        </x:is>
      </x:c>
      <x:c r="K60" t="inlineStr">
        <x:is>
          <x:t xml:space="preserve">Most likely</x:t>
        </x:is>
      </x:c>
      <x:c r="L60" t="inlineStr">
        <x:is>
          <x:t xml:space="preserve">small localized superficial bacterial lesion without systemic illness</x:t>
        </x:is>
      </x:c>
      <x:c r="M60" t="inlineStr">
        <x:is>
          <x:t xml:space="preserve">small localized superficial bacterial skin lesion / impetigo-type case</x:t>
        </x:is>
      </x:c>
      <x:c r="N60" t="inlineStr">
        <x:is>
          <x:t xml:space="preserve">spreading cellulitis, fever, abscess, or facial/periorbital involvement</x:t>
        </x:is>
      </x:c>
      <x:c r="O60" t="inlineStr">
        <x:is>
          <x:t xml:space="preserve">N</x:t>
        </x:is>
      </x:c>
      <x:c r="P60" t="inlineStr">
        <x:is>
          <x:t xml:space="preserve">N</x:t>
        </x:is>
      </x:c>
      <x:c r="Q60" t="inlineStr">
        <x:is>
          <x:t xml:space="preserve">Needs in-person eval today if rapidly spreading redness, fever, facial involvement, or abscess</x:t>
        </x:is>
      </x:c>
      <x:c r="R60" t="inlineStr">
        <x:is>
          <x:t xml:space="preserve">v5 clarified localized/topical-first impetigo row</x:t>
        </x:is>
      </x:c>
      <x:c r="S60" t="inlineStr">
        <x:is>
          <x:t xml:space="preserve">Garamycin Cream [Gentamicin 1 mg./1 g.]</x:t>
        </x:is>
      </x:c>
      <x:c r="T60" t="inlineStr">
        <x:is>
          <x:t xml:space="preserve">BDS002003</x:t>
        </x:is>
      </x:c>
      <x:c r="U60" t="inlineStr">
        <x:is>
          <x:t xml:space="preserve">apply thinly TID–QID to lesion</x:t>
        </x:is>
      </x:c>
      <x:c r="V60" t="inlineStr">
        <x:is>
          <x:t xml:space="preserve">5 days</x:t>
        </x:is>
      </x:c>
      <x:c r="W60" t="inlineStr">
        <x:is>
          <x:t xml:space="preserve">1 tube (5 g)</x:t>
        </x:is>
      </x:c>
      <x:c r="X60" t="inlineStr">
        <x:is>
          <x:t xml:space="preserve">local irritation</x:t>
        </x:is>
      </x:c>
      <x:c r="Y60" t="inlineStr">
        <x:is>
          <x:t xml:space="preserve">localized lesions only</x:t>
        </x:is>
      </x:c>
      <x:c r="AA60" t="inlineStr">
        <x:is>
          <x:t xml:space="preserve">Betadine Solution 15 ml [Povidone-Iodine USP 10 % w/v]</x:t>
        </x:is>
      </x:c>
      <x:c r="AB60" t="inlineStr">
        <x:is>
          <x:t xml:space="preserve">BDS001238</x:t>
        </x:is>
      </x:c>
      <x:c r="AC60" t="inlineStr">
        <x:is>
          <x:t xml:space="preserve">clean around lesion TOP BID</x:t>
        </x:is>
      </x:c>
      <x:c r="AD60" t="inlineStr">
        <x:is>
          <x:t xml:space="preserve">5 days</x:t>
        </x:is>
      </x:c>
      <x:c r="AE60" t="inlineStr">
        <x:is>
          <x:t xml:space="preserve">1 bottle (15 mL)</x:t>
        </x:is>
      </x:c>
      <x:c r="AF60" t="inlineStr">
        <x:is>
          <x:t xml:space="preserve">local irritation</x:t>
        </x:is>
      </x:c>
      <x:c r="AG60" t="inlineStr">
        <x:is>
          <x:t xml:space="preserve">avoid deep wounds / iodine allergy</x:t>
        </x:is>
      </x:c>
      <x:c r="AY60" t="inlineStr">
        <x:is>
          <x:t xml:space="preserve">Ibiamox 500 mg [Amoxicillin 500 mg.]</x:t>
        </x:is>
      </x:c>
      <x:c r="AZ60" t="inlineStr">
        <x:is>
          <x:t xml:space="preserve">BDS002201</x:t>
        </x:is>
      </x:c>
      <x:c r="BA60" t="inlineStr">
        <x:is>
          <x:t xml:space="preserve">1 cap PO TID</x:t>
        </x:is>
      </x:c>
      <x:c r="BB60" t="inlineStr">
        <x:is>
          <x:t xml:space="preserve">5 days</x:t>
        </x:is>
      </x:c>
      <x:c r="BC60" t="inlineStr">
        <x:is>
          <x:t xml:space="preserve">1 strip (10 caps)</x:t>
        </x:is>
      </x:c>
      <x:c r="BD60" t="inlineStr">
        <x:is>
          <x:t xml:space="preserve">GI upset, rash</x:t>
        </x:is>
      </x:c>
      <x:c r="BE60" t="inlineStr">
        <x:is>
          <x:t xml:space="preserve">penicillin allergy; use only when oral antibiotic is truly indicated</x:t>
        </x:is>
      </x:c>
      <x:c r="BF60" t="n">
        <x:v>110</x:v>
      </x:c>
    </x:row>
    <x:row r="61">
      <x:c r="A61" t="inlineStr">
        <x:is>
          <x:t xml:space="preserve">FRM0060</x:t>
        </x:is>
      </x:c>
      <x:c r="B61" t="inlineStr">
        <x:is>
          <x:t xml:space="preserve">minor_wound_care_adult</x:t>
        </x:is>
      </x:c>
      <x:c r="C61" t="inlineStr">
        <x:is>
          <x:t xml:space="preserve">Minor wound care support</x:t>
        </x:is>
      </x:c>
      <x:c r="D61" t="inlineStr">
        <x:is>
          <x:t xml:space="preserve">Skin</x:t>
        </x:is>
      </x:c>
      <x:c r="E61" t="inlineStr">
        <x:is>
          <x:t xml:space="preserve">adult</x:t>
        </x:is>
      </x:c>
      <x:c r="F61" t="inlineStr">
        <x:is>
          <x:t xml:space="preserve">routine_opd</x:t>
        </x:is>
      </x:c>
      <x:c r="G61" t="inlineStr">
        <x:is>
          <x:t xml:space="preserve">N</x:t>
        </x:is>
      </x:c>
      <x:c r="H61" t="n">
        <x:v>9</x:v>
      </x:c>
      <x:c r="I61" t="inlineStr">
        <x:is>
          <x:t xml:space="preserve">Z51.89</x:t>
        </x:is>
      </x:c>
      <x:c r="K61" t="inlineStr">
        <x:is>
          <x:t xml:space="preserve">Most likely</x:t>
        </x:is>
      </x:c>
      <x:c r="L61" t="inlineStr">
        <x:is>
          <x:t xml:space="preserve">minor superficial wound / abrasion needing simple local care</x:t>
        </x:is>
      </x:c>
      <x:c r="M61" t="inlineStr">
        <x:is>
          <x:t xml:space="preserve">minor abrasion/wound support without deep tissue injury or infection</x:t>
        </x:is>
      </x:c>
      <x:c r="N61" t="inlineStr">
        <x:is>
          <x:t xml:space="preserve">deep wound, animal bite, heavy contamination, or spreading infection</x:t>
        </x:is>
      </x:c>
      <x:c r="O61" t="inlineStr">
        <x:is>
          <x:t xml:space="preserve">N</x:t>
        </x:is>
      </x:c>
      <x:c r="P61" t="inlineStr">
        <x:is>
          <x:t xml:space="preserve">N</x:t>
        </x:is>
      </x:c>
      <x:c r="Q61" t="inlineStr">
        <x:is>
          <x:t xml:space="preserve">Needs in-person eval today if deep wound, bite, spreading redness, fever, or tetanus concern</x:t>
        </x:is>
      </x:c>
      <x:c r="R61" t="inlineStr">
        <x:is>
          <x:t xml:space="preserve">v5 compressed overlap; abrasion/cut rows preferred</x:t>
        </x:is>
      </x:c>
      <x:c r="S61" t="inlineStr">
        <x:is>
          <x:t xml:space="preserve">Betadine Solution 15 ml [Povidone-Iodine USP 10 % w/v]</x:t>
        </x:is>
      </x:c>
      <x:c r="T61" t="inlineStr">
        <x:is>
          <x:t xml:space="preserve">BDS001238</x:t>
        </x:is>
      </x:c>
      <x:c r="U61" t="inlineStr">
        <x:is>
          <x:t xml:space="preserve">clean around wound TOP BID</x:t>
        </x:is>
      </x:c>
      <x:c r="V61" t="inlineStr">
        <x:is>
          <x:t xml:space="preserve">3–5 days</x:t>
        </x:is>
      </x:c>
      <x:c r="W61" t="inlineStr">
        <x:is>
          <x:t xml:space="preserve">1 bottle (15 mL)</x:t>
        </x:is>
      </x:c>
      <x:c r="X61" t="inlineStr">
        <x:is>
          <x:t xml:space="preserve">local irritation</x:t>
        </x:is>
      </x:c>
      <x:c r="Y61" t="inlineStr">
        <x:is>
          <x:t xml:space="preserve">avoid deep wounds / iodine allergy</x:t>
        </x:is>
      </x:c>
      <x:c r="AA61" t="inlineStr">
        <x:is>
          <x:t xml:space="preserve">Garamycin Cream [Gentamicin 1 mg./1 g.]</x:t>
        </x:is>
      </x:c>
      <x:c r="AB61" t="inlineStr">
        <x:is>
          <x:t xml:space="preserve">BDS002003</x:t>
        </x:is>
      </x:c>
      <x:c r="AC61" t="inlineStr">
        <x:is>
          <x:t xml:space="preserve">apply thinly to small superficial wound if infected-looking</x:t>
        </x:is>
      </x:c>
      <x:c r="AD61" t="inlineStr">
        <x:is>
          <x:t xml:space="preserve">5 days</x:t>
        </x:is>
      </x:c>
      <x:c r="AE61" t="inlineStr">
        <x:is>
          <x:t xml:space="preserve">1 tube (5 g)</x:t>
        </x:is>
      </x:c>
      <x:c r="AF61" t="inlineStr">
        <x:is>
          <x:t xml:space="preserve">local irritation</x:t>
        </x:is>
      </x:c>
      <x:c r="AG61" t="inlineStr">
        <x:is>
          <x:t xml:space="preserve">localized lesions only</x:t>
        </x:is>
      </x:c>
    </x:row>
    <x:row r="62">
      <x:c r="A62" t="inlineStr">
        <x:is>
          <x:t xml:space="preserve">FRM0061</x:t>
        </x:is>
      </x:c>
      <x:c r="B62" t="inlineStr">
        <x:is>
          <x:t xml:space="preserve">screen_related_dry_eye_adult</x:t>
        </x:is>
      </x:c>
      <x:c r="C62" t="inlineStr">
        <x:is>
          <x:t xml:space="preserve">Screen-related dry eye</x:t>
        </x:is>
      </x:c>
      <x:c r="D62" t="inlineStr">
        <x:is>
          <x:t xml:space="preserve">Eye</x:t>
        </x:is>
      </x:c>
      <x:c r="E62" t="inlineStr">
        <x:is>
          <x:t xml:space="preserve">adult</x:t>
        </x:is>
      </x:c>
      <x:c r="F62" t="inlineStr">
        <x:is>
          <x:t xml:space="preserve">routine_opd</x:t>
        </x:is>
      </x:c>
      <x:c r="G62" t="inlineStr">
        <x:is>
          <x:t xml:space="preserve">Y</x:t>
        </x:is>
      </x:c>
      <x:c r="H62" t="n">
        <x:v>1</x:v>
      </x:c>
      <x:c r="I62" t="inlineStr">
        <x:is>
          <x:t xml:space="preserve">H04.129</x:t>
        </x:is>
      </x:c>
      <x:c r="K62" t="inlineStr">
        <x:is>
          <x:t xml:space="preserve">Most likely</x:t>
        </x:is>
      </x:c>
      <x:c r="L62" t="inlineStr">
        <x:is>
          <x:t xml:space="preserve">dry/gritty eyes worse with prolonged screen use</x:t>
        </x:is>
      </x:c>
      <x:c r="M62" t="inlineStr">
        <x:is>
          <x:t xml:space="preserve">screen-related dryness / visual fatigue without pain, photophobia, or vision loss</x:t>
        </x:is>
      </x:c>
      <x:c r="N62" t="inlineStr">
        <x:is>
          <x:t xml:space="preserve">eye pain, contact lens infection concern, or red-flag eye symptoms</x:t>
        </x:is>
      </x:c>
      <x:c r="O62" t="inlineStr">
        <x:is>
          <x:t xml:space="preserve">N</x:t>
        </x:is>
      </x:c>
      <x:c r="P62" t="inlineStr">
        <x:is>
          <x:t xml:space="preserve">N</x:t>
        </x:is>
      </x:c>
      <x:c r="Q62" t="inlineStr">
        <x:is>
          <x:t xml:space="preserve">Needs in-person eval today if eye pain, photophobia, purulent discharge, or vision loss</x:t>
        </x:is>
      </x:c>
      <x:c r="R62" t="inlineStr">
        <x:is>
          <x:t xml:space="preserve">v3 added</x:t>
        </x:is>
      </x:c>
      <x:c r="S62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T62" t="inlineStr">
        <x:is>
          <x:t xml:space="preserve">BDS004035</x:t>
        </x:is>
      </x:c>
      <x:c r="U62" t="inlineStr">
        <x:is>
          <x:t xml:space="preserve">1–2 drops OU / affected eye PRN</x:t>
        </x:is>
      </x:c>
      <x:c r="V62" t="inlineStr">
        <x:is>
          <x:t xml:space="preserve">5–7 days</x:t>
        </x:is>
      </x:c>
      <x:c r="W62" t="inlineStr">
        <x:is>
          <x:t xml:space="preserve">1 box (20 tubes)</x:t>
        </x:is>
      </x:c>
      <x:c r="X62" t="inlineStr">
        <x:is>
          <x:t xml:space="preserve">transient blur</x:t>
        </x:is>
      </x:c>
      <x:c r="Y62" t="inlineStr">
        <x:is>
          <x:t xml:space="preserve">contact lens precautions</x:t>
        </x:is>
      </x:c>
      <x:c r="AA62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B62" t="inlineStr">
        <x:is>
          <x:t xml:space="preserve">BDS001552</x:t>
        </x:is>
      </x:c>
      <x:c r="AC62" t="inlineStr">
        <x:is>
          <x:t xml:space="preserve">1–2 drops OU / affected eye PRN</x:t>
        </x:is>
      </x:c>
      <x:c r="AD62" t="inlineStr">
        <x:is>
          <x:t xml:space="preserve">5–7 days</x:t>
        </x:is>
      </x:c>
      <x:c r="AE62" t="inlineStr">
        <x:is>
          <x:t xml:space="preserve">1 box (30 tubes)</x:t>
        </x:is>
      </x:c>
      <x:c r="AF62" t="inlineStr">
        <x:is>
          <x:t xml:space="preserve">transient blur</x:t>
        </x:is>
      </x:c>
      <x:c r="AG62" t="inlineStr">
        <x:is>
          <x:t xml:space="preserve">contact lens precautions</x:t>
        </x:is>
      </x:c>
      <x:c r="AY62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AZ62" t="inlineStr">
        <x:is>
          <x:t xml:space="preserve">BDS003679</x:t>
        </x:is>
      </x:c>
      <x:c r="BA62" t="inlineStr">
        <x:is>
          <x:t xml:space="preserve">1–2 drops OU / affected eye PRN</x:t>
        </x:is>
      </x:c>
      <x:c r="BB62" t="inlineStr">
        <x:is>
          <x:t xml:space="preserve">5–7 days</x:t>
        </x:is>
      </x:c>
      <x:c r="BC62" t="inlineStr">
        <x:is>
          <x:t xml:space="preserve">1 bottle (10 mL)</x:t>
        </x:is>
      </x:c>
      <x:c r="BD62" t="inlineStr">
        <x:is>
          <x:t xml:space="preserve">transient blur</x:t>
        </x:is>
      </x:c>
      <x:c r="BE62" t="inlineStr">
        <x:is>
          <x:t xml:space="preserve">contact lens precautions</x:t>
        </x:is>
      </x:c>
    </x:row>
    <x:row r="63">
      <x:c r="A63" t="inlineStr">
        <x:is>
          <x:t xml:space="preserve">FRM0062</x:t>
        </x:is>
      </x:c>
      <x:c r="B63" t="inlineStr">
        <x:is>
          <x:t xml:space="preserve">aphthous_ulcer_pain_adult</x:t>
        </x:is>
      </x:c>
      <x:c r="C63" t="inlineStr">
        <x:is>
          <x:t xml:space="preserve">Painful aphthous ulcer support</x:t>
        </x:is>
      </x:c>
      <x:c r="D63" t="inlineStr">
        <x:is>
          <x:t xml:space="preserve">Oral</x:t>
        </x:is>
      </x:c>
      <x:c r="E63" t="inlineStr">
        <x:is>
          <x:t xml:space="preserve">adult</x:t>
        </x:is>
      </x:c>
      <x:c r="F63" t="inlineStr">
        <x:is>
          <x:t xml:space="preserve">routine_opd</x:t>
        </x:is>
      </x:c>
      <x:c r="G63" t="inlineStr">
        <x:is>
          <x:t xml:space="preserve">Y</x:t>
        </x:is>
      </x:c>
      <x:c r="H63" t="n">
        <x:v>1</x:v>
      </x:c>
      <x:c r="I63" t="inlineStr">
        <x:is>
          <x:t xml:space="preserve">K12.0</x:t>
        </x:is>
      </x:c>
      <x:c r="K63" t="inlineStr">
        <x:is>
          <x:t xml:space="preserve">Most likely</x:t>
        </x:is>
      </x:c>
      <x:c r="L63" t="inlineStr">
        <x:is>
          <x:t xml:space="preserve">painful oral ulcer without systemic red flags</x:t>
        </x:is>
      </x:c>
      <x:c r="M63" t="inlineStr">
        <x:is>
          <x:t xml:space="preserve">painful aphthous ulcer needing local symptom control outpatient case</x:t>
        </x:is>
      </x:c>
      <x:c r="N63" t="inlineStr">
        <x:is>
          <x:t xml:space="preserve">extensive ulcers, dehydration, fungal lesions, or systemic illness</x:t>
        </x:is>
      </x:c>
      <x:c r="O63" t="inlineStr">
        <x:is>
          <x:t xml:space="preserve">N</x:t>
        </x:is>
      </x:c>
      <x:c r="P63" t="inlineStr">
        <x:is>
          <x:t xml:space="preserve">N</x:t>
        </x:is>
      </x:c>
      <x:c r="Q63" t="inlineStr">
        <x:is>
          <x:t xml:space="preserve">Needs in-person eval today if multiple extensive ulcers, inability to eat/drink, fever, or recurrent severe disease</x:t>
        </x:is>
      </x:c>
      <x:c r="R63" t="inlineStr">
        <x:is>
          <x:t xml:space="preserve">v3 added</x:t>
        </x:is>
      </x:c>
      <x:c r="S63" t="inlineStr">
        <x:is>
          <x:t xml:space="preserve">Kamistad-Gel N [Lidocaine HCl 20 mg.+Chamomile Flower Extract 185 mg.+Ethanol 50% v/v+Tromethamole 1.37% w/w+Preservative (Benzalkonium Chloride 1 mg.)/1 g.]</x:t>
        </x:is>
      </x:c>
      <x:c r="T63" t="inlineStr">
        <x:is>
          <x:t xml:space="preserve">BDS002430</x:t>
        </x:is>
      </x:c>
      <x:c r="U63" t="inlineStr">
        <x:is>
          <x:t xml:space="preserve">apply to ulcer BID–TID after meals / HS</x:t>
        </x:is>
      </x:c>
      <x:c r="V63" t="inlineStr">
        <x:is>
          <x:t xml:space="preserve">5 days</x:t>
        </x:is>
      </x:c>
      <x:c r="W63" t="inlineStr">
        <x:is>
          <x:t xml:space="preserve">1 tube (10 g)</x:t>
        </x:is>
      </x:c>
      <x:c r="X63" t="inlineStr">
        <x:is>
          <x:t xml:space="preserve">local numbness/irritation</x:t>
        </x:is>
      </x:c>
      <x:c r="Y63" t="inlineStr">
        <x:is>
          <x:t xml:space="preserve">avoid excess swallowing immediately after use</x:t>
        </x:is>
      </x:c>
      <x:c r="AA63" t="inlineStr">
        <x:is>
          <x:t xml:space="preserve">Kenalone Oral Paste 5 g [Triamcinolone Acetonide 0.1%]</x:t>
        </x:is>
      </x:c>
      <x:c r="AB63" t="inlineStr">
        <x:is>
          <x:t xml:space="preserve">BDS007549</x:t>
        </x:is>
      </x:c>
      <x:c r="AC63" t="inlineStr">
        <x:is>
          <x:t xml:space="preserve">apply thin film to ulcer BID–TID after meals</x:t>
        </x:is>
      </x:c>
      <x:c r="AD63" t="inlineStr">
        <x:is>
          <x:t xml:space="preserve">5 days</x:t>
        </x:is>
      </x:c>
      <x:c r="AE63" t="inlineStr">
        <x:is>
          <x:t xml:space="preserve">1 tube (5 g)</x:t>
        </x:is>
      </x:c>
      <x:c r="AF63" t="inlineStr">
        <x:is>
          <x:t xml:space="preserve">local irritation</x:t>
        </x:is>
      </x:c>
      <x:c r="AG63" t="inlineStr">
        <x:is>
          <x:t xml:space="preserve">avoid if fungal lesion suspected</x:t>
        </x:is>
      </x:c>
      <x:c r="AY63" t="inlineStr">
        <x:is>
          <x:t xml:space="preserve">Tylenol 500 mg strip 10s [Paracetamol 500 mg.]</x:t>
        </x:is>
      </x:c>
      <x:c r="AZ63" t="inlineStr">
        <x:is>
          <x:t xml:space="preserve">BDS003762</x:t>
        </x:is>
      </x:c>
      <x:c r="BA63" t="inlineStr">
        <x:is>
          <x:t xml:space="preserve">1–2 tabs PO q4–6h PRN pain</x:t>
        </x:is>
      </x:c>
      <x:c r="BB63" t="inlineStr">
        <x:is>
          <x:t xml:space="preserve">3 days</x:t>
        </x:is>
      </x:c>
      <x:c r="BC63" t="inlineStr">
        <x:is>
          <x:t xml:space="preserve">1 strip (10 tabs)</x:t>
        </x:is>
      </x:c>
      <x:c r="BD63" t="inlineStr">
        <x:is>
          <x:t xml:space="preserve">nausea, rash</x:t>
        </x:is>
      </x:c>
      <x:c r="BE63" t="inlineStr">
        <x:is>
          <x:t xml:space="preserve">avoid duplicate paracetamol; caution liver disease</x:t>
        </x:is>
      </x:c>
      <x:c r="BF63" t="n">
        <x:v>36</x:v>
      </x:c>
    </x:row>
    <x:row r="64">
      <x:c r="A64" t="inlineStr">
        <x:is>
          <x:t xml:space="preserve">FRM0063</x:t>
        </x:is>
      </x:c>
      <x:c r="B64" t="inlineStr">
        <x:is>
          <x:t xml:space="preserve">nasal_dryness_irritation_adult</x:t>
        </x:is>
      </x:c>
      <x:c r="C64" t="inlineStr">
        <x:is>
          <x:t xml:space="preserve">Nasal dryness / irritation</x:t>
        </x:is>
      </x:c>
      <x:c r="D64" t="inlineStr">
        <x:is>
          <x:t xml:space="preserve">ENT</x:t>
        </x:is>
      </x:c>
      <x:c r="E64" t="inlineStr">
        <x:is>
          <x:t xml:space="preserve">adult</x:t>
        </x:is>
      </x:c>
      <x:c r="F64" t="inlineStr">
        <x:is>
          <x:t xml:space="preserve">routine_opd</x:t>
        </x:is>
      </x:c>
      <x:c r="G64" t="inlineStr">
        <x:is>
          <x:t xml:space="preserve">Y</x:t>
        </x:is>
      </x:c>
      <x:c r="H64" t="n">
        <x:v>1</x:v>
      </x:c>
      <x:c r="I64" t="inlineStr">
        <x:is>
          <x:t xml:space="preserve">J34.89</x:t>
        </x:is>
      </x:c>
      <x:c r="K64" t="inlineStr">
        <x:is>
          <x:t xml:space="preserve">Most likely</x:t>
        </x:is>
      </x:c>
      <x:c r="L64" t="inlineStr">
        <x:is>
          <x:t xml:space="preserve">dry irritated nasal passages without major infection</x:t>
        </x:is>
      </x:c>
      <x:c r="M64" t="inlineStr">
        <x:is>
          <x:t xml:space="preserve">nasal dryness / dust irritation / mild crusting outpatient case</x:t>
        </x:is>
      </x:c>
      <x:c r="N64" t="inlineStr">
        <x:is>
          <x:t xml:space="preserve">recurrent heavy epistaxis, severe sinus pain, or major infection signs</x:t>
        </x:is>
      </x:c>
      <x:c r="O64" t="inlineStr">
        <x:is>
          <x:t xml:space="preserve">N</x:t>
        </x:is>
      </x:c>
      <x:c r="P64" t="inlineStr">
        <x:is>
          <x:t xml:space="preserve">N</x:t>
        </x:is>
      </x:c>
      <x:c r="Q64" t="inlineStr">
        <x:is>
          <x:t xml:space="preserve">Needs in-person eval today if recurrent epistaxis, severe facial pain, or fever with worsening symptoms</x:t>
        </x:is>
      </x:c>
      <x:c r="R64" t="inlineStr">
        <x:is>
          <x:t xml:space="preserve">v3 added</x:t>
        </x:is>
      </x:c>
      <x:c r="S64" t="inlineStr">
        <x:is>
          <x:t xml:space="preserve">Klean &amp; Kare Saline เล็ก [Sodium Chloride 0.9 g./100 ml.]</x:t>
        </x:is>
      </x:c>
      <x:c r="T64" t="inlineStr">
        <x:is>
          <x:t xml:space="preserve">BDS044320</x:t>
        </x:is>
      </x:c>
      <x:c r="U64" t="inlineStr">
        <x:is>
          <x:t xml:space="preserve">irrigate / rinse nasal cavity PRN</x:t>
        </x:is>
      </x:c>
      <x:c r="V64" t="inlineStr">
        <x:is>
          <x:t xml:space="preserve">5 days</x:t>
        </x:is>
      </x:c>
      <x:c r="W64" t="inlineStr">
        <x:is>
          <x:t xml:space="preserve">1 bottle (100 mL)</x:t>
        </x:is>
      </x:c>
      <x:c r="X64" t="inlineStr">
        <x:is>
          <x:t xml:space="preserve">mild local discomfort</x:t>
        </x:is>
      </x:c>
      <x:c r="Y64" t="inlineStr">
        <x:is>
          <x:t xml:space="preserve">sterile technique; stop if severe ear pain</x:t>
        </x:is>
      </x:c>
      <x:c r="AA64" t="inlineStr">
        <x:is>
          <x:t xml:space="preserve">Nasonex 60 doses [Mometasone Furoate Monohydrate (eq. to Mometasone Furoate 50 mcg/dose)+Preservative (Benzalkonium Chloride 0.2 mg/g)]</x:t>
        </x:is>
      </x:c>
      <x:c r="AB64" t="inlineStr">
        <x:is>
          <x:t xml:space="preserve">BDS002805</x:t>
        </x:is>
      </x:c>
      <x:c r="AC64" t="inlineStr">
        <x:is>
          <x:t xml:space="preserve">2 sprays/nostril OD</x:t>
        </x:is>
      </x:c>
      <x:c r="AD64" t="inlineStr">
        <x:is>
          <x:t xml:space="preserve">7 days</x:t>
        </x:is>
      </x:c>
      <x:c r="AE64" t="inlineStr">
        <x:is>
          <x:t xml:space="preserve">1 bottle (60 doses)</x:t>
        </x:is>
      </x:c>
      <x:c r="AF64" t="inlineStr">
        <x:is>
          <x:t xml:space="preserve">nasal dryness, epistaxis</x:t>
        </x:is>
      </x:c>
      <x:c r="AG64" t="inlineStr">
        <x:is>
          <x:t xml:space="preserve">daily use; slower onset over days</x:t>
        </x:is>
      </x:c>
      <x:c r="AY64" t="inlineStr">
        <x:is>
          <x:t xml:space="preserve">Zyrtec [Cetirizine dihydrochloride 10 mg.]</x:t>
        </x:is>
      </x:c>
      <x:c r="AZ64" t="inlineStr">
        <x:is>
          <x:t xml:space="preserve">BDS004213</x:t>
        </x:is>
      </x:c>
      <x:c r="BA64" t="inlineStr">
        <x:is>
          <x:t xml:space="preserve">1 tab PO OD if allergy prominent</x:t>
        </x:is>
      </x:c>
      <x:c r="BB64" t="inlineStr">
        <x:is>
          <x:t xml:space="preserve">5 days</x:t>
        </x:is>
      </x:c>
      <x:c r="BC64" t="inlineStr">
        <x:is>
          <x:t xml:space="preserve">1 box (10 tabs)</x:t>
        </x:is>
      </x:c>
      <x:c r="BD64" t="inlineStr">
        <x:is>
          <x:t xml:space="preserve">drowsy, dry mouth</x:t>
        </x:is>
      </x:c>
      <x:c r="BE64" t="inlineStr">
        <x:is>
          <x:t xml:space="preserve">caution driving if sleepy</x:t>
        </x:is>
      </x:c>
      <x:c r="BF64" t="n">
        <x:v>216</x:v>
      </x:c>
    </x:row>
    <x:row r="65">
      <x:c r="A65" t="inlineStr">
        <x:is>
          <x:t xml:space="preserve">FRM0064</x:t>
        </x:is>
      </x:c>
      <x:c r="B65" t="inlineStr">
        <x:is>
          <x:t xml:space="preserve">mild_mucolytic_support_adult</x:t>
        </x:is>
      </x:c>
      <x:c r="C65" t="inlineStr">
        <x:is>
          <x:t xml:space="preserve">Mild wet cough / sputum support</x:t>
        </x:is>
      </x:c>
      <x:c r="D65" t="inlineStr">
        <x:is>
          <x:t xml:space="preserve">ENT</x:t>
        </x:is>
      </x:c>
      <x:c r="E65" t="inlineStr">
        <x:is>
          <x:t xml:space="preserve">adult</x:t>
        </x:is>
      </x:c>
      <x:c r="F65" t="inlineStr">
        <x:is>
          <x:t xml:space="preserve">routine_opd</x:t>
        </x:is>
      </x:c>
      <x:c r="G65" t="inlineStr">
        <x:is>
          <x:t xml:space="preserve">N</x:t>
        </x:is>
      </x:c>
      <x:c r="H65" t="n">
        <x:v>9</x:v>
      </x:c>
      <x:c r="I65" t="inlineStr">
        <x:is>
          <x:t xml:space="preserve">R05.8</x:t>
        </x:is>
      </x:c>
      <x:c r="K65" t="inlineStr">
        <x:is>
          <x:t xml:space="preserve">Most likely</x:t>
        </x:is>
      </x:c>
      <x:c r="L65" t="inlineStr">
        <x:is>
          <x:t xml:space="preserve">mild sputum / wet cough without bacterial red flags</x:t>
        </x:is>
      </x:c>
      <x:c r="M65" t="inlineStr">
        <x:is>
          <x:t xml:space="preserve">simple mucolytic-support row for mild sputum-predominant cough</x:t>
        </x:is>
      </x:c>
      <x:c r="N65" t="inlineStr">
        <x:is>
          <x:t xml:space="preserve">dyspnea, chest pain, or pneumonia concern</x:t>
        </x:is>
      </x:c>
      <x:c r="O65" t="inlineStr">
        <x:is>
          <x:t xml:space="preserve">N</x:t>
        </x:is>
      </x:c>
      <x:c r="P65" t="inlineStr">
        <x:is>
          <x:t xml:space="preserve">N</x:t>
        </x:is>
      </x:c>
      <x:c r="Q65" t="inlineStr">
        <x:is>
          <x:t xml:space="preserve">Avoid routine antibiotics; Needs in-person eval today if dyspnea, chest pain, or persistent high fever</x:t>
        </x:is>
      </x:c>
      <x:c r="R65" t="inlineStr">
        <x:is>
          <x:t xml:space="preserve">v3 added</x:t>
        </x:is>
      </x:c>
      <x:c r="S65" t="inlineStr">
        <x:is>
          <x:t xml:space="preserve">Bisolvon [Bromhexine HCl 8 mg.]</x:t>
        </x:is>
      </x:c>
      <x:c r="T65" t="inlineStr">
        <x:is>
          <x:t xml:space="preserve">BDS001255</x:t>
        </x:is>
      </x:c>
      <x:c r="U65" t="inlineStr">
        <x:is>
          <x:t xml:space="preserve">1 tab PO TID</x:t>
        </x:is>
      </x:c>
      <x:c r="V65" t="inlineStr">
        <x:is>
          <x:t xml:space="preserve">3 days</x:t>
        </x:is>
      </x:c>
      <x:c r="W65" t="inlineStr">
        <x:is>
          <x:t xml:space="preserve">1 strip (10 tabs)</x:t>
        </x:is>
      </x:c>
      <x:c r="X65" t="inlineStr">
        <x:is>
          <x:t xml:space="preserve">GI upset</x:t>
        </x:is>
      </x:c>
      <x:c r="Y65" t="inlineStr">
        <x:is>
          <x:t xml:space="preserve">encourage hydration</x:t>
        </x:is>
      </x:c>
      <x:c r="AA65" t="inlineStr">
        <x:is>
          <x:t xml:space="preserve">Mucolid [Ambroxol HCl 30 mg.]</x:t>
        </x:is>
      </x:c>
      <x:c r="AB65" t="inlineStr">
        <x:is>
          <x:t xml:space="preserve">BDS002655</x:t>
        </x:is>
      </x:c>
      <x:c r="AC65" t="inlineStr">
        <x:is>
          <x:t xml:space="preserve">1 tab PO TID–QID</x:t>
        </x:is>
      </x:c>
      <x:c r="AD65" t="inlineStr">
        <x:is>
          <x:t xml:space="preserve">3 days</x:t>
        </x:is>
      </x:c>
      <x:c r="AE65" t="inlineStr">
        <x:is>
          <x:t xml:space="preserve">1 strip (10 tabs)</x:t>
        </x:is>
      </x:c>
      <x:c r="AF65" t="inlineStr">
        <x:is>
          <x:t xml:space="preserve">GI upset</x:t>
        </x:is>
      </x:c>
      <x:c r="AG65" t="inlineStr">
        <x:is>
          <x:t xml:space="preserve">encourage hydration</x:t>
        </x:is>
      </x:c>
      <x:c r="AH65" t="n">
        <x:v>90</x:v>
      </x:c>
      <x:c r="AY65" t="inlineStr">
        <x:is>
          <x:t xml:space="preserve">Nac Long [Acetylcysteine 600 mg.]</x:t>
        </x:is>
      </x:c>
      <x:c r="AZ65" t="inlineStr">
        <x:is>
          <x:t xml:space="preserve">BDS002901</x:t>
        </x:is>
      </x:c>
      <x:c r="BA65" t="inlineStr">
        <x:is>
          <x:t xml:space="preserve">1 eff tab PO OD</x:t>
        </x:is>
      </x:c>
      <x:c r="BB65" t="inlineStr">
        <x:is>
          <x:t xml:space="preserve">5 days</x:t>
        </x:is>
      </x:c>
      <x:c r="BC65" t="inlineStr">
        <x:is>
          <x:t xml:space="preserve">1 tube (10 tabs)</x:t>
        </x:is>
      </x:c>
      <x:c r="BD65" t="inlineStr">
        <x:is>
          <x:t xml:space="preserve">GI upset</x:t>
        </x:is>
      </x:c>
      <x:c r="BE65" t="inlineStr">
        <x:is>
          <x:t xml:space="preserve">encourage hydration</x:t>
        </x:is>
      </x:c>
      <x:c r="BF65" t="n">
        <x:v>270</x:v>
      </x:c>
    </x:row>
    <x:row r="66">
      <x:c r="A66" t="inlineStr">
        <x:is>
          <x:t xml:space="preserve">FRM0065</x:t>
        </x:is>
      </x:c>
      <x:c r="B66" t="inlineStr">
        <x:is>
          <x:t xml:space="preserve">tonsillar_inflammation_support_adult</x:t>
        </x:is>
      </x:c>
      <x:c r="C66" t="inlineStr">
        <x:is>
          <x:t xml:space="preserve">Tonsillar inflammation support (non-bacterial pattern)</x:t>
        </x:is>
      </x:c>
      <x:c r="D66" t="inlineStr">
        <x:is>
          <x:t xml:space="preserve">ENT</x:t>
        </x:is>
      </x:c>
      <x:c r="E66" t="inlineStr">
        <x:is>
          <x:t xml:space="preserve">adult</x:t>
        </x:is>
      </x:c>
      <x:c r="F66" t="inlineStr">
        <x:is>
          <x:t xml:space="preserve">routine_opd</x:t>
        </x:is>
      </x:c>
      <x:c r="G66" t="inlineStr">
        <x:is>
          <x:t xml:space="preserve">N</x:t>
        </x:is>
      </x:c>
      <x:c r="H66" t="n">
        <x:v>9</x:v>
      </x:c>
      <x:c r="I66" t="inlineStr">
        <x:is>
          <x:t xml:space="preserve">J03.9</x:t>
        </x:is>
      </x:c>
      <x:c r="K66" t="inlineStr">
        <x:is>
          <x:t xml:space="preserve">Most likely</x:t>
        </x:is>
      </x:c>
      <x:c r="L66" t="inlineStr">
        <x:is>
          <x:t xml:space="preserve">tonsillar discomfort / inflamed throat without strong bacterial features</x:t>
        </x:is>
      </x:c>
      <x:c r="M66" t="inlineStr">
        <x:is>
          <x:t xml:space="preserve">tonsillar irritation/sore throat when bacterial pattern is not clear</x:t>
        </x:is>
      </x:c>
      <x:c r="N66" t="inlineStr">
        <x:is>
          <x:t xml:space="preserve">pus with high fever, unilateral swelling, or drooling</x:t>
        </x:is>
      </x:c>
      <x:c r="O66" t="inlineStr">
        <x:is>
          <x:t xml:space="preserve">N</x:t>
        </x:is>
      </x:c>
      <x:c r="P66" t="inlineStr">
        <x:is>
          <x:t xml:space="preserve">N</x:t>
        </x:is>
      </x:c>
      <x:c r="Q66" t="inlineStr">
        <x:is>
          <x:t xml:space="preserve">Avoid routine antibiotics; Needs in-person eval today if drooling, severe unilateral pain/swelling, or inability to swallow</x:t>
        </x:is>
      </x:c>
      <x:c r="R66" t="inlineStr">
        <x:is>
          <x:t xml:space="preserve">v3 added</x:t>
        </x:is>
      </x:c>
      <x:c r="S66" t="inlineStr">
        <x:is>
          <x:t xml:space="preserve">Tylenol 500 mg strip 10s [Paracetamol 500 mg.]</x:t>
        </x:is>
      </x:c>
      <x:c r="T66" t="inlineStr">
        <x:is>
          <x:t xml:space="preserve">BDS003762</x:t>
        </x:is>
      </x:c>
      <x:c r="U66" t="inlineStr">
        <x:is>
          <x:t xml:space="preserve">1–2 tabs PO q4–6h PRN pain/fever</x:t>
        </x:is>
      </x:c>
      <x:c r="V66" t="inlineStr">
        <x:is>
          <x:t xml:space="preserve">3 days</x:t>
        </x:is>
      </x:c>
      <x:c r="W66" t="inlineStr">
        <x:is>
          <x:t xml:space="preserve">1 strip (10 tabs)</x:t>
        </x:is>
      </x:c>
      <x:c r="X66" t="inlineStr">
        <x:is>
          <x:t xml:space="preserve">nausea, rash</x:t>
        </x:is>
      </x:c>
      <x:c r="Y66" t="inlineStr">
        <x:is>
          <x:t xml:space="preserve">avoid duplicate paracetamol; caution liver disease</x:t>
        </x:is>
      </x:c>
      <x:c r="Z66" t="n">
        <x:v>36</x:v>
      </x:c>
      <x:c r="AA66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AB66" t="inlineStr">
        <x:is>
          <x:t xml:space="preserve">BDS002411</x:t>
        </x:is>
      </x:c>
      <x:c r="AC66" t="inlineStr">
        <x:is>
          <x:t xml:space="preserve">2 sprays to mouth/throat TID</x:t>
        </x:is>
      </x:c>
      <x:c r="AD66" t="inlineStr">
        <x:is>
          <x:t xml:space="preserve">5 days</x:t>
        </x:is>
      </x:c>
      <x:c r="AE66" t="inlineStr">
        <x:is>
          <x:t xml:space="preserve">1 bottle (15 mL)</x:t>
        </x:is>
      </x:c>
      <x:c r="AF66" t="inlineStr">
        <x:is>
          <x:t xml:space="preserve">local irritation</x:t>
        </x:is>
      </x:c>
      <x:c r="AG66" t="inlineStr">
        <x:is>
          <x:t xml:space="preserve">avoid if ingredient allergy</x:t>
        </x:is>
      </x:c>
      <x:c r="AH66" t="n">
        <x:v>163.5</x:v>
      </x:c>
      <x:c r="AI66" t="inlineStr">
        <x:is>
          <x:t xml:space="preserve">Strepsils Citrus Lemon SF HHR ซอง 6s [2,4-Dichlorobenzyl Alcohol 1.2 mg.+Amylmetacresol 0.6 mg.]</x:t>
        </x:is>
      </x:c>
      <x:c r="AJ66" t="inlineStr">
        <x:is>
          <x:t xml:space="preserve">BDS003574</x:t>
        </x:is>
      </x:c>
      <x:c r="AK66" t="inlineStr">
        <x:is>
          <x:t xml:space="preserve">1 lozenge dissolve slowly q2–3h PRN</x:t>
        </x:is>
      </x:c>
      <x:c r="AL66" t="inlineStr">
        <x:is>
          <x:t xml:space="preserve">3–5 days</x:t>
        </x:is>
      </x:c>
      <x:c r="AM66" t="inlineStr">
        <x:is>
          <x:t xml:space="preserve">1 sachet (6 lozenges)</x:t>
        </x:is>
      </x:c>
      <x:c r="AN66" t="inlineStr">
        <x:is>
          <x:t xml:space="preserve">local mouth irritation</x:t>
        </x:is>
      </x:c>
      <x:c r="AO66" t="inlineStr">
        <x:is>
          <x:t xml:space="preserve">not for very young children</x:t>
        </x:is>
      </x:c>
    </x:row>
    <x:row r="67">
      <x:c r="A67" t="inlineStr">
        <x:is>
          <x:t xml:space="preserve">FRM0066</x:t>
        </x:is>
      </x:c>
      <x:c r="B67" t="inlineStr">
        <x:is>
          <x:t xml:space="preserve">eczema_dry_pruritic_adult</x:t>
        </x:is>
      </x:c>
      <x:c r="C67" t="inlineStr">
        <x:is>
          <x:t xml:space="preserve">Dry pruritic eczema</x:t>
        </x:is>
      </x:c>
      <x:c r="D67" t="inlineStr">
        <x:is>
          <x:t xml:space="preserve">Skin</x:t>
        </x:is>
      </x:c>
      <x:c r="E67" t="inlineStr">
        <x:is>
          <x:t xml:space="preserve">adult</x:t>
        </x:is>
      </x:c>
      <x:c r="F67" t="inlineStr">
        <x:is>
          <x:t xml:space="preserve">routine_opd</x:t>
        </x:is>
      </x:c>
      <x:c r="G67" t="inlineStr">
        <x:is>
          <x:t xml:space="preserve">N</x:t>
        </x:is>
      </x:c>
      <x:c r="H67" t="n">
        <x:v>9</x:v>
      </x:c>
      <x:c r="I67" t="inlineStr">
        <x:is>
          <x:t xml:space="preserve">L30.9</x:t>
        </x:is>
      </x:c>
      <x:c r="K67" t="inlineStr">
        <x:is>
          <x:t xml:space="preserve">Most likely</x:t>
        </x:is>
      </x:c>
      <x:c r="L67" t="inlineStr">
        <x:is>
          <x:t xml:space="preserve">dry itchy eczema-prone skin without infection</x:t>
        </x:is>
      </x:c>
      <x:c r="M67" t="inlineStr">
        <x:is>
          <x:t xml:space="preserve">dry itchy eczema pattern needing steroid + emollient support</x:t>
        </x:is>
      </x:c>
      <x:c r="N67" t="inlineStr">
        <x:is>
          <x:t xml:space="preserve">infected eczema, pus, or extensive severe flare</x:t>
        </x:is>
      </x:c>
      <x:c r="O67" t="inlineStr">
        <x:is>
          <x:t xml:space="preserve">N</x:t>
        </x:is>
      </x:c>
      <x:c r="P67" t="inlineStr">
        <x:is>
          <x:t xml:space="preserve">N</x:t>
        </x:is>
      </x:c>
      <x:c r="Q67" t="inlineStr">
        <x:is>
          <x:t xml:space="preserve">Needs in-person eval today if infected eczema, pus/crusting, or widespread severe flare</x:t>
        </x:is>
      </x:c>
      <x:c r="R67" t="inlineStr">
        <x:is>
          <x:t xml:space="preserve">v3 added</x:t>
        </x:is>
      </x:c>
      <x:c r="S67" t="inlineStr">
        <x:is>
          <x:t xml:space="preserve">Aristocort 0.02% [Triamcinolone Acetonide 0.02%]</x:t>
        </x:is>
      </x:c>
      <x:c r="T67" t="inlineStr">
        <x:is>
          <x:t xml:space="preserve">BDS001057</x:t>
        </x:is>
      </x:c>
      <x:c r="U67" t="inlineStr">
        <x:is>
          <x:t xml:space="preserve">apply thinly BID–TID to active itchy areas</x:t>
        </x:is>
      </x:c>
      <x:c r="V67" t="inlineStr">
        <x:is>
          <x:t xml:space="preserve">5 days</x:t>
        </x:is>
      </x:c>
      <x:c r="W67" t="inlineStr">
        <x:is>
          <x:t xml:space="preserve">1 tube (15 g)</x:t>
        </x:is>
      </x:c>
      <x:c r="X67" t="inlineStr">
        <x:is>
          <x:t xml:space="preserve">local irritation</x:t>
        </x:is>
      </x:c>
      <x:c r="Y67" t="inlineStr">
        <x:is>
          <x:t xml:space="preserve">short course; avoid face/folds/open wound</x:t>
        </x:is>
      </x:c>
      <x:c r="AA67" t="inlineStr">
        <x:is>
          <x:t xml:space="preserve">Diabederm Urea Cream 10% [10% Urea]</x:t>
        </x:is>
      </x:c>
      <x:c r="AB67" t="inlineStr">
        <x:is>
          <x:t xml:space="preserve">BDS001682</x:t>
        </x:is>
      </x:c>
      <x:c r="AC67" t="inlineStr">
        <x:is>
          <x:t xml:space="preserve">apply to dry skin BID–TID</x:t>
        </x:is>
      </x:c>
      <x:c r="AD67" t="inlineStr">
        <x:is>
          <x:t xml:space="preserve">7 days</x:t>
        </x:is>
      </x:c>
      <x:c r="AE67" t="inlineStr">
        <x:is>
          <x:t xml:space="preserve">1 tube (35 g)</x:t>
        </x:is>
      </x:c>
      <x:c r="AF67" t="inlineStr">
        <x:is>
          <x:t xml:space="preserve">local irritation</x:t>
        </x:is>
      </x:c>
      <x:c r="AG67" t="inlineStr">
        <x:is>
          <x:t xml:space="preserve">avoid open wound</x:t>
        </x:is>
      </x:c>
      <x:c r="AY67" t="inlineStr">
        <x:is>
          <x:t xml:space="preserve">Zyrtec [Cetirizine dihydrochloride 10 mg.]</x:t>
        </x:is>
      </x:c>
      <x:c r="AZ67" t="inlineStr">
        <x:is>
          <x:t xml:space="preserve">BDS004213</x:t>
        </x:is>
      </x:c>
      <x:c r="BA67" t="inlineStr">
        <x:is>
          <x:t xml:space="preserve">1 tab PO OD if itchy</x:t>
        </x:is>
      </x:c>
      <x:c r="BB67" t="inlineStr">
        <x:is>
          <x:t xml:space="preserve">5 days</x:t>
        </x:is>
      </x:c>
      <x:c r="BC67" t="inlineStr">
        <x:is>
          <x:t xml:space="preserve">1 box (10 tabs)</x:t>
        </x:is>
      </x:c>
      <x:c r="BD67" t="inlineStr">
        <x:is>
          <x:t xml:space="preserve">drowsy, dry mouth</x:t>
        </x:is>
      </x:c>
      <x:c r="BE67" t="inlineStr">
        <x:is>
          <x:t xml:space="preserve">caution driving if sleepy</x:t>
        </x:is>
      </x:c>
      <x:c r="BF67" t="n">
        <x:v>216</x:v>
      </x:c>
    </x:row>
    <x:row r="68">
      <x:c r="A68" t="inlineStr">
        <x:is>
          <x:t xml:space="preserve">FRM0067</x:t>
        </x:is>
      </x:c>
      <x:c r="B68" t="inlineStr">
        <x:is>
          <x:t xml:space="preserve">localized_muscle_ache_support_adult</x:t>
        </x:is>
      </x:c>
      <x:c r="C68" t="inlineStr">
        <x:is>
          <x:t xml:space="preserve">Localized muscle ache support</x:t>
        </x:is>
      </x:c>
      <x:c r="D68" t="inlineStr">
        <x:is>
          <x:t xml:space="preserve">Pain</x:t>
        </x:is>
      </x:c>
      <x:c r="E68" t="inlineStr">
        <x:is>
          <x:t xml:space="preserve">adult</x:t>
        </x:is>
      </x:c>
      <x:c r="F68" t="inlineStr">
        <x:is>
          <x:t xml:space="preserve">routine_opd</x:t>
        </x:is>
      </x:c>
      <x:c r="G68" t="inlineStr">
        <x:is>
          <x:t xml:space="preserve">N</x:t>
        </x:is>
      </x:c>
      <x:c r="H68" t="n">
        <x:v>9</x:v>
      </x:c>
      <x:c r="I68" t="inlineStr">
        <x:is>
          <x:t xml:space="preserve">M79.1</x:t>
        </x:is>
      </x:c>
      <x:c r="K68" t="inlineStr">
        <x:is>
          <x:t xml:space="preserve">Most likely</x:t>
        </x:is>
      </x:c>
      <x:c r="L68" t="inlineStr">
        <x:is>
          <x:t xml:space="preserve">small-area muscle ache where topical/local support is reasonable</x:t>
        </x:is>
      </x:c>
      <x:c r="M68" t="inlineStr">
        <x:is>
          <x:t xml:space="preserve">localized muscle ache outpatient case; support-focused row</x:t>
        </x:is>
      </x:c>
      <x:c r="N68" t="inlineStr">
        <x:is>
          <x:t xml:space="preserve">major trauma, severe weakness, or red hot swelling</x:t>
        </x:is>
      </x:c>
      <x:c r="O68" t="inlineStr">
        <x:is>
          <x:t xml:space="preserve">N</x:t>
        </x:is>
      </x:c>
      <x:c r="P68" t="inlineStr">
        <x:is>
          <x:t xml:space="preserve">N</x:t>
        </x:is>
      </x:c>
      <x:c r="Q68" t="inlineStr">
        <x:is>
          <x:t xml:space="preserve">Needs in-person eval today if trauma, marked swelling, weakness/numbness, or fever</x:t>
        </x:is>
      </x:c>
      <x:c r="R68" t="inlineStr">
        <x:is>
          <x:t xml:space="preserve">v3 added</x:t>
        </x:is>
      </x:c>
      <x:c r="S68" t="inlineStr">
        <x:is>
          <x:t xml:space="preserve">Perskindol Classic Gel [Menthol 1.5%+Pine Needle Oil 1.35%+Wintergreen Oil 0.35%+Orange Oil 0.4%]</x:t>
        </x:is>
      </x:c>
      <x:c r="T68" t="inlineStr">
        <x:is>
          <x:t xml:space="preserve">BDS003118</x:t>
        </x:is>
      </x:c>
      <x:c r="U68" t="inlineStr">
        <x:is>
          <x:t xml:space="preserve">apply to affected area TID–QID</x:t>
        </x:is>
      </x:c>
      <x:c r="V68" t="inlineStr">
        <x:is>
          <x:t xml:space="preserve">5 days</x:t>
        </x:is>
      </x:c>
      <x:c r="W68" t="inlineStr">
        <x:is>
          <x:t xml:space="preserve">1 tube (100 mL)</x:t>
        </x:is>
      </x:c>
      <x:c r="X68" t="inlineStr">
        <x:is>
          <x:t xml:space="preserve">local irritation</x:t>
        </x:is>
      </x:c>
      <x:c r="Y68" t="inlineStr">
        <x:is>
          <x:t xml:space="preserve">avoid broken skin</x:t>
        </x:is>
      </x:c>
      <x:c r="AA68" t="inlineStr">
        <x:is>
          <x:t xml:space="preserve">Uniren Spray [Diclofenac Sodium 1 % w/w]</x:t>
        </x:is>
      </x:c>
      <x:c r="AB68" t="inlineStr">
        <x:is>
          <x:t xml:space="preserve">BDS003914</x:t>
        </x:is>
      </x:c>
      <x:c r="AC68" t="inlineStr">
        <x:is>
          <x:t xml:space="preserve">spray to affected area TID–QID</x:t>
        </x:is>
      </x:c>
      <x:c r="AD68" t="inlineStr">
        <x:is>
          <x:t xml:space="preserve">5 days</x:t>
        </x:is>
      </x:c>
      <x:c r="AE68" t="inlineStr">
        <x:is>
          <x:t xml:space="preserve">1 bottle (60 mL)</x:t>
        </x:is>
      </x:c>
      <x:c r="AF68" t="inlineStr">
        <x:is>
          <x:t xml:space="preserve">local skin irritation</x:t>
        </x:is>
      </x:c>
      <x:c r="AG68" t="inlineStr">
        <x:is>
          <x:t xml:space="preserve">avoid broken skin; NSAID allergy</x:t>
        </x:is>
      </x:c>
      <x:c r="AH68" t="n">
        <x:v>346</x:v>
      </x:c>
      <x:c r="AY68" t="inlineStr">
        <x:is>
          <x:t xml:space="preserve">Tylenol 500 mg strip 10s [Paracetamol 500 mg.]</x:t>
        </x:is>
      </x:c>
      <x:c r="AZ68" t="inlineStr">
        <x:is>
          <x:t xml:space="preserve">BDS003762</x:t>
        </x:is>
      </x:c>
      <x:c r="BA68" t="inlineStr">
        <x:is>
          <x:t xml:space="preserve">1–2 tabs PO q4–6h PRN pain</x:t>
        </x:is>
      </x:c>
      <x:c r="BB68" t="inlineStr">
        <x:is>
          <x:t xml:space="preserve">3 days</x:t>
        </x:is>
      </x:c>
      <x:c r="BC68" t="inlineStr">
        <x:is>
          <x:t xml:space="preserve">1 strip (10 tabs)</x:t>
        </x:is>
      </x:c>
      <x:c r="BD68" t="inlineStr">
        <x:is>
          <x:t xml:space="preserve">nausea, rash</x:t>
        </x:is>
      </x:c>
      <x:c r="BE68" t="inlineStr">
        <x:is>
          <x:t xml:space="preserve">avoid duplicate paracetamol; caution liver disease</x:t>
        </x:is>
      </x:c>
      <x:c r="BF68" t="n">
        <x:v>36</x:v>
      </x:c>
    </x:row>
    <x:row r="69">
      <x:c r="A69" t="inlineStr">
        <x:is>
          <x:t xml:space="preserve">FRM0068</x:t>
        </x:is>
      </x:c>
      <x:c r="B69" t="inlineStr">
        <x:is>
          <x:t xml:space="preserve">watery_red_eye_nonpurulent_adult</x:t>
        </x:is>
      </x:c>
      <x:c r="C69" t="inlineStr">
        <x:is>
          <x:t xml:space="preserve">Watery red eye (non-purulent)</x:t>
        </x:is>
      </x:c>
      <x:c r="D69" t="inlineStr">
        <x:is>
          <x:t xml:space="preserve">Eye</x:t>
        </x:is>
      </x:c>
      <x:c r="E69" t="inlineStr">
        <x:is>
          <x:t xml:space="preserve">adult</x:t>
        </x:is>
      </x:c>
      <x:c r="F69" t="inlineStr">
        <x:is>
          <x:t xml:space="preserve">routine_opd</x:t>
        </x:is>
      </x:c>
      <x:c r="G69" t="inlineStr">
        <x:is>
          <x:t xml:space="preserve">Y</x:t>
        </x:is>
      </x:c>
      <x:c r="H69" t="n">
        <x:v>1</x:v>
      </x:c>
      <x:c r="I69" t="inlineStr">
        <x:is>
          <x:t xml:space="preserve">H57.8</x:t>
        </x:is>
      </x:c>
      <x:c r="K69" t="inlineStr">
        <x:is>
          <x:t xml:space="preserve">Most likely</x:t>
        </x:is>
      </x:c>
      <x:c r="L69" t="inlineStr">
        <x:is>
          <x:t xml:space="preserve">watery red eye without pus or severe pain</x:t>
        </x:is>
      </x:c>
      <x:c r="M69" t="inlineStr">
        <x:is>
          <x:t xml:space="preserve">mild watery/non-purulent eye irritation without vision-threatening red flags</x:t>
        </x:is>
      </x:c>
      <x:c r="N69" t="inlineStr">
        <x:is>
          <x:t xml:space="preserve">purulent discharge, severe pain, photophobia, or vision loss</x:t>
        </x:is>
      </x:c>
      <x:c r="O69" t="inlineStr">
        <x:is>
          <x:t xml:space="preserve">N</x:t>
        </x:is>
      </x:c>
      <x:c r="P69" t="inlineStr">
        <x:is>
          <x:t xml:space="preserve">N</x:t>
        </x:is>
      </x:c>
      <x:c r="Q69" t="inlineStr">
        <x:is>
          <x:t xml:space="preserve">Needs in-person eval today if purulent discharge, severe pain, photophobia, or vision loss</x:t>
        </x:is>
      </x:c>
      <x:c r="R69" t="inlineStr">
        <x:is>
          <x:t xml:space="preserve">v4 added</x:t>
        </x:is>
      </x:c>
      <x:c r="S69" t="inlineStr">
        <x:is>
          <x:t xml:space="preserve">Op-Ize Eye Wash [Boric Acid 2.0 g.+Sodium Borate 0.5 g.+Zinc Sulphate 0.004 g./100 ml.]</x:t>
        </x:is>
      </x:c>
      <x:c r="T69" t="inlineStr">
        <x:is>
          <x:t xml:space="preserve">BDS046208</x:t>
        </x:is>
      </x:c>
      <x:c r="U69" t="inlineStr">
        <x:is>
          <x:t xml:space="preserve">use as eye wash BID–TID PRN</x:t>
        </x:is>
      </x:c>
      <x:c r="V69" t="inlineStr">
        <x:is>
          <x:t xml:space="preserve">3–5 days</x:t>
        </x:is>
      </x:c>
      <x:c r="W69" t="inlineStr">
        <x:is>
          <x:t xml:space="preserve">1 bottle (110 mL)</x:t>
        </x:is>
      </x:c>
      <x:c r="X69" t="inlineStr">
        <x:is>
          <x:t xml:space="preserve">temporary irritation</x:t>
        </x:is>
      </x:c>
      <x:c r="Y69" t="inlineStr">
        <x:is>
          <x:t xml:space="preserve">pain/vision loss/chemical burn → urgent eval</x:t>
        </x:is>
      </x:c>
      <x:c r="AA69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AB69" t="inlineStr">
        <x:is>
          <x:t xml:space="preserve">BDS004035</x:t>
        </x:is>
      </x:c>
      <x:c r="AC69" t="inlineStr">
        <x:is>
          <x:t xml:space="preserve">1–2 drops OU / affected eye PRN</x:t>
        </x:is>
      </x:c>
      <x:c r="AD69" t="inlineStr">
        <x:is>
          <x:t xml:space="preserve">5–7 days</x:t>
        </x:is>
      </x:c>
      <x:c r="AE69" t="inlineStr">
        <x:is>
          <x:t xml:space="preserve">1 box (20 tubes)</x:t>
        </x:is>
      </x:c>
      <x:c r="AF69" t="inlineStr">
        <x:is>
          <x:t xml:space="preserve">transient blur</x:t>
        </x:is>
      </x:c>
      <x:c r="AG69" t="inlineStr">
        <x:is>
          <x:t xml:space="preserve">contact lens precautions</x:t>
        </x:is>
      </x:c>
      <x:c r="AY69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Z69" t="inlineStr">
        <x:is>
          <x:t xml:space="preserve">BDS001552</x:t>
        </x:is>
      </x:c>
      <x:c r="BA69" t="inlineStr">
        <x:is>
          <x:t xml:space="preserve">1–2 drops OU / affected eye PRN</x:t>
        </x:is>
      </x:c>
      <x:c r="BB69" t="inlineStr">
        <x:is>
          <x:t xml:space="preserve">5–7 days</x:t>
        </x:is>
      </x:c>
      <x:c r="BC69" t="inlineStr">
        <x:is>
          <x:t xml:space="preserve">1 box (30 tubes)</x:t>
        </x:is>
      </x:c>
      <x:c r="BD69" t="inlineStr">
        <x:is>
          <x:t xml:space="preserve">transient blur</x:t>
        </x:is>
      </x:c>
      <x:c r="BE69" t="inlineStr">
        <x:is>
          <x:t xml:space="preserve">contact lens precautions</x:t>
        </x:is>
      </x:c>
    </x:row>
    <x:row r="70">
      <x:c r="A70" t="inlineStr">
        <x:is>
          <x:t xml:space="preserve">FRM0069</x:t>
        </x:is>
      </x:c>
      <x:c r="B70" t="inlineStr">
        <x:is>
          <x:t xml:space="preserve">contact_lens_dry_eye_support_adult</x:t>
        </x:is>
      </x:c>
      <x:c r="C70" t="inlineStr">
        <x:is>
          <x:t xml:space="preserve">Contact lens dry eye support</x:t>
        </x:is>
      </x:c>
      <x:c r="D70" t="inlineStr">
        <x:is>
          <x:t xml:space="preserve">Eye</x:t>
        </x:is>
      </x:c>
      <x:c r="E70" t="inlineStr">
        <x:is>
          <x:t xml:space="preserve">adult</x:t>
        </x:is>
      </x:c>
      <x:c r="F70" t="inlineStr">
        <x:is>
          <x:t xml:space="preserve">routine_opd</x:t>
        </x:is>
      </x:c>
      <x:c r="G70" t="inlineStr">
        <x:is>
          <x:t xml:space="preserve">N</x:t>
        </x:is>
      </x:c>
      <x:c r="H70" t="n">
        <x:v>9</x:v>
      </x:c>
      <x:c r="I70" t="inlineStr">
        <x:is>
          <x:t xml:space="preserve">H04.129</x:t>
        </x:is>
      </x:c>
      <x:c r="K70" t="inlineStr">
        <x:is>
          <x:t xml:space="preserve">Most likely</x:t>
        </x:is>
      </x:c>
      <x:c r="L70" t="inlineStr">
        <x:is>
          <x:t xml:space="preserve">dry/irritated eyes with contact lens use</x:t>
        </x:is>
      </x:c>
      <x:c r="M70" t="inlineStr">
        <x:is>
          <x:t xml:space="preserve">contact-lens related dryness/irritation without infection red flags</x:t>
        </x:is>
      </x:c>
      <x:c r="N70" t="inlineStr">
        <x:is>
          <x:t xml:space="preserve">pain, photophobia, purulent discharge, or contact-lens keratitis concern</x:t>
        </x:is>
      </x:c>
      <x:c r="O70" t="inlineStr">
        <x:is>
          <x:t xml:space="preserve">N</x:t>
        </x:is>
      </x:c>
      <x:c r="P70" t="inlineStr">
        <x:is>
          <x:t xml:space="preserve">N</x:t>
        </x:is>
      </x:c>
      <x:c r="Q70" t="inlineStr">
        <x:is>
          <x:t xml:space="preserve">Needs in-person eval today if pain, photophobia, purulent discharge, or reduced vision</x:t>
        </x:is>
      </x:c>
      <x:c r="R70" t="inlineStr">
        <x:is>
          <x:t xml:space="preserve">v4 added</x:t>
        </x:is>
      </x:c>
      <x:c r="S70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T70" t="inlineStr">
        <x:is>
          <x:t xml:space="preserve">BDS001552</x:t>
        </x:is>
      </x:c>
      <x:c r="U70" t="inlineStr">
        <x:is>
          <x:t xml:space="preserve">1–2 drops OU PRN</x:t>
        </x:is>
      </x:c>
      <x:c r="V70" t="inlineStr">
        <x:is>
          <x:t xml:space="preserve">5–7 days</x:t>
        </x:is>
      </x:c>
      <x:c r="W70" t="inlineStr">
        <x:is>
          <x:t xml:space="preserve">1 box (30 tubes)</x:t>
        </x:is>
      </x:c>
      <x:c r="X70" t="inlineStr">
        <x:is>
          <x:t xml:space="preserve">transient blur</x:t>
        </x:is>
      </x:c>
      <x:c r="Y70" t="inlineStr">
        <x:is>
          <x:t xml:space="preserve">avoid lens wear if symptomatic</x:t>
        </x:is>
      </x:c>
      <x:c r="AA70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AB70" t="inlineStr">
        <x:is>
          <x:t xml:space="preserve">BDS003679</x:t>
        </x:is>
      </x:c>
      <x:c r="AC70" t="inlineStr">
        <x:is>
          <x:t xml:space="preserve">1–2 drops OU PRN</x:t>
        </x:is>
      </x:c>
      <x:c r="AD70" t="inlineStr">
        <x:is>
          <x:t xml:space="preserve">5–7 days</x:t>
        </x:is>
      </x:c>
      <x:c r="AE70" t="inlineStr">
        <x:is>
          <x:t xml:space="preserve">1 bottle (10 mL)</x:t>
        </x:is>
      </x:c>
      <x:c r="AF70" t="inlineStr">
        <x:is>
          <x:t xml:space="preserve">transient blur</x:t>
        </x:is>
      </x:c>
      <x:c r="AG70" t="inlineStr">
        <x:is>
          <x:t xml:space="preserve">avoid lens wear if symptomatic</x:t>
        </x:is>
      </x:c>
    </x:row>
    <x:row r="71">
      <x:c r="A71" t="inlineStr">
        <x:is>
          <x:t xml:space="preserve">FRM0070</x:t>
        </x:is>
      </x:c>
      <x:c r="B71" t="inlineStr">
        <x:is>
          <x:t xml:space="preserve">eye_wash_support_adult</x:t>
        </x:is>
      </x:c>
      <x:c r="C71" t="inlineStr">
        <x:is>
          <x:t xml:space="preserve">Eye wash support</x:t>
        </x:is>
      </x:c>
      <x:c r="D71" t="inlineStr">
        <x:is>
          <x:t xml:space="preserve">Eye</x:t>
        </x:is>
      </x:c>
      <x:c r="E71" t="inlineStr">
        <x:is>
          <x:t xml:space="preserve">adult</x:t>
        </x:is>
      </x:c>
      <x:c r="F71" t="inlineStr">
        <x:is>
          <x:t xml:space="preserve">routine_opd</x:t>
        </x:is>
      </x:c>
      <x:c r="G71" t="inlineStr">
        <x:is>
          <x:t xml:space="preserve">N</x:t>
        </x:is>
      </x:c>
      <x:c r="H71" t="n">
        <x:v>9</x:v>
      </x:c>
      <x:c r="I71" t="inlineStr">
        <x:is>
          <x:t xml:space="preserve">Z76.89</x:t>
        </x:is>
      </x:c>
      <x:c r="K71" t="inlineStr">
        <x:is>
          <x:t xml:space="preserve">Most likely</x:t>
        </x:is>
      </x:c>
      <x:c r="L71" t="inlineStr">
        <x:is>
          <x:t xml:space="preserve">eye cleansing/wash support needed without major red flags</x:t>
        </x:is>
      </x:c>
      <x:c r="M71" t="inlineStr">
        <x:is>
          <x:t xml:space="preserve">support row for mild eye cleansing / wash / dust exposure</x:t>
        </x:is>
      </x:c>
      <x:c r="N71" t="inlineStr">
        <x:is>
          <x:t xml:space="preserve">chemical burn, penetrating injury, or severe pain</x:t>
        </x:is>
      </x:c>
      <x:c r="O71" t="inlineStr">
        <x:is>
          <x:t xml:space="preserve">N</x:t>
        </x:is>
      </x:c>
      <x:c r="P71" t="inlineStr">
        <x:is>
          <x:t xml:space="preserve">N</x:t>
        </x:is>
      </x:c>
      <x:c r="Q71" t="inlineStr">
        <x:is>
          <x:t xml:space="preserve">Needs in-person eval today if chemical burn, trauma, severe pain, or vision loss</x:t>
        </x:is>
      </x:c>
      <x:c r="R71" t="inlineStr">
        <x:is>
          <x:t xml:space="preserve">v4 added</x:t>
        </x:is>
      </x:c>
      <x:c r="S71" t="inlineStr">
        <x:is>
          <x:t xml:space="preserve">Op-Ize Eye Wash [Boric Acid 2.0 g.+Sodium Borate 0.5 g.+Zinc Sulphate 0.004 g./100 ml.]</x:t>
        </x:is>
      </x:c>
      <x:c r="T71" t="inlineStr">
        <x:is>
          <x:t xml:space="preserve">BDS046208</x:t>
        </x:is>
      </x:c>
      <x:c r="U71" t="inlineStr">
        <x:is>
          <x:t xml:space="preserve">use as eye wash BID–TID PRN</x:t>
        </x:is>
      </x:c>
      <x:c r="V71" t="inlineStr">
        <x:is>
          <x:t xml:space="preserve">3–5 days</x:t>
        </x:is>
      </x:c>
      <x:c r="W71" t="inlineStr">
        <x:is>
          <x:t xml:space="preserve">1 bottle (110 mL)</x:t>
        </x:is>
      </x:c>
      <x:c r="X71" t="inlineStr">
        <x:is>
          <x:t xml:space="preserve">temporary irritation</x:t>
        </x:is>
      </x:c>
      <x:c r="Y71" t="inlineStr">
        <x:is>
          <x:t xml:space="preserve">pain/vision loss/chemical burn → urgent eval</x:t>
        </x:is>
      </x:c>
      <x:c r="AY71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AZ71" t="inlineStr">
        <x:is>
          <x:t xml:space="preserve">BDS004035</x:t>
        </x:is>
      </x:c>
      <x:c r="BA71" t="inlineStr">
        <x:is>
          <x:t xml:space="preserve">1–2 drops OU / affected eye PRN</x:t>
        </x:is>
      </x:c>
      <x:c r="BB71" t="inlineStr">
        <x:is>
          <x:t xml:space="preserve">5–7 days</x:t>
        </x:is>
      </x:c>
      <x:c r="BC71" t="inlineStr">
        <x:is>
          <x:t xml:space="preserve">1 box (20 tubes)</x:t>
        </x:is>
      </x:c>
      <x:c r="BD71" t="inlineStr">
        <x:is>
          <x:t xml:space="preserve">transient blur</x:t>
        </x:is>
      </x:c>
      <x:c r="BE71" t="inlineStr">
        <x:is>
          <x:t xml:space="preserve">contact lens precautions</x:t>
        </x:is>
      </x:c>
    </x:row>
    <x:row r="72">
      <x:c r="A72" t="inlineStr">
        <x:is>
          <x:t xml:space="preserve">FRM0071</x:t>
        </x:is>
      </x:c>
      <x:c r="B72" t="inlineStr">
        <x:is>
          <x:t xml:space="preserve">foreign_body_irritation_followup_adult</x:t>
        </x:is>
      </x:c>
      <x:c r="C72" t="inlineStr">
        <x:is>
          <x:t xml:space="preserve">Foreign-body irritation follow-up</x:t>
        </x:is>
      </x:c>
      <x:c r="D72" t="inlineStr">
        <x:is>
          <x:t xml:space="preserve">Eye</x:t>
        </x:is>
      </x:c>
      <x:c r="E72" t="inlineStr">
        <x:is>
          <x:t xml:space="preserve">adult</x:t>
        </x:is>
      </x:c>
      <x:c r="F72" t="inlineStr">
        <x:is>
          <x:t xml:space="preserve">routine_opd</x:t>
        </x:is>
      </x:c>
      <x:c r="G72" t="inlineStr">
        <x:is>
          <x:t xml:space="preserve">N</x:t>
        </x:is>
      </x:c>
      <x:c r="H72" t="n">
        <x:v>9</x:v>
      </x:c>
      <x:c r="I72" t="inlineStr">
        <x:is>
          <x:t xml:space="preserve">H57.8</x:t>
        </x:is>
      </x:c>
      <x:c r="K72" t="inlineStr">
        <x:is>
          <x:t xml:space="preserve">Most likely</x:t>
        </x:is>
      </x:c>
      <x:c r="L72" t="inlineStr">
        <x:is>
          <x:t xml:space="preserve">post-dust/foreign-body irritation after initial flushing</x:t>
        </x:is>
      </x:c>
      <x:c r="M72" t="inlineStr">
        <x:is>
          <x:t xml:space="preserve">mild residual irritation after dust/foreign-body exposure once serious injury is not suspected</x:t>
        </x:is>
      </x:c>
      <x:c r="N72" t="inlineStr">
        <x:is>
          <x:t xml:space="preserve">persistent FB sensation, severe pain, corneal abrasion concern, or reduced vision</x:t>
        </x:is>
      </x:c>
      <x:c r="O72" t="inlineStr">
        <x:is>
          <x:t xml:space="preserve">N</x:t>
        </x:is>
      </x:c>
      <x:c r="P72" t="inlineStr">
        <x:is>
          <x:t xml:space="preserve">N</x:t>
        </x:is>
      </x:c>
      <x:c r="Q72" t="inlineStr">
        <x:is>
          <x:t xml:space="preserve">Needs in-person eval today if persistent foreign-body sensation, severe pain, photophobia, or reduced vision</x:t>
        </x:is>
      </x:c>
      <x:c r="R72" t="inlineStr">
        <x:is>
          <x:t xml:space="preserve">v4 added</x:t>
        </x:is>
      </x:c>
      <x:c r="S72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T72" t="inlineStr">
        <x:is>
          <x:t xml:space="preserve">BDS004035</x:t>
        </x:is>
      </x:c>
      <x:c r="U72" t="inlineStr">
        <x:is>
          <x:t xml:space="preserve">1–2 drops OU / affected eye PRN</x:t>
        </x:is>
      </x:c>
      <x:c r="V72" t="inlineStr">
        <x:is>
          <x:t xml:space="preserve">5–7 days</x:t>
        </x:is>
      </x:c>
      <x:c r="W72" t="inlineStr">
        <x:is>
          <x:t xml:space="preserve">1 box (20 tubes)</x:t>
        </x:is>
      </x:c>
      <x:c r="X72" t="inlineStr">
        <x:is>
          <x:t xml:space="preserve">transient blur</x:t>
        </x:is>
      </x:c>
      <x:c r="Y72" t="inlineStr">
        <x:is>
          <x:t xml:space="preserve">contact lens precautions</x:t>
        </x:is>
      </x:c>
      <x:c r="AA72" t="inlineStr">
        <x:is>
          <x:t xml:space="preserve">Op-Ize Eye Wash [Boric Acid 2.0 g.+Sodium Borate 0.5 g.+Zinc Sulphate 0.004 g./100 ml.]</x:t>
        </x:is>
      </x:c>
      <x:c r="AB72" t="inlineStr">
        <x:is>
          <x:t xml:space="preserve">BDS046208</x:t>
        </x:is>
      </x:c>
      <x:c r="AC72" t="inlineStr">
        <x:is>
          <x:t xml:space="preserve">use as eye wash BID PRN</x:t>
        </x:is>
      </x:c>
      <x:c r="AD72" t="inlineStr">
        <x:is>
          <x:t xml:space="preserve">2–3 days</x:t>
        </x:is>
      </x:c>
      <x:c r="AE72" t="inlineStr">
        <x:is>
          <x:t xml:space="preserve">1 bottle (110 mL)</x:t>
        </x:is>
      </x:c>
      <x:c r="AF72" t="inlineStr">
        <x:is>
          <x:t xml:space="preserve">temporary irritation</x:t>
        </x:is>
      </x:c>
      <x:c r="AG72" t="inlineStr">
        <x:is>
          <x:t xml:space="preserve">pain/vision loss/chemical burn → urgent eval</x:t>
        </x:is>
      </x:c>
    </x:row>
    <x:row r="73">
      <x:c r="A73" t="inlineStr">
        <x:is>
          <x:t xml:space="preserve">FRM0072</x:t>
        </x:is>
      </x:c>
      <x:c r="B73" t="inlineStr">
        <x:is>
          <x:t xml:space="preserve">eye_irritation_peds</x:t>
        </x:is>
      </x:c>
      <x:c r="C73" t="inlineStr">
        <x:is>
          <x:t xml:space="preserve">Pediatric eye irritation support</x:t>
        </x:is>
      </x:c>
      <x:c r="D73" t="inlineStr">
        <x:is>
          <x:t xml:space="preserve">Eye</x:t>
        </x:is>
      </x:c>
      <x:c r="E73" t="inlineStr">
        <x:is>
          <x:t xml:space="preserve">peds</x:t>
        </x:is>
      </x:c>
      <x:c r="F73" t="inlineStr">
        <x:is>
          <x:t xml:space="preserve">routine_opd</x:t>
        </x:is>
      </x:c>
      <x:c r="G73" t="inlineStr">
        <x:is>
          <x:t xml:space="preserve">Y</x:t>
        </x:is>
      </x:c>
      <x:c r="H73" t="n">
        <x:v>1</x:v>
      </x:c>
      <x:c r="I73" t="inlineStr">
        <x:is>
          <x:t xml:space="preserve">H57.8</x:t>
        </x:is>
      </x:c>
      <x:c r="K73" t="inlineStr">
        <x:is>
          <x:t xml:space="preserve">Most likely</x:t>
        </x:is>
      </x:c>
      <x:c r="L73" t="inlineStr">
        <x:is>
          <x:t xml:space="preserve">mild eye irritation in child without red flags</x:t>
        </x:is>
      </x:c>
      <x:c r="M73" t="inlineStr">
        <x:is>
          <x:t xml:space="preserve">mild child eye irritation/dust exposure without pain/photophobia/vision change</x:t>
        </x:is>
      </x:c>
      <x:c r="N73" t="inlineStr">
        <x:is>
          <x:t xml:space="preserve">severe pain, photophobia, trauma, purulent discharge, or vision concern</x:t>
        </x:is>
      </x:c>
      <x:c r="O73" t="inlineStr">
        <x:is>
          <x:t xml:space="preserve">N</x:t>
        </x:is>
      </x:c>
      <x:c r="P73" t="inlineStr">
        <x:is>
          <x:t xml:space="preserve">Y</x:t>
        </x:is>
      </x:c>
      <x:c r="Q73" t="inlineStr">
        <x:is>
          <x:t xml:space="preserve">Needs in-person eval today if severe pain, photophobia, trauma, purulent discharge, or vision concern</x:t>
        </x:is>
      </x:c>
      <x:c r="R73" t="inlineStr">
        <x:is>
          <x:t xml:space="preserve">v4 peds starter row; verify child can cooperate with eye wash</x:t>
        </x:is>
      </x:c>
      <x:c r="S73" t="inlineStr">
        <x:is>
          <x:t xml:space="preserve">Op-Ize Eye Wash [Boric Acid 2.0 g.+Sodium Borate 0.5 g.+Zinc Sulphate 0.004 g./100 ml.]</x:t>
        </x:is>
      </x:c>
      <x:c r="T73" t="inlineStr">
        <x:is>
          <x:t xml:space="preserve">BDS046208</x:t>
        </x:is>
      </x:c>
      <x:c r="U73" t="inlineStr">
        <x:is>
          <x:t xml:space="preserve">use as eye wash BID–TID PRN</x:t>
        </x:is>
      </x:c>
      <x:c r="V73" t="inlineStr">
        <x:is>
          <x:t xml:space="preserve">3 days</x:t>
        </x:is>
      </x:c>
      <x:c r="W73" t="inlineStr">
        <x:is>
          <x:t xml:space="preserve">1 bottle (110 mL)</x:t>
        </x:is>
      </x:c>
      <x:c r="X73" t="inlineStr">
        <x:is>
          <x:t xml:space="preserve">temporary irritation</x:t>
        </x:is>
      </x:c>
      <x:c r="Y73" t="inlineStr">
        <x:is>
          <x:t xml:space="preserve">pain/vision loss/chemical burn → urgent eval</x:t>
        </x:is>
      </x:c>
      <x:c r="AA73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AB73" t="inlineStr">
        <x:is>
          <x:t xml:space="preserve">BDS004035</x:t>
        </x:is>
      </x:c>
      <x:c r="AC73" t="inlineStr">
        <x:is>
          <x:t xml:space="preserve">1–2 drops affected eye PRN</x:t>
        </x:is>
      </x:c>
      <x:c r="AD73" t="inlineStr">
        <x:is>
          <x:t xml:space="preserve">3–5 days</x:t>
        </x:is>
      </x:c>
      <x:c r="AE73" t="inlineStr">
        <x:is>
          <x:t xml:space="preserve">1 box (20 tubes)</x:t>
        </x:is>
      </x:c>
      <x:c r="AF73" t="inlineStr">
        <x:is>
          <x:t xml:space="preserve">transient blur</x:t>
        </x:is>
      </x:c>
      <x:c r="AG73" t="inlineStr">
        <x:is>
          <x:t xml:space="preserve">contact lens precautions</x:t>
        </x:is>
      </x:c>
    </x:row>
    <x:row r="74">
      <x:c r="A74" t="inlineStr">
        <x:is>
          <x:t xml:space="preserve">FRM0073</x:t>
        </x:is>
      </x:c>
      <x:c r="B74" t="inlineStr">
        <x:is>
          <x:t xml:space="preserve">dry_eye_peds_support</x:t>
        </x:is>
      </x:c>
      <x:c r="C74" t="inlineStr">
        <x:is>
          <x:t xml:space="preserve">Pediatric dry eye support</x:t>
        </x:is>
      </x:c>
      <x:c r="D74" t="inlineStr">
        <x:is>
          <x:t xml:space="preserve">Eye</x:t>
        </x:is>
      </x:c>
      <x:c r="E74" t="inlineStr">
        <x:is>
          <x:t xml:space="preserve">peds</x:t>
        </x:is>
      </x:c>
      <x:c r="F74" t="inlineStr">
        <x:is>
          <x:t xml:space="preserve">routine_opd</x:t>
        </x:is>
      </x:c>
      <x:c r="G74" t="inlineStr">
        <x:is>
          <x:t xml:space="preserve">N</x:t>
        </x:is>
      </x:c>
      <x:c r="H74" t="n">
        <x:v>9</x:v>
      </x:c>
      <x:c r="I74" t="inlineStr">
        <x:is>
          <x:t xml:space="preserve">H04.129</x:t>
        </x:is>
      </x:c>
      <x:c r="K74" t="inlineStr">
        <x:is>
          <x:t xml:space="preserve">Most likely</x:t>
        </x:is>
      </x:c>
      <x:c r="L74" t="inlineStr">
        <x:is>
          <x:t xml:space="preserve">dry/irritated eyes in child without infectious red flags</x:t>
        </x:is>
      </x:c>
      <x:c r="M74" t="inlineStr">
        <x:is>
          <x:t xml:space="preserve">child dry-eye/irritation support when pain, photophobia, and vision loss are absent</x:t>
        </x:is>
      </x:c>
      <x:c r="N74" t="inlineStr">
        <x:is>
          <x:t xml:space="preserve">pain, photophobia, purulent discharge, or reduced vision</x:t>
        </x:is>
      </x:c>
      <x:c r="O74" t="inlineStr">
        <x:is>
          <x:t xml:space="preserve">N</x:t>
        </x:is>
      </x:c>
      <x:c r="P74" t="inlineStr">
        <x:is>
          <x:t xml:space="preserve">Y</x:t>
        </x:is>
      </x:c>
      <x:c r="Q74" t="inlineStr">
        <x:is>
          <x:t xml:space="preserve">Needs in-person eval today if pain, photophobia, purulent discharge, or reduced vision</x:t>
        </x:is>
      </x:c>
      <x:c r="R74" t="inlineStr">
        <x:is>
          <x:t xml:space="preserve">v4 added</x:t>
        </x:is>
      </x:c>
      <x:c r="S74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T74" t="inlineStr">
        <x:is>
          <x:t xml:space="preserve">BDS004035</x:t>
        </x:is>
      </x:c>
      <x:c r="U74" t="inlineStr">
        <x:is>
          <x:t xml:space="preserve">1–2 drops affected eye PRN</x:t>
        </x:is>
      </x:c>
      <x:c r="V74" t="inlineStr">
        <x:is>
          <x:t xml:space="preserve">5 days</x:t>
        </x:is>
      </x:c>
      <x:c r="W74" t="inlineStr">
        <x:is>
          <x:t xml:space="preserve">1 box (20 tubes)</x:t>
        </x:is>
      </x:c>
      <x:c r="X74" t="inlineStr">
        <x:is>
          <x:t xml:space="preserve">transient blur</x:t>
        </x:is>
      </x:c>
      <x:c r="Y74" t="inlineStr">
        <x:is>
          <x:t xml:space="preserve">contact lens precautions</x:t>
        </x:is>
      </x:c>
      <x:c r="AA74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AB74" t="inlineStr">
        <x:is>
          <x:t xml:space="preserve">BDS001552</x:t>
        </x:is>
      </x:c>
      <x:c r="AC74" t="inlineStr">
        <x:is>
          <x:t xml:space="preserve">1–2 drops affected eye PRN</x:t>
        </x:is>
      </x:c>
      <x:c r="AD74" t="inlineStr">
        <x:is>
          <x:t xml:space="preserve">5 days</x:t>
        </x:is>
      </x:c>
      <x:c r="AE74" t="inlineStr">
        <x:is>
          <x:t xml:space="preserve">1 box (30 tubes)</x:t>
        </x:is>
      </x:c>
      <x:c r="AF74" t="inlineStr">
        <x:is>
          <x:t xml:space="preserve">transient blur</x:t>
        </x:is>
      </x:c>
      <x:c r="AG74" t="inlineStr">
        <x:is>
          <x:t xml:space="preserve">contact lens precautions</x:t>
        </x:is>
      </x:c>
      <x:c r="AY74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AZ74" t="inlineStr">
        <x:is>
          <x:t xml:space="preserve">BDS003679</x:t>
        </x:is>
      </x:c>
      <x:c r="BA74" t="inlineStr">
        <x:is>
          <x:t xml:space="preserve">1–2 drops affected eye PRN</x:t>
        </x:is>
      </x:c>
      <x:c r="BB74" t="inlineStr">
        <x:is>
          <x:t xml:space="preserve">5 days</x:t>
        </x:is>
      </x:c>
      <x:c r="BC74" t="inlineStr">
        <x:is>
          <x:t xml:space="preserve">1 bottle (10 mL)</x:t>
        </x:is>
      </x:c>
      <x:c r="BD74" t="inlineStr">
        <x:is>
          <x:t xml:space="preserve">transient blur</x:t>
        </x:is>
      </x:c>
      <x:c r="BE74" t="inlineStr">
        <x:is>
          <x:t xml:space="preserve">contact lens precautions</x:t>
        </x:is>
      </x:c>
    </x:row>
    <x:row r="75">
      <x:c r="A75" t="inlineStr">
        <x:is>
          <x:t xml:space="preserve">FRM0074</x:t>
        </x:is>
      </x:c>
      <x:c r="B75" t="inlineStr">
        <x:is>
          <x:t xml:space="preserve">superficial_abrasion_adult</x:t>
        </x:is>
      </x:c>
      <x:c r="C75" t="inlineStr">
        <x:is>
          <x:t xml:space="preserve">Superficial abrasion</x:t>
        </x:is>
      </x:c>
      <x:c r="D75" t="inlineStr">
        <x:is>
          <x:t xml:space="preserve">Skin</x:t>
        </x:is>
      </x:c>
      <x:c r="E75" t="inlineStr">
        <x:is>
          <x:t xml:space="preserve">adult</x:t>
        </x:is>
      </x:c>
      <x:c r="F75" t="inlineStr">
        <x:is>
          <x:t xml:space="preserve">routine_opd</x:t>
        </x:is>
      </x:c>
      <x:c r="G75" t="inlineStr">
        <x:is>
          <x:t xml:space="preserve">Y</x:t>
        </x:is>
      </x:c>
      <x:c r="H75" t="n">
        <x:v>1</x:v>
      </x:c>
      <x:c r="I75" t="inlineStr">
        <x:is>
          <x:t xml:space="preserve">S40.8</x:t>
        </x:is>
      </x:c>
      <x:c r="K75" t="inlineStr">
        <x:is>
          <x:t xml:space="preserve">Most likely</x:t>
        </x:is>
      </x:c>
      <x:c r="L75" t="inlineStr">
        <x:is>
          <x:t xml:space="preserve">small superficial abrasion without deep wound or infection</x:t>
        </x:is>
      </x:c>
      <x:c r="M75" t="inlineStr">
        <x:is>
          <x:t xml:space="preserve">minor superficial abrasion outpatient care</x:t>
        </x:is>
      </x:c>
      <x:c r="N75" t="inlineStr">
        <x:is>
          <x:t xml:space="preserve">deep wound, animal bite, heavy contamination, or spreading infection</x:t>
        </x:is>
      </x:c>
      <x:c r="O75" t="inlineStr">
        <x:is>
          <x:t xml:space="preserve">N</x:t>
        </x:is>
      </x:c>
      <x:c r="P75" t="inlineStr">
        <x:is>
          <x:t xml:space="preserve">N</x:t>
        </x:is>
      </x:c>
      <x:c r="Q75" t="inlineStr">
        <x:is>
          <x:t xml:space="preserve">Needs in-person eval today if deep wound, bite, spreading redness, fever, or tetanus concern</x:t>
        </x:is>
      </x:c>
      <x:c r="R75" t="inlineStr">
        <x:is>
          <x:t xml:space="preserve">v4 added</x:t>
        </x:is>
      </x:c>
      <x:c r="S75" t="inlineStr">
        <x:is>
          <x:t xml:space="preserve">Betadine Solution 15 ml [Povidone-Iodine USP 10 % w/v]</x:t>
        </x:is>
      </x:c>
      <x:c r="T75" t="inlineStr">
        <x:is>
          <x:t xml:space="preserve">BDS001238</x:t>
        </x:is>
      </x:c>
      <x:c r="U75" t="inlineStr">
        <x:is>
          <x:t xml:space="preserve">clean around abrasion TOP BID</x:t>
        </x:is>
      </x:c>
      <x:c r="V75" t="inlineStr">
        <x:is>
          <x:t xml:space="preserve">3–5 days</x:t>
        </x:is>
      </x:c>
      <x:c r="W75" t="inlineStr">
        <x:is>
          <x:t xml:space="preserve">1 bottle (15 mL)</x:t>
        </x:is>
      </x:c>
      <x:c r="X75" t="inlineStr">
        <x:is>
          <x:t xml:space="preserve">local irritation</x:t>
        </x:is>
      </x:c>
      <x:c r="Y75" t="inlineStr">
        <x:is>
          <x:t xml:space="preserve">avoid deep wounds / iodine allergy</x:t>
        </x:is>
      </x:c>
      <x:c r="AY75" t="inlineStr">
        <x:is>
          <x:t xml:space="preserve">Garamycin Cream [Gentamicin 1 mg./1 g.]</x:t>
        </x:is>
      </x:c>
      <x:c r="AZ75" t="inlineStr">
        <x:is>
          <x:t xml:space="preserve">BDS002003</x:t>
        </x:is>
      </x:c>
      <x:c r="BA75" t="inlineStr">
        <x:is>
          <x:t xml:space="preserve">apply thinly if infected-looking superficial abrasion</x:t>
        </x:is>
      </x:c>
      <x:c r="BB75" t="inlineStr">
        <x:is>
          <x:t xml:space="preserve">5 days</x:t>
        </x:is>
      </x:c>
      <x:c r="BC75" t="inlineStr">
        <x:is>
          <x:t xml:space="preserve">1 tube (5 g)</x:t>
        </x:is>
      </x:c>
      <x:c r="BD75" t="inlineStr">
        <x:is>
          <x:t xml:space="preserve">local irritation</x:t>
        </x:is>
      </x:c>
      <x:c r="BE75" t="inlineStr">
        <x:is>
          <x:t xml:space="preserve">localized lesions only</x:t>
        </x:is>
      </x:c>
    </x:row>
    <x:row r="76">
      <x:c r="A76" t="inlineStr">
        <x:is>
          <x:t xml:space="preserve">FRM0075</x:t>
        </x:is>
      </x:c>
      <x:c r="B76" t="inlineStr">
        <x:is>
          <x:t xml:space="preserve">minor_cut_wound_care_adult</x:t>
        </x:is>
      </x:c>
      <x:c r="C76" t="inlineStr">
        <x:is>
          <x:t xml:space="preserve">Minor cut / wound care</x:t>
        </x:is>
      </x:c>
      <x:c r="D76" t="inlineStr">
        <x:is>
          <x:t xml:space="preserve">Skin</x:t>
        </x:is>
      </x:c>
      <x:c r="E76" t="inlineStr">
        <x:is>
          <x:t xml:space="preserve">adult</x:t>
        </x:is>
      </x:c>
      <x:c r="F76" t="inlineStr">
        <x:is>
          <x:t xml:space="preserve">routine_opd</x:t>
        </x:is>
      </x:c>
      <x:c r="G76" t="inlineStr">
        <x:is>
          <x:t xml:space="preserve">N</x:t>
        </x:is>
      </x:c>
      <x:c r="H76" t="n">
        <x:v>9</x:v>
      </x:c>
      <x:c r="I76" t="inlineStr">
        <x:is>
          <x:t xml:space="preserve">Z51.89</x:t>
        </x:is>
      </x:c>
      <x:c r="K76" t="inlineStr">
        <x:is>
          <x:t xml:space="preserve">Most likely</x:t>
        </x:is>
      </x:c>
      <x:c r="L76" t="inlineStr">
        <x:is>
          <x:t xml:space="preserve">small clean cut needing simple local care</x:t>
        </x:is>
      </x:c>
      <x:c r="M76" t="inlineStr">
        <x:is>
          <x:t xml:space="preserve">minor cut/wound care support without deep tissue injury</x:t>
        </x:is>
      </x:c>
      <x:c r="N76" t="inlineStr">
        <x:is>
          <x:t xml:space="preserve">deep cut, uncontrolled bleeding, bite, or tendon injury concern</x:t>
        </x:is>
      </x:c>
      <x:c r="O76" t="inlineStr">
        <x:is>
          <x:t xml:space="preserve">N</x:t>
        </x:is>
      </x:c>
      <x:c r="P76" t="inlineStr">
        <x:is>
          <x:t xml:space="preserve">N</x:t>
        </x:is>
      </x:c>
      <x:c r="Q76" t="inlineStr">
        <x:is>
          <x:t xml:space="preserve">Needs in-person eval today if deep cut, uncontrolled bleeding, bite, or reduced movement/sensation</x:t>
        </x:is>
      </x:c>
      <x:c r="R76" t="inlineStr">
        <x:is>
          <x:t xml:space="preserve">v5 compressed overlap; abrasion/cut rows preferred</x:t>
        </x:is>
      </x:c>
      <x:c r="S76" t="inlineStr">
        <x:is>
          <x:t xml:space="preserve">Betadine Solution 15 ml [Povidone-Iodine USP 10 % w/v]</x:t>
        </x:is>
      </x:c>
      <x:c r="T76" t="inlineStr">
        <x:is>
          <x:t xml:space="preserve">BDS001238</x:t>
        </x:is>
      </x:c>
      <x:c r="U76" t="inlineStr">
        <x:is>
          <x:t xml:space="preserve">clean around wound TOP BID</x:t>
        </x:is>
      </x:c>
      <x:c r="V76" t="inlineStr">
        <x:is>
          <x:t xml:space="preserve">3–5 days</x:t>
        </x:is>
      </x:c>
      <x:c r="W76" t="inlineStr">
        <x:is>
          <x:t xml:space="preserve">1 bottle (15 mL)</x:t>
        </x:is>
      </x:c>
      <x:c r="X76" t="inlineStr">
        <x:is>
          <x:t xml:space="preserve">local irritation</x:t>
        </x:is>
      </x:c>
      <x:c r="Y76" t="inlineStr">
        <x:is>
          <x:t xml:space="preserve">avoid deep wounds / iodine allergy / thyroid caution</x:t>
        </x:is>
      </x:c>
      <x:c r="AY76" t="inlineStr">
        <x:is>
          <x:t xml:space="preserve">Garamycin Cream [Gentamicin 1 mg./1 g.]</x:t>
        </x:is>
      </x:c>
      <x:c r="AZ76" t="inlineStr">
        <x:is>
          <x:t xml:space="preserve">BDS002003</x:t>
        </x:is>
      </x:c>
      <x:c r="BA76" t="inlineStr">
        <x:is>
          <x:t xml:space="preserve">apply thinly if localized superficial infection develops</x:t>
        </x:is>
      </x:c>
      <x:c r="BB76" t="inlineStr">
        <x:is>
          <x:t xml:space="preserve">5 days</x:t>
        </x:is>
      </x:c>
      <x:c r="BC76" t="inlineStr">
        <x:is>
          <x:t xml:space="preserve">1 tube (5 g)</x:t>
        </x:is>
      </x:c>
      <x:c r="BD76" t="inlineStr">
        <x:is>
          <x:t xml:space="preserve">local irritation</x:t>
        </x:is>
      </x:c>
      <x:c r="BE76" t="inlineStr">
        <x:is>
          <x:t xml:space="preserve">topical use only; avoid large area without review</x:t>
        </x:is>
      </x:c>
    </x:row>
    <x:row r="77">
      <x:c r="A77" t="inlineStr">
        <x:is>
          <x:t xml:space="preserve">FRM0076</x:t>
        </x:is>
      </x:c>
      <x:c r="B77" t="inlineStr">
        <x:is>
          <x:t xml:space="preserve">insect_bite_swelling_adult</x:t>
        </x:is>
      </x:c>
      <x:c r="C77" t="inlineStr">
        <x:is>
          <x:t xml:space="preserve">Insect bite with localized swelling</x:t>
        </x:is>
      </x:c>
      <x:c r="D77" t="inlineStr">
        <x:is>
          <x:t xml:space="preserve">Skin</x:t>
        </x:is>
      </x:c>
      <x:c r="E77" t="inlineStr">
        <x:is>
          <x:t xml:space="preserve">adult</x:t>
        </x:is>
      </x:c>
      <x:c r="F77" t="inlineStr">
        <x:is>
          <x:t xml:space="preserve">routine_opd</x:t>
        </x:is>
      </x:c>
      <x:c r="G77" t="inlineStr">
        <x:is>
          <x:t xml:space="preserve">Y</x:t>
        </x:is>
      </x:c>
      <x:c r="H77" t="n">
        <x:v>1</x:v>
      </x:c>
      <x:c r="I77" t="inlineStr">
        <x:is>
          <x:t xml:space="preserve">W57</x:t>
        </x:is>
      </x:c>
      <x:c r="K77" t="inlineStr">
        <x:is>
          <x:t xml:space="preserve">Most likely</x:t>
        </x:is>
      </x:c>
      <x:c r="L77" t="inlineStr">
        <x:is>
          <x:t xml:space="preserve">itchy swollen bite without anaphylaxis/cellulitis</x:t>
        </x:is>
      </x:c>
      <x:c r="M77" t="inlineStr">
        <x:is>
          <x:t xml:space="preserve">localized bite swelling/itch without systemic allergic red flags</x:t>
        </x:is>
      </x:c>
      <x:c r="N77" t="inlineStr">
        <x:is>
          <x:t xml:space="preserve">facial swelling, dyspnea, fever, or spreading cellulitis</x:t>
        </x:is>
      </x:c>
      <x:c r="O77" t="inlineStr">
        <x:is>
          <x:t xml:space="preserve">N</x:t>
        </x:is>
      </x:c>
      <x:c r="P77" t="inlineStr">
        <x:is>
          <x:t xml:space="preserve">N</x:t>
        </x:is>
      </x:c>
      <x:c r="Q77" t="inlineStr">
        <x:is>
          <x:t xml:space="preserve">Needs in-person eval today if facial swelling, dyspnea, fever, or rapidly spreading redness</x:t>
        </x:is>
      </x:c>
      <x:c r="R77" t="inlineStr">
        <x:is>
          <x:t xml:space="preserve">v4 added</x:t>
        </x:is>
      </x:c>
      <x:c r="S77" t="inlineStr">
        <x:is>
          <x:t xml:space="preserve">Zyrtec [Cetirizine dihydrochloride 10 mg.]</x:t>
        </x:is>
      </x:c>
      <x:c r="T77" t="inlineStr">
        <x:is>
          <x:t xml:space="preserve">BDS004213</x:t>
        </x:is>
      </x:c>
      <x:c r="U77" t="inlineStr">
        <x:is>
          <x:t xml:space="preserve">1 tab PO OD</x:t>
        </x:is>
      </x:c>
      <x:c r="V77" t="inlineStr">
        <x:is>
          <x:t xml:space="preserve">3–5 days</x:t>
        </x:is>
      </x:c>
      <x:c r="W77" t="inlineStr">
        <x:is>
          <x:t xml:space="preserve">1 box (10 tabs)</x:t>
        </x:is>
      </x:c>
      <x:c r="X77" t="inlineStr">
        <x:is>
          <x:t xml:space="preserve">drowsy, dry mouth</x:t>
        </x:is>
      </x:c>
      <x:c r="Y77" t="inlineStr">
        <x:is>
          <x:t xml:space="preserve">caution driving if sleepy</x:t>
        </x:is>
      </x:c>
      <x:c r="Z77" t="n">
        <x:v>216</x:v>
      </x:c>
      <x:c r="AA77" t="inlineStr">
        <x:is>
          <x:t xml:space="preserve">Antergan Cream [Hydrocortisone Acetate 5 mg+Mepyramine Maleate 20 mg/1 g]</x:t>
        </x:is>
      </x:c>
      <x:c r="AB77" t="inlineStr">
        <x:is>
          <x:t xml:space="preserve">BDS006745</x:t>
        </x:is>
      </x:c>
      <x:c r="AC77" t="inlineStr">
        <x:is>
          <x:t xml:space="preserve">apply thinly BID–TID to bite area</x:t>
        </x:is>
      </x:c>
      <x:c r="AD77" t="inlineStr">
        <x:is>
          <x:t xml:space="preserve">3–5 days</x:t>
        </x:is>
      </x:c>
      <x:c r="AE77" t="inlineStr">
        <x:is>
          <x:t xml:space="preserve">1 tube (10 g)</x:t>
        </x:is>
      </x:c>
      <x:c r="AF77" t="inlineStr">
        <x:is>
          <x:t xml:space="preserve">local irritation</x:t>
        </x:is>
      </x:c>
      <x:c r="AG77" t="inlineStr">
        <x:is>
          <x:t xml:space="preserve">avoid face/eye/open wound</x:t>
        </x:is>
      </x:c>
      <x:c r="AY77" t="inlineStr">
        <x:is>
          <x:t xml:space="preserve">Aristocort 0.02% [Triamcinolone Acetonide 0.02%]</x:t>
        </x:is>
      </x:c>
      <x:c r="AZ77" t="inlineStr">
        <x:is>
          <x:t xml:space="preserve">BDS001057</x:t>
        </x:is>
      </x:c>
      <x:c r="BA77" t="inlineStr">
        <x:is>
          <x:t xml:space="preserve">apply thinly BID–TID</x:t>
        </x:is>
      </x:c>
      <x:c r="BB77" t="inlineStr">
        <x:is>
          <x:t xml:space="preserve">3–5 days</x:t>
        </x:is>
      </x:c>
      <x:c r="BC77" t="inlineStr">
        <x:is>
          <x:t xml:space="preserve">1 tube (15 g)</x:t>
        </x:is>
      </x:c>
      <x:c r="BD77" t="inlineStr">
        <x:is>
          <x:t xml:space="preserve">local irritation</x:t>
        </x:is>
      </x:c>
      <x:c r="BE77" t="inlineStr">
        <x:is>
          <x:t xml:space="preserve">short course; avoid face/folds/open wound</x:t>
        </x:is>
      </x:c>
    </x:row>
    <x:row r="78">
      <x:c r="A78" t="inlineStr">
        <x:is>
          <x:t xml:space="preserve">FRM0077</x:t>
        </x:is>
      </x:c>
      <x:c r="B78" t="inlineStr">
        <x:is>
          <x:t xml:space="preserve">localized_eczema_sensitive_area_adult</x:t>
        </x:is>
      </x:c>
      <x:c r="C78" t="inlineStr">
        <x:is>
          <x:t xml:space="preserve">Localized eczema (sensitive-area cautious row)</x:t>
        </x:is>
      </x:c>
      <x:c r="D78" t="inlineStr">
        <x:is>
          <x:t xml:space="preserve">Skin</x:t>
        </x:is>
      </x:c>
      <x:c r="E78" t="inlineStr">
        <x:is>
          <x:t xml:space="preserve">adult</x:t>
        </x:is>
      </x:c>
      <x:c r="F78" t="inlineStr">
        <x:is>
          <x:t xml:space="preserve">routine_opd</x:t>
        </x:is>
      </x:c>
      <x:c r="G78" t="inlineStr">
        <x:is>
          <x:t xml:space="preserve">N</x:t>
        </x:is>
      </x:c>
      <x:c r="H78" t="n">
        <x:v>9</x:v>
      </x:c>
      <x:c r="I78" t="inlineStr">
        <x:is>
          <x:t xml:space="preserve">L30.9</x:t>
        </x:is>
      </x:c>
      <x:c r="K78" t="inlineStr">
        <x:is>
          <x:t xml:space="preserve">Most likely</x:t>
        </x:is>
      </x:c>
      <x:c r="L78" t="inlineStr">
        <x:is>
          <x:t xml:space="preserve">small eczema patch on thinner/sensitive skin where milder steroid is preferred</x:t>
        </x:is>
      </x:c>
      <x:c r="M78" t="inlineStr">
        <x:is>
          <x:t xml:space="preserve">small localized eczema patch where milder anti-itch/steroid support is preferred</x:t>
        </x:is>
      </x:c>
      <x:c r="N78" t="inlineStr">
        <x:is>
          <x:t xml:space="preserve">infected rash, large surface area, or face/eye mucosal involvement</x:t>
        </x:is>
      </x:c>
      <x:c r="O78" t="inlineStr">
        <x:is>
          <x:t xml:space="preserve">N</x:t>
        </x:is>
      </x:c>
      <x:c r="P78" t="inlineStr">
        <x:is>
          <x:t xml:space="preserve">N</x:t>
        </x:is>
      </x:c>
      <x:c r="Q78" t="inlineStr">
        <x:is>
          <x:t xml:space="preserve">Needs in-person eval today if infected rash, extensive flare, or facial/eye involvement</x:t>
        </x:is>
      </x:c>
      <x:c r="R78" t="inlineStr">
        <x:is>
          <x:t xml:space="preserve">v4 added</x:t>
        </x:is>
      </x:c>
      <x:c r="S78" t="inlineStr">
        <x:is>
          <x:t xml:space="preserve">Antergan Cream [Hydrocortisone Acetate 5 mg+Mepyramine Maleate 20 mg/1 g]</x:t>
        </x:is>
      </x:c>
      <x:c r="T78" t="inlineStr">
        <x:is>
          <x:t xml:space="preserve">BDS006745</x:t>
        </x:is>
      </x:c>
      <x:c r="U78" t="inlineStr">
        <x:is>
          <x:t xml:space="preserve">apply thinly BID–TID to itchy area</x:t>
        </x:is>
      </x:c>
      <x:c r="V78" t="inlineStr">
        <x:is>
          <x:t xml:space="preserve">3–5 days</x:t>
        </x:is>
      </x:c>
      <x:c r="W78" t="inlineStr">
        <x:is>
          <x:t xml:space="preserve">1 tube (10 g)</x:t>
        </x:is>
      </x:c>
      <x:c r="X78" t="inlineStr">
        <x:is>
          <x:t xml:space="preserve">local irritation</x:t>
        </x:is>
      </x:c>
      <x:c r="Y78" t="inlineStr">
        <x:is>
          <x:t xml:space="preserve">avoid eye/open wound</x:t>
        </x:is>
      </x:c>
      <x:c r="AA78" t="inlineStr">
        <x:is>
          <x:t xml:space="preserve">Zyrtec [Cetirizine dihydrochloride 10 mg.]</x:t>
        </x:is>
      </x:c>
      <x:c r="AB78" t="inlineStr">
        <x:is>
          <x:t xml:space="preserve">BDS004213</x:t>
        </x:is>
      </x:c>
      <x:c r="AC78" t="inlineStr">
        <x:is>
          <x:t xml:space="preserve">1 tab PO OD if itchy</x:t>
        </x:is>
      </x:c>
      <x:c r="AD78" t="inlineStr">
        <x:is>
          <x:t xml:space="preserve">5 days</x:t>
        </x:is>
      </x:c>
      <x:c r="AE78" t="inlineStr">
        <x:is>
          <x:t xml:space="preserve">1 box (10 tabs)</x:t>
        </x:is>
      </x:c>
      <x:c r="AF78" t="inlineStr">
        <x:is>
          <x:t xml:space="preserve">drowsy, dry mouth</x:t>
        </x:is>
      </x:c>
      <x:c r="AG78" t="inlineStr">
        <x:is>
          <x:t xml:space="preserve">caution driving if sleepy</x:t>
        </x:is>
      </x:c>
      <x:c r="AH78" t="n">
        <x:v>216</x:v>
      </x:c>
      <x:c r="AY78" t="inlineStr">
        <x:is>
          <x:t xml:space="preserve">Diabederm Urea Cream 10% [10% Urea]</x:t>
        </x:is>
      </x:c>
      <x:c r="AZ78" t="inlineStr">
        <x:is>
          <x:t xml:space="preserve">BDS001682</x:t>
        </x:is>
      </x:c>
      <x:c r="BA78" t="inlineStr">
        <x:is>
          <x:t xml:space="preserve">apply to dry skin BID–TID</x:t>
        </x:is>
      </x:c>
      <x:c r="BB78" t="inlineStr">
        <x:is>
          <x:t xml:space="preserve">7 days</x:t>
        </x:is>
      </x:c>
      <x:c r="BC78" t="inlineStr">
        <x:is>
          <x:t xml:space="preserve">1 tube (35 g)</x:t>
        </x:is>
      </x:c>
      <x:c r="BD78" t="inlineStr">
        <x:is>
          <x:t xml:space="preserve">local irritation</x:t>
        </x:is>
      </x:c>
      <x:c r="BE78" t="inlineStr">
        <x:is>
          <x:t xml:space="preserve">avoid open wound</x:t>
        </x:is>
      </x:c>
    </x:row>
    <x:row r="79">
      <x:c r="A79" t="inlineStr">
        <x:is>
          <x:t xml:space="preserve">FRM0078</x:t>
        </x:is>
      </x:c>
      <x:c r="B79" t="inlineStr">
        <x:is>
          <x:t xml:space="preserve">insect_bite_peds</x:t>
        </x:is>
      </x:c>
      <x:c r="C79" t="inlineStr">
        <x:is>
          <x:t xml:space="preserve">Pediatric insect bite reaction</x:t>
        </x:is>
      </x:c>
      <x:c r="D79" t="inlineStr">
        <x:is>
          <x:t xml:space="preserve">Skin</x:t>
        </x:is>
      </x:c>
      <x:c r="E79" t="inlineStr">
        <x:is>
          <x:t xml:space="preserve">peds</x:t>
        </x:is>
      </x:c>
      <x:c r="F79" t="inlineStr">
        <x:is>
          <x:t xml:space="preserve">routine_opd</x:t>
        </x:is>
      </x:c>
      <x:c r="G79" t="inlineStr">
        <x:is>
          <x:t xml:space="preserve">Y</x:t>
        </x:is>
      </x:c>
      <x:c r="H79" t="n">
        <x:v>1</x:v>
      </x:c>
      <x:c r="I79" t="inlineStr">
        <x:is>
          <x:t xml:space="preserve">W57</x:t>
        </x:is>
      </x:c>
      <x:c r="K79" t="inlineStr">
        <x:is>
          <x:t xml:space="preserve">Most likely</x:t>
        </x:is>
      </x:c>
      <x:c r="L79" t="inlineStr">
        <x:is>
          <x:t xml:space="preserve">itchy bite reaction in child without systemic allergy red flags</x:t>
        </x:is>
      </x:c>
      <x:c r="M79" t="inlineStr">
        <x:is>
          <x:t xml:space="preserve">child insect bite reaction / itch without facial swelling or dyspnea</x:t>
        </x:is>
      </x:c>
      <x:c r="N79" t="inlineStr">
        <x:is>
          <x:t xml:space="preserve">facial swelling, dyspnea, fever, or spreading infection</x:t>
        </x:is>
      </x:c>
      <x:c r="O79" t="inlineStr">
        <x:is>
          <x:t xml:space="preserve">N</x:t>
        </x:is>
      </x:c>
      <x:c r="P79" t="inlineStr">
        <x:is>
          <x:t xml:space="preserve">Y</x:t>
        </x:is>
      </x:c>
      <x:c r="Q79" t="inlineStr">
        <x:is>
          <x:t xml:space="preserve">Needs in-person eval today if facial swelling, dyspnea, fever, or rapidly spreading redness</x:t>
        </x:is>
      </x:c>
      <x:c r="R79" t="inlineStr">
        <x:is>
          <x:t xml:space="preserve">v4 added</x:t>
        </x:is>
      </x:c>
      <x:c r="S79" t="inlineStr">
        <x:is>
          <x:t xml:space="preserve">Zyrtec Syrup [Cetirizine 2HCI 1 mg./1 ml.]</x:t>
        </x:is>
      </x:c>
      <x:c r="T79" t="inlineStr">
        <x:is>
          <x:t xml:space="preserve">BDS004212</x:t>
        </x:is>
      </x:c>
      <x:c r="U79" t="inlineStr">
        <x:is>
          <x:t xml:space="preserve">1–2 tsp PO OD</x:t>
        </x:is>
      </x:c>
      <x:c r="V79" t="inlineStr">
        <x:is>
          <x:t xml:space="preserve">3–5 days</x:t>
        </x:is>
      </x:c>
      <x:c r="W79" t="inlineStr">
        <x:is>
          <x:t xml:space="preserve">1 bottle (75 mL)</x:t>
        </x:is>
      </x:c>
      <x:c r="X79" t="inlineStr">
        <x:is>
          <x:t xml:space="preserve">drowsy, dry mouth</x:t>
        </x:is>
      </x:c>
      <x:c r="Y79" t="inlineStr">
        <x:is>
          <x:t xml:space="preserve">verify child age before use</x:t>
        </x:is>
      </x:c>
      <x:c r="Z79" t="n">
        <x:v>250</x:v>
      </x:c>
      <x:c r="AA79" t="inlineStr">
        <x:is>
          <x:t xml:space="preserve">Antergan Cream [Hydrocortisone Acetate 5 mg+Mepyramine Maleate 20 mg/1 g]</x:t>
        </x:is>
      </x:c>
      <x:c r="AB79" t="inlineStr">
        <x:is>
          <x:t xml:space="preserve">BDS006745</x:t>
        </x:is>
      </x:c>
      <x:c r="AC79" t="inlineStr">
        <x:is>
          <x:t xml:space="preserve">apply thinly BID–TID to bite area</x:t>
        </x:is>
      </x:c>
      <x:c r="AD79" t="inlineStr">
        <x:is>
          <x:t xml:space="preserve">3–5 days</x:t>
        </x:is>
      </x:c>
      <x:c r="AE79" t="inlineStr">
        <x:is>
          <x:t xml:space="preserve">1 tube (10 g)</x:t>
        </x:is>
      </x:c>
      <x:c r="AF79" t="inlineStr">
        <x:is>
          <x:t xml:space="preserve">local irritation</x:t>
        </x:is>
      </x:c>
      <x:c r="AG79" t="inlineStr">
        <x:is>
          <x:t xml:space="preserve">avoid eye/open wound</x:t>
        </x:is>
      </x:c>
    </x:row>
    <x:row r="80">
      <x:c r="A80" t="inlineStr">
        <x:is>
          <x:t xml:space="preserve">FRM0079</x:t>
        </x:is>
      </x:c>
      <x:c r="B80" t="inlineStr">
        <x:is>
          <x:t xml:space="preserve">localized_eczema_peds</x:t>
        </x:is>
      </x:c>
      <x:c r="C80" t="inlineStr">
        <x:is>
          <x:t xml:space="preserve">Pediatric localized eczema support</x:t>
        </x:is>
      </x:c>
      <x:c r="D80" t="inlineStr">
        <x:is>
          <x:t xml:space="preserve">Skin</x:t>
        </x:is>
      </x:c>
      <x:c r="E80" t="inlineStr">
        <x:is>
          <x:t xml:space="preserve">peds</x:t>
        </x:is>
      </x:c>
      <x:c r="F80" t="inlineStr">
        <x:is>
          <x:t xml:space="preserve">routine_opd</x:t>
        </x:is>
      </x:c>
      <x:c r="G80" t="inlineStr">
        <x:is>
          <x:t xml:space="preserve">Y</x:t>
        </x:is>
      </x:c>
      <x:c r="H80" t="n">
        <x:v>1</x:v>
      </x:c>
      <x:c r="I80" t="inlineStr">
        <x:is>
          <x:t xml:space="preserve">L30.9</x:t>
        </x:is>
      </x:c>
      <x:c r="K80" t="inlineStr">
        <x:is>
          <x:t xml:space="preserve">Most likely</x:t>
        </x:is>
      </x:c>
      <x:c r="L80" t="inlineStr">
        <x:is>
          <x:t xml:space="preserve">child with small itchy eczema patch without infection</x:t>
        </x:is>
      </x:c>
      <x:c r="M80" t="inlineStr">
        <x:is>
          <x:t xml:space="preserve">localized mild eczema support row for child; verify skin site/extent</x:t>
        </x:is>
      </x:c>
      <x:c r="N80" t="inlineStr">
        <x:is>
          <x:t xml:space="preserve">infected eczema, extensive flare, or facial/eye involvement</x:t>
        </x:is>
      </x:c>
      <x:c r="O80" t="inlineStr">
        <x:is>
          <x:t xml:space="preserve">N</x:t>
        </x:is>
      </x:c>
      <x:c r="P80" t="inlineStr">
        <x:is>
          <x:t xml:space="preserve">Y</x:t>
        </x:is>
      </x:c>
      <x:c r="Q80" t="inlineStr">
        <x:is>
          <x:t xml:space="preserve">Needs in-person eval today if infected eczema, widespread rash, or facial/eye involvement</x:t>
        </x:is>
      </x:c>
      <x:c r="R80" t="inlineStr">
        <x:is>
          <x:t xml:space="preserve">v4 added</x:t>
        </x:is>
      </x:c>
      <x:c r="S80" t="inlineStr">
        <x:is>
          <x:t xml:space="preserve">Aristocort 0.02% [Triamcinolone Acetonide 0.02%]</x:t>
        </x:is>
      </x:c>
      <x:c r="T80" t="inlineStr">
        <x:is>
          <x:t xml:space="preserve">BDS001057</x:t>
        </x:is>
      </x:c>
      <x:c r="U80" t="inlineStr">
        <x:is>
          <x:t xml:space="preserve">apply thinly BID–TID to active itchy area</x:t>
        </x:is>
      </x:c>
      <x:c r="V80" t="inlineStr">
        <x:is>
          <x:t xml:space="preserve">3–5 days</x:t>
        </x:is>
      </x:c>
      <x:c r="W80" t="inlineStr">
        <x:is>
          <x:t xml:space="preserve">1 tube (15 g)</x:t>
        </x:is>
      </x:c>
      <x:c r="X80" t="inlineStr">
        <x:is>
          <x:t xml:space="preserve">local irritation</x:t>
        </x:is>
      </x:c>
      <x:c r="Y80" t="inlineStr">
        <x:is>
          <x:t xml:space="preserve">short course; avoid face/folds/open wound</x:t>
        </x:is>
      </x:c>
      <x:c r="AA80" t="inlineStr">
        <x:is>
          <x:t xml:space="preserve">Diabederm Urea Cream 10% [10% Urea]</x:t>
        </x:is>
      </x:c>
      <x:c r="AB80" t="inlineStr">
        <x:is>
          <x:t xml:space="preserve">BDS001682</x:t>
        </x:is>
      </x:c>
      <x:c r="AC80" t="inlineStr">
        <x:is>
          <x:t xml:space="preserve">apply to dry skin BID–TID</x:t>
        </x:is>
      </x:c>
      <x:c r="AD80" t="inlineStr">
        <x:is>
          <x:t xml:space="preserve">7 days</x:t>
        </x:is>
      </x:c>
      <x:c r="AE80" t="inlineStr">
        <x:is>
          <x:t xml:space="preserve">1 tube (35 g)</x:t>
        </x:is>
      </x:c>
      <x:c r="AF80" t="inlineStr">
        <x:is>
          <x:t xml:space="preserve">local irritation</x:t>
        </x:is>
      </x:c>
      <x:c r="AG80" t="inlineStr">
        <x:is>
          <x:t xml:space="preserve">avoid open wound</x:t>
        </x:is>
      </x:c>
      <x:c r="AY80" t="inlineStr">
        <x:is>
          <x:t xml:space="preserve">Zyrtec Syrup [Cetirizine 2HCI 1 mg./1 ml.]</x:t>
        </x:is>
      </x:c>
      <x:c r="AZ80" t="inlineStr">
        <x:is>
          <x:t xml:space="preserve">BDS004212</x:t>
        </x:is>
      </x:c>
      <x:c r="BA80" t="inlineStr">
        <x:is>
          <x:t xml:space="preserve">1–2 tsp PO OD if itchy</x:t>
        </x:is>
      </x:c>
      <x:c r="BB80" t="inlineStr">
        <x:is>
          <x:t xml:space="preserve">3–5 days</x:t>
        </x:is>
      </x:c>
      <x:c r="BC80" t="inlineStr">
        <x:is>
          <x:t xml:space="preserve">1 bottle (75 mL)</x:t>
        </x:is>
      </x:c>
      <x:c r="BD80" t="inlineStr">
        <x:is>
          <x:t xml:space="preserve">drowsy, dry mouth</x:t>
        </x:is>
      </x:c>
      <x:c r="BE80" t="inlineStr">
        <x:is>
          <x:t xml:space="preserve">verify child age before use</x:t>
        </x:is>
      </x:c>
      <x:c r="BF80" t="n">
        <x:v>250</x:v>
      </x:c>
    </x:row>
    <x:row r="81">
      <x:c r="A81" t="inlineStr">
        <x:is>
          <x:t xml:space="preserve">FRM0080</x:t>
        </x:is>
      </x:c>
      <x:c r="B81" t="inlineStr">
        <x:is>
          <x:t xml:space="preserve">indigestion_postmeal_adult</x:t>
        </x:is>
      </x:c>
      <x:c r="C81" t="inlineStr">
        <x:is>
          <x:t xml:space="preserve">Post-meal indigestion</x:t>
        </x:is>
      </x:c>
      <x:c r="D81" t="inlineStr">
        <x:is>
          <x:t xml:space="preserve">GI</x:t>
        </x:is>
      </x:c>
      <x:c r="E81" t="inlineStr">
        <x:is>
          <x:t xml:space="preserve">adult</x:t>
        </x:is>
      </x:c>
      <x:c r="F81" t="inlineStr">
        <x:is>
          <x:t xml:space="preserve">routine_opd</x:t>
        </x:is>
      </x:c>
      <x:c r="G81" t="inlineStr">
        <x:is>
          <x:t xml:space="preserve">Y</x:t>
        </x:is>
      </x:c>
      <x:c r="H81" t="n">
        <x:v>1</x:v>
      </x:c>
      <x:c r="I81" t="inlineStr">
        <x:is>
          <x:t xml:space="preserve">K30</x:t>
        </x:is>
      </x:c>
      <x:c r="K81" t="inlineStr">
        <x:is>
          <x:t xml:space="preserve">Most likely</x:t>
        </x:is>
      </x:c>
      <x:c r="L81" t="inlineStr">
        <x:is>
          <x:t xml:space="preserve">post-meal fullness/indigestion without alarm features</x:t>
        </x:is>
      </x:c>
      <x:c r="M81" t="inlineStr">
        <x:is>
          <x:t xml:space="preserve">simple post-meal indigestion support row without GI bleeding/weight loss</x:t>
        </x:is>
      </x:c>
      <x:c r="N81" t="inlineStr">
        <x:is>
          <x:t xml:space="preserve">GI bleed, weight loss, severe persistent pain, or vomiting</x:t>
        </x:is>
      </x:c>
      <x:c r="O81" t="inlineStr">
        <x:is>
          <x:t xml:space="preserve">N</x:t>
        </x:is>
      </x:c>
      <x:c r="P81" t="inlineStr">
        <x:is>
          <x:t xml:space="preserve">N</x:t>
        </x:is>
      </x:c>
      <x:c r="Q81" t="inlineStr">
        <x:is>
          <x:t xml:space="preserve">Needs in-person eval today if GI bleed, weight loss, severe persistent pain, or persistent vomiting</x:t>
        </x:is>
      </x:c>
      <x:c r="R81" t="inlineStr">
        <x:is>
          <x:t xml:space="preserve">v4 added</x:t>
        </x:is>
      </x:c>
      <x:c r="S81" t="inlineStr">
        <x:is>
          <x:t xml:space="preserve">Combizym [(Cellulase+Protease+Amylase) 24 mg.+(Lipase+Protease+Amylase) 220 mg.]</x:t>
        </x:is>
      </x:c>
      <x:c r="T81" t="inlineStr">
        <x:is>
          <x:t xml:space="preserve">BDS001465</x:t>
        </x:is>
      </x:c>
      <x:c r="U81" t="inlineStr">
        <x:is>
          <x:t xml:space="preserve">1–2 tabs PO TID after meals</x:t>
        </x:is>
      </x:c>
      <x:c r="V81" t="inlineStr">
        <x:is>
          <x:t xml:space="preserve">3 days</x:t>
        </x:is>
      </x:c>
      <x:c r="W81" t="inlineStr">
        <x:is>
          <x:t xml:space="preserve">1 strip (10 tabs)</x:t>
        </x:is>
      </x:c>
      <x:c r="X81" t="inlineStr">
        <x:is>
          <x:t xml:space="preserve">GI upset</x:t>
        </x:is>
      </x:c>
      <x:c r="Y81" t="inlineStr">
        <x:is>
          <x:t xml:space="preserve">supportive use only</x:t>
        </x:is>
      </x:c>
      <x:c r="AY81" t="inlineStr">
        <x:is>
          <x:t xml:space="preserve">Gaszym [Simethicone 60 mg.+Pancreatin 4NF 200 mg.]</x:t>
        </x:is>
      </x:c>
      <x:c r="AZ81" t="inlineStr">
        <x:is>
          <x:t xml:space="preserve">BDS002043</x:t>
        </x:is>
      </x:c>
      <x:c r="BA81" t="inlineStr">
        <x:is>
          <x:t xml:space="preserve">1–2 tabs PO TID after meals / PRN</x:t>
        </x:is>
      </x:c>
      <x:c r="BB81" t="inlineStr">
        <x:is>
          <x:t xml:space="preserve">3 days</x:t>
        </x:is>
      </x:c>
      <x:c r="BC81" t="inlineStr">
        <x:is>
          <x:t xml:space="preserve">1 strip (10 tabs)</x:t>
        </x:is>
      </x:c>
      <x:c r="BD81" t="inlineStr">
        <x:is>
          <x:t xml:space="preserve">GI upset</x:t>
        </x:is>
      </x:c>
      <x:c r="BE81" t="inlineStr">
        <x:is>
          <x:t xml:space="preserve">supportive use only</x:t>
        </x:is>
      </x:c>
    </x:row>
    <x:row r="82">
      <x:c r="A82" t="inlineStr">
        <x:is>
          <x:t xml:space="preserve">FRM0081</x:t>
        </x:is>
      </x:c>
      <x:c r="B82" t="inlineStr">
        <x:is>
          <x:t xml:space="preserve">digestive_aid_postmeal_adult</x:t>
        </x:is>
      </x:c>
      <x:c r="C82" t="inlineStr">
        <x:is>
          <x:t xml:space="preserve">Digestive-aid support after meals</x:t>
        </x:is>
      </x:c>
      <x:c r="D82" t="inlineStr">
        <x:is>
          <x:t xml:space="preserve">GI</x:t>
        </x:is>
      </x:c>
      <x:c r="E82" t="inlineStr">
        <x:is>
          <x:t xml:space="preserve">adult</x:t>
        </x:is>
      </x:c>
      <x:c r="F82" t="inlineStr">
        <x:is>
          <x:t xml:space="preserve">routine_opd</x:t>
        </x:is>
      </x:c>
      <x:c r="G82" t="inlineStr">
        <x:is>
          <x:t xml:space="preserve">N</x:t>
        </x:is>
      </x:c>
      <x:c r="H82" t="n">
        <x:v>9</x:v>
      </x:c>
      <x:c r="I82" t="inlineStr">
        <x:is>
          <x:t xml:space="preserve">K30</x:t>
        </x:is>
      </x:c>
      <x:c r="K82" t="inlineStr">
        <x:is>
          <x:t xml:space="preserve">Most likely</x:t>
        </x:is>
      </x:c>
      <x:c r="L82" t="inlineStr">
        <x:is>
          <x:t xml:space="preserve">mild dyspepsia/fullness after meals</x:t>
        </x:is>
      </x:c>
      <x:c r="M82" t="inlineStr">
        <x:is>
          <x:t xml:space="preserve">support row for mild post-meal fullness / digestive aid use</x:t>
        </x:is>
      </x:c>
      <x:c r="N82" t="inlineStr">
        <x:is>
          <x:t xml:space="preserve">GI bleed, weight loss, severe pain, or persistent vomiting</x:t>
        </x:is>
      </x:c>
      <x:c r="O82" t="inlineStr">
        <x:is>
          <x:t xml:space="preserve">N</x:t>
        </x:is>
      </x:c>
      <x:c r="P82" t="inlineStr">
        <x:is>
          <x:t xml:space="preserve">N</x:t>
        </x:is>
      </x:c>
      <x:c r="Q82" t="inlineStr">
        <x:is>
          <x:t xml:space="preserve">Needs in-person eval today if GI bleed, weight loss, severe persistent pain, or persistent vomiting</x:t>
        </x:is>
      </x:c>
      <x:c r="R82" t="inlineStr">
        <x:is>
          <x:t xml:space="preserve">v4 added</x:t>
        </x:is>
      </x:c>
      <x:c r="S82" t="inlineStr">
        <x:is>
          <x:t xml:space="preserve">Combizym [(Cellulase+Protease+Amylase) 24 mg.+(Lipase+Protease+Amylase) 220 mg.]</x:t>
        </x:is>
      </x:c>
      <x:c r="T82" t="inlineStr">
        <x:is>
          <x:t xml:space="preserve">BDS001465</x:t>
        </x:is>
      </x:c>
      <x:c r="U82" t="inlineStr">
        <x:is>
          <x:t xml:space="preserve">1–2 tabs PO TID after meals</x:t>
        </x:is>
      </x:c>
      <x:c r="V82" t="inlineStr">
        <x:is>
          <x:t xml:space="preserve">3 days</x:t>
        </x:is>
      </x:c>
      <x:c r="W82" t="inlineStr">
        <x:is>
          <x:t xml:space="preserve">1 strip (10 tabs)</x:t>
        </x:is>
      </x:c>
      <x:c r="X82" t="inlineStr">
        <x:is>
          <x:t xml:space="preserve">GI upset</x:t>
        </x:is>
      </x:c>
      <x:c r="Y82" t="inlineStr">
        <x:is>
          <x:t xml:space="preserve">supportive use only</x:t>
        </x:is>
      </x:c>
      <x:c r="AA82" t="inlineStr">
        <x:is>
          <x:t xml:space="preserve">Gaszym [Simethicone 60 mg.+Pancreatin 4NF 200 mg.]</x:t>
        </x:is>
      </x:c>
      <x:c r="AB82" t="inlineStr">
        <x:is>
          <x:t xml:space="preserve">BDS002043</x:t>
        </x:is>
      </x:c>
      <x:c r="AC82" t="inlineStr">
        <x:is>
          <x:t xml:space="preserve">1–2 tabs PO TID after meals / PRN</x:t>
        </x:is>
      </x:c>
      <x:c r="AD82" t="inlineStr">
        <x:is>
          <x:t xml:space="preserve">3 days</x:t>
        </x:is>
      </x:c>
      <x:c r="AE82" t="inlineStr">
        <x:is>
          <x:t xml:space="preserve">1 strip (10 tabs)</x:t>
        </x:is>
      </x:c>
      <x:c r="AF82" t="inlineStr">
        <x:is>
          <x:t xml:space="preserve">GI upset</x:t>
        </x:is>
      </x:c>
      <x:c r="AG82" t="inlineStr">
        <x:is>
          <x:t xml:space="preserve">supportive use only</x:t>
        </x:is>
      </x:c>
    </x:row>
    <x:row r="83">
      <x:c r="A83" t="inlineStr">
        <x:is>
          <x:t xml:space="preserve">FRM0082</x:t>
        </x:is>
      </x:c>
      <x:c r="B83" t="inlineStr">
        <x:is>
          <x:t xml:space="preserve">abdominal_gas_peds</x:t>
        </x:is>
      </x:c>
      <x:c r="C83" t="inlineStr">
        <x:is>
          <x:t xml:space="preserve">Pediatric abdominal gas / bloating</x:t>
        </x:is>
      </x:c>
      <x:c r="D83" t="inlineStr">
        <x:is>
          <x:t xml:space="preserve">GI</x:t>
        </x:is>
      </x:c>
      <x:c r="E83" t="inlineStr">
        <x:is>
          <x:t xml:space="preserve">peds</x:t>
        </x:is>
      </x:c>
      <x:c r="F83" t="inlineStr">
        <x:is>
          <x:t xml:space="preserve">routine_opd</x:t>
        </x:is>
      </x:c>
      <x:c r="G83" t="inlineStr">
        <x:is>
          <x:t xml:space="preserve">Y</x:t>
        </x:is>
      </x:c>
      <x:c r="H83" t="n">
        <x:v>1</x:v>
      </x:c>
      <x:c r="I83" t="inlineStr">
        <x:is>
          <x:t xml:space="preserve">R14.0</x:t>
        </x:is>
      </x:c>
      <x:c r="K83" t="inlineStr">
        <x:is>
          <x:t xml:space="preserve">Most likely</x:t>
        </x:is>
      </x:c>
      <x:c r="L83" t="inlineStr">
        <x:is>
          <x:t xml:space="preserve">child gas/bloating without acute abdomen red flags</x:t>
        </x:is>
      </x:c>
      <x:c r="M83" t="inlineStr">
        <x:is>
          <x:t xml:space="preserve">child abdominal gas/bloating support without severe pain, vomiting, or distension</x:t>
        </x:is>
      </x:c>
      <x:c r="N83" t="inlineStr">
        <x:is>
          <x:t xml:space="preserve">severe pain, persistent vomiting, distension, or blood in stool</x:t>
        </x:is>
      </x:c>
      <x:c r="O83" t="inlineStr">
        <x:is>
          <x:t xml:space="preserve">N</x:t>
        </x:is>
      </x:c>
      <x:c r="P83" t="inlineStr">
        <x:is>
          <x:t xml:space="preserve">Y</x:t>
        </x:is>
      </x:c>
      <x:c r="Q83" t="inlineStr">
        <x:is>
          <x:t xml:space="preserve">Needs in-person eval today if severe pain, persistent vomiting, blood in stool, or marked abdominal distension</x:t>
        </x:is>
      </x:c>
      <x:c r="R83" t="inlineStr">
        <x:is>
          <x:t xml:space="preserve">v4 added</x:t>
        </x:is>
      </x:c>
      <x:c r="S83" t="inlineStr">
        <x:is>
          <x:t xml:space="preserve">Air-X Drops [Simethicone 40 mg./0.6 ml.]</x:t>
        </x:is>
      </x:c>
      <x:c r="T83" t="inlineStr">
        <x:is>
          <x:t xml:space="preserve">BDS001013</x:t>
        </x:is>
      </x:c>
      <x:c r="U83" t="inlineStr">
        <x:is>
          <x:t xml:space="preserve">0.3 mL PO TID after meals</x:t>
        </x:is>
      </x:c>
      <x:c r="V83" t="inlineStr">
        <x:is>
          <x:t xml:space="preserve">3 days</x:t>
        </x:is>
      </x:c>
      <x:c r="W83" t="inlineStr">
        <x:is>
          <x:t xml:space="preserve">1 bottle (15 mL)</x:t>
        </x:is>
      </x:c>
      <x:c r="X83" t="inlineStr">
        <x:is>
          <x:t xml:space="preserve">minimal GI SE</x:t>
        </x:is>
      </x:c>
      <x:c r="Y83" t="inlineStr">
        <x:is>
          <x:t xml:space="preserve">use label-based child dosing</x:t>
        </x:is>
      </x:c>
      <x:c r="AY83" t="inlineStr">
        <x:is>
          <x:t xml:space="preserve">Berclomine Syrup [Dicyclomine 5 mg.+Simethicone 50 mg./5 ml.]</x:t>
        </x:is>
      </x:c>
      <x:c r="AZ83" t="inlineStr">
        <x:is>
          <x:t xml:space="preserve">BDS008034</x:t>
        </x:is>
      </x:c>
      <x:c r="BA83" t="inlineStr">
        <x:is>
          <x:t xml:space="preserve">1 tsp PO QID before meals</x:t>
        </x:is>
      </x:c>
      <x:c r="BB83" t="inlineStr">
        <x:is>
          <x:t xml:space="preserve">3 days</x:t>
        </x:is>
      </x:c>
      <x:c r="BC83" t="inlineStr">
        <x:is>
          <x:t xml:space="preserve">1 bottle (60 mL)</x:t>
        </x:is>
      </x:c>
      <x:c r="BD83" t="inlineStr">
        <x:is>
          <x:t xml:space="preserve">dry mouth, drowsiness</x:t>
        </x:is>
      </x:c>
      <x:c r="BE83" t="inlineStr">
        <x:is>
          <x:t xml:space="preserve">verify child age before use</x:t>
        </x:is>
      </x:c>
    </x:row>
    <x:row r="84">
      <x:c r="A84" t="inlineStr">
        <x:is>
          <x:t xml:space="preserve">FRM0083</x:t>
        </x:is>
      </x:c>
      <x:c r="B84" t="inlineStr">
        <x:is>
          <x:t xml:space="preserve">abdominal_colic_peds</x:t>
        </x:is>
      </x:c>
      <x:c r="C84" t="inlineStr">
        <x:is>
          <x:t xml:space="preserve">Pediatric abdominal colic support</x:t>
        </x:is>
      </x:c>
      <x:c r="D84" t="inlineStr">
        <x:is>
          <x:t xml:space="preserve">GI</x:t>
        </x:is>
      </x:c>
      <x:c r="E84" t="inlineStr">
        <x:is>
          <x:t xml:space="preserve">peds</x:t>
        </x:is>
      </x:c>
      <x:c r="F84" t="inlineStr">
        <x:is>
          <x:t xml:space="preserve">routine_opd</x:t>
        </x:is>
      </x:c>
      <x:c r="G84" t="inlineStr">
        <x:is>
          <x:t xml:space="preserve">Y</x:t>
        </x:is>
      </x:c>
      <x:c r="H84" t="n">
        <x:v>1</x:v>
      </x:c>
      <x:c r="I84" t="inlineStr">
        <x:is>
          <x:t xml:space="preserve">R10.4</x:t>
        </x:is>
      </x:c>
      <x:c r="K84" t="inlineStr">
        <x:is>
          <x:t xml:space="preserve">Most likely</x:t>
        </x:is>
      </x:c>
      <x:c r="L84" t="inlineStr">
        <x:is>
          <x:t xml:space="preserve">child abdominal cramp/colic without acute abdomen red flags</x:t>
        </x:is>
      </x:c>
      <x:c r="M84" t="inlineStr">
        <x:is>
          <x:t xml:space="preserve">child abdominal colic/cramp support without severe pain, fever, or dehydration</x:t>
        </x:is>
      </x:c>
      <x:c r="N84" t="inlineStr">
        <x:is>
          <x:t xml:space="preserve">localized severe pain, vomiting, fever, or blood in stool</x:t>
        </x:is>
      </x:c>
      <x:c r="O84" t="inlineStr">
        <x:is>
          <x:t xml:space="preserve">N</x:t>
        </x:is>
      </x:c>
      <x:c r="P84" t="inlineStr">
        <x:is>
          <x:t xml:space="preserve">Y</x:t>
        </x:is>
      </x:c>
      <x:c r="Q84" t="inlineStr">
        <x:is>
          <x:t xml:space="preserve">Needs in-person eval today if localized severe pain, vomiting, fever, or blood in stool</x:t>
        </x:is>
      </x:c>
      <x:c r="R84" t="inlineStr">
        <x:is>
          <x:t xml:space="preserve">v4 added</x:t>
        </x:is>
      </x:c>
      <x:c r="S84" t="inlineStr">
        <x:is>
          <x:t xml:space="preserve">Berclomine Syrup [Dicyclomine 5 mg.+Simethicone 50 mg./5 ml.]</x:t>
        </x:is>
      </x:c>
      <x:c r="T84" t="inlineStr">
        <x:is>
          <x:t xml:space="preserve">BDS008034</x:t>
        </x:is>
      </x:c>
      <x:c r="U84" t="inlineStr">
        <x:is>
          <x:t xml:space="preserve">1 tsp PO QID before meals</x:t>
        </x:is>
      </x:c>
      <x:c r="V84" t="inlineStr">
        <x:is>
          <x:t xml:space="preserve">3 days</x:t>
        </x:is>
      </x:c>
      <x:c r="W84" t="inlineStr">
        <x:is>
          <x:t xml:space="preserve">1 bottle (60 mL)</x:t>
        </x:is>
      </x:c>
      <x:c r="X84" t="inlineStr">
        <x:is>
          <x:t xml:space="preserve">dry mouth, drowsiness</x:t>
        </x:is>
      </x:c>
      <x:c r="Y84" t="inlineStr">
        <x:is>
          <x:t xml:space="preserve">verify child age before use</x:t>
        </x:is>
      </x:c>
      <x:c r="AY84" t="inlineStr">
        <x:is>
          <x:t xml:space="preserve">Air-X Drops [Simethicone 40 mg./0.6 ml.]</x:t>
        </x:is>
      </x:c>
      <x:c r="AZ84" t="inlineStr">
        <x:is>
          <x:t xml:space="preserve">BDS001013</x:t>
        </x:is>
      </x:c>
      <x:c r="BA84" t="inlineStr">
        <x:is>
          <x:t xml:space="preserve">0.3 mL PO TID after meals</x:t>
        </x:is>
      </x:c>
      <x:c r="BB84" t="inlineStr">
        <x:is>
          <x:t xml:space="preserve">3 days</x:t>
        </x:is>
      </x:c>
      <x:c r="BC84" t="inlineStr">
        <x:is>
          <x:t xml:space="preserve">1 bottle (15 mL)</x:t>
        </x:is>
      </x:c>
      <x:c r="BD84" t="inlineStr">
        <x:is>
          <x:t xml:space="preserve">minimal GI SE</x:t>
        </x:is>
      </x:c>
      <x:c r="BE84" t="inlineStr">
        <x:is>
          <x:t xml:space="preserve">use label-based child dosing</x:t>
        </x:is>
      </x:c>
    </x:row>
    <x:row r="85">
      <x:c r="A85" t="inlineStr">
        <x:is>
          <x:t xml:space="preserve">FRM0084</x:t>
        </x:is>
      </x:c>
      <x:c r="B85" t="inlineStr">
        <x:is>
          <x:t xml:space="preserve">acute_gastroenteritis_peds_mild</x:t>
        </x:is>
      </x:c>
      <x:c r="C85" t="inlineStr">
        <x:is>
          <x:t xml:space="preserve">Pediatric mild gastroenteritis</x:t>
        </x:is>
      </x:c>
      <x:c r="D85" t="inlineStr">
        <x:is>
          <x:t xml:space="preserve">GI</x:t>
        </x:is>
      </x:c>
      <x:c r="E85" t="inlineStr">
        <x:is>
          <x:t xml:space="preserve">peds</x:t>
        </x:is>
      </x:c>
      <x:c r="F85" t="inlineStr">
        <x:is>
          <x:t xml:space="preserve">routine_opd</x:t>
        </x:is>
      </x:c>
      <x:c r="G85" t="inlineStr">
        <x:is>
          <x:t xml:space="preserve">Y</x:t>
        </x:is>
      </x:c>
      <x:c r="H85" t="n">
        <x:v>1</x:v>
      </x:c>
      <x:c r="I85" t="inlineStr">
        <x:is>
          <x:t xml:space="preserve">A09</x:t>
        </x:is>
      </x:c>
      <x:c r="K85" t="inlineStr">
        <x:is>
          <x:t xml:space="preserve">Most likely</x:t>
        </x:is>
      </x:c>
      <x:c r="L85" t="inlineStr">
        <x:is>
          <x:t xml:space="preserve">mild child diarrhea/gastroenteritis without dysentery or dehydration</x:t>
        </x:is>
      </x:c>
      <x:c r="M85" t="inlineStr">
        <x:is>
          <x:t xml:space="preserve">mild child gastroenteritis outpatient support; verify age/weight for dosing details</x:t>
        </x:is>
      </x:c>
      <x:c r="N85" t="inlineStr">
        <x:is>
          <x:t xml:space="preserve">dehydration, bloody stool, persistent vomiting, or severe pain</x:t>
        </x:is>
      </x:c>
      <x:c r="O85" t="inlineStr">
        <x:is>
          <x:t xml:space="preserve">N</x:t>
        </x:is>
      </x:c>
      <x:c r="P85" t="inlineStr">
        <x:is>
          <x:t xml:space="preserve">Y</x:t>
        </x:is>
      </x:c>
      <x:c r="Q85" t="inlineStr">
        <x:is>
          <x:t xml:space="preserve">Avoid routine antibiotics; Needs in-person eval today if dehydration, bloody stool, persistent vomiting, or severe abdominal pain</x:t>
        </x:is>
      </x:c>
      <x:c r="R85" t="inlineStr">
        <x:is>
          <x:t xml:space="preserve">v4 added</x:t>
        </x:is>
      </x:c>
      <x:c r="S85" t="inlineStr">
        <x:is>
          <x:t xml:space="preserve">Cera ORS รสส้ม [Glucose Anhydrous 3 g.+Sodium Chloride 0.53 g.+Potassium Chloride 0.23 g.+Sodium Citrate Dihydrate 0.44 g.]</x:t>
        </x:is>
      </x:c>
      <x:c r="T85" t="inlineStr">
        <x:is>
          <x:t xml:space="preserve">BDS008282</x:t>
        </x:is>
      </x:c>
      <x:c r="U85" t="inlineStr">
        <x:is>
          <x:t xml:space="preserve">1 sachet in 150 mL water; small frequent sips</x:t>
        </x:is>
      </x:c>
      <x:c r="V85" t="inlineStr">
        <x:is>
          <x:t xml:space="preserve">1–2 days</x:t>
        </x:is>
      </x:c>
      <x:c r="W85" t="inlineStr">
        <x:is>
          <x:t xml:space="preserve">1 box (5 sachets)</x:t>
        </x:is>
      </x:c>
      <x:c r="X85" t="inlineStr">
        <x:is>
          <x:t xml:space="preserve">bloating</x:t>
        </x:is>
      </x:c>
      <x:c r="Y85" t="inlineStr">
        <x:is>
          <x:t xml:space="preserve">supportive rehydration; not individualized replacement plan</x:t>
        </x:is>
      </x:c>
      <x:c r="Z85" t="n">
        <x:v>76</x:v>
      </x:c>
      <x:c r="AA85" t="inlineStr">
        <x:is>
          <x:t xml:space="preserve">Bioflor [Lyophilized Saccharomyces boulardii 250 mg.]</x:t>
        </x:is>
      </x:c>
      <x:c r="AB85" t="inlineStr">
        <x:is>
          <x:t xml:space="preserve">BDS001248</x:t>
        </x:is>
      </x:c>
      <x:c r="AC85" t="inlineStr">
        <x:is>
          <x:t xml:space="preserve">1 sachet PO BID</x:t>
        </x:is>
      </x:c>
      <x:c r="AD85" t="inlineStr">
        <x:is>
          <x:t xml:space="preserve">3 days</x:t>
        </x:is>
      </x:c>
      <x:c r="AE85" t="inlineStr">
        <x:is>
          <x:t xml:space="preserve">6 sachets</x:t>
        </x:is>
      </x:c>
      <x:c r="AF85" t="inlineStr">
        <x:is>
          <x:t xml:space="preserve">bloating</x:t>
        </x:is>
      </x:c>
      <x:c r="AG85" t="inlineStr">
        <x:is>
          <x:t xml:space="preserve">supportive probiotic row; verify child can take sachet</x:t>
        </x:is>
      </x:c>
      <x:c r="AY85" t="inlineStr">
        <x:is>
          <x:t xml:space="preserve">Hidrasec Paediatric 30 mg [Racecadotril 30 mg.]</x:t>
        </x:is>
      </x:c>
      <x:c r="AZ85" t="inlineStr">
        <x:is>
          <x:t xml:space="preserve">BDS002108</x:t>
        </x:is>
      </x:c>
      <x:c r="BA85" t="inlineStr">
        <x:is>
          <x:t xml:space="preserve">1 sachet PO q8h</x:t>
        </x:is>
      </x:c>
      <x:c r="BB85" t="inlineStr">
        <x:is>
          <x:t xml:space="preserve">2–3 days</x:t>
        </x:is>
      </x:c>
      <x:c r="BC85" t="inlineStr">
        <x:is>
          <x:t xml:space="preserve">1 box / unit as needed</x:t>
        </x:is>
      </x:c>
      <x:c r="BD85" t="inlineStr">
        <x:is>
          <x:t xml:space="preserve">nausea</x:t>
        </x:is>
      </x:c>
      <x:c r="BE85" t="inlineStr">
        <x:is>
          <x:t xml:space="preserve">verify age/weight; avoid if bloody stool/high fever</x:t>
        </x:is>
      </x:c>
    </x:row>
    <x:row r="86">
      <x:c r="A86" t="inlineStr">
        <x:is>
          <x:t xml:space="preserve">FRM0085</x:t>
        </x:is>
      </x:c>
      <x:c r="B86" t="inlineStr">
        <x:is>
          <x:t xml:space="preserve">acute_watery_diarrhea_peds_rehydration</x:t>
        </x:is>
      </x:c>
      <x:c r="C86" t="inlineStr">
        <x:is>
          <x:t xml:space="preserve">Pediatric watery diarrhea rehydration support</x:t>
        </x:is>
      </x:c>
      <x:c r="D86" t="inlineStr">
        <x:is>
          <x:t xml:space="preserve">GI</x:t>
        </x:is>
      </x:c>
      <x:c r="E86" t="inlineStr">
        <x:is>
          <x:t xml:space="preserve">peds</x:t>
        </x:is>
      </x:c>
      <x:c r="F86" t="inlineStr">
        <x:is>
          <x:t xml:space="preserve">routine_opd</x:t>
        </x:is>
      </x:c>
      <x:c r="G86" t="inlineStr">
        <x:is>
          <x:t xml:space="preserve">N</x:t>
        </x:is>
      </x:c>
      <x:c r="H86" t="n">
        <x:v>9</x:v>
      </x:c>
      <x:c r="I86" t="inlineStr">
        <x:is>
          <x:t xml:space="preserve">A09</x:t>
        </x:is>
      </x:c>
      <x:c r="K86" t="inlineStr">
        <x:is>
          <x:t xml:space="preserve">Most likely</x:t>
        </x:is>
      </x:c>
      <x:c r="L86" t="inlineStr">
        <x:is>
          <x:t xml:space="preserve">child watery stool needing rehydration-focused support</x:t>
        </x:is>
      </x:c>
      <x:c r="M86" t="inlineStr">
        <x:is>
          <x:t xml:space="preserve">rehydration-first support row for child watery diarrhea</x:t>
        </x:is>
      </x:c>
      <x:c r="N86" t="inlineStr">
        <x:is>
          <x:t xml:space="preserve">dehydration, bloody stool, persistent vomiting, or lethargy</x:t>
        </x:is>
      </x:c>
      <x:c r="O86" t="inlineStr">
        <x:is>
          <x:t xml:space="preserve">N</x:t>
        </x:is>
      </x:c>
      <x:c r="P86" t="inlineStr">
        <x:is>
          <x:t xml:space="preserve">Y</x:t>
        </x:is>
      </x:c>
      <x:c r="Q86" t="inlineStr">
        <x:is>
          <x:t xml:space="preserve">Needs in-person eval today if dehydration, bloody stool, lethargy, or inability to drink</x:t>
        </x:is>
      </x:c>
      <x:c r="R86" t="inlineStr">
        <x:is>
          <x:t xml:space="preserve">v4 added</x:t>
        </x:is>
      </x:c>
      <x:c r="S86" t="inlineStr">
        <x:is>
          <x:t xml:space="preserve">Cera ORS รสส้ม [Glucose Anhydrous 3 g.+Sodium Chloride 0.53 g.+Potassium Chloride 0.23 g.+Sodium Citrate Dihydrate 0.44 g.]</x:t>
        </x:is>
      </x:c>
      <x:c r="T86" t="inlineStr">
        <x:is>
          <x:t xml:space="preserve">BDS008282</x:t>
        </x:is>
      </x:c>
      <x:c r="U86" t="inlineStr">
        <x:is>
          <x:t xml:space="preserve">1 sachet in 150 mL water; small frequent sips</x:t>
        </x:is>
      </x:c>
      <x:c r="V86" t="inlineStr">
        <x:is>
          <x:t xml:space="preserve">1–2 days</x:t>
        </x:is>
      </x:c>
      <x:c r="W86" t="inlineStr">
        <x:is>
          <x:t xml:space="preserve">1 box (5 sachets)</x:t>
        </x:is>
      </x:c>
      <x:c r="X86" t="inlineStr">
        <x:is>
          <x:t xml:space="preserve">bloating</x:t>
        </x:is>
      </x:c>
      <x:c r="Y86" t="inlineStr">
        <x:is>
          <x:t xml:space="preserve">supportive rehydration row only</x:t>
        </x:is>
      </x:c>
      <x:c r="Z86" t="n">
        <x:v>76</x:v>
      </x:c>
      <x:c r="AY86" t="inlineStr">
        <x:is>
          <x:t xml:space="preserve">Hidrasec Paediatric 30 mg [Racecadotril 30 mg.]</x:t>
        </x:is>
      </x:c>
      <x:c r="AZ86" t="inlineStr">
        <x:is>
          <x:t xml:space="preserve">BDS002108</x:t>
        </x:is>
      </x:c>
      <x:c r="BA86" t="inlineStr">
        <x:is>
          <x:t xml:space="preserve">1 sachet PO q8h</x:t>
        </x:is>
      </x:c>
      <x:c r="BB86" t="inlineStr">
        <x:is>
          <x:t xml:space="preserve">2–3 days</x:t>
        </x:is>
      </x:c>
      <x:c r="BC86" t="inlineStr">
        <x:is>
          <x:t xml:space="preserve">1 box / unit as needed</x:t>
        </x:is>
      </x:c>
      <x:c r="BD86" t="inlineStr">
        <x:is>
          <x:t xml:space="preserve">nausea</x:t>
        </x:is>
      </x:c>
      <x:c r="BE86" t="inlineStr">
        <x:is>
          <x:t xml:space="preserve">verify age/weight; avoid if bloody stool/high fever</x:t>
        </x:is>
      </x:c>
    </x:row>
    <x:row r="87">
      <x:c r="A87" t="inlineStr">
        <x:is>
          <x:t xml:space="preserve">FRM0086</x:t>
        </x:is>
      </x:c>
      <x:c r="B87" t="inlineStr">
        <x:is>
          <x:t xml:space="preserve">allergic_rhinitis_peds</x:t>
        </x:is>
      </x:c>
      <x:c r="C87" t="inlineStr">
        <x:is>
          <x:t xml:space="preserve">Pediatric allergic rhinitis</x:t>
        </x:is>
      </x:c>
      <x:c r="D87" t="inlineStr">
        <x:is>
          <x:t xml:space="preserve">ENT</x:t>
        </x:is>
      </x:c>
      <x:c r="E87" t="inlineStr">
        <x:is>
          <x:t xml:space="preserve">peds</x:t>
        </x:is>
      </x:c>
      <x:c r="F87" t="inlineStr">
        <x:is>
          <x:t xml:space="preserve">routine_opd</x:t>
        </x:is>
      </x:c>
      <x:c r="G87" t="inlineStr">
        <x:is>
          <x:t xml:space="preserve">Y</x:t>
        </x:is>
      </x:c>
      <x:c r="H87" t="n">
        <x:v>1</x:v>
      </x:c>
      <x:c r="I87" t="inlineStr">
        <x:is>
          <x:t xml:space="preserve">J30.9</x:t>
        </x:is>
      </x:c>
      <x:c r="K87" t="inlineStr">
        <x:is>
          <x:t xml:space="preserve">Most likely</x:t>
        </x:is>
      </x:c>
      <x:c r="L87" t="inlineStr">
        <x:is>
          <x:t xml:space="preserve">child sneezing/runny nose allergy pattern</x:t>
        </x:is>
      </x:c>
      <x:c r="M87" t="inlineStr">
        <x:is>
          <x:t xml:space="preserve">child allergic rhinitis support row; verify age for syrup use</x:t>
        </x:is>
      </x:c>
      <x:c r="N87" t="inlineStr">
        <x:is>
          <x:t xml:space="preserve">dyspnea, facial swelling, severe sinus pain, or prolonged fever</x:t>
        </x:is>
      </x:c>
      <x:c r="O87" t="inlineStr">
        <x:is>
          <x:t xml:space="preserve">N</x:t>
        </x:is>
      </x:c>
      <x:c r="P87" t="inlineStr">
        <x:is>
          <x:t xml:space="preserve">Y</x:t>
        </x:is>
      </x:c>
      <x:c r="Q87" t="inlineStr">
        <x:is>
          <x:t xml:space="preserve">Needs in-person eval today if dyspnea, facial swelling, severe sinus pain, or persistent high fever</x:t>
        </x:is>
      </x:c>
      <x:c r="R87" t="inlineStr">
        <x:is>
          <x:t xml:space="preserve">v4 added</x:t>
        </x:is>
      </x:c>
      <x:c r="S87" t="inlineStr">
        <x:is>
          <x:t xml:space="preserve">Zyrtec Syrup [Cetirizine 2HCI 1 mg./1 ml.]</x:t>
        </x:is>
      </x:c>
      <x:c r="T87" t="inlineStr">
        <x:is>
          <x:t xml:space="preserve">BDS004212</x:t>
        </x:is>
      </x:c>
      <x:c r="U87" t="inlineStr">
        <x:is>
          <x:t xml:space="preserve">1–2 tsp PO OD</x:t>
        </x:is>
      </x:c>
      <x:c r="V87" t="inlineStr">
        <x:is>
          <x:t xml:space="preserve">5 days</x:t>
        </x:is>
      </x:c>
      <x:c r="W87" t="inlineStr">
        <x:is>
          <x:t xml:space="preserve">1 bottle (75 mL)</x:t>
        </x:is>
      </x:c>
      <x:c r="X87" t="inlineStr">
        <x:is>
          <x:t xml:space="preserve">drowsy, dry mouth</x:t>
        </x:is>
      </x:c>
      <x:c r="Y87" t="inlineStr">
        <x:is>
          <x:t xml:space="preserve">verify child age before use</x:t>
        </x:is>
      </x:c>
      <x:c r="Z87" t="n">
        <x:v>250</x:v>
      </x:c>
      <x:c r="AA87" t="inlineStr">
        <x:is>
          <x:t xml:space="preserve">Klean &amp; Kare Saline เล็ก [Sodium Chloride 0.9 g./100 ml.]</x:t>
        </x:is>
      </x:c>
      <x:c r="AB87" t="inlineStr">
        <x:is>
          <x:t xml:space="preserve">BDS044320</x:t>
        </x:is>
      </x:c>
      <x:c r="AC87" t="inlineStr">
        <x:is>
          <x:t xml:space="preserve">clean/rinse nasal cavity PRN</x:t>
        </x:is>
      </x:c>
      <x:c r="AD87" t="inlineStr">
        <x:is>
          <x:t xml:space="preserve">5 days</x:t>
        </x:is>
      </x:c>
      <x:c r="AE87" t="inlineStr">
        <x:is>
          <x:t xml:space="preserve">1 bottle (100 mL)</x:t>
        </x:is>
      </x:c>
      <x:c r="AF87" t="inlineStr">
        <x:is>
          <x:t xml:space="preserve">mild local discomfort</x:t>
        </x:is>
      </x:c>
      <x:c r="AG87" t="inlineStr">
        <x:is>
          <x:t xml:space="preserve">gentle saline cleaning</x:t>
        </x:is>
      </x:c>
    </x:row>
    <x:row r="88">
      <x:c r="A88" t="inlineStr">
        <x:is>
          <x:t xml:space="preserve">FRM0087</x:t>
        </x:is>
      </x:c>
      <x:c r="B88" t="inlineStr">
        <x:is>
          <x:t xml:space="preserve">uri_wet_cough_peds</x:t>
        </x:is>
      </x:c>
      <x:c r="C88" t="inlineStr">
        <x:is>
          <x:t xml:space="preserve">Pediatric URI with wet cough</x:t>
        </x:is>
      </x:c>
      <x:c r="D88" t="inlineStr">
        <x:is>
          <x:t xml:space="preserve">ENT</x:t>
        </x:is>
      </x:c>
      <x:c r="E88" t="inlineStr">
        <x:is>
          <x:t xml:space="preserve">peds</x:t>
        </x:is>
      </x:c>
      <x:c r="F88" t="inlineStr">
        <x:is>
          <x:t xml:space="preserve">routine_opd</x:t>
        </x:is>
      </x:c>
      <x:c r="G88" t="inlineStr">
        <x:is>
          <x:t xml:space="preserve">Y</x:t>
        </x:is>
      </x:c>
      <x:c r="H88" t="n">
        <x:v>1</x:v>
      </x:c>
      <x:c r="I88" t="inlineStr">
        <x:is>
          <x:t xml:space="preserve">J06.9</x:t>
        </x:is>
      </x:c>
      <x:c r="K88" t="inlineStr">
        <x:is>
          <x:t xml:space="preserve">Most likely</x:t>
        </x:is>
      </x:c>
      <x:c r="L88" t="inlineStr">
        <x:is>
          <x:t xml:space="preserve">child wet cough/sputum without bacterial red flags</x:t>
        </x:is>
      </x:c>
      <x:c r="M88" t="inlineStr">
        <x:is>
          <x:t xml:space="preserve">child URI with wet cough support row; verify syrup age suitability</x:t>
        </x:is>
      </x:c>
      <x:c r="N88" t="inlineStr">
        <x:is>
          <x:t xml:space="preserve">dyspnea, chest indrawing, high fever, or pneumonia concern</x:t>
        </x:is>
      </x:c>
      <x:c r="O88" t="inlineStr">
        <x:is>
          <x:t xml:space="preserve">N</x:t>
        </x:is>
      </x:c>
      <x:c r="P88" t="inlineStr">
        <x:is>
          <x:t xml:space="preserve">Y</x:t>
        </x:is>
      </x:c>
      <x:c r="Q88" t="inlineStr">
        <x:is>
          <x:t xml:space="preserve">Avoid routine antibiotics; Needs in-person eval today if dyspnea, chest indrawing, or persistent high fever</x:t>
        </x:is>
      </x:c>
      <x:c r="R88" t="inlineStr">
        <x:is>
          <x:t xml:space="preserve">v4 added</x:t>
        </x:is>
      </x:c>
      <x:c r="S88" t="inlineStr">
        <x:is>
          <x:t xml:space="preserve">Mucolid Junior บลูเบอร์รี่ [Ambroxol HCl 15 mg./5 ml.]</x:t>
        </x:is>
      </x:c>
      <x:c r="T88" t="inlineStr">
        <x:is>
          <x:t xml:space="preserve">BDS002691</x:t>
        </x:is>
      </x:c>
      <x:c r="U88" t="inlineStr">
        <x:is>
          <x:t xml:space="preserve">2 tsp PO TID</x:t>
        </x:is>
      </x:c>
      <x:c r="V88" t="inlineStr">
        <x:is>
          <x:t xml:space="preserve">3 days</x:t>
        </x:is>
      </x:c>
      <x:c r="W88" t="inlineStr">
        <x:is>
          <x:t xml:space="preserve">1 bottle (60 mL)</x:t>
        </x:is>
      </x:c>
      <x:c r="X88" t="inlineStr">
        <x:is>
          <x:t xml:space="preserve">GI upset</x:t>
        </x:is>
      </x:c>
      <x:c r="Y88" t="inlineStr">
        <x:is>
          <x:t xml:space="preserve">verify child age/size for syrup use</x:t>
        </x:is>
      </x:c>
      <x:c r="AA88" t="inlineStr">
        <x:is>
          <x:t xml:space="preserve">Tylenol Suspension [Paracetamol 160 mg./5 ml.]</x:t>
        </x:is>
      </x:c>
      <x:c r="AB88" t="inlineStr">
        <x:is>
          <x:t xml:space="preserve">BDS003763</x:t>
        </x:is>
      </x:c>
      <x:c r="AC88" t="inlineStr">
        <x:is>
          <x:t xml:space="preserve">5 mL PO q6h PRN fever/pain</x:t>
        </x:is>
      </x:c>
      <x:c r="AD88" t="inlineStr">
        <x:is>
          <x:t xml:space="preserve">3 days</x:t>
        </x:is>
      </x:c>
      <x:c r="AE88" t="inlineStr">
        <x:is>
          <x:t xml:space="preserve">1 bottle (60 mL)</x:t>
        </x:is>
      </x:c>
      <x:c r="AF88" t="inlineStr">
        <x:is>
          <x:t xml:space="preserve">nausea, rash</x:t>
        </x:is>
      </x:c>
      <x:c r="AG88" t="inlineStr">
        <x:is>
          <x:t xml:space="preserve">avoid duplicate paracetamol</x:t>
        </x:is>
      </x:c>
      <x:c r="AY88" t="inlineStr">
        <x:is>
          <x:t xml:space="preserve">Bisolvon EX Syrup เล็ก [Bromhexine HCl 4 mg.+K guaiacolsulphonate 100 mg./5 ml.]</x:t>
        </x:is>
      </x:c>
      <x:c r="AZ88" t="inlineStr">
        <x:is>
          <x:t xml:space="preserve">BDS001257</x:t>
        </x:is>
      </x:c>
      <x:c r="BA88" t="inlineStr">
        <x:is>
          <x:t xml:space="preserve">1–2 tsp PO TID–QID</x:t>
        </x:is>
      </x:c>
      <x:c r="BB88" t="inlineStr">
        <x:is>
          <x:t xml:space="preserve">3 days</x:t>
        </x:is>
      </x:c>
      <x:c r="BC88" t="inlineStr">
        <x:is>
          <x:t xml:space="preserve">1 bottle (60 mL)</x:t>
        </x:is>
      </x:c>
      <x:c r="BD88" t="inlineStr">
        <x:is>
          <x:t xml:space="preserve">GI upset</x:t>
        </x:is>
      </x:c>
      <x:c r="BE88" t="inlineStr">
        <x:is>
          <x:t xml:space="preserve">verify child age/size for syrup use</x:t>
        </x:is>
      </x:c>
      <x:c r="BG88" t="inlineStr">
        <x:is>
          <x:t xml:space="preserve">Facil 100 [Acetylcysteine 100 mg./5 g.]</x:t>
        </x:is>
      </x:c>
      <x:c r="BH88" t="inlineStr">
        <x:is>
          <x:t xml:space="preserve">BDS043123</x:t>
        </x:is>
      </x:c>
      <x:c r="BI88" t="inlineStr">
        <x:is>
          <x:t xml:space="preserve">1 sachet dissolved PO TID</x:t>
        </x:is>
      </x:c>
      <x:c r="BJ88" t="inlineStr">
        <x:is>
          <x:t xml:space="preserve">3 days</x:t>
        </x:is>
      </x:c>
      <x:c r="BK88" t="inlineStr">
        <x:is>
          <x:t xml:space="preserve">3 sachets</x:t>
        </x:is>
      </x:c>
      <x:c r="BL88" t="inlineStr">
        <x:is>
          <x:t xml:space="preserve">GI upset</x:t>
        </x:is>
      </x:c>
      <x:c r="BM88" t="inlineStr">
        <x:is>
          <x:t xml:space="preserve">dissolve before use; verify child can take sachet</x:t>
        </x:is>
      </x:c>
    </x:row>
    <x:row r="89">
      <x:c r="A89" t="inlineStr">
        <x:is>
          <x:t xml:space="preserve">FRM0088</x:t>
        </x:is>
      </x:c>
      <x:c r="B89" t="inlineStr">
        <x:is>
          <x:t xml:space="preserve">post_uri_cough_peds</x:t>
        </x:is>
      </x:c>
      <x:c r="C89" t="inlineStr">
        <x:is>
          <x:t xml:space="preserve">Pediatric post-URI cough support</x:t>
        </x:is>
      </x:c>
      <x:c r="D89" t="inlineStr">
        <x:is>
          <x:t xml:space="preserve">ENT</x:t>
        </x:is>
      </x:c>
      <x:c r="E89" t="inlineStr">
        <x:is>
          <x:t xml:space="preserve">peds</x:t>
        </x:is>
      </x:c>
      <x:c r="F89" t="inlineStr">
        <x:is>
          <x:t xml:space="preserve">routine_opd</x:t>
        </x:is>
      </x:c>
      <x:c r="G89" t="inlineStr">
        <x:is>
          <x:t xml:space="preserve">N</x:t>
        </x:is>
      </x:c>
      <x:c r="H89" t="n">
        <x:v>9</x:v>
      </x:c>
      <x:c r="I89" t="inlineStr">
        <x:is>
          <x:t xml:space="preserve">R05.8</x:t>
        </x:is>
      </x:c>
      <x:c r="K89" t="inlineStr">
        <x:is>
          <x:t xml:space="preserve">Most likely</x:t>
        </x:is>
      </x:c>
      <x:c r="L89" t="inlineStr">
        <x:is>
          <x:t xml:space="preserve">residual cough after child URI without lower respiratory red flags</x:t>
        </x:is>
      </x:c>
      <x:c r="M89" t="inlineStr">
        <x:is>
          <x:t xml:space="preserve">child residual cough support row after URI</x:t>
        </x:is>
      </x:c>
      <x:c r="N89" t="inlineStr">
        <x:is>
          <x:t xml:space="preserve">dyspnea, wheeze, chest indrawing, or worsening cough</x:t>
        </x:is>
      </x:c>
      <x:c r="O89" t="inlineStr">
        <x:is>
          <x:t xml:space="preserve">N</x:t>
        </x:is>
      </x:c>
      <x:c r="P89" t="inlineStr">
        <x:is>
          <x:t xml:space="preserve">Y</x:t>
        </x:is>
      </x:c>
      <x:c r="Q89" t="inlineStr">
        <x:is>
          <x:t xml:space="preserve">Needs in-person eval today if dyspnea, wheeze, chest indrawing, or worsening cough</x:t>
        </x:is>
      </x:c>
      <x:c r="R89" t="inlineStr">
        <x:is>
          <x:t xml:space="preserve">v4 added</x:t>
        </x:is>
      </x:c>
      <x:c r="S89" t="inlineStr">
        <x:is>
          <x:t xml:space="preserve">Bisolvon EX Syrup เล็ก [Bromhexine HCl 4 mg.+K guaiacolsulphonate 100 mg./5 ml.]</x:t>
        </x:is>
      </x:c>
      <x:c r="T89" t="inlineStr">
        <x:is>
          <x:t xml:space="preserve">BDS001257</x:t>
        </x:is>
      </x:c>
      <x:c r="U89" t="inlineStr">
        <x:is>
          <x:t xml:space="preserve">1–2 tsp PO TID–QID</x:t>
        </x:is>
      </x:c>
      <x:c r="V89" t="inlineStr">
        <x:is>
          <x:t xml:space="preserve">3 days</x:t>
        </x:is>
      </x:c>
      <x:c r="W89" t="inlineStr">
        <x:is>
          <x:t xml:space="preserve">1 bottle (60 mL)</x:t>
        </x:is>
      </x:c>
      <x:c r="X89" t="inlineStr">
        <x:is>
          <x:t xml:space="preserve">GI upset</x:t>
        </x:is>
      </x:c>
      <x:c r="Y89" t="inlineStr">
        <x:is>
          <x:t xml:space="preserve">verify child age/size for syrup use</x:t>
        </x:is>
      </x:c>
      <x:c r="AY89" t="inlineStr">
        <x:is>
          <x:t xml:space="preserve">Facil 100 [Acetylcysteine 100 mg./5 g.]</x:t>
        </x:is>
      </x:c>
      <x:c r="AZ89" t="inlineStr">
        <x:is>
          <x:t xml:space="preserve">BDS043123</x:t>
        </x:is>
      </x:c>
      <x:c r="BA89" t="inlineStr">
        <x:is>
          <x:t xml:space="preserve">1 sachet dissolved PO TID</x:t>
        </x:is>
      </x:c>
      <x:c r="BB89" t="inlineStr">
        <x:is>
          <x:t xml:space="preserve">3 days</x:t>
        </x:is>
      </x:c>
      <x:c r="BC89" t="inlineStr">
        <x:is>
          <x:t xml:space="preserve">3 sachets</x:t>
        </x:is>
      </x:c>
      <x:c r="BD89" t="inlineStr">
        <x:is>
          <x:t xml:space="preserve">GI upset</x:t>
        </x:is>
      </x:c>
      <x:c r="BE89" t="inlineStr">
        <x:is>
          <x:t xml:space="preserve">dissolve before use; verify child can take sachet</x:t>
        </x:is>
      </x:c>
    </x:row>
    <x:row r="90">
      <x:c r="A90" t="inlineStr">
        <x:is>
          <x:t xml:space="preserve">FRM0089</x:t>
        </x:is>
      </x:c>
      <x:c r="B90" t="inlineStr">
        <x:is>
          <x:t xml:space="preserve">nasal_irritation_peds</x:t>
        </x:is>
      </x:c>
      <x:c r="C90" t="inlineStr">
        <x:is>
          <x:t xml:space="preserve">Pediatric nasal irritation support</x:t>
        </x:is>
      </x:c>
      <x:c r="D90" t="inlineStr">
        <x:is>
          <x:t xml:space="preserve">ENT</x:t>
        </x:is>
      </x:c>
      <x:c r="E90" t="inlineStr">
        <x:is>
          <x:t xml:space="preserve">peds</x:t>
        </x:is>
      </x:c>
      <x:c r="F90" t="inlineStr">
        <x:is>
          <x:t xml:space="preserve">routine_opd</x:t>
        </x:is>
      </x:c>
      <x:c r="G90" t="inlineStr">
        <x:is>
          <x:t xml:space="preserve">N</x:t>
        </x:is>
      </x:c>
      <x:c r="H90" t="n">
        <x:v>9</x:v>
      </x:c>
      <x:c r="I90" t="inlineStr">
        <x:is>
          <x:t xml:space="preserve">J34.89</x:t>
        </x:is>
      </x:c>
      <x:c r="K90" t="inlineStr">
        <x:is>
          <x:t xml:space="preserve">Most likely</x:t>
        </x:is>
      </x:c>
      <x:c r="L90" t="inlineStr">
        <x:is>
          <x:t xml:space="preserve">child nasal dryness/irritation without major infection</x:t>
        </x:is>
      </x:c>
      <x:c r="M90" t="inlineStr">
        <x:is>
          <x:t xml:space="preserve">child nasal irritation / dryness support row</x:t>
        </x:is>
      </x:c>
      <x:c r="N90" t="inlineStr">
        <x:is>
          <x:t xml:space="preserve">heavy epistaxis, severe pain, or major infection symptoms</x:t>
        </x:is>
      </x:c>
      <x:c r="O90" t="inlineStr">
        <x:is>
          <x:t xml:space="preserve">N</x:t>
        </x:is>
      </x:c>
      <x:c r="P90" t="inlineStr">
        <x:is>
          <x:t xml:space="preserve">Y</x:t>
        </x:is>
      </x:c>
      <x:c r="Q90" t="inlineStr">
        <x:is>
          <x:t xml:space="preserve">Needs in-person eval today if heavy epistaxis, severe pain, or persistent fever with worsening symptoms</x:t>
        </x:is>
      </x:c>
      <x:c r="R90" t="inlineStr">
        <x:is>
          <x:t xml:space="preserve">v4 added</x:t>
        </x:is>
      </x:c>
      <x:c r="S90" t="inlineStr">
        <x:is>
          <x:t xml:space="preserve">Klean &amp; Kare Saline เล็ก [Sodium Chloride 0.9 g./100 ml.]</x:t>
        </x:is>
      </x:c>
      <x:c r="T90" t="inlineStr">
        <x:is>
          <x:t xml:space="preserve">BDS044320</x:t>
        </x:is>
      </x:c>
      <x:c r="U90" t="inlineStr">
        <x:is>
          <x:t xml:space="preserve">clean/rinse nasal cavity PRN</x:t>
        </x:is>
      </x:c>
      <x:c r="V90" t="inlineStr">
        <x:is>
          <x:t xml:space="preserve">5 days</x:t>
        </x:is>
      </x:c>
      <x:c r="W90" t="inlineStr">
        <x:is>
          <x:t xml:space="preserve">1 bottle (100 mL)</x:t>
        </x:is>
      </x:c>
      <x:c r="X90" t="inlineStr">
        <x:is>
          <x:t xml:space="preserve">mild local discomfort</x:t>
        </x:is>
      </x:c>
      <x:c r="Y90" t="inlineStr">
        <x:is>
          <x:t xml:space="preserve">gentle saline cleaning only</x:t>
        </x:is>
      </x:c>
    </x:row>
    <x:row r="91">
      <x:c r="A91" t="inlineStr">
        <x:is>
          <x:t xml:space="preserve">FRM0090</x:t>
        </x:is>
      </x:c>
      <x:c r="B91" t="inlineStr">
        <x:is>
          <x:t xml:space="preserve">oral_thrush_peds</x:t>
        </x:is>
      </x:c>
      <x:c r="C91" t="inlineStr">
        <x:is>
          <x:t xml:space="preserve">Pediatric oral thrush</x:t>
        </x:is>
      </x:c>
      <x:c r="D91" t="inlineStr">
        <x:is>
          <x:t xml:space="preserve">Oral</x:t>
        </x:is>
      </x:c>
      <x:c r="E91" t="inlineStr">
        <x:is>
          <x:t xml:space="preserve">peds</x:t>
        </x:is>
      </x:c>
      <x:c r="F91" t="inlineStr">
        <x:is>
          <x:t xml:space="preserve">routine_opd</x:t>
        </x:is>
      </x:c>
      <x:c r="G91" t="inlineStr">
        <x:is>
          <x:t xml:space="preserve">Y</x:t>
        </x:is>
      </x:c>
      <x:c r="H91" t="n">
        <x:v>1</x:v>
      </x:c>
      <x:c r="I91" t="inlineStr">
        <x:is>
          <x:t xml:space="preserve">B37.0</x:t>
        </x:is>
      </x:c>
      <x:c r="K91" t="inlineStr">
        <x:is>
          <x:t xml:space="preserve">Most likely</x:t>
        </x:is>
      </x:c>
      <x:c r="L91" t="inlineStr">
        <x:is>
          <x:t xml:space="preserve">white oral plaques / thrush-like lesions in child</x:t>
        </x:is>
      </x:c>
      <x:c r="M91" t="inlineStr">
        <x:is>
          <x:t xml:space="preserve">pediatric oral thrush support row</x:t>
        </x:is>
      </x:c>
      <x:c r="N91" t="inlineStr">
        <x:is>
          <x:t xml:space="preserve">poor feeding, dehydration, extensive oral disease, or immunocompromise</x:t>
        </x:is>
      </x:c>
      <x:c r="O91" t="inlineStr">
        <x:is>
          <x:t xml:space="preserve">N</x:t>
        </x:is>
      </x:c>
      <x:c r="P91" t="inlineStr">
        <x:is>
          <x:t xml:space="preserve">Y</x:t>
        </x:is>
      </x:c>
      <x:c r="Q91" t="inlineStr">
        <x:is>
          <x:t xml:space="preserve">Needs in-person eval today if poor feeding, dehydration, or extensive oral disease</x:t>
        </x:is>
      </x:c>
      <x:c r="R91" t="inlineStr">
        <x:is>
          <x:t xml:space="preserve">v4 added</x:t>
        </x:is>
      </x:c>
      <x:c r="S91" t="inlineStr">
        <x:is>
          <x:t xml:space="preserve">Nyst Oral [Nystatin 100,000 Unit/1 ml.]</x:t>
        </x:is>
      </x:c>
      <x:c r="T91" t="inlineStr">
        <x:is>
          <x:t xml:space="preserve">BDS045631</x:t>
        </x:is>
      </x:c>
      <x:c r="U91" t="inlineStr">
        <x:is>
          <x:t xml:space="preserve">1 dropper PO QID after meals and HS</x:t>
        </x:is>
      </x:c>
      <x:c r="V91" t="inlineStr">
        <x:is>
          <x:t xml:space="preserve">5–7 days</x:t>
        </x:is>
      </x:c>
      <x:c r="W91" t="inlineStr">
        <x:is>
          <x:t xml:space="preserve">1 bottle (12 mL)</x:t>
        </x:is>
      </x:c>
      <x:c r="X91" t="inlineStr">
        <x:is>
          <x:t xml:space="preserve">bad taste, mild GI upset</x:t>
        </x:is>
      </x:c>
      <x:c r="Y91" t="inlineStr">
        <x:is>
          <x:t xml:space="preserve">keep in mouth before swallowing when possible; verify child can tolerate</x:t>
        </x:is>
      </x:c>
    </x:row>
    <x:row r="92">
      <x:c r="A92" t="inlineStr">
        <x:is>
          <x:t xml:space="preserve">FRM0091</x:t>
        </x:is>
      </x:c>
      <x:c r="B92" t="inlineStr">
        <x:is>
          <x:t xml:space="preserve">viral_fever_peds_support</x:t>
        </x:is>
      </x:c>
      <x:c r="C92" t="inlineStr">
        <x:is>
          <x:t xml:space="preserve">Pediatric viral fever support</x:t>
        </x:is>
      </x:c>
      <x:c r="D92" t="inlineStr">
        <x:is>
          <x:t xml:space="preserve">General</x:t>
        </x:is>
      </x:c>
      <x:c r="E92" t="inlineStr">
        <x:is>
          <x:t xml:space="preserve">peds</x:t>
        </x:is>
      </x:c>
      <x:c r="F92" t="inlineStr">
        <x:is>
          <x:t xml:space="preserve">routine_opd</x:t>
        </x:is>
      </x:c>
      <x:c r="G92" t="inlineStr">
        <x:is>
          <x:t xml:space="preserve">N</x:t>
        </x:is>
      </x:c>
      <x:c r="H92" t="n">
        <x:v>9</x:v>
      </x:c>
      <x:c r="I92" t="inlineStr">
        <x:is>
          <x:t xml:space="preserve">B34.9</x:t>
        </x:is>
      </x:c>
      <x:c r="K92" t="inlineStr">
        <x:is>
          <x:t xml:space="preserve">Most likely</x:t>
        </x:is>
      </x:c>
      <x:c r="L92" t="inlineStr">
        <x:is>
          <x:t xml:space="preserve">simple child fever/body ache support without focal bacterial red flags</x:t>
        </x:is>
      </x:c>
      <x:c r="M92" t="inlineStr">
        <x:is>
          <x:t xml:space="preserve">pediatric supportive fever row when no red flags and dosing is label-based starter only</x:t>
        </x:is>
      </x:c>
      <x:c r="N92" t="inlineStr">
        <x:is>
          <x:t xml:space="preserve">lethargy, dehydration, dyspnea, or persistent high fever</x:t>
        </x:is>
      </x:c>
      <x:c r="O92" t="inlineStr">
        <x:is>
          <x:t xml:space="preserve">N</x:t>
        </x:is>
      </x:c>
      <x:c r="P92" t="inlineStr">
        <x:is>
          <x:t xml:space="preserve">Y</x:t>
        </x:is>
      </x:c>
      <x:c r="Q92" t="inlineStr">
        <x:is>
          <x:t xml:space="preserve">Avoid routine antibiotics; Needs in-person eval today if lethargy, dehydration, dyspnea, or persistent high fever</x:t>
        </x:is>
      </x:c>
      <x:c r="R92" t="inlineStr">
        <x:is>
          <x:t xml:space="preserve">v4 added</x:t>
        </x:is>
      </x:c>
      <x:c r="S92" t="inlineStr">
        <x:is>
          <x:t xml:space="preserve">Tylenol Suspension [Paracetamol 160 mg./5 ml.]</x:t>
        </x:is>
      </x:c>
      <x:c r="T92" t="inlineStr">
        <x:is>
          <x:t xml:space="preserve">BDS003763</x:t>
        </x:is>
      </x:c>
      <x:c r="U92" t="inlineStr">
        <x:is>
          <x:t xml:space="preserve">5 mL PO q6h PRN fever/pain</x:t>
        </x:is>
      </x:c>
      <x:c r="V92" t="inlineStr">
        <x:is>
          <x:t xml:space="preserve">3 days</x:t>
        </x:is>
      </x:c>
      <x:c r="W92" t="inlineStr">
        <x:is>
          <x:t xml:space="preserve">1 bottle (60 mL)</x:t>
        </x:is>
      </x:c>
      <x:c r="X92" t="inlineStr">
        <x:is>
          <x:t xml:space="preserve">nausea, rash</x:t>
        </x:is>
      </x:c>
      <x:c r="Y92" t="inlineStr">
        <x:is>
          <x:t xml:space="preserve">verify child weight; avoid duplicate paracetamol</x:t>
        </x:is>
      </x:c>
    </x:row>
    <x:row r="93">
      <x:c r="A93" t="inlineStr">
        <x:is>
          <x:t xml:space="preserve">FRM0092</x:t>
        </x:is>
      </x:c>
      <x:c r="B93" t="inlineStr">
        <x:is>
          <x:t xml:space="preserve">bacterial_conjunctivitis_adult</x:t>
        </x:is>
      </x:c>
      <x:c r="C93" t="inlineStr">
        <x:is>
          <x:t xml:space="preserve">Acute bacterial conjunctivitis</x:t>
        </x:is>
      </x:c>
      <x:c r="D93" t="inlineStr">
        <x:is>
          <x:t xml:space="preserve">Eye</x:t>
        </x:is>
      </x:c>
      <x:c r="E93" t="inlineStr">
        <x:is>
          <x:t xml:space="preserve">adult</x:t>
        </x:is>
      </x:c>
      <x:c r="F93" t="inlineStr">
        <x:is>
          <x:t xml:space="preserve">routine_opd</x:t>
        </x:is>
      </x:c>
      <x:c r="G93" t="inlineStr">
        <x:is>
          <x:t xml:space="preserve">Y</x:t>
        </x:is>
      </x:c>
      <x:c r="H93" t="n">
        <x:v>1</x:v>
      </x:c>
      <x:c r="I93" t="inlineStr">
        <x:is>
          <x:t xml:space="preserve">H10.9</x:t>
        </x:is>
      </x:c>
      <x:c r="K93" t="inlineStr">
        <x:is>
          <x:t xml:space="preserve">Most likely</x:t>
        </x:is>
      </x:c>
      <x:c r="L93" t="inlineStr">
        <x:is>
          <x:t xml:space="preserve">purulent discharge / sticky lids / bacterial pattern</x:t>
        </x:is>
      </x:c>
      <x:c r="M93" t="inlineStr">
        <x:is>
          <x:t xml:space="preserve">bacterial conjunctivitis is likely; use topical eye antibiotic only when bacterial features are present</x:t>
        </x:is>
      </x:c>
      <x:c r="N93" t="inlineStr">
        <x:is>
          <x:t xml:space="preserve">severe pain, photophobia, contact lens keratitis concern, or vision change</x:t>
        </x:is>
      </x:c>
      <x:c r="O93" t="inlineStr">
        <x:is>
          <x:t xml:space="preserve">Y</x:t>
        </x:is>
      </x:c>
      <x:c r="P93" t="inlineStr">
        <x:is>
          <x:t xml:space="preserve">N</x:t>
        </x:is>
      </x:c>
      <x:c r="Q93" t="inlineStr">
        <x:is>
          <x:t xml:space="preserve">Needs in-person eval today if severe pain, photophobia, contact lens keratitis concern, or reduced vision</x:t>
        </x:is>
      </x:c>
      <x:c r="R93" t="inlineStr">
        <x:is>
          <x:t xml:space="preserve">v5 added</x:t>
        </x:is>
      </x:c>
      <x:c r="S93" t="inlineStr">
        <x:is>
          <x:t xml:space="preserve">ChlorOph Eye Drops [Chloramphenicol 5 mg./1 ml.]</x:t>
        </x:is>
      </x:c>
      <x:c r="T93" t="inlineStr">
        <x:is>
          <x:t xml:space="preserve">BDS001437</x:t>
        </x:is>
      </x:c>
      <x:c r="U93" t="inlineStr">
        <x:is>
          <x:t xml:space="preserve">2–3 drops affected eye QID–5x/day</x:t>
        </x:is>
      </x:c>
      <x:c r="V93" t="inlineStr">
        <x:is>
          <x:t xml:space="preserve">5 days</x:t>
        </x:is>
      </x:c>
      <x:c r="W93" t="inlineStr">
        <x:is>
          <x:t xml:space="preserve">1 bottle (5 mL)</x:t>
        </x:is>
      </x:c>
      <x:c r="X93" t="inlineStr">
        <x:is>
          <x:t xml:space="preserve">local eye irritation</x:t>
        </x:is>
      </x:c>
      <x:c r="Y93" t="inlineStr">
        <x:is>
          <x:t xml:space="preserve">remove contact lenses; if worsening seek eval</x:t>
        </x:is>
      </x:c>
      <x:c r="AY93" t="inlineStr">
        <x:is>
          <x:t xml:space="preserve">Fucithalmic Eye Drops [Fusidic acid 10 mg.+Preservative (Benzalkonium chloride 0.1%)/ 1 g.]</x:t>
        </x:is>
      </x:c>
      <x:c r="AZ93" t="inlineStr">
        <x:is>
          <x:t xml:space="preserve">BDS001847</x:t>
        </x:is>
      </x:c>
      <x:c r="BA93" t="inlineStr">
        <x:is>
          <x:t xml:space="preserve">1 drop affected eye BID</x:t>
        </x:is>
      </x:c>
      <x:c r="BB93" t="inlineStr">
        <x:is>
          <x:t xml:space="preserve">5 days</x:t>
        </x:is>
      </x:c>
      <x:c r="BC93" t="inlineStr">
        <x:is>
          <x:t xml:space="preserve">1 tube (5 g)</x:t>
        </x:is>
      </x:c>
      <x:c r="BD93" t="inlineStr">
        <x:is>
          <x:t xml:space="preserve">local eye irritation</x:t>
        </x:is>
      </x:c>
      <x:c r="BE93" t="inlineStr">
        <x:is>
          <x:t xml:space="preserve">ophthalmic use only; remove contact lenses</x:t>
        </x:is>
      </x:c>
      <x:c r="BG93" t="inlineStr">
        <x:is>
          <x:t xml:space="preserve">Terramycin Ophthalmic Ointment [Oxytetracycline HCl 5 mg.+Polymyxin B Sulfate 10,000 units/1 g.]</x:t>
        </x:is>
      </x:c>
      <x:c r="BH93" t="inlineStr">
        <x:is>
          <x:t xml:space="preserve">BDS003721</x:t>
        </x:is>
      </x:c>
      <x:c r="BI93" t="inlineStr">
        <x:is>
          <x:t xml:space="preserve">apply ophthalmic ointment HS</x:t>
        </x:is>
      </x:c>
      <x:c r="BJ93" t="inlineStr">
        <x:is>
          <x:t xml:space="preserve">5 days</x:t>
        </x:is>
      </x:c>
      <x:c r="BK93" t="inlineStr">
        <x:is>
          <x:t xml:space="preserve">1 tube (3.5 g)</x:t>
        </x:is>
      </x:c>
      <x:c r="BL93" t="inlineStr">
        <x:is>
          <x:t xml:space="preserve">blurred vision after application</x:t>
        </x:is>
      </x:c>
      <x:c r="BM93" t="inlineStr">
        <x:is>
          <x:t xml:space="preserve">ophthalmic use only</x:t>
        </x:is>
      </x:c>
    </x:row>
    <x:row r="94">
      <x:c r="A94" t="inlineStr">
        <x:is>
          <x:t xml:space="preserve">FRM0093</x:t>
        </x:is>
      </x:c>
      <x:c r="B94" t="inlineStr">
        <x:is>
          <x:t xml:space="preserve">bacterial_conjunctivitis_peds</x:t>
        </x:is>
      </x:c>
      <x:c r="C94" t="inlineStr">
        <x:is>
          <x:t xml:space="preserve">Pediatric bacterial conjunctivitis</x:t>
        </x:is>
      </x:c>
      <x:c r="D94" t="inlineStr">
        <x:is>
          <x:t xml:space="preserve">Eye</x:t>
        </x:is>
      </x:c>
      <x:c r="E94" t="inlineStr">
        <x:is>
          <x:t xml:space="preserve">peds</x:t>
        </x:is>
      </x:c>
      <x:c r="F94" t="inlineStr">
        <x:is>
          <x:t xml:space="preserve">routine_opd</x:t>
        </x:is>
      </x:c>
      <x:c r="G94" t="inlineStr">
        <x:is>
          <x:t xml:space="preserve">Y</x:t>
        </x:is>
      </x:c>
      <x:c r="H94" t="n">
        <x:v>1</x:v>
      </x:c>
      <x:c r="I94" t="inlineStr">
        <x:is>
          <x:t xml:space="preserve">H10.9</x:t>
        </x:is>
      </x:c>
      <x:c r="K94" t="inlineStr">
        <x:is>
          <x:t xml:space="preserve">Most likely</x:t>
        </x:is>
      </x:c>
      <x:c r="L94" t="inlineStr">
        <x:is>
          <x:t xml:space="preserve">child sticky lids / purulent discharge / bacterial pattern</x:t>
        </x:is>
      </x:c>
      <x:c r="M94" t="inlineStr">
        <x:is>
          <x:t xml:space="preserve">child bacterial conjunctivitis is likely; topical eye antibiotic row</x:t>
        </x:is>
      </x:c>
      <x:c r="N94" t="inlineStr">
        <x:is>
          <x:t xml:space="preserve">severe pain, photophobia, trauma, or reduced vision</x:t>
        </x:is>
      </x:c>
      <x:c r="O94" t="inlineStr">
        <x:is>
          <x:t xml:space="preserve">Y</x:t>
        </x:is>
      </x:c>
      <x:c r="P94" t="inlineStr">
        <x:is>
          <x:t xml:space="preserve">Y</x:t>
        </x:is>
      </x:c>
      <x:c r="Q94" t="inlineStr">
        <x:is>
          <x:t xml:space="preserve">Needs in-person eval today if severe pain, photophobia, trauma, or reduced vision</x:t>
        </x:is>
      </x:c>
      <x:c r="R94" t="inlineStr">
        <x:is>
          <x:t xml:space="preserve">v5 added</x:t>
        </x:is>
      </x:c>
      <x:c r="S94" t="inlineStr">
        <x:is>
          <x:t xml:space="preserve">ChlorOph Eye Drops [Chloramphenicol 5 mg./1 ml.]</x:t>
        </x:is>
      </x:c>
      <x:c r="T94" t="inlineStr">
        <x:is>
          <x:t xml:space="preserve">BDS001437</x:t>
        </x:is>
      </x:c>
      <x:c r="U94" t="inlineStr">
        <x:is>
          <x:t xml:space="preserve">2–3 drops affected eye QID–5x/day</x:t>
        </x:is>
      </x:c>
      <x:c r="V94" t="inlineStr">
        <x:is>
          <x:t xml:space="preserve">5 days</x:t>
        </x:is>
      </x:c>
      <x:c r="W94" t="inlineStr">
        <x:is>
          <x:t xml:space="preserve">1 bottle (5 mL)</x:t>
        </x:is>
      </x:c>
      <x:c r="X94" t="inlineStr">
        <x:is>
          <x:t xml:space="preserve">local eye irritation</x:t>
        </x:is>
      </x:c>
      <x:c r="Y94" t="inlineStr">
        <x:is>
          <x:t xml:space="preserve">remove contact lenses; if worsening seek eval</x:t>
        </x:is>
      </x:c>
      <x:c r="AY94" t="inlineStr">
        <x:is>
          <x:t xml:space="preserve">Fucithalmic Eye Drops [Fusidic acid 10 mg.+Preservative (Benzalkonium chloride 0.1%)/ 1 g.]</x:t>
        </x:is>
      </x:c>
      <x:c r="AZ94" t="inlineStr">
        <x:is>
          <x:t xml:space="preserve">BDS001847</x:t>
        </x:is>
      </x:c>
      <x:c r="BA94" t="inlineStr">
        <x:is>
          <x:t xml:space="preserve">1 drop affected eye BID</x:t>
        </x:is>
      </x:c>
      <x:c r="BB94" t="inlineStr">
        <x:is>
          <x:t xml:space="preserve">5 days</x:t>
        </x:is>
      </x:c>
      <x:c r="BC94" t="inlineStr">
        <x:is>
          <x:t xml:space="preserve">1 tube (5 g)</x:t>
        </x:is>
      </x:c>
      <x:c r="BD94" t="inlineStr">
        <x:is>
          <x:t xml:space="preserve">local eye irritation</x:t>
        </x:is>
      </x:c>
      <x:c r="BE94" t="inlineStr">
        <x:is>
          <x:t xml:space="preserve">ophthalmic use only; remove contact lenses</x:t>
        </x:is>
      </x:c>
    </x:row>
    <x:row r="95">
      <x:c r="A95" t="inlineStr">
        <x:is>
          <x:t xml:space="preserve">FRM0094</x:t>
        </x:is>
      </x:c>
      <x:c r="B95" t="inlineStr">
        <x:is>
          <x:t xml:space="preserve">bacterial_eyelid_infection_adult</x:t>
        </x:is>
      </x:c>
      <x:c r="C95" t="inlineStr">
        <x:is>
          <x:t xml:space="preserve">Bacterial eyelid infection / stye support</x:t>
        </x:is>
      </x:c>
      <x:c r="D95" t="inlineStr">
        <x:is>
          <x:t xml:space="preserve">Eye</x:t>
        </x:is>
      </x:c>
      <x:c r="E95" t="inlineStr">
        <x:is>
          <x:t xml:space="preserve">adult</x:t>
        </x:is>
      </x:c>
      <x:c r="F95" t="inlineStr">
        <x:is>
          <x:t xml:space="preserve">routine_opd</x:t>
        </x:is>
      </x:c>
      <x:c r="G95" t="inlineStr">
        <x:is>
          <x:t xml:space="preserve">Y</x:t>
        </x:is>
      </x:c>
      <x:c r="H95" t="n">
        <x:v>1</x:v>
      </x:c>
      <x:c r="I95" t="inlineStr">
        <x:is>
          <x:t xml:space="preserve">H00.0</x:t>
        </x:is>
      </x:c>
      <x:c r="K95" t="inlineStr">
        <x:is>
          <x:t xml:space="preserve">Most likely</x:t>
        </x:is>
      </x:c>
      <x:c r="L95" t="inlineStr">
        <x:is>
          <x:t xml:space="preserve">localized eyelid infection/stye pattern without orbital red flags</x:t>
        </x:is>
      </x:c>
      <x:c r="M95" t="inlineStr">
        <x:is>
          <x:t xml:space="preserve">small bacterial eyelid lesion/stye support row</x:t>
        </x:is>
      </x:c>
      <x:c r="N95" t="inlineStr">
        <x:is>
          <x:t xml:space="preserve">diffuse eyelid swelling, fever, pain with eye movement, or vision change</x:t>
        </x:is>
      </x:c>
      <x:c r="O95" t="inlineStr">
        <x:is>
          <x:t xml:space="preserve">Y</x:t>
        </x:is>
      </x:c>
      <x:c r="P95" t="inlineStr">
        <x:is>
          <x:t xml:space="preserve">N</x:t>
        </x:is>
      </x:c>
      <x:c r="Q95" t="inlineStr">
        <x:is>
          <x:t xml:space="preserve">Needs in-person eval today if diffuse eyelid swelling, fever, pain with eye movement, or reduced vision</x:t>
        </x:is>
      </x:c>
      <x:c r="R95" t="inlineStr">
        <x:is>
          <x:t xml:space="preserve">v5 added</x:t>
        </x:is>
      </x:c>
      <x:c r="S95" t="inlineStr">
        <x:is>
          <x:t xml:space="preserve">Terramycin Ophthalmic Ointment [Oxytetracycline HCl 5 mg.+Polymyxin B Sulfate 10,000 units/1 g.]</x:t>
        </x:is>
      </x:c>
      <x:c r="T95" t="inlineStr">
        <x:is>
          <x:t xml:space="preserve">BDS003721</x:t>
        </x:is>
      </x:c>
      <x:c r="U95" t="inlineStr">
        <x:is>
          <x:t xml:space="preserve">apply ophthalmic ointment HS</x:t>
        </x:is>
      </x:c>
      <x:c r="V95" t="inlineStr">
        <x:is>
          <x:t xml:space="preserve">5 days</x:t>
        </x:is>
      </x:c>
      <x:c r="W95" t="inlineStr">
        <x:is>
          <x:t xml:space="preserve">1 tube (3.5 g)</x:t>
        </x:is>
      </x:c>
      <x:c r="X95" t="inlineStr">
        <x:is>
          <x:t xml:space="preserve">blurred vision after application</x:t>
        </x:is>
      </x:c>
      <x:c r="Y95" t="inlineStr">
        <x:is>
          <x:t xml:space="preserve">ophthalmic use only</x:t>
        </x:is>
      </x:c>
      <x:c r="AY95" t="inlineStr">
        <x:is>
          <x:t xml:space="preserve">Fucithalmic Eye Drops [Fusidic acid 10 mg.+Preservative (Benzalkonium chloride 0.1%)/ 1 g.]</x:t>
        </x:is>
      </x:c>
      <x:c r="AZ95" t="inlineStr">
        <x:is>
          <x:t xml:space="preserve">BDS001847</x:t>
        </x:is>
      </x:c>
      <x:c r="BA95" t="inlineStr">
        <x:is>
          <x:t xml:space="preserve">1 drop affected eye BID</x:t>
        </x:is>
      </x:c>
      <x:c r="BB95" t="inlineStr">
        <x:is>
          <x:t xml:space="preserve">5 days</x:t>
        </x:is>
      </x:c>
      <x:c r="BC95" t="inlineStr">
        <x:is>
          <x:t xml:space="preserve">1 tube (5 g)</x:t>
        </x:is>
      </x:c>
      <x:c r="BD95" t="inlineStr">
        <x:is>
          <x:t xml:space="preserve">local eye irritation</x:t>
        </x:is>
      </x:c>
      <x:c r="BE95" t="inlineStr">
        <x:is>
          <x:t xml:space="preserve">ophthalmic use only; remove contact lenses</x:t>
        </x:is>
      </x:c>
    </x:row>
    <x:row r="96">
      <x:c r="A96" t="inlineStr">
        <x:is>
          <x:t xml:space="preserve">FRM0095</x:t>
        </x:is>
      </x:c>
      <x:c r="B96" t="inlineStr">
        <x:is>
          <x:t xml:space="preserve">bacterial_eyelid_infection_peds</x:t>
        </x:is>
      </x:c>
      <x:c r="C96" t="inlineStr">
        <x:is>
          <x:t xml:space="preserve">Pediatric bacterial eyelid infection / stye support</x:t>
        </x:is>
      </x:c>
      <x:c r="D96" t="inlineStr">
        <x:is>
          <x:t xml:space="preserve">Eye</x:t>
        </x:is>
      </x:c>
      <x:c r="E96" t="inlineStr">
        <x:is>
          <x:t xml:space="preserve">peds</x:t>
        </x:is>
      </x:c>
      <x:c r="F96" t="inlineStr">
        <x:is>
          <x:t xml:space="preserve">routine_opd</x:t>
        </x:is>
      </x:c>
      <x:c r="G96" t="inlineStr">
        <x:is>
          <x:t xml:space="preserve">Y</x:t>
        </x:is>
      </x:c>
      <x:c r="H96" t="n">
        <x:v>1</x:v>
      </x:c>
      <x:c r="I96" t="inlineStr">
        <x:is>
          <x:t xml:space="preserve">H00.0</x:t>
        </x:is>
      </x:c>
      <x:c r="K96" t="inlineStr">
        <x:is>
          <x:t xml:space="preserve">Most likely</x:t>
        </x:is>
      </x:c>
      <x:c r="L96" t="inlineStr">
        <x:is>
          <x:t xml:space="preserve">child stye/eyelid infection pattern without orbital red flags</x:t>
        </x:is>
      </x:c>
      <x:c r="M96" t="inlineStr">
        <x:is>
          <x:t xml:space="preserve">child stye/eyelid infection support row</x:t>
        </x:is>
      </x:c>
      <x:c r="N96" t="inlineStr">
        <x:is>
          <x:t xml:space="preserve">diffuse swelling, fever, pain with eye movement, or reduced vision</x:t>
        </x:is>
      </x:c>
      <x:c r="O96" t="inlineStr">
        <x:is>
          <x:t xml:space="preserve">Y</x:t>
        </x:is>
      </x:c>
      <x:c r="P96" t="inlineStr">
        <x:is>
          <x:t xml:space="preserve">Y</x:t>
        </x:is>
      </x:c>
      <x:c r="Q96" t="inlineStr">
        <x:is>
          <x:t xml:space="preserve">Needs in-person eval today if diffuse swelling, fever, pain with eye movement, or reduced vision</x:t>
        </x:is>
      </x:c>
      <x:c r="R96" t="inlineStr">
        <x:is>
          <x:t xml:space="preserve">v5 added</x:t>
        </x:is>
      </x:c>
      <x:c r="S96" t="inlineStr">
        <x:is>
          <x:t xml:space="preserve">Terramycin Ophthalmic Ointment [Oxytetracycline HCl 5 mg.+Polymyxin B Sulfate 10,000 units/1 g.]</x:t>
        </x:is>
      </x:c>
      <x:c r="T96" t="inlineStr">
        <x:is>
          <x:t xml:space="preserve">BDS003721</x:t>
        </x:is>
      </x:c>
      <x:c r="U96" t="inlineStr">
        <x:is>
          <x:t xml:space="preserve">apply ophthalmic ointment HS</x:t>
        </x:is>
      </x:c>
      <x:c r="V96" t="inlineStr">
        <x:is>
          <x:t xml:space="preserve">5 days</x:t>
        </x:is>
      </x:c>
      <x:c r="W96" t="inlineStr">
        <x:is>
          <x:t xml:space="preserve">1 tube (3.5 g)</x:t>
        </x:is>
      </x:c>
      <x:c r="X96" t="inlineStr">
        <x:is>
          <x:t xml:space="preserve">blurred vision after application</x:t>
        </x:is>
      </x:c>
      <x:c r="Y96" t="inlineStr">
        <x:is>
          <x:t xml:space="preserve">ophthalmic use only</x:t>
        </x:is>
      </x:c>
      <x:c r="AY96" t="inlineStr">
        <x:is>
          <x:t xml:space="preserve">Fucithalmic Eye Drops [Fusidic acid 10 mg.+Preservative (Benzalkonium chloride 0.1%)/ 1 g.]</x:t>
        </x:is>
      </x:c>
      <x:c r="AZ96" t="inlineStr">
        <x:is>
          <x:t xml:space="preserve">BDS001847</x:t>
        </x:is>
      </x:c>
      <x:c r="BA96" t="inlineStr">
        <x:is>
          <x:t xml:space="preserve">1 drop affected eye BID</x:t>
        </x:is>
      </x:c>
      <x:c r="BB96" t="inlineStr">
        <x:is>
          <x:t xml:space="preserve">5 days</x:t>
        </x:is>
      </x:c>
      <x:c r="BC96" t="inlineStr">
        <x:is>
          <x:t xml:space="preserve">1 tube (5 g)</x:t>
        </x:is>
      </x:c>
      <x:c r="BD96" t="inlineStr">
        <x:is>
          <x:t xml:space="preserve">local eye irritation</x:t>
        </x:is>
      </x:c>
      <x:c r="BE96" t="inlineStr">
        <x:is>
          <x:t xml:space="preserve">ophthalmic use only; remove contact lenses</x:t>
        </x:is>
      </x:c>
    </x:row>
    <x:row r="97">
      <x:c r="A97" t="inlineStr">
        <x:is>
          <x:t xml:space="preserve">FRM0096</x:t>
        </x:is>
      </x:c>
      <x:c r="B97" t="inlineStr">
        <x:is>
          <x:t xml:space="preserve">bacterial_sinusitis_peds</x:t>
        </x:is>
      </x:c>
      <x:c r="C97" t="inlineStr">
        <x:is>
          <x:t xml:space="preserve">Pediatric bacterial sinusitis</x:t>
        </x:is>
      </x:c>
      <x:c r="D97" t="inlineStr">
        <x:is>
          <x:t xml:space="preserve">ENT</x:t>
        </x:is>
      </x:c>
      <x:c r="E97" t="inlineStr">
        <x:is>
          <x:t xml:space="preserve">peds</x:t>
        </x:is>
      </x:c>
      <x:c r="F97" t="inlineStr">
        <x:is>
          <x:t xml:space="preserve">routine_opd</x:t>
        </x:is>
      </x:c>
      <x:c r="G97" t="inlineStr">
        <x:is>
          <x:t xml:space="preserve">Y</x:t>
        </x:is>
      </x:c>
      <x:c r="H97" t="n">
        <x:v>1</x:v>
      </x:c>
      <x:c r="I97" t="inlineStr">
        <x:is>
          <x:t xml:space="preserve">J01.90</x:t>
        </x:is>
      </x:c>
      <x:c r="K97" t="inlineStr">
        <x:is>
          <x:t xml:space="preserve">Most likely</x:t>
        </x:is>
      </x:c>
      <x:c r="L97" t="inlineStr">
        <x:is>
          <x:t xml:space="preserve">child purulent nasal symptoms/facial pressure bacterial pattern</x:t>
        </x:is>
      </x:c>
      <x:c r="M97" t="inlineStr">
        <x:is>
          <x:t xml:space="preserve">use only when pediatric bacterial sinusitis pattern is likely</x:t>
        </x:is>
      </x:c>
      <x:c r="N97" t="inlineStr">
        <x:is>
          <x:t xml:space="preserve">orbital symptoms, severe swelling, or toxic appearance</x:t>
        </x:is>
      </x:c>
      <x:c r="O97" t="inlineStr">
        <x:is>
          <x:t xml:space="preserve">Y</x:t>
        </x:is>
      </x:c>
      <x:c r="P97" t="inlineStr">
        <x:is>
          <x:t xml:space="preserve">Y</x:t>
        </x:is>
      </x:c>
      <x:c r="Q97" t="inlineStr">
        <x:is>
          <x:t xml:space="preserve">Needs in-person eval today if orbital symptoms, severe swelling, toxic appearance, or persistent high fever</x:t>
        </x:is>
      </x:c>
      <x:c r="R97" t="inlineStr">
        <x:is>
          <x:t xml:space="preserve">v5 added</x:t>
        </x:is>
      </x:c>
      <x:c r="S97" t="inlineStr">
        <x:is>
          <x:t xml:space="preserve">AMK 457 [Amoxicillin 400 mg.+Clavulanic Acid 57 mg./5 ml.]</x:t>
        </x:is>
      </x:c>
      <x:c r="T97" t="inlineStr">
        <x:is>
          <x:t xml:space="preserve">BDS001047</x:t>
        </x:is>
      </x:c>
      <x:c r="U97" t="inlineStr">
        <x:is>
          <x:t xml:space="preserve">2.5 mL PO BID</x:t>
        </x:is>
      </x:c>
      <x:c r="V97" t="inlineStr">
        <x:is>
          <x:t xml:space="preserve">5 days</x:t>
        </x:is>
      </x:c>
      <x:c r="W97" t="inlineStr">
        <x:is>
          <x:t xml:space="preserve">1 bottle (70 mL)</x:t>
        </x:is>
      </x:c>
      <x:c r="X97" t="inlineStr">
        <x:is>
          <x:t xml:space="preserve">diarrhea, rash</x:t>
        </x:is>
      </x:c>
      <x:c r="Y97" t="inlineStr">
        <x:is>
          <x:t xml:space="preserve">verify child age/weight; penicillin allergy</x:t>
        </x:is>
      </x:c>
      <x:c r="AA97" t="inlineStr">
        <x:is>
          <x:t xml:space="preserve">Klean &amp; Kare Saline เล็ก [Sodium Chloride 0.9 g./100 ml.]</x:t>
        </x:is>
      </x:c>
      <x:c r="AB97" t="inlineStr">
        <x:is>
          <x:t xml:space="preserve">BDS044320</x:t>
        </x:is>
      </x:c>
      <x:c r="AC97" t="inlineStr">
        <x:is>
          <x:t xml:space="preserve">clean/rinse nasal cavity PRN</x:t>
        </x:is>
      </x:c>
      <x:c r="AD97" t="inlineStr">
        <x:is>
          <x:t xml:space="preserve">5 days</x:t>
        </x:is>
      </x:c>
      <x:c r="AE97" t="inlineStr">
        <x:is>
          <x:t xml:space="preserve">1 bottle (100 mL)</x:t>
        </x:is>
      </x:c>
      <x:c r="AF97" t="inlineStr">
        <x:is>
          <x:t xml:space="preserve">mild local discomfort</x:t>
        </x:is>
      </x:c>
      <x:c r="AG97" t="inlineStr">
        <x:is>
          <x:t xml:space="preserve">sterile technique; stop if severe ear pain</x:t>
        </x:is>
      </x:c>
      <x:c r="AY97" t="inlineStr">
        <x:is>
          <x:t xml:space="preserve">Iliadin Spray [Oxymetazoline Hydrochloride 0.05% (0.5 mg./1 ml.)]</x:t>
        </x:is>
      </x:c>
      <x:c r="AZ97" t="inlineStr">
        <x:is>
          <x:t xml:space="preserve">BDS002215</x:t>
        </x:is>
      </x:c>
      <x:c r="BA97" t="inlineStr">
        <x:is>
          <x:t xml:space="preserve">1–2 sprays/nostril BID–TID (max 3 days)</x:t>
        </x:is>
      </x:c>
      <x:c r="BB97" t="inlineStr">
        <x:is>
          <x:t xml:space="preserve">3 days</x:t>
        </x:is>
      </x:c>
      <x:c r="BC97" t="inlineStr">
        <x:is>
          <x:t xml:space="preserve">1 bottle (10 mL)</x:t>
        </x:is>
      </x:c>
      <x:c r="BD97" t="inlineStr">
        <x:is>
          <x:t xml:space="preserve">local irritation</x:t>
        </x:is>
      </x:c>
      <x:c r="BE97" t="inlineStr">
        <x:is>
          <x:t xml:space="preserve">child use only when appropriate / supervised</x:t>
        </x:is>
      </x:c>
      <x:c r="BF97" t="n">
        <x:v>262</x:v>
      </x:c>
    </x:row>
    <x:row r="98">
      <x:c r="A98" t="inlineStr">
        <x:is>
          <x:t xml:space="preserve">FRM0097</x:t>
        </x:is>
      </x:c>
      <x:c r="B98" t="inlineStr">
        <x:is>
          <x:t xml:space="preserve">bacterial_pharyngitis_peds</x:t>
        </x:is>
      </x:c>
      <x:c r="C98" t="inlineStr">
        <x:is>
          <x:t xml:space="preserve">Pediatric bacterial pharyngitis / tonsillitis</x:t>
        </x:is>
      </x:c>
      <x:c r="D98" t="inlineStr">
        <x:is>
          <x:t xml:space="preserve">ENT</x:t>
        </x:is>
      </x:c>
      <x:c r="E98" t="inlineStr">
        <x:is>
          <x:t xml:space="preserve">peds</x:t>
        </x:is>
      </x:c>
      <x:c r="F98" t="inlineStr">
        <x:is>
          <x:t xml:space="preserve">routine_opd</x:t>
        </x:is>
      </x:c>
      <x:c r="G98" t="inlineStr">
        <x:is>
          <x:t xml:space="preserve">Y</x:t>
        </x:is>
      </x:c>
      <x:c r="H98" t="n">
        <x:v>1</x:v>
      </x:c>
      <x:c r="I98" t="inlineStr">
        <x:is>
          <x:t xml:space="preserve">J02.8</x:t>
        </x:is>
      </x:c>
      <x:c r="K98" t="inlineStr">
        <x:is>
          <x:t xml:space="preserve">Most likely</x:t>
        </x:is>
      </x:c>
      <x:c r="L98" t="inlineStr">
        <x:is>
          <x:t xml:space="preserve">child fever + exudate / bacterial throat pattern</x:t>
        </x:is>
      </x:c>
      <x:c r="M98" t="inlineStr">
        <x:is>
          <x:t xml:space="preserve">use only when pediatric bacterial pharyngitis/tonsillitis pattern is likely</x:t>
        </x:is>
      </x:c>
      <x:c r="N98" t="inlineStr">
        <x:is>
          <x:t xml:space="preserve">drooling, muffled voice, neck swelling, or severe dehydration</x:t>
        </x:is>
      </x:c>
      <x:c r="O98" t="inlineStr">
        <x:is>
          <x:t xml:space="preserve">Y</x:t>
        </x:is>
      </x:c>
      <x:c r="P98" t="inlineStr">
        <x:is>
          <x:t xml:space="preserve">Y</x:t>
        </x:is>
      </x:c>
      <x:c r="Q98" t="inlineStr">
        <x:is>
          <x:t xml:space="preserve">Needs in-person eval today if drooling, muffled voice, severe neck swelling, or inability to drink</x:t>
        </x:is>
      </x:c>
      <x:c r="R98" t="inlineStr">
        <x:is>
          <x:t xml:space="preserve">v5 added</x:t>
        </x:is>
      </x:c>
      <x:c r="S98" t="inlineStr">
        <x:is>
          <x:t xml:space="preserve">AMK 228 [Amoxicillin 200 mg.+Clavulanic Acid 28 mg./5 ml.]</x:t>
        </x:is>
      </x:c>
      <x:c r="T98" t="inlineStr">
        <x:is>
          <x:t xml:space="preserve">BDS001046</x:t>
        </x:is>
      </x:c>
      <x:c r="U98" t="inlineStr">
        <x:is>
          <x:t xml:space="preserve">5 mL PO BID</x:t>
        </x:is>
      </x:c>
      <x:c r="V98" t="inlineStr">
        <x:is>
          <x:t xml:space="preserve">5 days</x:t>
        </x:is>
      </x:c>
      <x:c r="W98" t="inlineStr">
        <x:is>
          <x:t xml:space="preserve">1 bottle (70 mL)</x:t>
        </x:is>
      </x:c>
      <x:c r="X98" t="inlineStr">
        <x:is>
          <x:t xml:space="preserve">diarrhea, rash</x:t>
        </x:is>
      </x:c>
      <x:c r="Y98" t="inlineStr">
        <x:is>
          <x:t xml:space="preserve">verify child age/weight; penicillin allergy</x:t>
        </x:is>
      </x:c>
      <x:c r="AA98" t="inlineStr">
        <x:is>
          <x:t xml:space="preserve">Tylenol Suspension [Paracetamol 160 mg./5 ml.]</x:t>
        </x:is>
      </x:c>
      <x:c r="AB98" t="inlineStr">
        <x:is>
          <x:t xml:space="preserve">BDS003763</x:t>
        </x:is>
      </x:c>
      <x:c r="AC98" t="inlineStr">
        <x:is>
          <x:t xml:space="preserve">5 mL PO q6h PRN fever/pain</x:t>
        </x:is>
      </x:c>
      <x:c r="AD98" t="inlineStr">
        <x:is>
          <x:t xml:space="preserve">3 days</x:t>
        </x:is>
      </x:c>
      <x:c r="AE98" t="inlineStr">
        <x:is>
          <x:t xml:space="preserve">1 bottle (60 mL)</x:t>
        </x:is>
      </x:c>
      <x:c r="AF98" t="inlineStr">
        <x:is>
          <x:t xml:space="preserve">nausea, rash</x:t>
        </x:is>
      </x:c>
      <x:c r="AG98" t="inlineStr">
        <x:is>
          <x:t xml:space="preserve">verify child weight; avoid duplicate paracetamol</x:t>
        </x:is>
      </x:c>
    </x:row>
    <x:row r="99">
      <x:c r="A99" t="inlineStr">
        <x:is>
          <x:t xml:space="preserve">FRM0098</x:t>
        </x:is>
      </x:c>
      <x:c r="B99" t="inlineStr">
        <x:is>
          <x:t xml:space="preserve">macrolide_respiratory_bacterial_adult</x:t>
        </x:is>
      </x:c>
      <x:c r="C99" t="inlineStr">
        <x:is>
          <x:t xml:space="preserve">Respiratory bacterial row (macrolide-style alternative)</x:t>
        </x:is>
      </x:c>
      <x:c r="D99" t="inlineStr">
        <x:is>
          <x:t xml:space="preserve">ENT</x:t>
        </x:is>
      </x:c>
      <x:c r="E99" t="inlineStr">
        <x:is>
          <x:t xml:space="preserve">adult</x:t>
        </x:is>
      </x:c>
      <x:c r="F99" t="inlineStr">
        <x:is>
          <x:t xml:space="preserve">routine_opd</x:t>
        </x:is>
      </x:c>
      <x:c r="G99" t="inlineStr">
        <x:is>
          <x:t xml:space="preserve">N</x:t>
        </x:is>
      </x:c>
      <x:c r="H99" t="n">
        <x:v>9</x:v>
      </x:c>
      <x:c r="I99" t="inlineStr">
        <x:is>
          <x:t xml:space="preserve">J06.9</x:t>
        </x:is>
      </x:c>
      <x:c r="K99" t="inlineStr">
        <x:is>
          <x:t xml:space="preserve">Most likely</x:t>
        </x:is>
      </x:c>
      <x:c r="L99" t="inlineStr">
        <x:is>
          <x:t xml:space="preserve">respiratory bacterial pattern where roxithromycin-style alternative is chosen</x:t>
        </x:is>
      </x:c>
      <x:c r="M99" t="inlineStr">
        <x:is>
          <x:t xml:space="preserve">support/alternative row when bacterial upper respiratory pattern is present and this antibiotic is specifically chosen</x:t>
        </x:is>
      </x:c>
      <x:c r="N99" t="inlineStr">
        <x:is>
          <x:t xml:space="preserve">unclear diagnosis, severe sepsis, or antibiotic misuse</x:t>
        </x:is>
      </x:c>
      <x:c r="O99" t="inlineStr">
        <x:is>
          <x:t xml:space="preserve">Y</x:t>
        </x:is>
      </x:c>
      <x:c r="P99" t="inlineStr">
        <x:is>
          <x:t xml:space="preserve">N</x:t>
        </x:is>
      </x:c>
      <x:c r="Q99" t="inlineStr">
        <x:is>
          <x:t xml:space="preserve">Needs in-person eval today if severe toxicity, dyspnea, or not improving with appropriate review</x:t>
        </x:is>
      </x:c>
      <x:c r="R99" t="inlineStr">
        <x:is>
          <x:t xml:space="preserve">v5 added</x:t>
        </x:is>
      </x:c>
      <x:c r="S99" t="inlineStr">
        <x:is>
          <x:t xml:space="preserve">B.Roxi [Roxithromycin 150 mg.]</x:t>
        </x:is>
      </x:c>
      <x:c r="T99" t="inlineStr">
        <x:is>
          <x:t xml:space="preserve">BDS007066</x:t>
        </x:is>
      </x:c>
      <x:c r="U99" t="inlineStr">
        <x:is>
          <x:t xml:space="preserve">1 tab PO BID before meals</x:t>
        </x:is>
      </x:c>
      <x:c r="V99" t="inlineStr">
        <x:is>
          <x:t xml:space="preserve">5 days</x:t>
        </x:is>
      </x:c>
      <x:c r="W99" t="inlineStr">
        <x:is>
          <x:t xml:space="preserve">1 strip (10 tabs)</x:t>
        </x:is>
      </x:c>
      <x:c r="X99" t="inlineStr">
        <x:is>
          <x:t xml:space="preserve">GI upset</x:t>
        </x:is>
      </x:c>
      <x:c r="Y99" t="inlineStr">
        <x:is>
          <x:t xml:space="preserve">drug interactions; use only when bacterial pattern is likely</x:t>
        </x:is>
      </x:c>
      <x:c r="AA99" t="inlineStr">
        <x:is>
          <x:t xml:space="preserve">Tylenol 500 mg strip 10s [Paracetamol 500 mg.]</x:t>
        </x:is>
      </x:c>
      <x:c r="AB99" t="inlineStr">
        <x:is>
          <x:t xml:space="preserve">BDS003762</x:t>
        </x:is>
      </x:c>
      <x:c r="AC99" t="inlineStr">
        <x:is>
          <x:t xml:space="preserve">1–2 tabs PO q4–6h PRN fever/pain</x:t>
        </x:is>
      </x:c>
      <x:c r="AD99" t="inlineStr">
        <x:is>
          <x:t xml:space="preserve">3 days</x:t>
        </x:is>
      </x:c>
      <x:c r="AE99" t="inlineStr">
        <x:is>
          <x:t xml:space="preserve">1 strip (10 tabs)</x:t>
        </x:is>
      </x:c>
      <x:c r="AF99" t="inlineStr">
        <x:is>
          <x:t xml:space="preserve">nausea, rash</x:t>
        </x:is>
      </x:c>
      <x:c r="AG99" t="inlineStr">
        <x:is>
          <x:t xml:space="preserve">avoid duplicate paracetamol; caution liver disease</x:t>
        </x:is>
      </x:c>
      <x:c r="AH99" t="n">
        <x:v>36</x:v>
      </x:c>
    </x:row>
    <x:row r="100">
      <x:c r="A100" t="inlineStr">
        <x:is>
          <x:t xml:space="preserve">FRM0099</x:t>
        </x:is>
      </x:c>
      <x:c r="B100" t="inlineStr">
        <x:is>
          <x:t xml:space="preserve">dental_infection_support_adult</x:t>
        </x:is>
      </x:c>
      <x:c r="C100" t="inlineStr">
        <x:is>
          <x:t xml:space="preserve">Dental / gum bacterial infection support</x:t>
        </x:is>
      </x:c>
      <x:c r="D100" t="inlineStr">
        <x:is>
          <x:t xml:space="preserve">Oral</x:t>
        </x:is>
      </x:c>
      <x:c r="E100" t="inlineStr">
        <x:is>
          <x:t xml:space="preserve">adult</x:t>
        </x:is>
      </x:c>
      <x:c r="F100" t="inlineStr">
        <x:is>
          <x:t xml:space="preserve">routine_opd</x:t>
        </x:is>
      </x:c>
      <x:c r="G100" t="inlineStr">
        <x:is>
          <x:t xml:space="preserve">Y</x:t>
        </x:is>
      </x:c>
      <x:c r="H100" t="n">
        <x:v>1</x:v>
      </x:c>
      <x:c r="I100" t="inlineStr">
        <x:is>
          <x:t xml:space="preserve">K04.7</x:t>
        </x:is>
      </x:c>
      <x:c r="K100" t="inlineStr">
        <x:is>
          <x:t xml:space="preserve">Most likely</x:t>
        </x:is>
      </x:c>
      <x:c r="L100" t="inlineStr">
        <x:is>
          <x:t xml:space="preserve">dental/gum infection pattern without airway compromise</x:t>
        </x:is>
      </x:c>
      <x:c r="M100" t="inlineStr">
        <x:is>
          <x:t xml:space="preserve">dental/gum bacterial infection support row pending dental follow-up</x:t>
        </x:is>
      </x:c>
      <x:c r="N100" t="inlineStr">
        <x:is>
          <x:t xml:space="preserve">facial swelling, trismus, dysphagia, or airway compromise</x:t>
        </x:is>
      </x:c>
      <x:c r="O100" t="inlineStr">
        <x:is>
          <x:t xml:space="preserve">Y</x:t>
        </x:is>
      </x:c>
      <x:c r="P100" t="inlineStr">
        <x:is>
          <x:t xml:space="preserve">N</x:t>
        </x:is>
      </x:c>
      <x:c r="Q100" t="inlineStr">
        <x:is>
          <x:t xml:space="preserve">Needs in-person eval today if facial swelling, trismus, dysphagia, fever, or airway concern</x:t>
        </x:is>
      </x:c>
      <x:c r="R100" t="inlineStr">
        <x:is>
          <x:t xml:space="preserve">v5 added</x:t>
        </x:is>
      </x:c>
      <x:c r="S100" t="inlineStr">
        <x:is>
          <x:t xml:space="preserve">AMK 1000 mg [Amoxicillin 875 mg.+Clavulanic Acid 125 mg.]</x:t>
        </x:is>
      </x:c>
      <x:c r="T100" t="inlineStr">
        <x:is>
          <x:t xml:space="preserve">BDS001103</x:t>
        </x:is>
      </x:c>
      <x:c r="U100" t="inlineStr">
        <x:is>
          <x:t xml:space="preserve">1 tab PO BID</x:t>
        </x:is>
      </x:c>
      <x:c r="V100" t="inlineStr">
        <x:is>
          <x:t xml:space="preserve">5 days</x:t>
        </x:is>
      </x:c>
      <x:c r="W100" t="inlineStr">
        <x:is>
          <x:t xml:space="preserve">1 box (10 tabs)</x:t>
        </x:is>
      </x:c>
      <x:c r="X100" t="inlineStr">
        <x:is>
          <x:t xml:space="preserve">diarrhea, nausea</x:t>
        </x:is>
      </x:c>
      <x:c r="Y100" t="inlineStr">
        <x:is>
          <x:t xml:space="preserve">penicillin allergy; dental review still needed</x:t>
        </x:is>
      </x:c>
      <x:c r="AA100" t="inlineStr">
        <x:is>
          <x:t xml:space="preserve">Tylenol 500 mg strip 10s [Paracetamol 500 mg.]</x:t>
        </x:is>
      </x:c>
      <x:c r="AB100" t="inlineStr">
        <x:is>
          <x:t xml:space="preserve">BDS003762</x:t>
        </x:is>
      </x:c>
      <x:c r="AC100" t="inlineStr">
        <x:is>
          <x:t xml:space="preserve">1–2 tabs PO q4–6h PRN pain</x:t>
        </x:is>
      </x:c>
      <x:c r="AD100" t="inlineStr">
        <x:is>
          <x:t xml:space="preserve">3 days</x:t>
        </x:is>
      </x:c>
      <x:c r="AE100" t="inlineStr">
        <x:is>
          <x:t xml:space="preserve">1 strip (10 tabs)</x:t>
        </x:is>
      </x:c>
      <x:c r="AF100" t="inlineStr">
        <x:is>
          <x:t xml:space="preserve">nausea, rash</x:t>
        </x:is>
      </x:c>
      <x:c r="AG100" t="inlineStr">
        <x:is>
          <x:t xml:space="preserve">avoid duplicate paracetamol; caution liver disease</x:t>
        </x:is>
      </x:c>
      <x:c r="AH100" t="n">
        <x:v>36</x:v>
      </x:c>
    </x:row>
    <x:row r="101">
      <x:c r="A101" t="inlineStr">
        <x:is>
          <x:t xml:space="preserve">FRM0100</x:t>
        </x:is>
      </x:c>
      <x:c r="B101" t="inlineStr">
        <x:is>
          <x:t xml:space="preserve">infected_insect_bite_adult</x:t>
        </x:is>
      </x:c>
      <x:c r="C101" t="inlineStr">
        <x:is>
          <x:t xml:space="preserve">Infected insect bite</x:t>
        </x:is>
      </x:c>
      <x:c r="D101" t="inlineStr">
        <x:is>
          <x:t xml:space="preserve">Skin</x:t>
        </x:is>
      </x:c>
      <x:c r="E101" t="inlineStr">
        <x:is>
          <x:t xml:space="preserve">adult</x:t>
        </x:is>
      </x:c>
      <x:c r="F101" t="inlineStr">
        <x:is>
          <x:t xml:space="preserve">routine_opd</x:t>
        </x:is>
      </x:c>
      <x:c r="G101" t="inlineStr">
        <x:is>
          <x:t xml:space="preserve">Y</x:t>
        </x:is>
      </x:c>
      <x:c r="H101" t="n">
        <x:v>1</x:v>
      </x:c>
      <x:c r="I101" t="inlineStr">
        <x:is>
          <x:t xml:space="preserve">L08.9</x:t>
        </x:is>
      </x:c>
      <x:c r="K101" t="inlineStr">
        <x:is>
          <x:t xml:space="preserve">Most likely</x:t>
        </x:is>
      </x:c>
      <x:c r="L101" t="inlineStr">
        <x:is>
          <x:t xml:space="preserve">bite with bacterial-looking redness/infection pattern</x:t>
        </x:is>
      </x:c>
      <x:c r="M101" t="inlineStr">
        <x:is>
          <x:t xml:space="preserve">infected insect bite is likely, not just simple itch/swelling</x:t>
        </x:is>
      </x:c>
      <x:c r="N101" t="inlineStr">
        <x:is>
          <x:t xml:space="preserve">facial swelling, severe cellulitis, abscess, or systemic illness</x:t>
        </x:is>
      </x:c>
      <x:c r="O101" t="inlineStr">
        <x:is>
          <x:t xml:space="preserve">Y</x:t>
        </x:is>
      </x:c>
      <x:c r="P101" t="inlineStr">
        <x:is>
          <x:t xml:space="preserve">N</x:t>
        </x:is>
      </x:c>
      <x:c r="Q101" t="inlineStr">
        <x:is>
          <x:t xml:space="preserve">Needs in-person eval today if spreading cellulitis, abscess, fever, or facial involvement</x:t>
        </x:is>
      </x:c>
      <x:c r="R101" t="inlineStr">
        <x:is>
          <x:t xml:space="preserve">v5 added</x:t>
        </x:is>
      </x:c>
      <x:c r="S101" t="inlineStr">
        <x:is>
          <x:t xml:space="preserve">Ibiamox 500 mg [Amoxicillin 500 mg.]</x:t>
        </x:is>
      </x:c>
      <x:c r="T101" t="inlineStr">
        <x:is>
          <x:t xml:space="preserve">BDS002201</x:t>
        </x:is>
      </x:c>
      <x:c r="U101" t="inlineStr">
        <x:is>
          <x:t xml:space="preserve">1 cap PO TID</x:t>
        </x:is>
      </x:c>
      <x:c r="V101" t="inlineStr">
        <x:is>
          <x:t xml:space="preserve">5 days</x:t>
        </x:is>
      </x:c>
      <x:c r="W101" t="inlineStr">
        <x:is>
          <x:t xml:space="preserve">2 strips (20 caps)</x:t>
        </x:is>
      </x:c>
      <x:c r="X101" t="inlineStr">
        <x:is>
          <x:t xml:space="preserve">diarrhea, rash</x:t>
        </x:is>
      </x:c>
      <x:c r="Y101" t="inlineStr">
        <x:is>
          <x:t xml:space="preserve">penicillin allergy; bacterial pattern only</x:t>
        </x:is>
      </x:c>
      <x:c r="Z101" t="n">
        <x:v>110</x:v>
      </x:c>
      <x:c r="AA101" t="inlineStr">
        <x:is>
          <x:t xml:space="preserve">Fucidin Cream [Fusidic acid 20 mg./1 g.]</x:t>
        </x:is>
      </x:c>
      <x:c r="AB101" t="inlineStr">
        <x:is>
          <x:t xml:space="preserve">BDS001991</x:t>
        </x:is>
      </x:c>
      <x:c r="AC101" t="inlineStr">
        <x:is>
          <x:t xml:space="preserve">apply thinly TID</x:t>
        </x:is>
      </x:c>
      <x:c r="AD101" t="inlineStr">
        <x:is>
          <x:t xml:space="preserve">5–7 days</x:t>
        </x:is>
      </x:c>
      <x:c r="AE101" t="inlineStr">
        <x:is>
          <x:t xml:space="preserve">1 tube (5 g)</x:t>
        </x:is>
      </x:c>
      <x:c r="AF101" t="inlineStr">
        <x:is>
          <x:t xml:space="preserve">local irritation</x:t>
        </x:is>
      </x:c>
      <x:c r="AG101" t="inlineStr">
        <x:is>
          <x:t xml:space="preserve">localized lesion only</x:t>
        </x:is>
      </x:c>
    </x:row>
    <x:row r="102">
      <x:c r="A102" t="inlineStr">
        <x:is>
          <x:t xml:space="preserve">FRM0101</x:t>
        </x:is>
      </x:c>
      <x:c r="B102" t="inlineStr">
        <x:is>
          <x:t xml:space="preserve">infected_insect_bite_peds</x:t>
        </x:is>
      </x:c>
      <x:c r="C102" t="inlineStr">
        <x:is>
          <x:t xml:space="preserve">Pediatric infected insect bite</x:t>
        </x:is>
      </x:c>
      <x:c r="D102" t="inlineStr">
        <x:is>
          <x:t xml:space="preserve">Skin</x:t>
        </x:is>
      </x:c>
      <x:c r="E102" t="inlineStr">
        <x:is>
          <x:t xml:space="preserve">peds</x:t>
        </x:is>
      </x:c>
      <x:c r="F102" t="inlineStr">
        <x:is>
          <x:t xml:space="preserve">routine_opd</x:t>
        </x:is>
      </x:c>
      <x:c r="G102" t="inlineStr">
        <x:is>
          <x:t xml:space="preserve">Y</x:t>
        </x:is>
      </x:c>
      <x:c r="H102" t="n">
        <x:v>1</x:v>
      </x:c>
      <x:c r="I102" t="inlineStr">
        <x:is>
          <x:t xml:space="preserve">L08.9</x:t>
        </x:is>
      </x:c>
      <x:c r="K102" t="inlineStr">
        <x:is>
          <x:t xml:space="preserve">Most likely</x:t>
        </x:is>
      </x:c>
      <x:c r="L102" t="inlineStr">
        <x:is>
          <x:t xml:space="preserve">child bite with infected bacterial-looking pattern</x:t>
        </x:is>
      </x:c>
      <x:c r="M102" t="inlineStr">
        <x:is>
          <x:t xml:space="preserve">child infected insect bite where bacterial pattern is likely</x:t>
        </x:is>
      </x:c>
      <x:c r="N102" t="inlineStr">
        <x:is>
          <x:t xml:space="preserve">facial involvement, spreading cellulitis, abscess, or fever</x:t>
        </x:is>
      </x:c>
      <x:c r="O102" t="inlineStr">
        <x:is>
          <x:t xml:space="preserve">Y</x:t>
        </x:is>
      </x:c>
      <x:c r="P102" t="inlineStr">
        <x:is>
          <x:t xml:space="preserve">Y</x:t>
        </x:is>
      </x:c>
      <x:c r="Q102" t="inlineStr">
        <x:is>
          <x:t xml:space="preserve">Needs in-person eval today if facial involvement, spreading cellulitis, abscess, or fever</x:t>
        </x:is>
      </x:c>
      <x:c r="R102" t="inlineStr">
        <x:is>
          <x:t xml:space="preserve">v5 added</x:t>
        </x:is>
      </x:c>
      <x:c r="S102" t="inlineStr">
        <x:is>
          <x:t xml:space="preserve">AMK 228 [Amoxicillin 200 mg.+Clavulanic Acid 28 mg./5 ml.]</x:t>
        </x:is>
      </x:c>
      <x:c r="T102" t="inlineStr">
        <x:is>
          <x:t xml:space="preserve">BDS001046</x:t>
        </x:is>
      </x:c>
      <x:c r="U102" t="inlineStr">
        <x:is>
          <x:t xml:space="preserve">5 mL PO BID</x:t>
        </x:is>
      </x:c>
      <x:c r="V102" t="inlineStr">
        <x:is>
          <x:t xml:space="preserve">5 days</x:t>
        </x:is>
      </x:c>
      <x:c r="W102" t="inlineStr">
        <x:is>
          <x:t xml:space="preserve">1 bottle (70 mL)</x:t>
        </x:is>
      </x:c>
      <x:c r="X102" t="inlineStr">
        <x:is>
          <x:t xml:space="preserve">diarrhea, rash</x:t>
        </x:is>
      </x:c>
      <x:c r="Y102" t="inlineStr">
        <x:is>
          <x:t xml:space="preserve">verify child age/weight; penicillin allergy</x:t>
        </x:is>
      </x:c>
      <x:c r="AA102" t="inlineStr">
        <x:is>
          <x:t xml:space="preserve">Fucidin Cream [Fusidic acid 20 mg./1 g.]</x:t>
        </x:is>
      </x:c>
      <x:c r="AB102" t="inlineStr">
        <x:is>
          <x:t xml:space="preserve">BDS001991</x:t>
        </x:is>
      </x:c>
      <x:c r="AC102" t="inlineStr">
        <x:is>
          <x:t xml:space="preserve">apply thinly TID</x:t>
        </x:is>
      </x:c>
      <x:c r="AD102" t="inlineStr">
        <x:is>
          <x:t xml:space="preserve">5 days</x:t>
        </x:is>
      </x:c>
      <x:c r="AE102" t="inlineStr">
        <x:is>
          <x:t xml:space="preserve">1 tube (5 g)</x:t>
        </x:is>
      </x:c>
      <x:c r="AF102" t="inlineStr">
        <x:is>
          <x:t xml:space="preserve">local irritation</x:t>
        </x:is>
      </x:c>
      <x:c r="AG102" t="inlineStr">
        <x:is>
          <x:t xml:space="preserve">localized lesion only</x:t>
        </x:is>
      </x:c>
    </x:row>
    <x:row r="103">
      <x:c r="A103" t="inlineStr">
        <x:is>
          <x:t xml:space="preserve">FRM0102</x:t>
        </x:is>
      </x:c>
      <x:c r="B103" t="inlineStr">
        <x:is>
          <x:t xml:space="preserve">cellulitis_mild_adult</x:t>
        </x:is>
      </x:c>
      <x:c r="C103" t="inlineStr">
        <x:is>
          <x:t xml:space="preserve">Mild cellulitis</x:t>
        </x:is>
      </x:c>
      <x:c r="D103" t="inlineStr">
        <x:is>
          <x:t xml:space="preserve">Skin</x:t>
        </x:is>
      </x:c>
      <x:c r="E103" t="inlineStr">
        <x:is>
          <x:t xml:space="preserve">adult</x:t>
        </x:is>
      </x:c>
      <x:c r="F103" t="inlineStr">
        <x:is>
          <x:t xml:space="preserve">routine_opd</x:t>
        </x:is>
      </x:c>
      <x:c r="G103" t="inlineStr">
        <x:is>
          <x:t xml:space="preserve">Y</x:t>
        </x:is>
      </x:c>
      <x:c r="H103" t="n">
        <x:v>1</x:v>
      </x:c>
      <x:c r="I103" t="inlineStr">
        <x:is>
          <x:t xml:space="preserve">L03.90</x:t>
        </x:is>
      </x:c>
      <x:c r="K103" t="inlineStr">
        <x:is>
          <x:t xml:space="preserve">Most likely</x:t>
        </x:is>
      </x:c>
      <x:c r="L103" t="inlineStr">
        <x:is>
          <x:t xml:space="preserve">localized bacterial cellulitis pattern without systemic toxicity</x:t>
        </x:is>
      </x:c>
      <x:c r="M103" t="inlineStr">
        <x:is>
          <x:t xml:space="preserve">mild localized cellulitis when oral antibiotic row is appropriate</x:t>
        </x:is>
      </x:c>
      <x:c r="N103" t="inlineStr">
        <x:is>
          <x:t xml:space="preserve">rapid spread, abscess, fever, systemic toxicity, or facial involvement</x:t>
        </x:is>
      </x:c>
      <x:c r="O103" t="inlineStr">
        <x:is>
          <x:t xml:space="preserve">Y</x:t>
        </x:is>
      </x:c>
      <x:c r="P103" t="inlineStr">
        <x:is>
          <x:t xml:space="preserve">N</x:t>
        </x:is>
      </x:c>
      <x:c r="Q103" t="inlineStr">
        <x:is>
          <x:t xml:space="preserve">Needs in-person eval today if rapid spread, abscess, fever, facial involvement, or systemic toxicity</x:t>
        </x:is>
      </x:c>
      <x:c r="R103" t="inlineStr">
        <x:is>
          <x:t xml:space="preserve">v5 added</x:t>
        </x:is>
      </x:c>
      <x:c r="S103" t="inlineStr">
        <x:is>
          <x:t xml:space="preserve">AMK 1000 mg [Amoxicillin 875 mg.+Clavulanic Acid 125 mg.]</x:t>
        </x:is>
      </x:c>
      <x:c r="T103" t="inlineStr">
        <x:is>
          <x:t xml:space="preserve">BDS001103</x:t>
        </x:is>
      </x:c>
      <x:c r="U103" t="inlineStr">
        <x:is>
          <x:t xml:space="preserve">1 tab PO BID</x:t>
        </x:is>
      </x:c>
      <x:c r="V103" t="inlineStr">
        <x:is>
          <x:t xml:space="preserve">5 days</x:t>
        </x:is>
      </x:c>
      <x:c r="W103" t="inlineStr">
        <x:is>
          <x:t xml:space="preserve">1 box (10 tabs)</x:t>
        </x:is>
      </x:c>
      <x:c r="X103" t="inlineStr">
        <x:is>
          <x:t xml:space="preserve">diarrhea, nausea</x:t>
        </x:is>
      </x:c>
      <x:c r="Y103" t="inlineStr">
        <x:is>
          <x:t xml:space="preserve">penicillin allergy; bacterial pattern only</x:t>
        </x:is>
      </x:c>
      <x:c r="AA103" t="inlineStr">
        <x:is>
          <x:t xml:space="preserve">Tylenol 500 mg strip 10s [Paracetamol 500 mg.]</x:t>
        </x:is>
      </x:c>
      <x:c r="AB103" t="inlineStr">
        <x:is>
          <x:t xml:space="preserve">BDS003762</x:t>
        </x:is>
      </x:c>
      <x:c r="AC103" t="inlineStr">
        <x:is>
          <x:t xml:space="preserve">1–2 tabs PO q4–6h PRN pain</x:t>
        </x:is>
      </x:c>
      <x:c r="AD103" t="inlineStr">
        <x:is>
          <x:t xml:space="preserve">3 days</x:t>
        </x:is>
      </x:c>
      <x:c r="AE103" t="inlineStr">
        <x:is>
          <x:t xml:space="preserve">1 strip (10 tabs)</x:t>
        </x:is>
      </x:c>
      <x:c r="AF103" t="inlineStr">
        <x:is>
          <x:t xml:space="preserve">nausea, rash</x:t>
        </x:is>
      </x:c>
      <x:c r="AG103" t="inlineStr">
        <x:is>
          <x:t xml:space="preserve">avoid duplicate paracetamol; caution liver disease</x:t>
        </x:is>
      </x:c>
      <x:c r="AH103" t="n">
        <x:v>36</x:v>
      </x:c>
    </x:row>
    <x:row r="104">
      <x:c r="A104" t="inlineStr">
        <x:is>
          <x:t xml:space="preserve">FRM0103</x:t>
        </x:is>
      </x:c>
      <x:c r="B104" t="inlineStr">
        <x:is>
          <x:t xml:space="preserve">impetigo_oral_antibiotic_adult</x:t>
        </x:is>
      </x:c>
      <x:c r="C104" t="inlineStr">
        <x:is>
          <x:t xml:space="preserve">Impetigo needing oral antibiotic</x:t>
        </x:is>
      </x:c>
      <x:c r="D104" t="inlineStr">
        <x:is>
          <x:t xml:space="preserve">Skin</x:t>
        </x:is>
      </x:c>
      <x:c r="E104" t="inlineStr">
        <x:is>
          <x:t xml:space="preserve">adult</x:t>
        </x:is>
      </x:c>
      <x:c r="F104" t="inlineStr">
        <x:is>
          <x:t xml:space="preserve">routine_opd</x:t>
        </x:is>
      </x:c>
      <x:c r="G104" t="inlineStr">
        <x:is>
          <x:t xml:space="preserve">N</x:t>
        </x:is>
      </x:c>
      <x:c r="H104" t="n">
        <x:v>9</x:v>
      </x:c>
      <x:c r="I104" t="inlineStr">
        <x:is>
          <x:t xml:space="preserve">L01.0</x:t>
        </x:is>
      </x:c>
      <x:c r="K104" t="inlineStr">
        <x:is>
          <x:t xml:space="preserve">Most likely</x:t>
        </x:is>
      </x:c>
      <x:c r="L104" t="inlineStr">
        <x:is>
          <x:t xml:space="preserve">impetigo with extent/signs suggesting oral antibiotic use</x:t>
        </x:is>
      </x:c>
      <x:c r="M104" t="inlineStr">
        <x:is>
          <x:t xml:space="preserve">impetigo is more extensive or oral antibiotic support is chosen</x:t>
        </x:is>
      </x:c>
      <x:c r="N104" t="inlineStr">
        <x:is>
          <x:t xml:space="preserve">rapid spread, fever, or uncertain diagnosis</x:t>
        </x:is>
      </x:c>
      <x:c r="O104" t="inlineStr">
        <x:is>
          <x:t xml:space="preserve">Y</x:t>
        </x:is>
      </x:c>
      <x:c r="P104" t="inlineStr">
        <x:is>
          <x:t xml:space="preserve">N</x:t>
        </x:is>
      </x:c>
      <x:c r="Q104" t="inlineStr">
        <x:is>
          <x:t xml:space="preserve">Needs in-person eval today if rapid spread, fever, facial involvement, or no improvement</x:t>
        </x:is>
      </x:c>
      <x:c r="R104" t="inlineStr">
        <x:is>
          <x:t xml:space="preserve">v5 added</x:t>
        </x:is>
      </x:c>
      <x:c r="S104" t="inlineStr">
        <x:is>
          <x:t xml:space="preserve">Ibiamox 500 mg [Amoxicillin 500 mg.]</x:t>
        </x:is>
      </x:c>
      <x:c r="T104" t="inlineStr">
        <x:is>
          <x:t xml:space="preserve">BDS002201</x:t>
        </x:is>
      </x:c>
      <x:c r="U104" t="inlineStr">
        <x:is>
          <x:t xml:space="preserve">1 cap PO TID</x:t>
        </x:is>
      </x:c>
      <x:c r="V104" t="inlineStr">
        <x:is>
          <x:t xml:space="preserve">5 days</x:t>
        </x:is>
      </x:c>
      <x:c r="W104" t="inlineStr">
        <x:is>
          <x:t xml:space="preserve">2 strips (20 caps)</x:t>
        </x:is>
      </x:c>
      <x:c r="X104" t="inlineStr">
        <x:is>
          <x:t xml:space="preserve">diarrhea, rash</x:t>
        </x:is>
      </x:c>
      <x:c r="Y104" t="inlineStr">
        <x:is>
          <x:t xml:space="preserve">penicillin allergy; bacterial pattern only</x:t>
        </x:is>
      </x:c>
      <x:c r="Z104" t="n">
        <x:v>110</x:v>
      </x:c>
      <x:c r="AA104" t="inlineStr">
        <x:is>
          <x:t xml:space="preserve">Fucidin Cream [Fusidic acid 20 mg./1 g.]</x:t>
        </x:is>
      </x:c>
      <x:c r="AB104" t="inlineStr">
        <x:is>
          <x:t xml:space="preserve">BDS001991</x:t>
        </x:is>
      </x:c>
      <x:c r="AC104" t="inlineStr">
        <x:is>
          <x:t xml:space="preserve">apply thinly TID</x:t>
        </x:is>
      </x:c>
      <x:c r="AD104" t="inlineStr">
        <x:is>
          <x:t xml:space="preserve">5–7 days</x:t>
        </x:is>
      </x:c>
      <x:c r="AE104" t="inlineStr">
        <x:is>
          <x:t xml:space="preserve">1 tube (5 g)</x:t>
        </x:is>
      </x:c>
      <x:c r="AF104" t="inlineStr">
        <x:is>
          <x:t xml:space="preserve">local irritation</x:t>
        </x:is>
      </x:c>
      <x:c r="AG104" t="inlineStr">
        <x:is>
          <x:t xml:space="preserve">localized lesions only</x:t>
        </x:is>
      </x:c>
    </x:row>
    <x:row r="105">
      <x:c r="A105" t="inlineStr">
        <x:is>
          <x:t xml:space="preserve">FRM0104</x:t>
        </x:is>
      </x:c>
      <x:c r="B105" t="inlineStr">
        <x:is>
          <x:t xml:space="preserve">localized_folliculitis_adult</x:t>
        </x:is>
      </x:c>
      <x:c r="C105" t="inlineStr">
        <x:is>
          <x:t xml:space="preserve">Localized folliculitis</x:t>
        </x:is>
      </x:c>
      <x:c r="D105" t="inlineStr">
        <x:is>
          <x:t xml:space="preserve">Skin</x:t>
        </x:is>
      </x:c>
      <x:c r="E105" t="inlineStr">
        <x:is>
          <x:t xml:space="preserve">adult</x:t>
        </x:is>
      </x:c>
      <x:c r="F105" t="inlineStr">
        <x:is>
          <x:t xml:space="preserve">routine_opd</x:t>
        </x:is>
      </x:c>
      <x:c r="G105" t="inlineStr">
        <x:is>
          <x:t xml:space="preserve">Y</x:t>
        </x:is>
      </x:c>
      <x:c r="H105" t="n">
        <x:v>1</x:v>
      </x:c>
      <x:c r="I105" t="inlineStr">
        <x:is>
          <x:t xml:space="preserve">L73.9</x:t>
        </x:is>
      </x:c>
      <x:c r="K105" t="inlineStr">
        <x:is>
          <x:t xml:space="preserve">Most likely</x:t>
        </x:is>
      </x:c>
      <x:c r="L105" t="inlineStr">
        <x:is>
          <x:t xml:space="preserve">small localized folliculitis / pustular hair follicle lesions</x:t>
        </x:is>
      </x:c>
      <x:c r="M105" t="inlineStr">
        <x:is>
          <x:t xml:space="preserve">localized folliculitis outpatient topical-first row</x:t>
        </x:is>
      </x:c>
      <x:c r="N105" t="inlineStr">
        <x:is>
          <x:t xml:space="preserve">large abscess, fever, widespread lesions, or facial danger area</x:t>
        </x:is>
      </x:c>
      <x:c r="O105" t="inlineStr">
        <x:is>
          <x:t xml:space="preserve">Y</x:t>
        </x:is>
      </x:c>
      <x:c r="P105" t="inlineStr">
        <x:is>
          <x:t xml:space="preserve">N</x:t>
        </x:is>
      </x:c>
      <x:c r="Q105" t="inlineStr">
        <x:is>
          <x:t xml:space="preserve">Needs in-person eval today if abscess, fever, widespread lesions, or facial danger-area involvement</x:t>
        </x:is>
      </x:c>
      <x:c r="R105" t="inlineStr">
        <x:is>
          <x:t xml:space="preserve">v5 added</x:t>
        </x:is>
      </x:c>
      <x:c r="S105" t="inlineStr">
        <x:is>
          <x:t xml:space="preserve">Fucidin Cream [Fusidic acid 20 mg./1 g.]</x:t>
        </x:is>
      </x:c>
      <x:c r="T105" t="inlineStr">
        <x:is>
          <x:t xml:space="preserve">BDS001991</x:t>
        </x:is>
      </x:c>
      <x:c r="U105" t="inlineStr">
        <x:is>
          <x:t xml:space="preserve">apply thinly TID</x:t>
        </x:is>
      </x:c>
      <x:c r="V105" t="inlineStr">
        <x:is>
          <x:t xml:space="preserve">5–7 days</x:t>
        </x:is>
      </x:c>
      <x:c r="W105" t="inlineStr">
        <x:is>
          <x:t xml:space="preserve">1 tube (5 g)</x:t>
        </x:is>
      </x:c>
      <x:c r="X105" t="inlineStr">
        <x:is>
          <x:t xml:space="preserve">local irritation</x:t>
        </x:is>
      </x:c>
      <x:c r="Y105" t="inlineStr">
        <x:is>
          <x:t xml:space="preserve">localized lesions only</x:t>
        </x:is>
      </x:c>
      <x:c r="AY105" t="inlineStr">
        <x:is>
          <x:t xml:space="preserve">Ibiamox 500 mg [Amoxicillin 500 mg.]</x:t>
        </x:is>
      </x:c>
      <x:c r="AZ105" t="inlineStr">
        <x:is>
          <x:t xml:space="preserve">BDS002201</x:t>
        </x:is>
      </x:c>
      <x:c r="BA105" t="inlineStr">
        <x:is>
          <x:t xml:space="preserve">1 cap PO TID</x:t>
        </x:is>
      </x:c>
      <x:c r="BB105" t="inlineStr">
        <x:is>
          <x:t xml:space="preserve">5 days</x:t>
        </x:is>
      </x:c>
      <x:c r="BC105" t="inlineStr">
        <x:is>
          <x:t xml:space="preserve">2 strips (20 caps)</x:t>
        </x:is>
      </x:c>
      <x:c r="BD105" t="inlineStr">
        <x:is>
          <x:t xml:space="preserve">diarrhea, rash</x:t>
        </x:is>
      </x:c>
      <x:c r="BE105" t="inlineStr">
        <x:is>
          <x:t xml:space="preserve">use oral antibiotic only if more extensive</x:t>
        </x:is>
      </x:c>
      <x:c r="BF105" t="n">
        <x:v>110</x:v>
      </x:c>
    </x:row>
    <x:row r="106">
      <x:c r="A106" t="inlineStr">
        <x:is>
          <x:t xml:space="preserve">FRM0105</x:t>
        </x:is>
      </x:c>
      <x:c r="B106" t="inlineStr">
        <x:is>
          <x:t xml:space="preserve">infected_abrasion_adult</x:t>
        </x:is>
      </x:c>
      <x:c r="C106" t="inlineStr">
        <x:is>
          <x:t xml:space="preserve">Infected abrasion</x:t>
        </x:is>
      </x:c>
      <x:c r="D106" t="inlineStr">
        <x:is>
          <x:t xml:space="preserve">Skin</x:t>
        </x:is>
      </x:c>
      <x:c r="E106" t="inlineStr">
        <x:is>
          <x:t xml:space="preserve">adult</x:t>
        </x:is>
      </x:c>
      <x:c r="F106" t="inlineStr">
        <x:is>
          <x:t xml:space="preserve">routine_opd</x:t>
        </x:is>
      </x:c>
      <x:c r="G106" t="inlineStr">
        <x:is>
          <x:t xml:space="preserve">Y</x:t>
        </x:is>
      </x:c>
      <x:c r="H106" t="n">
        <x:v>1</x:v>
      </x:c>
      <x:c r="I106" t="inlineStr">
        <x:is>
          <x:t xml:space="preserve">L08.9</x:t>
        </x:is>
      </x:c>
      <x:c r="K106" t="inlineStr">
        <x:is>
          <x:t xml:space="preserve">Most likely</x:t>
        </x:is>
      </x:c>
      <x:c r="L106" t="inlineStr">
        <x:is>
          <x:t xml:space="preserve">abrasion with bacterial infection signs</x:t>
        </x:is>
      </x:c>
      <x:c r="M106" t="inlineStr">
        <x:is>
          <x:t xml:space="preserve">infected abrasion / superficial wound infection pattern</x:t>
        </x:is>
      </x:c>
      <x:c r="N106" t="inlineStr">
        <x:is>
          <x:t xml:space="preserve">deep wound, abscess, fever, or rapidly spreading cellulitis</x:t>
        </x:is>
      </x:c>
      <x:c r="O106" t="inlineStr">
        <x:is>
          <x:t xml:space="preserve">Y</x:t>
        </x:is>
      </x:c>
      <x:c r="P106" t="inlineStr">
        <x:is>
          <x:t xml:space="preserve">N</x:t>
        </x:is>
      </x:c>
      <x:c r="Q106" t="inlineStr">
        <x:is>
          <x:t xml:space="preserve">Needs in-person eval today if deep wound, abscess, fever, or rapidly spreading cellulitis</x:t>
        </x:is>
      </x:c>
      <x:c r="R106" t="inlineStr">
        <x:is>
          <x:t xml:space="preserve">v5 added</x:t>
        </x:is>
      </x:c>
      <x:c r="S106" t="inlineStr">
        <x:is>
          <x:t xml:space="preserve">Betadine Solution 15 ml [Povidone-Iodine USP 10 % w/v]</x:t>
        </x:is>
      </x:c>
      <x:c r="T106" t="inlineStr">
        <x:is>
          <x:t xml:space="preserve">BDS001238</x:t>
        </x:is>
      </x:c>
      <x:c r="U106" t="inlineStr">
        <x:is>
          <x:t xml:space="preserve">clean around abrasion TOP BID</x:t>
        </x:is>
      </x:c>
      <x:c r="V106" t="inlineStr">
        <x:is>
          <x:t xml:space="preserve">3–5 days</x:t>
        </x:is>
      </x:c>
      <x:c r="W106" t="inlineStr">
        <x:is>
          <x:t xml:space="preserve">1 bottle (15 mL)</x:t>
        </x:is>
      </x:c>
      <x:c r="X106" t="inlineStr">
        <x:is>
          <x:t xml:space="preserve">local irritation</x:t>
        </x:is>
      </x:c>
      <x:c r="Y106" t="inlineStr">
        <x:is>
          <x:t xml:space="preserve">avoid deep wounds / iodine allergy / thyroid caution</x:t>
        </x:is>
      </x:c>
      <x:c r="AA106" t="inlineStr">
        <x:is>
          <x:t xml:space="preserve">Fucidin Cream [Fusidic acid 20 mg./1 g.]</x:t>
        </x:is>
      </x:c>
      <x:c r="AB106" t="inlineStr">
        <x:is>
          <x:t xml:space="preserve">BDS001991</x:t>
        </x:is>
      </x:c>
      <x:c r="AC106" t="inlineStr">
        <x:is>
          <x:t xml:space="preserve">apply thinly TID</x:t>
        </x:is>
      </x:c>
      <x:c r="AD106" t="inlineStr">
        <x:is>
          <x:t xml:space="preserve">5–7 days</x:t>
        </x:is>
      </x:c>
      <x:c r="AE106" t="inlineStr">
        <x:is>
          <x:t xml:space="preserve">1 tube (5 g)</x:t>
        </x:is>
      </x:c>
      <x:c r="AF106" t="inlineStr">
        <x:is>
          <x:t xml:space="preserve">local irritation</x:t>
        </x:is>
      </x:c>
      <x:c r="AG106" t="inlineStr">
        <x:is>
          <x:t xml:space="preserve">localized lesions only</x:t>
        </x:is>
      </x:c>
      <x:c r="AY106" t="inlineStr">
        <x:is>
          <x:t xml:space="preserve">Ibiamox 500 mg [Amoxicillin 500 mg.]</x:t>
        </x:is>
      </x:c>
      <x:c r="AZ106" t="inlineStr">
        <x:is>
          <x:t xml:space="preserve">BDS002201</x:t>
        </x:is>
      </x:c>
      <x:c r="BA106" t="inlineStr">
        <x:is>
          <x:t xml:space="preserve">1 cap PO TID</x:t>
        </x:is>
      </x:c>
      <x:c r="BB106" t="inlineStr">
        <x:is>
          <x:t xml:space="preserve">5 days</x:t>
        </x:is>
      </x:c>
      <x:c r="BC106" t="inlineStr">
        <x:is>
          <x:t xml:space="preserve">2 strips (20 caps)</x:t>
        </x:is>
      </x:c>
      <x:c r="BD106" t="inlineStr">
        <x:is>
          <x:t xml:space="preserve">diarrhea, rash</x:t>
        </x:is>
      </x:c>
      <x:c r="BE106" t="inlineStr">
        <x:is>
          <x:t xml:space="preserve">oral antibiotic only if more extensive bacterial pattern</x:t>
        </x:is>
      </x:c>
      <x:c r="BF106" t="n">
        <x:v>110</x:v>
      </x:c>
    </x:row>
    <x:row r="107">
      <x:c r="A107" t="inlineStr">
        <x:is>
          <x:t xml:space="preserve">FRM0106</x:t>
        </x:is>
      </x:c>
      <x:c r="B107" t="inlineStr">
        <x:is>
          <x:t xml:space="preserve">infected_eczema_localized_adult</x:t>
        </x:is>
      </x:c>
      <x:c r="C107" t="inlineStr">
        <x:is>
          <x:t xml:space="preserve">Localized infected eczema / dermatitis</x:t>
        </x:is>
      </x:c>
      <x:c r="D107" t="inlineStr">
        <x:is>
          <x:t xml:space="preserve">Skin</x:t>
        </x:is>
      </x:c>
      <x:c r="E107" t="inlineStr">
        <x:is>
          <x:t xml:space="preserve">adult</x:t>
        </x:is>
      </x:c>
      <x:c r="F107" t="inlineStr">
        <x:is>
          <x:t xml:space="preserve">routine_opd</x:t>
        </x:is>
      </x:c>
      <x:c r="G107" t="inlineStr">
        <x:is>
          <x:t xml:space="preserve">N</x:t>
        </x:is>
      </x:c>
      <x:c r="H107" t="n">
        <x:v>9</x:v>
      </x:c>
      <x:c r="I107" t="inlineStr">
        <x:is>
          <x:t xml:space="preserve">L30.3</x:t>
        </x:is>
      </x:c>
      <x:c r="K107" t="inlineStr">
        <x:is>
          <x:t xml:space="preserve">Most likely</x:t>
        </x:is>
      </x:c>
      <x:c r="L107" t="inlineStr">
        <x:is>
          <x:t xml:space="preserve">inflamed eczema-like rash with localized bacterial superinfection pattern</x:t>
        </x:is>
      </x:c>
      <x:c r="M107" t="inlineStr">
        <x:is>
          <x:t xml:space="preserve">localized infected eczema/intertrigo-type row when mixed inflammatory+bacterial pattern is suspected</x:t>
        </x:is>
      </x:c>
      <x:c r="N107" t="inlineStr">
        <x:is>
          <x:t xml:space="preserve">widespread infection, fever, or severe cellulitis</x:t>
        </x:is>
      </x:c>
      <x:c r="O107" t="inlineStr">
        <x:is>
          <x:t xml:space="preserve">Y</x:t>
        </x:is>
      </x:c>
      <x:c r="P107" t="inlineStr">
        <x:is>
          <x:t xml:space="preserve">N</x:t>
        </x:is>
      </x:c>
      <x:c r="Q107" t="inlineStr">
        <x:is>
          <x:t xml:space="preserve">Needs in-person eval today if widespread infection, fever, rapidly spreading redness, or severe pain</x:t>
        </x:is>
      </x:c>
      <x:c r="R107" t="inlineStr">
        <x:is>
          <x:t xml:space="preserve">v5 added</x:t>
        </x:is>
      </x:c>
      <x:c r="S107" t="inlineStr">
        <x:is>
          <x:t xml:space="preserve">Fucidin H Cream [Fusidic acid 20 mg+Hydrocortisone Acetate 10 mg+อื่นๆ/1 g]</x:t>
        </x:is>
      </x:c>
      <x:c r="T107" t="inlineStr">
        <x:is>
          <x:t xml:space="preserve">BDS001910</x:t>
        </x:is>
      </x:c>
      <x:c r="U107" t="inlineStr">
        <x:is>
          <x:t xml:space="preserve">apply thinly BID–TID</x:t>
        </x:is>
      </x:c>
      <x:c r="V107" t="inlineStr">
        <x:is>
          <x:t xml:space="preserve">5 days</x:t>
        </x:is>
      </x:c>
      <x:c r="W107" t="inlineStr">
        <x:is>
          <x:t xml:space="preserve">1 tube (5 g)</x:t>
        </x:is>
      </x:c>
      <x:c r="X107" t="inlineStr">
        <x:is>
          <x:t xml:space="preserve">local irritation</x:t>
        </x:is>
      </x:c>
      <x:c r="Y107" t="inlineStr">
        <x:is>
          <x:t xml:space="preserve">short course; steroid-containing antibiotic combo</x:t>
        </x:is>
      </x:c>
      <x:c r="AY107" t="inlineStr">
        <x:is>
          <x:t xml:space="preserve">Fucicort Cream [Fusidic acid 20 mg+Betamethasone Valerate (eq. to Betamethasone 1 mg)+Preservative (Chlorocresol)/1 g]</x:t>
        </x:is>
      </x:c>
      <x:c r="AZ107" t="inlineStr">
        <x:is>
          <x:t xml:space="preserve">BDS001908</x:t>
        </x:is>
      </x:c>
      <x:c r="BA107" t="inlineStr">
        <x:is>
          <x:t xml:space="preserve">apply thinly BID–TID</x:t>
        </x:is>
      </x:c>
      <x:c r="BB107" t="inlineStr">
        <x:is>
          <x:t xml:space="preserve">5 days</x:t>
        </x:is>
      </x:c>
      <x:c r="BC107" t="inlineStr">
        <x:is>
          <x:t xml:space="preserve">1 tube (5 g)</x:t>
        </x:is>
      </x:c>
      <x:c r="BD107" t="inlineStr">
        <x:is>
          <x:t xml:space="preserve">local irritation</x:t>
        </x:is>
      </x:c>
      <x:c r="BE107" t="inlineStr">
        <x:is>
          <x:t xml:space="preserve">short course; steroid-containing antibiotic combo</x:t>
        </x:is>
      </x:c>
    </x:row>
    <x:row r="108">
      <x:c r="A108" t="inlineStr">
        <x:is>
          <x:t xml:space="preserve">FRM0107</x:t>
        </x:is>
      </x:c>
      <x:c r="B108" t="inlineStr">
        <x:is>
          <x:t xml:space="preserve">uncomplicated_uti_adult</x:t>
        </x:is>
      </x:c>
      <x:c r="C108" t="inlineStr">
        <x:is>
          <x:t xml:space="preserve">Uncomplicated cystitis / lower UTI</x:t>
        </x:is>
      </x:c>
      <x:c r="D108" t="inlineStr">
        <x:is>
          <x:t xml:space="preserve">GU</x:t>
        </x:is>
      </x:c>
      <x:c r="E108" t="inlineStr">
        <x:is>
          <x:t xml:space="preserve">adult</x:t>
        </x:is>
      </x:c>
      <x:c r="F108" t="inlineStr">
        <x:is>
          <x:t xml:space="preserve">routine_opd</x:t>
        </x:is>
      </x:c>
      <x:c r="G108" t="inlineStr">
        <x:is>
          <x:t xml:space="preserve">Y</x:t>
        </x:is>
      </x:c>
      <x:c r="H108" t="n">
        <x:v>1</x:v>
      </x:c>
      <x:c r="I108" t="inlineStr">
        <x:is>
          <x:t xml:space="preserve">N30.90</x:t>
        </x:is>
      </x:c>
      <x:c r="K108" t="inlineStr">
        <x:is>
          <x:t xml:space="preserve">Most likely</x:t>
        </x:is>
      </x:c>
      <x:c r="L108" t="inlineStr">
        <x:is>
          <x:t xml:space="preserve">lower UTI pattern without flank pain/fever/systemic red flags</x:t>
        </x:is>
      </x:c>
      <x:c r="M108" t="inlineStr">
        <x:is>
          <x:t xml:space="preserve">use only when uncomplicated lower UTI pattern is likely</x:t>
        </x:is>
      </x:c>
      <x:c r="N108" t="inlineStr">
        <x:is>
          <x:t xml:space="preserve">pregnancy, fever, flank pain, vomiting, male UTI, or recurrent/complicated case</x:t>
        </x:is>
      </x:c>
      <x:c r="O108" t="inlineStr">
        <x:is>
          <x:t xml:space="preserve">Y</x:t>
        </x:is>
      </x:c>
      <x:c r="P108" t="inlineStr">
        <x:is>
          <x:t xml:space="preserve">N</x:t>
        </x:is>
      </x:c>
      <x:c r="Q108" t="inlineStr">
        <x:is>
          <x:t xml:space="preserve">Needs in-person eval today if fever, flank pain, vomiting, pregnancy, male UTI, or recurrent/complicated symptoms</x:t>
        </x:is>
      </x:c>
      <x:c r="R108" t="inlineStr">
        <x:is>
          <x:t xml:space="preserve">v5 added</x:t>
        </x:is>
      </x:c>
      <x:c r="S108" t="inlineStr">
        <x:is>
          <x:t xml:space="preserve">Noflox-400 [Norfloxacin 400 mg.]</x:t>
        </x:is>
      </x:c>
      <x:c r="T108" t="inlineStr">
        <x:is>
          <x:t xml:space="preserve">BDS007591</x:t>
        </x:is>
      </x:c>
      <x:c r="U108" t="inlineStr">
        <x:is>
          <x:t xml:space="preserve">1 tab PO BID</x:t>
        </x:is>
      </x:c>
      <x:c r="V108" t="inlineStr">
        <x:is>
          <x:t xml:space="preserve">5 days</x:t>
        </x:is>
      </x:c>
      <x:c r="W108" t="inlineStr">
        <x:is>
          <x:t xml:space="preserve">1 strip (10 tabs)</x:t>
        </x:is>
      </x:c>
      <x:c r="X108" t="inlineStr">
        <x:is>
          <x:t xml:space="preserve">GI upset</x:t>
        </x:is>
      </x:c>
      <x:c r="Y108" t="inlineStr">
        <x:is>
          <x:t xml:space="preserve">use only when lower UTI pattern is likely; avoid pregnancy</x:t>
        </x:is>
      </x:c>
    </x:row>
    <x:row r="109">
      <x:c r="A109" t="inlineStr">
        <x:is>
          <x:t xml:space="preserve">FRM0108</x:t>
        </x:is>
      </x:c>
      <x:c r="B109" t="inlineStr">
        <x:is>
          <x:t xml:space="preserve">topical_eye_antibiotic_support_adult</x:t>
        </x:is>
      </x:c>
      <x:c r="C109" t="inlineStr">
        <x:is>
          <x:t xml:space="preserve">Topical eye antibiotic support</x:t>
        </x:is>
      </x:c>
      <x:c r="D109" t="inlineStr">
        <x:is>
          <x:t xml:space="preserve">Eye</x:t>
        </x:is>
      </x:c>
      <x:c r="E109" t="inlineStr">
        <x:is>
          <x:t xml:space="preserve">adult</x:t>
        </x:is>
      </x:c>
      <x:c r="F109" t="inlineStr">
        <x:is>
          <x:t xml:space="preserve">routine_opd</x:t>
        </x:is>
      </x:c>
      <x:c r="G109" t="inlineStr">
        <x:is>
          <x:t xml:space="preserve">N</x:t>
        </x:is>
      </x:c>
      <x:c r="H109" t="n">
        <x:v>9</x:v>
      </x:c>
      <x:c r="I109" t="inlineStr">
        <x:is>
          <x:t xml:space="preserve">Z76.89</x:t>
        </x:is>
      </x:c>
      <x:c r="K109" t="inlineStr">
        <x:is>
          <x:t xml:space="preserve">Most likely</x:t>
        </x:is>
      </x:c>
      <x:c r="L109" t="inlineStr">
        <x:is>
          <x:t xml:space="preserve">support row for topical eye antibiotic selection when bacterial eye disease already assessed</x:t>
        </x:is>
      </x:c>
      <x:c r="M109" t="inlineStr">
        <x:is>
          <x:t xml:space="preserve">support row for clinic use after deciding topical eye antibiotic is appropriate</x:t>
        </x:is>
      </x:c>
      <x:c r="N109" t="inlineStr">
        <x:is>
          <x:t xml:space="preserve">pain, photophobia, reduced vision, or diagnostic uncertainty</x:t>
        </x:is>
      </x:c>
      <x:c r="O109" t="inlineStr">
        <x:is>
          <x:t xml:space="preserve">Y</x:t>
        </x:is>
      </x:c>
      <x:c r="P109" t="inlineStr">
        <x:is>
          <x:t xml:space="preserve">N</x:t>
        </x:is>
      </x:c>
      <x:c r="Q109" t="inlineStr">
        <x:is>
          <x:t xml:space="preserve">Needs in-person eval today if pain, photophobia, reduced vision, or no response to treatment</x:t>
        </x:is>
      </x:c>
      <x:c r="R109" t="inlineStr">
        <x:is>
          <x:t xml:space="preserve">v5 added</x:t>
        </x:is>
      </x:c>
      <x:c r="S109" t="inlineStr">
        <x:is>
          <x:t xml:space="preserve">ChlorOph Eye Drops [Chloramphenicol 5 mg./1 ml.]</x:t>
        </x:is>
      </x:c>
      <x:c r="T109" t="inlineStr">
        <x:is>
          <x:t xml:space="preserve">BDS001437</x:t>
        </x:is>
      </x:c>
      <x:c r="U109" t="inlineStr">
        <x:is>
          <x:t xml:space="preserve">2–3 drops affected eye QID–5x/day</x:t>
        </x:is>
      </x:c>
      <x:c r="V109" t="inlineStr">
        <x:is>
          <x:t xml:space="preserve">5 days</x:t>
        </x:is>
      </x:c>
      <x:c r="W109" t="inlineStr">
        <x:is>
          <x:t xml:space="preserve">1 bottle (5 mL)</x:t>
        </x:is>
      </x:c>
      <x:c r="X109" t="inlineStr">
        <x:is>
          <x:t xml:space="preserve">local eye irritation</x:t>
        </x:is>
      </x:c>
      <x:c r="Y109" t="inlineStr">
        <x:is>
          <x:t xml:space="preserve">remove contact lenses; seek review if pain/photophobia/vision loss</x:t>
        </x:is>
      </x:c>
      <x:c r="AA109" t="inlineStr">
        <x:is>
          <x:t xml:space="preserve">Fucithalmic Eye Drops [Fusidic acid 10 mg.+Preservative (Benzalkonium chloride 0.1%)/ 1 g.]</x:t>
        </x:is>
      </x:c>
      <x:c r="AB109" t="inlineStr">
        <x:is>
          <x:t xml:space="preserve">BDS001847</x:t>
        </x:is>
      </x:c>
      <x:c r="AC109" t="inlineStr">
        <x:is>
          <x:t xml:space="preserve">1 drop affected eye BID</x:t>
        </x:is>
      </x:c>
      <x:c r="AD109" t="inlineStr">
        <x:is>
          <x:t xml:space="preserve">5 days</x:t>
        </x:is>
      </x:c>
      <x:c r="AE109" t="inlineStr">
        <x:is>
          <x:t xml:space="preserve">1 tube (5 g)</x:t>
        </x:is>
      </x:c>
      <x:c r="AF109" t="inlineStr">
        <x:is>
          <x:t xml:space="preserve">local eye irritation</x:t>
        </x:is>
      </x:c>
      <x:c r="AG109" t="inlineStr">
        <x:is>
          <x:t xml:space="preserve">ophthalmic use only; remove contact lenses</x:t>
        </x:is>
      </x:c>
      <x:c r="AY109" t="inlineStr">
        <x:is>
          <x:t xml:space="preserve">Terramycin Ophthalmic Ointment [Oxytetracycline HCl 5 mg.+Polymyxin B Sulfate 10,000 units/1 g.]</x:t>
        </x:is>
      </x:c>
      <x:c r="AZ109" t="inlineStr">
        <x:is>
          <x:t xml:space="preserve">BDS003721</x:t>
        </x:is>
      </x:c>
      <x:c r="BA109" t="inlineStr">
        <x:is>
          <x:t xml:space="preserve">apply ophthalmic ointment HS</x:t>
        </x:is>
      </x:c>
      <x:c r="BB109" t="inlineStr">
        <x:is>
          <x:t xml:space="preserve">5 days</x:t>
        </x:is>
      </x:c>
      <x:c r="BC109" t="inlineStr">
        <x:is>
          <x:t xml:space="preserve">1 tube (3.5 g)</x:t>
        </x:is>
      </x:c>
      <x:c r="BD109" t="inlineStr">
        <x:is>
          <x:t xml:space="preserve">blurred vision after application</x:t>
        </x:is>
      </x:c>
      <x:c r="BE109" t="inlineStr">
        <x:is>
          <x:t xml:space="preserve">ophthalmic use only</x:t>
        </x:is>
      </x:c>
    </x:row>
    <x:row r="110">
      <x:c r="A110" t="inlineStr">
        <x:is>
          <x:t xml:space="preserve">FRM0109</x:t>
        </x:is>
      </x:c>
      <x:c r="B110" t="inlineStr">
        <x:is>
          <x:t xml:space="preserve">bacterial_skin_infection_topical_peds</x:t>
        </x:is>
      </x:c>
      <x:c r="C110" t="inlineStr">
        <x:is>
          <x:t xml:space="preserve">Pediatric topical bacterial skin infection support</x:t>
        </x:is>
      </x:c>
      <x:c r="D110" t="inlineStr">
        <x:is>
          <x:t xml:space="preserve">Skin</x:t>
        </x:is>
      </x:c>
      <x:c r="E110" t="inlineStr">
        <x:is>
          <x:t xml:space="preserve">peds</x:t>
        </x:is>
      </x:c>
      <x:c r="F110" t="inlineStr">
        <x:is>
          <x:t xml:space="preserve">routine_opd</x:t>
        </x:is>
      </x:c>
      <x:c r="G110" t="inlineStr">
        <x:is>
          <x:t xml:space="preserve">N</x:t>
        </x:is>
      </x:c>
      <x:c r="H110" t="n">
        <x:v>9</x:v>
      </x:c>
      <x:c r="I110" t="inlineStr">
        <x:is>
          <x:t xml:space="preserve">L08.9</x:t>
        </x:is>
      </x:c>
      <x:c r="K110" t="inlineStr">
        <x:is>
          <x:t xml:space="preserve">Most likely</x:t>
        </x:is>
      </x:c>
      <x:c r="L110" t="inlineStr">
        <x:is>
          <x:t xml:space="preserve">small localized superficial bacterial skin lesion in child</x:t>
        </x:is>
      </x:c>
      <x:c r="M110" t="inlineStr">
        <x:is>
          <x:t xml:space="preserve">localized child superficial bacterial skin lesion where topical-first support is chosen</x:t>
        </x:is>
      </x:c>
      <x:c r="N110" t="inlineStr">
        <x:is>
          <x:t xml:space="preserve">fever, abscess, widespread lesions, or rapid spread</x:t>
        </x:is>
      </x:c>
      <x:c r="O110" t="inlineStr">
        <x:is>
          <x:t xml:space="preserve">Y</x:t>
        </x:is>
      </x:c>
      <x:c r="P110" t="inlineStr">
        <x:is>
          <x:t xml:space="preserve">Y</x:t>
        </x:is>
      </x:c>
      <x:c r="Q110" t="inlineStr">
        <x:is>
          <x:t xml:space="preserve">Needs in-person eval today if fever, abscess, widespread lesions, or rapid spread</x:t>
        </x:is>
      </x:c>
      <x:c r="R110" t="inlineStr">
        <x:is>
          <x:t xml:space="preserve">v5 added</x:t>
        </x:is>
      </x:c>
      <x:c r="S110" t="inlineStr">
        <x:is>
          <x:t xml:space="preserve">Fucidin Cream [Fusidic acid 20 mg./1 g.]</x:t>
        </x:is>
      </x:c>
      <x:c r="T110" t="inlineStr">
        <x:is>
          <x:t xml:space="preserve">BDS001991</x:t>
        </x:is>
      </x:c>
      <x:c r="U110" t="inlineStr">
        <x:is>
          <x:t xml:space="preserve">apply thinly TID</x:t>
        </x:is>
      </x:c>
      <x:c r="V110" t="inlineStr">
        <x:is>
          <x:t xml:space="preserve">5–7 days</x:t>
        </x:is>
      </x:c>
      <x:c r="W110" t="inlineStr">
        <x:is>
          <x:t xml:space="preserve">1 tube (5 g)</x:t>
        </x:is>
      </x:c>
      <x:c r="X110" t="inlineStr">
        <x:is>
          <x:t xml:space="preserve">local irritation</x:t>
        </x:is>
      </x:c>
      <x:c r="Y110" t="inlineStr">
        <x:is>
          <x:t xml:space="preserve">localized lesions only</x:t>
        </x:is>
      </x:c>
    </x:row>
    <x:row r="111">
      <x:c r="A111" t="inlineStr">
        <x:is>
          <x:t xml:space="preserve">FRM0110</x:t>
        </x:is>
      </x:c>
      <x:c r="B111" t="inlineStr">
        <x:is>
          <x:t xml:space="preserve">bacterial_skin_infection_topical_adult</x:t>
        </x:is>
      </x:c>
      <x:c r="C111" t="inlineStr">
        <x:is>
          <x:t xml:space="preserve">Adult topical bacterial skin infection support</x:t>
        </x:is>
      </x:c>
      <x:c r="D111" t="inlineStr">
        <x:is>
          <x:t xml:space="preserve">Skin</x:t>
        </x:is>
      </x:c>
      <x:c r="E111" t="inlineStr">
        <x:is>
          <x:t xml:space="preserve">adult</x:t>
        </x:is>
      </x:c>
      <x:c r="F111" t="inlineStr">
        <x:is>
          <x:t xml:space="preserve">routine_opd</x:t>
        </x:is>
      </x:c>
      <x:c r="G111" t="inlineStr">
        <x:is>
          <x:t xml:space="preserve">N</x:t>
        </x:is>
      </x:c>
      <x:c r="H111" t="n">
        <x:v>9</x:v>
      </x:c>
      <x:c r="I111" t="inlineStr">
        <x:is>
          <x:t xml:space="preserve">L08.9</x:t>
        </x:is>
      </x:c>
      <x:c r="K111" t="inlineStr">
        <x:is>
          <x:t xml:space="preserve">Most likely</x:t>
        </x:is>
      </x:c>
      <x:c r="L111" t="inlineStr">
        <x:is>
          <x:t xml:space="preserve">localized superficial bacterial skin lesion suitable for topical-first care</x:t>
        </x:is>
      </x:c>
      <x:c r="M111" t="inlineStr">
        <x:is>
          <x:t xml:space="preserve">localized topical-first bacterial skin lesion support row</x:t>
        </x:is>
      </x:c>
      <x:c r="N111" t="inlineStr">
        <x:is>
          <x:t xml:space="preserve">fever, abscess, rapid spread, or facial danger-area involvement</x:t>
        </x:is>
      </x:c>
      <x:c r="O111" t="inlineStr">
        <x:is>
          <x:t xml:space="preserve">Y</x:t>
        </x:is>
      </x:c>
      <x:c r="P111" t="inlineStr">
        <x:is>
          <x:t xml:space="preserve">N</x:t>
        </x:is>
      </x:c>
      <x:c r="Q111" t="inlineStr">
        <x:is>
          <x:t xml:space="preserve">Needs in-person eval today if fever, abscess, rapid spread, or facial danger-area involvement</x:t>
        </x:is>
      </x:c>
      <x:c r="R111" t="inlineStr">
        <x:is>
          <x:t xml:space="preserve">v5 added</x:t>
        </x:is>
      </x:c>
      <x:c r="S111" t="inlineStr">
        <x:is>
          <x:t xml:space="preserve">Fucidin Cream [Fusidic acid 20 mg./1 g.]</x:t>
        </x:is>
      </x:c>
      <x:c r="T111" t="inlineStr">
        <x:is>
          <x:t xml:space="preserve">BDS001991</x:t>
        </x:is>
      </x:c>
      <x:c r="U111" t="inlineStr">
        <x:is>
          <x:t xml:space="preserve">apply thinly TID</x:t>
        </x:is>
      </x:c>
      <x:c r="V111" t="inlineStr">
        <x:is>
          <x:t xml:space="preserve">5–7 days</x:t>
        </x:is>
      </x:c>
      <x:c r="W111" t="inlineStr">
        <x:is>
          <x:t xml:space="preserve">1 tube (5 g)</x:t>
        </x:is>
      </x:c>
      <x:c r="X111" t="inlineStr">
        <x:is>
          <x:t xml:space="preserve">local irritation</x:t>
        </x:is>
      </x:c>
      <x:c r="Y111" t="inlineStr">
        <x:is>
          <x:t xml:space="preserve">localized lesions only</x:t>
        </x:is>
      </x:c>
    </x:row>
    <x:row r="112">
      <x:c r="A112" t="inlineStr">
        <x:is>
          <x:t xml:space="preserve">FRM0111</x:t>
        </x:is>
      </x:c>
      <x:c r="B112" t="inlineStr">
        <x:is>
          <x:t xml:space="preserve">infected_wound_oral_antibiotic_adult</x:t>
        </x:is>
      </x:c>
      <x:c r="C112" t="inlineStr">
        <x:is>
          <x:t xml:space="preserve">Infected wound needing oral antibiotic</x:t>
        </x:is>
      </x:c>
      <x:c r="D112" t="inlineStr">
        <x:is>
          <x:t xml:space="preserve">Skin</x:t>
        </x:is>
      </x:c>
      <x:c r="E112" t="inlineStr">
        <x:is>
          <x:t xml:space="preserve">adult</x:t>
        </x:is>
      </x:c>
      <x:c r="F112" t="inlineStr">
        <x:is>
          <x:t xml:space="preserve">routine_opd</x:t>
        </x:is>
      </x:c>
      <x:c r="G112" t="inlineStr">
        <x:is>
          <x:t xml:space="preserve">N</x:t>
        </x:is>
      </x:c>
      <x:c r="H112" t="n">
        <x:v>9</x:v>
      </x:c>
      <x:c r="I112" t="inlineStr">
        <x:is>
          <x:t xml:space="preserve">L08.9</x:t>
        </x:is>
      </x:c>
      <x:c r="K112" t="inlineStr">
        <x:is>
          <x:t xml:space="preserve">Most likely</x:t>
        </x:is>
      </x:c>
      <x:c r="L112" t="inlineStr">
        <x:is>
          <x:t xml:space="preserve">wound infection pattern where oral antibiotic support is chosen</x:t>
        </x:is>
      </x:c>
      <x:c r="M112" t="inlineStr">
        <x:is>
          <x:t xml:space="preserve">infected wound row when oral antibiotic is chosen and there are no severe red flags</x:t>
        </x:is>
      </x:c>
      <x:c r="N112" t="inlineStr">
        <x:is>
          <x:t xml:space="preserve">deep wound, abscess, fever, or rapidly spreading cellulitis</x:t>
        </x:is>
      </x:c>
      <x:c r="O112" t="inlineStr">
        <x:is>
          <x:t xml:space="preserve">Y</x:t>
        </x:is>
      </x:c>
      <x:c r="P112" t="inlineStr">
        <x:is>
          <x:t xml:space="preserve">N</x:t>
        </x:is>
      </x:c>
      <x:c r="Q112" t="inlineStr">
        <x:is>
          <x:t xml:space="preserve">Needs in-person eval today if deep wound, abscess, fever, or rapidly spreading cellulitis</x:t>
        </x:is>
      </x:c>
      <x:c r="R112" t="inlineStr">
        <x:is>
          <x:t xml:space="preserve">v5 added</x:t>
        </x:is>
      </x:c>
      <x:c r="S112" t="inlineStr">
        <x:is>
          <x:t xml:space="preserve">AMK 1000 mg [Amoxicillin 875 mg.+Clavulanic Acid 125 mg.]</x:t>
        </x:is>
      </x:c>
      <x:c r="T112" t="inlineStr">
        <x:is>
          <x:t xml:space="preserve">BDS001103</x:t>
        </x:is>
      </x:c>
      <x:c r="U112" t="inlineStr">
        <x:is>
          <x:t xml:space="preserve">1 tab PO BID</x:t>
        </x:is>
      </x:c>
      <x:c r="V112" t="inlineStr">
        <x:is>
          <x:t xml:space="preserve">5 days</x:t>
        </x:is>
      </x:c>
      <x:c r="W112" t="inlineStr">
        <x:is>
          <x:t xml:space="preserve">1 box (10 tabs)</x:t>
        </x:is>
      </x:c>
      <x:c r="X112" t="inlineStr">
        <x:is>
          <x:t xml:space="preserve">diarrhea, nausea</x:t>
        </x:is>
      </x:c>
      <x:c r="Y112" t="inlineStr">
        <x:is>
          <x:t xml:space="preserve">penicillin allergy; bacterial pattern only</x:t>
        </x:is>
      </x:c>
      <x:c r="AA112" t="inlineStr">
        <x:is>
          <x:t xml:space="preserve">Betadine Solution 15 ml [Povidone-Iodine USP 10 % w/v]</x:t>
        </x:is>
      </x:c>
      <x:c r="AB112" t="inlineStr">
        <x:is>
          <x:t xml:space="preserve">BDS001238</x:t>
        </x:is>
      </x:c>
      <x:c r="AC112" t="inlineStr">
        <x:is>
          <x:t xml:space="preserve">clean around wound TOP BID</x:t>
        </x:is>
      </x:c>
      <x:c r="AD112" t="inlineStr">
        <x:is>
          <x:t xml:space="preserve">3–5 days</x:t>
        </x:is>
      </x:c>
      <x:c r="AE112" t="inlineStr">
        <x:is>
          <x:t xml:space="preserve">1 bottle (15 mL)</x:t>
        </x:is>
      </x:c>
      <x:c r="AF112" t="inlineStr">
        <x:is>
          <x:t xml:space="preserve">local irritation</x:t>
        </x:is>
      </x:c>
      <x:c r="AG112" t="inlineStr">
        <x:is>
          <x:t xml:space="preserve">avoid deep wounds / iodine allergy / thyroid caution</x:t>
        </x:is>
      </x:c>
    </x:row>
    <x:row r="113">
      <x:c r="A113" t="inlineStr">
        <x:is>
          <x:t xml:space="preserve">FRM0112</x:t>
        </x:is>
      </x:c>
      <x:c r="B113" t="inlineStr">
        <x:is>
          <x:t xml:space="preserve">penicillin_allergy_resp_support_adult</x:t>
        </x:is>
      </x:c>
      <x:c r="C113" t="inlineStr">
        <x:is>
          <x:t xml:space="preserve">Penicillin-allergy respiratory bacterial support</x:t>
        </x:is>
      </x:c>
      <x:c r="D113" t="inlineStr">
        <x:is>
          <x:t xml:space="preserve">ENT</x:t>
        </x:is>
      </x:c>
      <x:c r="E113" t="inlineStr">
        <x:is>
          <x:t xml:space="preserve">adult</x:t>
        </x:is>
      </x:c>
      <x:c r="F113" t="inlineStr">
        <x:is>
          <x:t xml:space="preserve">routine_opd</x:t>
        </x:is>
      </x:c>
      <x:c r="G113" t="inlineStr">
        <x:is>
          <x:t xml:space="preserve">N</x:t>
        </x:is>
      </x:c>
      <x:c r="H113" t="n">
        <x:v>9</x:v>
      </x:c>
      <x:c r="I113" t="inlineStr">
        <x:is>
          <x:t xml:space="preserve">J06.9</x:t>
        </x:is>
      </x:c>
      <x:c r="K113" t="inlineStr">
        <x:is>
          <x:t xml:space="preserve">Most likely</x:t>
        </x:is>
      </x:c>
      <x:c r="L113" t="inlineStr">
        <x:is>
          <x:t xml:space="preserve">support row when respiratory bacterial pattern exists and penicillin option is avoided</x:t>
        </x:is>
      </x:c>
      <x:c r="M113" t="inlineStr">
        <x:is>
          <x:t xml:space="preserve">support row only; use when bacterial respiratory pattern is present and this alternative is intentionally chosen</x:t>
        </x:is>
      </x:c>
      <x:c r="N113" t="inlineStr">
        <x:is>
          <x:t xml:space="preserve">routine viral URI, unclear diagnosis, or severe toxicity</x:t>
        </x:is>
      </x:c>
      <x:c r="O113" t="inlineStr">
        <x:is>
          <x:t xml:space="preserve">Y</x:t>
        </x:is>
      </x:c>
      <x:c r="P113" t="inlineStr">
        <x:is>
          <x:t xml:space="preserve">N</x:t>
        </x:is>
      </x:c>
      <x:c r="Q113" t="inlineStr">
        <x:is>
          <x:t xml:space="preserve">Needs in-person eval today if severe toxicity, dyspnea, or worsening despite appropriate treatment</x:t>
        </x:is>
      </x:c>
      <x:c r="R113" t="inlineStr">
        <x:is>
          <x:t xml:space="preserve">v5 added</x:t>
        </x:is>
      </x:c>
      <x:c r="S113" t="inlineStr">
        <x:is>
          <x:t xml:space="preserve">B.Roxi [Roxithromycin 150 mg.]</x:t>
        </x:is>
      </x:c>
      <x:c r="T113" t="inlineStr">
        <x:is>
          <x:t xml:space="preserve">BDS007066</x:t>
        </x:is>
      </x:c>
      <x:c r="U113" t="inlineStr">
        <x:is>
          <x:t xml:space="preserve">1 tab PO BID before meals</x:t>
        </x:is>
      </x:c>
      <x:c r="V113" t="inlineStr">
        <x:is>
          <x:t xml:space="preserve">5 days</x:t>
        </x:is>
      </x:c>
      <x:c r="W113" t="inlineStr">
        <x:is>
          <x:t xml:space="preserve">1 strip (10 tabs)</x:t>
        </x:is>
      </x:c>
      <x:c r="X113" t="inlineStr">
        <x:is>
          <x:t xml:space="preserve">GI upset</x:t>
        </x:is>
      </x:c>
      <x:c r="Y113" t="inlineStr">
        <x:is>
          <x:t xml:space="preserve">drug interactions; use only when bacterial pattern is likely</x:t>
        </x:is>
      </x:c>
      <x:c r="AA113" t="inlineStr">
        <x:is>
          <x:t xml:space="preserve">Tylenol 500 mg strip 10s [Paracetamol 500 mg.]</x:t>
        </x:is>
      </x:c>
      <x:c r="AB113" t="inlineStr">
        <x:is>
          <x:t xml:space="preserve">BDS003762</x:t>
        </x:is>
      </x:c>
      <x:c r="AC113" t="inlineStr">
        <x:is>
          <x:t xml:space="preserve">1–2 tabs PO q4–6h PRN fever/pain</x:t>
        </x:is>
      </x:c>
      <x:c r="AD113" t="inlineStr">
        <x:is>
          <x:t xml:space="preserve">3 days</x:t>
        </x:is>
      </x:c>
      <x:c r="AE113" t="inlineStr">
        <x:is>
          <x:t xml:space="preserve">1 strip (10 tabs)</x:t>
        </x:is>
      </x:c>
      <x:c r="AF113" t="inlineStr">
        <x:is>
          <x:t xml:space="preserve">nausea, rash</x:t>
        </x:is>
      </x:c>
      <x:c r="AG113" t="inlineStr">
        <x:is>
          <x:t xml:space="preserve">avoid duplicate paracetamol; caution liver disease</x:t>
        </x:is>
      </x:c>
      <x:c r="AH113" t="n">
        <x:v>36</x:v>
      </x:c>
    </x:row>
    <x:row r="114">
      <x:c r="A114" t="inlineStr">
        <x:is>
          <x:t xml:space="preserve">FRM0113</x:t>
        </x:is>
      </x:c>
      <x:c r="B114" t="inlineStr">
        <x:is>
          <x:t xml:space="preserve">bacterial_sinusitis_alt_adult</x:t>
        </x:is>
      </x:c>
      <x:c r="C114" t="inlineStr">
        <x:is>
          <x:t xml:space="preserve">Bacterial sinusitis alternative antibiotic row</x:t>
        </x:is>
      </x:c>
      <x:c r="D114" t="inlineStr">
        <x:is>
          <x:t xml:space="preserve">ENT</x:t>
        </x:is>
      </x:c>
      <x:c r="E114" t="inlineStr">
        <x:is>
          <x:t xml:space="preserve">adult</x:t>
        </x:is>
      </x:c>
      <x:c r="F114" t="inlineStr">
        <x:is>
          <x:t xml:space="preserve">routine_opd</x:t>
        </x:is>
      </x:c>
      <x:c r="G114" t="inlineStr">
        <x:is>
          <x:t xml:space="preserve">N</x:t>
        </x:is>
      </x:c>
      <x:c r="H114" t="n">
        <x:v>9</x:v>
      </x:c>
      <x:c r="I114" t="inlineStr">
        <x:is>
          <x:t xml:space="preserve">J01.90</x:t>
        </x:is>
      </x:c>
      <x:c r="K114" t="inlineStr">
        <x:is>
          <x:t xml:space="preserve">Most likely</x:t>
        </x:is>
      </x:c>
      <x:c r="L114" t="inlineStr">
        <x:is>
          <x:t xml:space="preserve">support row for alternative antibiotic choice in bacterial sinusitis</x:t>
        </x:is>
      </x:c>
      <x:c r="M114" t="inlineStr">
        <x:is>
          <x:t xml:space="preserve">support row only after deciding bacterial sinusitis is likely and an alternative antibiotic row is needed</x:t>
        </x:is>
      </x:c>
      <x:c r="N114" t="inlineStr">
        <x:is>
          <x:t xml:space="preserve">routine viral URI or uncertain diagnosis</x:t>
        </x:is>
      </x:c>
      <x:c r="O114" t="inlineStr">
        <x:is>
          <x:t xml:space="preserve">Y</x:t>
        </x:is>
      </x:c>
      <x:c r="P114" t="inlineStr">
        <x:is>
          <x:t xml:space="preserve">N</x:t>
        </x:is>
      </x:c>
      <x:c r="Q114" t="inlineStr">
        <x:is>
          <x:t xml:space="preserve">Needs in-person eval today if orbital symptoms, severe swelling, or toxic appearance</x:t>
        </x:is>
      </x:c>
      <x:c r="R114" t="inlineStr">
        <x:is>
          <x:t xml:space="preserve">v5 added</x:t>
        </x:is>
      </x:c>
      <x:c r="S114" t="inlineStr">
        <x:is>
          <x:t xml:space="preserve">B.Roxi [Roxithromycin 150 mg.]</x:t>
        </x:is>
      </x:c>
      <x:c r="T114" t="inlineStr">
        <x:is>
          <x:t xml:space="preserve">BDS007066</x:t>
        </x:is>
      </x:c>
      <x:c r="U114" t="inlineStr">
        <x:is>
          <x:t xml:space="preserve">1 tab PO BID before meals</x:t>
        </x:is>
      </x:c>
      <x:c r="V114" t="inlineStr">
        <x:is>
          <x:t xml:space="preserve">5 days</x:t>
        </x:is>
      </x:c>
      <x:c r="W114" t="inlineStr">
        <x:is>
          <x:t xml:space="preserve">1 strip (10 tabs)</x:t>
        </x:is>
      </x:c>
      <x:c r="X114" t="inlineStr">
        <x:is>
          <x:t xml:space="preserve">GI upset</x:t>
        </x:is>
      </x:c>
      <x:c r="Y114" t="inlineStr">
        <x:is>
          <x:t xml:space="preserve">drug interactions; use only when bacterial pattern is likely</x:t>
        </x:is>
      </x:c>
      <x:c r="AA114" t="inlineStr">
        <x:is>
          <x:t xml:space="preserve">Klean &amp; Kare Saline เล็ก [Sodium Chloride 0.9 g./100 ml.]</x:t>
        </x:is>
      </x:c>
      <x:c r="AB114" t="inlineStr">
        <x:is>
          <x:t xml:space="preserve">BDS044320</x:t>
        </x:is>
      </x:c>
      <x:c r="AC114" t="inlineStr">
        <x:is>
          <x:t xml:space="preserve">clean/rinse nasal cavity PRN</x:t>
        </x:is>
      </x:c>
      <x:c r="AD114" t="inlineStr">
        <x:is>
          <x:t xml:space="preserve">5 days</x:t>
        </x:is>
      </x:c>
      <x:c r="AE114" t="inlineStr">
        <x:is>
          <x:t xml:space="preserve">1 bottle (100 mL)</x:t>
        </x:is>
      </x:c>
      <x:c r="AF114" t="inlineStr">
        <x:is>
          <x:t xml:space="preserve">mild local discomfort</x:t>
        </x:is>
      </x:c>
      <x:c r="AG114" t="inlineStr">
        <x:is>
          <x:t xml:space="preserve">sterile technique; stop if severe ear pain</x:t>
        </x:is>
      </x:c>
    </x:row>
    <x:row r="115">
      <x:c r="A115" t="inlineStr">
        <x:is>
          <x:t xml:space="preserve">FRM0114</x:t>
        </x:is>
      </x:c>
      <x:c r="B115" t="inlineStr">
        <x:is>
          <x:t xml:space="preserve">bacterial_pharyngitis_alt_adult</x:t>
        </x:is>
      </x:c>
      <x:c r="C115" t="inlineStr">
        <x:is>
          <x:t xml:space="preserve">Bacterial pharyngitis alternative antibiotic row</x:t>
        </x:is>
      </x:c>
      <x:c r="D115" t="inlineStr">
        <x:is>
          <x:t xml:space="preserve">ENT</x:t>
        </x:is>
      </x:c>
      <x:c r="E115" t="inlineStr">
        <x:is>
          <x:t xml:space="preserve">adult</x:t>
        </x:is>
      </x:c>
      <x:c r="F115" t="inlineStr">
        <x:is>
          <x:t xml:space="preserve">routine_opd</x:t>
        </x:is>
      </x:c>
      <x:c r="G115" t="inlineStr">
        <x:is>
          <x:t xml:space="preserve">N</x:t>
        </x:is>
      </x:c>
      <x:c r="H115" t="n">
        <x:v>9</x:v>
      </x:c>
      <x:c r="I115" t="inlineStr">
        <x:is>
          <x:t xml:space="preserve">J02.8</x:t>
        </x:is>
      </x:c>
      <x:c r="K115" t="inlineStr">
        <x:is>
          <x:t xml:space="preserve">Most likely</x:t>
        </x:is>
      </x:c>
      <x:c r="L115" t="inlineStr">
        <x:is>
          <x:t xml:space="preserve">support row for alternative antibiotic choice in bacterial pharyngitis</x:t>
        </x:is>
      </x:c>
      <x:c r="M115" t="inlineStr">
        <x:is>
          <x:t xml:space="preserve">support row only after deciding bacterial pharyngitis is likely and an alternative antibiotic row is needed</x:t>
        </x:is>
      </x:c>
      <x:c r="N115" t="inlineStr">
        <x:is>
          <x:t xml:space="preserve">viral sore throat or uncertain diagnosis</x:t>
        </x:is>
      </x:c>
      <x:c r="O115" t="inlineStr">
        <x:is>
          <x:t xml:space="preserve">Y</x:t>
        </x:is>
      </x:c>
      <x:c r="P115" t="inlineStr">
        <x:is>
          <x:t xml:space="preserve">N</x:t>
        </x:is>
      </x:c>
      <x:c r="Q115" t="inlineStr">
        <x:is>
          <x:t xml:space="preserve">Needs in-person eval today if drooling, muffled voice, severe unilateral swelling, or inability to swallow</x:t>
        </x:is>
      </x:c>
      <x:c r="R115" t="inlineStr">
        <x:is>
          <x:t xml:space="preserve">v5 added</x:t>
        </x:is>
      </x:c>
      <x:c r="S115" t="inlineStr">
        <x:is>
          <x:t xml:space="preserve">B.Roxi [Roxithromycin 150 mg.]</x:t>
        </x:is>
      </x:c>
      <x:c r="T115" t="inlineStr">
        <x:is>
          <x:t xml:space="preserve">BDS007066</x:t>
        </x:is>
      </x:c>
      <x:c r="U115" t="inlineStr">
        <x:is>
          <x:t xml:space="preserve">1 tab PO BID before meals</x:t>
        </x:is>
      </x:c>
      <x:c r="V115" t="inlineStr">
        <x:is>
          <x:t xml:space="preserve">5 days</x:t>
        </x:is>
      </x:c>
      <x:c r="W115" t="inlineStr">
        <x:is>
          <x:t xml:space="preserve">1 strip (10 tabs)</x:t>
        </x:is>
      </x:c>
      <x:c r="X115" t="inlineStr">
        <x:is>
          <x:t xml:space="preserve">GI upset</x:t>
        </x:is>
      </x:c>
      <x:c r="Y115" t="inlineStr">
        <x:is>
          <x:t xml:space="preserve">drug interactions; use only when bacterial pattern is likely</x:t>
        </x:is>
      </x:c>
      <x:c r="AA115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AB115" t="inlineStr">
        <x:is>
          <x:t xml:space="preserve">BDS002411</x:t>
        </x:is>
      </x:c>
      <x:c r="AC115" t="inlineStr">
        <x:is>
          <x:t xml:space="preserve">2 sprays to mouth/throat TID</x:t>
        </x:is>
      </x:c>
      <x:c r="AD115" t="inlineStr">
        <x:is>
          <x:t xml:space="preserve">5 days</x:t>
        </x:is>
      </x:c>
      <x:c r="AE115" t="inlineStr">
        <x:is>
          <x:t xml:space="preserve">1 bottle (15 mL)</x:t>
        </x:is>
      </x:c>
      <x:c r="AF115" t="inlineStr">
        <x:is>
          <x:t xml:space="preserve">local irritation</x:t>
        </x:is>
      </x:c>
      <x:c r="AG115" t="inlineStr">
        <x:is>
          <x:t xml:space="preserve">avoid if ingredient allergy</x:t>
        </x:is>
      </x:c>
      <x:c r="AH115" t="n">
        <x:v>163.5</x:v>
      </x:c>
    </x:row>
    <x:row r="116">
      <x:c r="A116" t="inlineStr">
        <x:is>
          <x:t xml:space="preserve">FRM0115</x:t>
        </x:is>
      </x:c>
      <x:c r="B116" t="inlineStr">
        <x:is>
          <x:t xml:space="preserve">topical_fusidic_support_adult</x:t>
        </x:is>
      </x:c>
      <x:c r="C116" t="inlineStr">
        <x:is>
          <x:t xml:space="preserve">Topical fusidic acid support</x:t>
        </x:is>
      </x:c>
      <x:c r="D116" t="inlineStr">
        <x:is>
          <x:t xml:space="preserve">Skin</x:t>
        </x:is>
      </x:c>
      <x:c r="E116" t="inlineStr">
        <x:is>
          <x:t xml:space="preserve">adult</x:t>
        </x:is>
      </x:c>
      <x:c r="F116" t="inlineStr">
        <x:is>
          <x:t xml:space="preserve">routine_opd</x:t>
        </x:is>
      </x:c>
      <x:c r="G116" t="inlineStr">
        <x:is>
          <x:t xml:space="preserve">N</x:t>
        </x:is>
      </x:c>
      <x:c r="H116" t="n">
        <x:v>9</x:v>
      </x:c>
      <x:c r="I116" t="inlineStr">
        <x:is>
          <x:t xml:space="preserve">Z76.89</x:t>
        </x:is>
      </x:c>
      <x:c r="K116" t="inlineStr">
        <x:is>
          <x:t xml:space="preserve">Most likely</x:t>
        </x:is>
      </x:c>
      <x:c r="L116" t="inlineStr">
        <x:is>
          <x:t xml:space="preserve">support row for selecting topical fusidic acid in localized skin infection</x:t>
        </x:is>
      </x:c>
      <x:c r="M116" t="inlineStr">
        <x:is>
          <x:t xml:space="preserve">support row only for localized superficial bacterial skin lesions</x:t>
        </x:is>
      </x:c>
      <x:c r="N116" t="inlineStr">
        <x:is>
          <x:t xml:space="preserve">deep abscess, fever, widespread cellulitis</x:t>
        </x:is>
      </x:c>
      <x:c r="O116" t="inlineStr">
        <x:is>
          <x:t xml:space="preserve">Y</x:t>
        </x:is>
      </x:c>
      <x:c r="P116" t="inlineStr">
        <x:is>
          <x:t xml:space="preserve">N</x:t>
        </x:is>
      </x:c>
      <x:c r="Q116" t="inlineStr">
        <x:is>
          <x:t xml:space="preserve">Needs in-person eval today if deep abscess, fever, rapid spread, or severe pain</x:t>
        </x:is>
      </x:c>
      <x:c r="R116" t="inlineStr">
        <x:is>
          <x:t xml:space="preserve">v5 added</x:t>
        </x:is>
      </x:c>
      <x:c r="S116" t="inlineStr">
        <x:is>
          <x:t xml:space="preserve">Fucidin Cream [Fusidic acid 20 mg./1 g.]</x:t>
        </x:is>
      </x:c>
      <x:c r="T116" t="inlineStr">
        <x:is>
          <x:t xml:space="preserve">BDS001991</x:t>
        </x:is>
      </x:c>
      <x:c r="U116" t="inlineStr">
        <x:is>
          <x:t xml:space="preserve">apply thinly TID</x:t>
        </x:is>
      </x:c>
      <x:c r="V116" t="inlineStr">
        <x:is>
          <x:t xml:space="preserve">5–7 days</x:t>
        </x:is>
      </x:c>
      <x:c r="W116" t="inlineStr">
        <x:is>
          <x:t xml:space="preserve">1 tube (5 g)</x:t>
        </x:is>
      </x:c>
      <x:c r="X116" t="inlineStr">
        <x:is>
          <x:t xml:space="preserve">local irritation</x:t>
        </x:is>
      </x:c>
      <x:c r="Y116" t="inlineStr">
        <x:is>
          <x:t xml:space="preserve">localized lesions only</x:t>
        </x:is>
      </x:c>
      <x:c r="AY116" t="inlineStr">
        <x:is>
          <x:t xml:space="preserve">Garamycin Cream [Gentamicin 1 mg./1 g.]</x:t>
        </x:is>
      </x:c>
      <x:c r="AZ116" t="inlineStr">
        <x:is>
          <x:t xml:space="preserve">BDS002003</x:t>
        </x:is>
      </x:c>
      <x:c r="BA116" t="inlineStr">
        <x:is>
          <x:t xml:space="preserve">apply thinly TID–QID</x:t>
        </x:is>
      </x:c>
      <x:c r="BB116" t="inlineStr">
        <x:is>
          <x:t xml:space="preserve">5 days</x:t>
        </x:is>
      </x:c>
      <x:c r="BC116" t="inlineStr">
        <x:is>
          <x:t xml:space="preserve">1 tube (5 g)</x:t>
        </x:is>
      </x:c>
      <x:c r="BD116" t="inlineStr">
        <x:is>
          <x:t xml:space="preserve">local irritation</x:t>
        </x:is>
      </x:c>
      <x:c r="BE116" t="inlineStr">
        <x:is>
          <x:t xml:space="preserve">topical use only; avoid large area without review</x:t>
        </x:is>
      </x:c>
    </x:row>
    <x:row r="117">
      <x:c r="A117" t="inlineStr">
        <x:is>
          <x:t xml:space="preserve">FRM0116</x:t>
        </x:is>
      </x:c>
      <x:c r="B117" t="inlineStr">
        <x:is>
          <x:t xml:space="preserve">vulvovaginal_candidiasis_adult</x:t>
        </x:is>
      </x:c>
      <x:c r="C117" t="inlineStr">
        <x:is>
          <x:t xml:space="preserve">Vulvovaginal candidiasis</x:t>
        </x:is>
      </x:c>
      <x:c r="D117" t="inlineStr">
        <x:is>
          <x:t xml:space="preserve">GU</x:t>
        </x:is>
      </x:c>
      <x:c r="E117" t="inlineStr">
        <x:is>
          <x:t xml:space="preserve">adult</x:t>
        </x:is>
      </x:c>
      <x:c r="F117" t="inlineStr">
        <x:is>
          <x:t xml:space="preserve">routine_opd</x:t>
        </x:is>
      </x:c>
      <x:c r="G117" t="inlineStr">
        <x:is>
          <x:t xml:space="preserve">Y</x:t>
        </x:is>
      </x:c>
      <x:c r="H117" t="n">
        <x:v>1</x:v>
      </x:c>
      <x:c r="I117" t="inlineStr">
        <x:is>
          <x:t xml:space="preserve">B37.31</x:t>
        </x:is>
      </x:c>
      <x:c r="K117" t="inlineStr">
        <x:is>
          <x:t xml:space="preserve">Most likely</x:t>
        </x:is>
      </x:c>
      <x:c r="L117" t="inlineStr">
        <x:is>
          <x:t xml:space="preserve">itchy candidal vaginal symptoms without complicated red flags</x:t>
        </x:is>
      </x:c>
      <x:c r="M117" t="inlineStr">
        <x:is>
          <x:t xml:space="preserve">simple yeast-infection pattern is likely and there are no pregnancy/complicated red flags</x:t>
        </x:is>
      </x:c>
      <x:c r="N117" t="inlineStr">
        <x:is>
          <x:t xml:space="preserve">pregnancy, fever, pelvic pain, recurrent complicated symptoms, or STI concern</x:t>
        </x:is>
      </x:c>
      <x:c r="O117" t="inlineStr">
        <x:is>
          <x:t xml:space="preserve">N</x:t>
        </x:is>
      </x:c>
      <x:c r="P117" t="inlineStr">
        <x:is>
          <x:t xml:space="preserve">N</x:t>
        </x:is>
      </x:c>
      <x:c r="Q117" t="inlineStr">
        <x:is>
          <x:t xml:space="preserve">Needs in-person eval today if pregnancy, fever, pelvic pain, STI concern, or recurrent complicated symptoms</x:t>
        </x:is>
      </x:c>
      <x:c r="R117" t="inlineStr">
        <x:is>
          <x:t xml:space="preserve">v6 added</x:t>
        </x:is>
      </x:c>
      <x:c r="S117" t="inlineStr">
        <x:is>
          <x:t xml:space="preserve">Biozole 150 mg [Fluconazole 150 mg.]</x:t>
        </x:is>
      </x:c>
      <x:c r="T117" t="inlineStr">
        <x:is>
          <x:t xml:space="preserve">BDS040602</x:t>
        </x:is>
      </x:c>
      <x:c r="U117" t="inlineStr">
        <x:is>
          <x:t xml:space="preserve">1 cap PO once after food</x:t>
        </x:is>
      </x:c>
      <x:c r="V117" t="inlineStr">
        <x:is>
          <x:t xml:space="preserve">single dose</x:t>
        </x:is>
      </x:c>
      <x:c r="W117" t="inlineStr">
        <x:is>
          <x:t xml:space="preserve">1 cap</x:t>
        </x:is>
      </x:c>
      <x:c r="X117" t="inlineStr">
        <x:is>
          <x:t xml:space="preserve">GI upset, headache</x:t>
        </x:is>
      </x:c>
      <x:c r="Y117" t="inlineStr">
        <x:is>
          <x:t xml:space="preserve">avoid in pregnancy unless specifically appropriate; drug interactions</x:t>
        </x:is>
      </x:c>
    </x:row>
    <x:row r="118">
      <x:c r="A118" t="inlineStr">
        <x:is>
          <x:t xml:space="preserve">FRM0117</x:t>
        </x:is>
      </x:c>
      <x:c r="B118" t="inlineStr">
        <x:is>
          <x:t xml:space="preserve">vaginal_mixed_infection_adult</x:t>
        </x:is>
      </x:c>
      <x:c r="C118" t="inlineStr">
        <x:is>
          <x:t xml:space="preserve">Vaginal mixed-infection support</x:t>
        </x:is>
      </x:c>
      <x:c r="D118" t="inlineStr">
        <x:is>
          <x:t xml:space="preserve">GU</x:t>
        </x:is>
      </x:c>
      <x:c r="E118" t="inlineStr">
        <x:is>
          <x:t xml:space="preserve">adult</x:t>
        </x:is>
      </x:c>
      <x:c r="F118" t="inlineStr">
        <x:is>
          <x:t xml:space="preserve">routine_opd</x:t>
        </x:is>
      </x:c>
      <x:c r="G118" t="inlineStr">
        <x:is>
          <x:t xml:space="preserve">Y</x:t>
        </x:is>
      </x:c>
      <x:c r="H118" t="n">
        <x:v>1</x:v>
      </x:c>
      <x:c r="I118" t="inlineStr">
        <x:is>
          <x:t xml:space="preserve">N76.0</x:t>
        </x:is>
      </x:c>
      <x:c r="K118" t="inlineStr">
        <x:is>
          <x:t xml:space="preserve">Most likely</x:t>
        </x:is>
      </x:c>
      <x:c r="L118" t="inlineStr">
        <x:is>
          <x:t xml:space="preserve">vaginal discharge pattern where mixed local anti-infective support is chosen</x:t>
        </x:is>
      </x:c>
      <x:c r="M118" t="inlineStr">
        <x:is>
          <x:t xml:space="preserve">support row for local mixed vaginal discharge/infection treatment when this regimen is intentionally chosen</x:t>
        </x:is>
      </x:c>
      <x:c r="N118" t="inlineStr">
        <x:is>
          <x:t xml:space="preserve">pregnancy, pelvic pain, fever, severe bleeding, or STI concern</x:t>
        </x:is>
      </x:c>
      <x:c r="O118" t="inlineStr">
        <x:is>
          <x:t xml:space="preserve">Y</x:t>
        </x:is>
      </x:c>
      <x:c r="P118" t="inlineStr">
        <x:is>
          <x:t xml:space="preserve">N</x:t>
        </x:is>
      </x:c>
      <x:c r="Q118" t="inlineStr">
        <x:is>
          <x:t xml:space="preserve">Needs in-person eval today if pregnancy, pelvic pain, fever, severe bleeding, or STI concern</x:t>
        </x:is>
      </x:c>
      <x:c r="R118" t="inlineStr">
        <x:is>
          <x:t xml:space="preserve">v6 added</x:t>
        </x:is>
      </x:c>
      <x:c r="S118" t="inlineStr">
        <x:is>
          <x:t xml:space="preserve">Vagicin [Nystatin 100,000 units.+Chloramphenicol 250 mg.+Diiodohydroxyguin 100 mg.]</x:t>
        </x:is>
      </x:c>
      <x:c r="T118" t="inlineStr">
        <x:is>
          <x:t xml:space="preserve">BDS008491</x:t>
        </x:is>
      </x:c>
      <x:c r="U118" t="inlineStr">
        <x:is>
          <x:t xml:space="preserve">insert 1 tab PV nightly</x:t>
        </x:is>
      </x:c>
      <x:c r="V118" t="inlineStr">
        <x:is>
          <x:t xml:space="preserve">7–14 days</x:t>
        </x:is>
      </x:c>
      <x:c r="W118" t="inlineStr">
        <x:is>
          <x:t xml:space="preserve">1 blister</x:t>
        </x:is>
      </x:c>
      <x:c r="X118" t="inlineStr">
        <x:is>
          <x:t xml:space="preserve">local irritation</x:t>
        </x:is>
      </x:c>
      <x:c r="Y118" t="inlineStr">
        <x:is>
          <x:t xml:space="preserve">vaginal use only; avoid in pregnancy without review</x:t>
        </x:is>
      </x:c>
    </x:row>
    <x:row r="119">
      <x:c r="A119" t="inlineStr">
        <x:is>
          <x:t xml:space="preserve">FRM0118</x:t>
        </x:is>
      </x:c>
      <x:c r="B119" t="inlineStr">
        <x:is>
          <x:t xml:space="preserve">vaginal_discharge_support_adult</x:t>
        </x:is>
      </x:c>
      <x:c r="C119" t="inlineStr">
        <x:is>
          <x:t xml:space="preserve">Vaginal discharge support row</x:t>
        </x:is>
      </x:c>
      <x:c r="D119" t="inlineStr">
        <x:is>
          <x:t xml:space="preserve">GU</x:t>
        </x:is>
      </x:c>
      <x:c r="E119" t="inlineStr">
        <x:is>
          <x:t xml:space="preserve">adult</x:t>
        </x:is>
      </x:c>
      <x:c r="F119" t="inlineStr">
        <x:is>
          <x:t xml:space="preserve">routine_opd</x:t>
        </x:is>
      </x:c>
      <x:c r="G119" t="inlineStr">
        <x:is>
          <x:t xml:space="preserve">N</x:t>
        </x:is>
      </x:c>
      <x:c r="H119" t="n">
        <x:v>9</x:v>
      </x:c>
      <x:c r="I119" t="inlineStr">
        <x:is>
          <x:t xml:space="preserve">N89.8</x:t>
        </x:is>
      </x:c>
      <x:c r="K119" t="inlineStr">
        <x:is>
          <x:t xml:space="preserve">Most likely</x:t>
        </x:is>
      </x:c>
      <x:c r="L119" t="inlineStr">
        <x:is>
          <x:t xml:space="preserve">vaginal discharge complaint needing a local support row only after appropriate assessment</x:t>
        </x:is>
      </x:c>
      <x:c r="M119" t="inlineStr">
        <x:is>
          <x:t xml:space="preserve">support row only; use after deciding local vaginal treatment is appropriate</x:t>
        </x:is>
      </x:c>
      <x:c r="N119" t="inlineStr">
        <x:is>
          <x:t xml:space="preserve">pregnancy, pelvic pain, fever, foul severe symptoms, or STI concern</x:t>
        </x:is>
      </x:c>
      <x:c r="O119" t="inlineStr">
        <x:is>
          <x:t xml:space="preserve">Y</x:t>
        </x:is>
      </x:c>
      <x:c r="P119" t="inlineStr">
        <x:is>
          <x:t xml:space="preserve">N</x:t>
        </x:is>
      </x:c>
      <x:c r="Q119" t="inlineStr">
        <x:is>
          <x:t xml:space="preserve">Needs in-person eval today if pregnancy, pelvic pain, fever, foul severe symptoms, or STI concern</x:t>
        </x:is>
      </x:c>
      <x:c r="R119" t="inlineStr">
        <x:is>
          <x:t xml:space="preserve">v6 added</x:t>
        </x:is>
      </x:c>
      <x:c r="S119" t="inlineStr">
        <x:is>
          <x:t xml:space="preserve">Vagicin [Nystatin 100,000 units.+Chloramphenicol 250 mg.+Diiodohydroxyguin 100 mg.]</x:t>
        </x:is>
      </x:c>
      <x:c r="T119" t="inlineStr">
        <x:is>
          <x:t xml:space="preserve">BDS008491</x:t>
        </x:is>
      </x:c>
      <x:c r="U119" t="inlineStr">
        <x:is>
          <x:t xml:space="preserve">insert 1 tab PV nightly</x:t>
        </x:is>
      </x:c>
      <x:c r="V119" t="inlineStr">
        <x:is>
          <x:t xml:space="preserve">7–14 days</x:t>
        </x:is>
      </x:c>
      <x:c r="W119" t="inlineStr">
        <x:is>
          <x:t xml:space="preserve">1 blister</x:t>
        </x:is>
      </x:c>
      <x:c r="X119" t="inlineStr">
        <x:is>
          <x:t xml:space="preserve">local irritation</x:t>
        </x:is>
      </x:c>
      <x:c r="Y119" t="inlineStr">
        <x:is>
          <x:t xml:space="preserve">vaginal use only; avoid if pregnant without review</x:t>
        </x:is>
      </x:c>
    </x:row>
    <x:row r="120">
      <x:c r="A120" t="inlineStr">
        <x:is>
          <x:t xml:space="preserve">FRM0119</x:t>
        </x:is>
      </x:c>
      <x:c r="B120" t="inlineStr">
        <x:is>
          <x:t xml:space="preserve">uncomplicated_uti_alt_cipro_adult</x:t>
        </x:is>
      </x:c>
      <x:c r="C120" t="inlineStr">
        <x:is>
          <x:t xml:space="preserve">Uncomplicated UTI alternative row</x:t>
        </x:is>
      </x:c>
      <x:c r="D120" t="inlineStr">
        <x:is>
          <x:t xml:space="preserve">GU</x:t>
        </x:is>
      </x:c>
      <x:c r="E120" t="inlineStr">
        <x:is>
          <x:t xml:space="preserve">adult</x:t>
        </x:is>
      </x:c>
      <x:c r="F120" t="inlineStr">
        <x:is>
          <x:t xml:space="preserve">routine_opd</x:t>
        </x:is>
      </x:c>
      <x:c r="G120" t="inlineStr">
        <x:is>
          <x:t xml:space="preserve">N</x:t>
        </x:is>
      </x:c>
      <x:c r="H120" t="n">
        <x:v>9</x:v>
      </x:c>
      <x:c r="I120" t="inlineStr">
        <x:is>
          <x:t xml:space="preserve">N30.90</x:t>
        </x:is>
      </x:c>
      <x:c r="K120" t="inlineStr">
        <x:is>
          <x:t xml:space="preserve">Most likely</x:t>
        </x:is>
      </x:c>
      <x:c r="L120" t="inlineStr">
        <x:is>
          <x:t xml:space="preserve">lower UTI pattern where ciprofloxacin alternative row is intentionally chosen</x:t>
        </x:is>
      </x:c>
      <x:c r="M120" t="inlineStr">
        <x:is>
          <x:t xml:space="preserve">support row only for adult uncomplicated lower UTI when this alternative antibiotic is intentionally chosen</x:t>
        </x:is>
      </x:c>
      <x:c r="N120" t="inlineStr">
        <x:is>
          <x:t xml:space="preserve">pregnancy, fever, flank pain, vomiting, male UTI, or complicated/recurrent case</x:t>
        </x:is>
      </x:c>
      <x:c r="O120" t="inlineStr">
        <x:is>
          <x:t xml:space="preserve">Y</x:t>
        </x:is>
      </x:c>
      <x:c r="P120" t="inlineStr">
        <x:is>
          <x:t xml:space="preserve">N</x:t>
        </x:is>
      </x:c>
      <x:c r="Q120" t="inlineStr">
        <x:is>
          <x:t xml:space="preserve">Needs in-person eval today if pregnancy, fever, flank pain, vomiting, male UTI, or recurrent/complicated symptoms</x:t>
        </x:is>
      </x:c>
      <x:c r="R120" t="inlineStr">
        <x:is>
          <x:t xml:space="preserve">v6 added</x:t>
        </x:is>
      </x:c>
      <x:c r="S120" t="inlineStr">
        <x:is>
          <x:t xml:space="preserve">Cifloxin 500 mg [Ciprofloxacin 500 mg.]</x:t>
        </x:is>
      </x:c>
      <x:c r="T120" t="inlineStr">
        <x:is>
          <x:t xml:space="preserve">BDS001496</x:t>
        </x:is>
      </x:c>
      <x:c r="U120" t="inlineStr">
        <x:is>
          <x:t xml:space="preserve">1 tab PO BID</x:t>
        </x:is>
      </x:c>
      <x:c r="V120" t="inlineStr">
        <x:is>
          <x:t xml:space="preserve">5 days</x:t>
        </x:is>
      </x:c>
      <x:c r="W120" t="inlineStr">
        <x:is>
          <x:t xml:space="preserve">1 box (10 tabs)</x:t>
        </x:is>
      </x:c>
      <x:c r="X120" t="inlineStr">
        <x:is>
          <x:t xml:space="preserve">GI upset, dizziness</x:t>
        </x:is>
      </x:c>
      <x:c r="Y120" t="inlineStr">
        <x:is>
          <x:t xml:space="preserve">avoid pregnancy; tendon/CNS risk; lower UTI only</x:t>
        </x:is>
      </x:c>
    </x:row>
    <x:row r="121">
      <x:c r="A121" t="inlineStr">
        <x:is>
          <x:t xml:space="preserve">FRM0120</x:t>
        </x:is>
      </x:c>
      <x:c r="B121" t="inlineStr">
        <x:is>
          <x:t xml:space="preserve">dysuria_lower_uti_adult</x:t>
        </x:is>
      </x:c>
      <x:c r="C121" t="inlineStr">
        <x:is>
          <x:t xml:space="preserve">Lower UTI with dysuria</x:t>
        </x:is>
      </x:c>
      <x:c r="D121" t="inlineStr">
        <x:is>
          <x:t xml:space="preserve">GU</x:t>
        </x:is>
      </x:c>
      <x:c r="E121" t="inlineStr">
        <x:is>
          <x:t xml:space="preserve">adult</x:t>
        </x:is>
      </x:c>
      <x:c r="F121" t="inlineStr">
        <x:is>
          <x:t xml:space="preserve">routine_opd</x:t>
        </x:is>
      </x:c>
      <x:c r="G121" t="inlineStr">
        <x:is>
          <x:t xml:space="preserve">Y</x:t>
        </x:is>
      </x:c>
      <x:c r="H121" t="n">
        <x:v>1</x:v>
      </x:c>
      <x:c r="I121" t="inlineStr">
        <x:is>
          <x:t xml:space="preserve">N39.0</x:t>
        </x:is>
      </x:c>
      <x:c r="K121" t="inlineStr">
        <x:is>
          <x:t xml:space="preserve">Most likely</x:t>
        </x:is>
      </x:c>
      <x:c r="L121" t="inlineStr">
        <x:is>
          <x:t xml:space="preserve">burning urination / lower UTI pattern without upper-tract red flags</x:t>
        </x:is>
      </x:c>
      <x:c r="M121" t="inlineStr">
        <x:is>
          <x:t xml:space="preserve">adult lower UTI dysuria pattern without fever/flank pain/complication</x:t>
        </x:is>
      </x:c>
      <x:c r="N121" t="inlineStr">
        <x:is>
          <x:t xml:space="preserve">fever, flank pain, vomiting, pregnancy, male UTI, or recurrent/complicated case</x:t>
        </x:is>
      </x:c>
      <x:c r="O121" t="inlineStr">
        <x:is>
          <x:t xml:space="preserve">Y</x:t>
        </x:is>
      </x:c>
      <x:c r="P121" t="inlineStr">
        <x:is>
          <x:t xml:space="preserve">N</x:t>
        </x:is>
      </x:c>
      <x:c r="Q121" t="inlineStr">
        <x:is>
          <x:t xml:space="preserve">Needs in-person eval today if fever, flank pain, vomiting, pregnancy, male UTI, or recurrent/complicated symptoms</x:t>
        </x:is>
      </x:c>
      <x:c r="R121" t="inlineStr">
        <x:is>
          <x:t xml:space="preserve">v6 added</x:t>
        </x:is>
      </x:c>
      <x:c r="S121" t="inlineStr">
        <x:is>
          <x:t xml:space="preserve">Noflox-400 [Norfloxacin 400 mg.]</x:t>
        </x:is>
      </x:c>
      <x:c r="T121" t="inlineStr">
        <x:is>
          <x:t xml:space="preserve">BDS007591</x:t>
        </x:is>
      </x:c>
      <x:c r="U121" t="inlineStr">
        <x:is>
          <x:t xml:space="preserve">1 tab PO BID</x:t>
        </x:is>
      </x:c>
      <x:c r="V121" t="inlineStr">
        <x:is>
          <x:t xml:space="preserve">5 days</x:t>
        </x:is>
      </x:c>
      <x:c r="W121" t="inlineStr">
        <x:is>
          <x:t xml:space="preserve">1 strip (10 tabs)</x:t>
        </x:is>
      </x:c>
      <x:c r="X121" t="inlineStr">
        <x:is>
          <x:t xml:space="preserve">GI upset</x:t>
        </x:is>
      </x:c>
      <x:c r="Y121" t="inlineStr">
        <x:is>
          <x:t xml:space="preserve">lower UTI only; avoid pregnancy</x:t>
        </x:is>
      </x:c>
    </x:row>
    <x:row r="122">
      <x:c r="A122" t="inlineStr">
        <x:is>
          <x:t xml:space="preserve">FRM0121</x:t>
        </x:is>
      </x:c>
      <x:c r="B122" t="inlineStr">
        <x:is>
          <x:t xml:space="preserve">frequency_urgency_uti_adult</x:t>
        </x:is>
      </x:c>
      <x:c r="C122" t="inlineStr">
        <x:is>
          <x:t xml:space="preserve">Lower UTI with frequency / urgency</x:t>
        </x:is>
      </x:c>
      <x:c r="D122" t="inlineStr">
        <x:is>
          <x:t xml:space="preserve">GU</x:t>
        </x:is>
      </x:c>
      <x:c r="E122" t="inlineStr">
        <x:is>
          <x:t xml:space="preserve">adult</x:t>
        </x:is>
      </x:c>
      <x:c r="F122" t="inlineStr">
        <x:is>
          <x:t xml:space="preserve">routine_opd</x:t>
        </x:is>
      </x:c>
      <x:c r="G122" t="inlineStr">
        <x:is>
          <x:t xml:space="preserve">Y</x:t>
        </x:is>
      </x:c>
      <x:c r="H122" t="n">
        <x:v>1</x:v>
      </x:c>
      <x:c r="I122" t="inlineStr">
        <x:is>
          <x:t xml:space="preserve">N39.0</x:t>
        </x:is>
      </x:c>
      <x:c r="K122" t="inlineStr">
        <x:is>
          <x:t xml:space="preserve">Most likely</x:t>
        </x:is>
      </x:c>
      <x:c r="L122" t="inlineStr">
        <x:is>
          <x:t xml:space="preserve">urinary frequency/urgency lower UTI pattern without upper-tract red flags</x:t>
        </x:is>
      </x:c>
      <x:c r="M122" t="inlineStr">
        <x:is>
          <x:t xml:space="preserve">adult lower UTI frequency/urgency pattern without fever/flank pain/complication</x:t>
        </x:is>
      </x:c>
      <x:c r="N122" t="inlineStr">
        <x:is>
          <x:t xml:space="preserve">fever, flank pain, vomiting, pregnancy, male UTI, or recurrent/complicated case</x:t>
        </x:is>
      </x:c>
      <x:c r="O122" t="inlineStr">
        <x:is>
          <x:t xml:space="preserve">Y</x:t>
        </x:is>
      </x:c>
      <x:c r="P122" t="inlineStr">
        <x:is>
          <x:t xml:space="preserve">N</x:t>
        </x:is>
      </x:c>
      <x:c r="Q122" t="inlineStr">
        <x:is>
          <x:t xml:space="preserve">Needs in-person eval today if fever, flank pain, vomiting, pregnancy, male UTI, or recurrent/complicated symptoms</x:t>
        </x:is>
      </x:c>
      <x:c r="R122" t="inlineStr">
        <x:is>
          <x:t xml:space="preserve">v6 added</x:t>
        </x:is>
      </x:c>
      <x:c r="S122" t="inlineStr">
        <x:is>
          <x:t xml:space="preserve">Noflox-400 [Norfloxacin 400 mg.]</x:t>
        </x:is>
      </x:c>
      <x:c r="T122" t="inlineStr">
        <x:is>
          <x:t xml:space="preserve">BDS007591</x:t>
        </x:is>
      </x:c>
      <x:c r="U122" t="inlineStr">
        <x:is>
          <x:t xml:space="preserve">1 tab PO BID</x:t>
        </x:is>
      </x:c>
      <x:c r="V122" t="inlineStr">
        <x:is>
          <x:t xml:space="preserve">5 days</x:t>
        </x:is>
      </x:c>
      <x:c r="W122" t="inlineStr">
        <x:is>
          <x:t xml:space="preserve">1 strip (10 tabs)</x:t>
        </x:is>
      </x:c>
      <x:c r="X122" t="inlineStr">
        <x:is>
          <x:t xml:space="preserve">GI upset</x:t>
        </x:is>
      </x:c>
      <x:c r="Y122" t="inlineStr">
        <x:is>
          <x:t xml:space="preserve">lower UTI only; avoid pregnancy</x:t>
        </x:is>
      </x:c>
    </x:row>
    <x:row r="123">
      <x:c r="A123" t="inlineStr">
        <x:is>
          <x:t xml:space="preserve">FRM0122</x:t>
        </x:is>
      </x:c>
      <x:c r="B123" t="inlineStr">
        <x:is>
          <x:t xml:space="preserve">tinea_cruris_adult</x:t>
        </x:is>
      </x:c>
      <x:c r="C123" t="inlineStr">
        <x:is>
          <x:t xml:space="preserve">Tinea cruris / groin fungal rash</x:t>
        </x:is>
      </x:c>
      <x:c r="D123" t="inlineStr">
        <x:is>
          <x:t xml:space="preserve">Skin</x:t>
        </x:is>
      </x:c>
      <x:c r="E123" t="inlineStr">
        <x:is>
          <x:t xml:space="preserve">adult</x:t>
        </x:is>
      </x:c>
      <x:c r="F123" t="inlineStr">
        <x:is>
          <x:t xml:space="preserve">routine_opd</x:t>
        </x:is>
      </x:c>
      <x:c r="G123" t="inlineStr">
        <x:is>
          <x:t xml:space="preserve">Y</x:t>
        </x:is>
      </x:c>
      <x:c r="H123" t="n">
        <x:v>1</x:v>
      </x:c>
      <x:c r="I123" t="inlineStr">
        <x:is>
          <x:t xml:space="preserve">B35.6</x:t>
        </x:is>
      </x:c>
      <x:c r="K123" t="inlineStr">
        <x:is>
          <x:t xml:space="preserve">Most likely</x:t>
        </x:is>
      </x:c>
      <x:c r="L123" t="inlineStr">
        <x:is>
          <x:t xml:space="preserve">itchy groin fungal rash pattern</x:t>
        </x:is>
      </x:c>
      <x:c r="M123" t="inlineStr">
        <x:is>
          <x:t xml:space="preserve">localized groin fungal rash without severe inflammation or secondary infection</x:t>
        </x:is>
      </x:c>
      <x:c r="N123" t="inlineStr">
        <x:is>
          <x:t xml:space="preserve">extensive severe inflammation, pus, or uncertain diagnosis</x:t>
        </x:is>
      </x:c>
      <x:c r="O123" t="inlineStr">
        <x:is>
          <x:t xml:space="preserve">N</x:t>
        </x:is>
      </x:c>
      <x:c r="P123" t="inlineStr">
        <x:is>
          <x:t xml:space="preserve">N</x:t>
        </x:is>
      </x:c>
      <x:c r="Q123" t="inlineStr">
        <x:is>
          <x:t xml:space="preserve">Needs in-person eval today if severe inflammation, pus, extensive spread, or uncertain diagnosis</x:t>
        </x:is>
      </x:c>
      <x:c r="R123" t="inlineStr">
        <x:is>
          <x:t xml:space="preserve">v6 added</x:t>
        </x:is>
      </x:c>
      <x:c r="S123" t="inlineStr">
        <x:is>
          <x:t xml:space="preserve">Canesten Cream 10 g [Clotrimazole 1 g./100 g.]</x:t>
        </x:is>
      </x:c>
      <x:c r="T123" t="inlineStr">
        <x:is>
          <x:t xml:space="preserve">BDS001489</x:t>
        </x:is>
      </x:c>
      <x:c r="U123" t="inlineStr">
        <x:is>
          <x:t xml:space="preserve">apply thinly BID–TID</x:t>
        </x:is>
      </x:c>
      <x:c r="V123" t="inlineStr">
        <x:is>
          <x:t xml:space="preserve">7–14 days</x:t>
        </x:is>
      </x:c>
      <x:c r="W123" t="inlineStr">
        <x:is>
          <x:t xml:space="preserve">1 tube (10 g)</x:t>
        </x:is>
      </x:c>
      <x:c r="X123" t="inlineStr">
        <x:is>
          <x:t xml:space="preserve">local irritation</x:t>
        </x:is>
      </x:c>
      <x:c r="Y123" t="inlineStr">
        <x:is>
          <x:t xml:space="preserve">avoid mucosa</x:t>
        </x:is>
      </x:c>
      <x:c r="AY123" t="inlineStr">
        <x:is>
          <x:t xml:space="preserve">Fungasin Cream เล็ก [Ketoconazole 20 mg./1 g.]</x:t>
        </x:is>
      </x:c>
      <x:c r="AZ123" t="inlineStr">
        <x:is>
          <x:t xml:space="preserve">BDS007542</x:t>
        </x:is>
      </x:c>
      <x:c r="BA123" t="inlineStr">
        <x:is>
          <x:t xml:space="preserve">apply thinly BID</x:t>
        </x:is>
      </x:c>
      <x:c r="BB123" t="inlineStr">
        <x:is>
          <x:t xml:space="preserve">7–14 days</x:t>
        </x:is>
      </x:c>
      <x:c r="BC123" t="inlineStr">
        <x:is>
          <x:t xml:space="preserve">1 tube (5 g)</x:t>
        </x:is>
      </x:c>
      <x:c r="BD123" t="inlineStr">
        <x:is>
          <x:t xml:space="preserve">local irritation</x:t>
        </x:is>
      </x:c>
      <x:c r="BE123" t="inlineStr">
        <x:is>
          <x:t xml:space="preserve">avoid mucosa</x:t>
        </x:is>
      </x:c>
    </x:row>
    <x:row r="124">
      <x:c r="A124" t="inlineStr">
        <x:is>
          <x:t xml:space="preserve">FRM0123</x:t>
        </x:is>
      </x:c>
      <x:c r="B124" t="inlineStr">
        <x:is>
          <x:t xml:space="preserve">tinea_pedis_adult</x:t>
        </x:is>
      </x:c>
      <x:c r="C124" t="inlineStr">
        <x:is>
          <x:t xml:space="preserve">Tinea pedis / fungal foot rash</x:t>
        </x:is>
      </x:c>
      <x:c r="D124" t="inlineStr">
        <x:is>
          <x:t xml:space="preserve">Skin</x:t>
        </x:is>
      </x:c>
      <x:c r="E124" t="inlineStr">
        <x:is>
          <x:t xml:space="preserve">adult</x:t>
        </x:is>
      </x:c>
      <x:c r="F124" t="inlineStr">
        <x:is>
          <x:t xml:space="preserve">routine_opd</x:t>
        </x:is>
      </x:c>
      <x:c r="G124" t="inlineStr">
        <x:is>
          <x:t xml:space="preserve">Y</x:t>
        </x:is>
      </x:c>
      <x:c r="H124" t="n">
        <x:v>1</x:v>
      </x:c>
      <x:c r="I124" t="inlineStr">
        <x:is>
          <x:t xml:space="preserve">B35.3</x:t>
        </x:is>
      </x:c>
      <x:c r="K124" t="inlineStr">
        <x:is>
          <x:t xml:space="preserve">Most likely</x:t>
        </x:is>
      </x:c>
      <x:c r="L124" t="inlineStr">
        <x:is>
          <x:t xml:space="preserve">fungal foot rash/interdigital itch pattern</x:t>
        </x:is>
      </x:c>
      <x:c r="M124" t="inlineStr">
        <x:is>
          <x:t xml:space="preserve">localized fungal foot rash outpatient case</x:t>
        </x:is>
      </x:c>
      <x:c r="N124" t="inlineStr">
        <x:is>
          <x:t xml:space="preserve">severe cellulitis, pus, extensive fissuring, or diabetic foot concern</x:t>
        </x:is>
      </x:c>
      <x:c r="O124" t="inlineStr">
        <x:is>
          <x:t xml:space="preserve">N</x:t>
        </x:is>
      </x:c>
      <x:c r="P124" t="inlineStr">
        <x:is>
          <x:t xml:space="preserve">N</x:t>
        </x:is>
      </x:c>
      <x:c r="Q124" t="inlineStr">
        <x:is>
          <x:t xml:space="preserve">Needs in-person eval today if cellulitis, pus, severe fissuring, or diabetic foot concern</x:t>
        </x:is>
      </x:c>
      <x:c r="R124" t="inlineStr">
        <x:is>
          <x:t xml:space="preserve">v6 added</x:t>
        </x:is>
      </x:c>
      <x:c r="S124" t="inlineStr">
        <x:is>
          <x:t xml:space="preserve">Fungasin Cream เล็ก [Ketoconazole 20 mg./1 g.]</x:t>
        </x:is>
      </x:c>
      <x:c r="T124" t="inlineStr">
        <x:is>
          <x:t xml:space="preserve">BDS007542</x:t>
        </x:is>
      </x:c>
      <x:c r="U124" t="inlineStr">
        <x:is>
          <x:t xml:space="preserve">apply thinly BID</x:t>
        </x:is>
      </x:c>
      <x:c r="V124" t="inlineStr">
        <x:is>
          <x:t xml:space="preserve">7–14 days</x:t>
        </x:is>
      </x:c>
      <x:c r="W124" t="inlineStr">
        <x:is>
          <x:t xml:space="preserve">1 tube (5 g)</x:t>
        </x:is>
      </x:c>
      <x:c r="X124" t="inlineStr">
        <x:is>
          <x:t xml:space="preserve">local irritation</x:t>
        </x:is>
      </x:c>
      <x:c r="Y124" t="inlineStr">
        <x:is>
          <x:t xml:space="preserve">keep feet dry</x:t>
        </x:is>
      </x:c>
      <x:c r="AY124" t="inlineStr">
        <x:is>
          <x:t xml:space="preserve">Canesten Cream 10 g [Clotrimazole 1 g./100 g.]</x:t>
        </x:is>
      </x:c>
      <x:c r="AZ124" t="inlineStr">
        <x:is>
          <x:t xml:space="preserve">BDS001489</x:t>
        </x:is>
      </x:c>
      <x:c r="BA124" t="inlineStr">
        <x:is>
          <x:t xml:space="preserve">apply thinly BID–TID</x:t>
        </x:is>
      </x:c>
      <x:c r="BB124" t="inlineStr">
        <x:is>
          <x:t xml:space="preserve">7–14 days</x:t>
        </x:is>
      </x:c>
      <x:c r="BC124" t="inlineStr">
        <x:is>
          <x:t xml:space="preserve">1 tube (10 g)</x:t>
        </x:is>
      </x:c>
      <x:c r="BD124" t="inlineStr">
        <x:is>
          <x:t xml:space="preserve">local irritation</x:t>
        </x:is>
      </x:c>
      <x:c r="BE124" t="inlineStr">
        <x:is>
          <x:t xml:space="preserve">keep feet dry</x:t>
        </x:is>
      </x:c>
    </x:row>
    <x:row r="125">
      <x:c r="A125" t="inlineStr">
        <x:is>
          <x:t xml:space="preserve">FRM0124</x:t>
        </x:is>
      </x:c>
      <x:c r="B125" t="inlineStr">
        <x:is>
          <x:t xml:space="preserve">tinea_corporis_clotrimazole_adult</x:t>
        </x:is>
      </x:c>
      <x:c r="C125" t="inlineStr">
        <x:is>
          <x:t xml:space="preserve">Tinea corporis (clotrimazole-first row)</x:t>
        </x:is>
      </x:c>
      <x:c r="D125" t="inlineStr">
        <x:is>
          <x:t xml:space="preserve">Skin</x:t>
        </x:is>
      </x:c>
      <x:c r="E125" t="inlineStr">
        <x:is>
          <x:t xml:space="preserve">adult</x:t>
        </x:is>
      </x:c>
      <x:c r="F125" t="inlineStr">
        <x:is>
          <x:t xml:space="preserve">routine_opd</x:t>
        </x:is>
      </x:c>
      <x:c r="G125" t="inlineStr">
        <x:is>
          <x:t xml:space="preserve">Y</x:t>
        </x:is>
      </x:c>
      <x:c r="H125" t="n">
        <x:v>1</x:v>
      </x:c>
      <x:c r="I125" t="inlineStr">
        <x:is>
          <x:t xml:space="preserve">B35.4</x:t>
        </x:is>
      </x:c>
      <x:c r="K125" t="inlineStr">
        <x:is>
          <x:t xml:space="preserve">Most likely</x:t>
        </x:is>
      </x:c>
      <x:c r="L125" t="inlineStr">
        <x:is>
          <x:t xml:space="preserve">annular/scaly body fungal rash where plain clotrimazole-first row is preferred</x:t>
        </x:is>
      </x:c>
      <x:c r="M125" t="inlineStr">
        <x:is>
          <x:t xml:space="preserve">localized body fungal rash when a plain antifungal-first row is preferred</x:t>
        </x:is>
      </x:c>
      <x:c r="N125" t="inlineStr">
        <x:is>
          <x:t xml:space="preserve">face/genitals/extensive disease or pus/infection</x:t>
        </x:is>
      </x:c>
      <x:c r="O125" t="inlineStr">
        <x:is>
          <x:t xml:space="preserve">N</x:t>
        </x:is>
      </x:c>
      <x:c r="P125" t="inlineStr">
        <x:is>
          <x:t xml:space="preserve">N</x:t>
        </x:is>
      </x:c>
      <x:c r="Q125" t="inlineStr">
        <x:is>
          <x:t xml:space="preserve">Needs in-person eval today if facial/genital involvement, extensive spread, or secondary infection</x:t>
        </x:is>
      </x:c>
      <x:c r="R125" t="inlineStr">
        <x:is>
          <x:t xml:space="preserve">v6 added</x:t>
        </x:is>
      </x:c>
      <x:c r="S125" t="inlineStr">
        <x:is>
          <x:t xml:space="preserve">Canesten Cream 10 g [Clotrimazole 1 g./100 g.]</x:t>
        </x:is>
      </x:c>
      <x:c r="T125" t="inlineStr">
        <x:is>
          <x:t xml:space="preserve">BDS001489</x:t>
        </x:is>
      </x:c>
      <x:c r="U125" t="inlineStr">
        <x:is>
          <x:t xml:space="preserve">apply thinly BID–TID</x:t>
        </x:is>
      </x:c>
      <x:c r="V125" t="inlineStr">
        <x:is>
          <x:t xml:space="preserve">7–14 days</x:t>
        </x:is>
      </x:c>
      <x:c r="W125" t="inlineStr">
        <x:is>
          <x:t xml:space="preserve">1 tube (10 g)</x:t>
        </x:is>
      </x:c>
      <x:c r="X125" t="inlineStr">
        <x:is>
          <x:t xml:space="preserve">local irritation</x:t>
        </x:is>
      </x:c>
      <x:c r="Y125" t="inlineStr">
        <x:is>
          <x:t xml:space="preserve">avoid eye/mucosa</x:t>
        </x:is>
      </x:c>
      <x:c r="AY125" t="inlineStr">
        <x:is>
          <x:t xml:space="preserve">Fungasin Cream เล็ก [Ketoconazole 20 mg./1 g.]</x:t>
        </x:is>
      </x:c>
      <x:c r="AZ125" t="inlineStr">
        <x:is>
          <x:t xml:space="preserve">BDS007542</x:t>
        </x:is>
      </x:c>
      <x:c r="BA125" t="inlineStr">
        <x:is>
          <x:t xml:space="preserve">apply thinly BID</x:t>
        </x:is>
      </x:c>
      <x:c r="BB125" t="inlineStr">
        <x:is>
          <x:t xml:space="preserve">7–14 days</x:t>
        </x:is>
      </x:c>
      <x:c r="BC125" t="inlineStr">
        <x:is>
          <x:t xml:space="preserve">1 tube (5 g)</x:t>
        </x:is>
      </x:c>
      <x:c r="BD125" t="inlineStr">
        <x:is>
          <x:t xml:space="preserve">local irritation</x:t>
        </x:is>
      </x:c>
      <x:c r="BE125" t="inlineStr">
        <x:is>
          <x:t xml:space="preserve">avoid eye/mucosa</x:t>
        </x:is>
      </x:c>
    </x:row>
    <x:row r="126">
      <x:c r="A126" t="inlineStr">
        <x:is>
          <x:t xml:space="preserve">FRM0125</x:t>
        </x:is>
      </x:c>
      <x:c r="B126" t="inlineStr">
        <x:is>
          <x:t xml:space="preserve">fungal_intertrigo_adult</x:t>
        </x:is>
      </x:c>
      <x:c r="C126" t="inlineStr">
        <x:is>
          <x:t xml:space="preserve">Fungal intertrigo</x:t>
        </x:is>
      </x:c>
      <x:c r="D126" t="inlineStr">
        <x:is>
          <x:t xml:space="preserve">Skin</x:t>
        </x:is>
      </x:c>
      <x:c r="E126" t="inlineStr">
        <x:is>
          <x:t xml:space="preserve">adult</x:t>
        </x:is>
      </x:c>
      <x:c r="F126" t="inlineStr">
        <x:is>
          <x:t xml:space="preserve">routine_opd</x:t>
        </x:is>
      </x:c>
      <x:c r="G126" t="inlineStr">
        <x:is>
          <x:t xml:space="preserve">Y</x:t>
        </x:is>
      </x:c>
      <x:c r="H126" t="n">
        <x:v>1</x:v>
      </x:c>
      <x:c r="I126" t="inlineStr">
        <x:is>
          <x:t xml:space="preserve">B37.2</x:t>
        </x:is>
      </x:c>
      <x:c r="K126" t="inlineStr">
        <x:is>
          <x:t xml:space="preserve">Most likely</x:t>
        </x:is>
      </x:c>
      <x:c r="L126" t="inlineStr">
        <x:is>
          <x:t xml:space="preserve">moist skin-fold fungal rash/intertrigo pattern</x:t>
        </x:is>
      </x:c>
      <x:c r="M126" t="inlineStr">
        <x:is>
          <x:t xml:space="preserve">skin-fold fungal/intertrigo pattern without severe bacterial superinfection</x:t>
        </x:is>
      </x:c>
      <x:c r="N126" t="inlineStr">
        <x:is>
          <x:t xml:space="preserve">marked bacterial superinfection, severe pain, or extensive disease</x:t>
        </x:is>
      </x:c>
      <x:c r="O126" t="inlineStr">
        <x:is>
          <x:t xml:space="preserve">N</x:t>
        </x:is>
      </x:c>
      <x:c r="P126" t="inlineStr">
        <x:is>
          <x:t xml:space="preserve">N</x:t>
        </x:is>
      </x:c>
      <x:c r="Q126" t="inlineStr">
        <x:is>
          <x:t xml:space="preserve">Needs in-person eval today if severe pain, pus, rapid spread, or marked superinfection</x:t>
        </x:is>
      </x:c>
      <x:c r="R126" t="inlineStr">
        <x:is>
          <x:t xml:space="preserve">v6 added</x:t>
        </x:is>
      </x:c>
      <x:c r="S126" t="inlineStr">
        <x:is>
          <x:t xml:space="preserve">Canesten Cream 10 g [Clotrimazole 1 g./100 g.]</x:t>
        </x:is>
      </x:c>
      <x:c r="T126" t="inlineStr">
        <x:is>
          <x:t xml:space="preserve">BDS001489</x:t>
        </x:is>
      </x:c>
      <x:c r="U126" t="inlineStr">
        <x:is>
          <x:t xml:space="preserve">apply thinly BID–TID</x:t>
        </x:is>
      </x:c>
      <x:c r="V126" t="inlineStr">
        <x:is>
          <x:t xml:space="preserve">7–14 days</x:t>
        </x:is>
      </x:c>
      <x:c r="W126" t="inlineStr">
        <x:is>
          <x:t xml:space="preserve">1 tube (10 g)</x:t>
        </x:is>
      </x:c>
      <x:c r="X126" t="inlineStr">
        <x:is>
          <x:t xml:space="preserve">local irritation</x:t>
        </x:is>
      </x:c>
      <x:c r="Y126" t="inlineStr">
        <x:is>
          <x:t xml:space="preserve">keep folds dry</x:t>
        </x:is>
      </x:c>
      <x:c r="AY126" t="inlineStr">
        <x:is>
          <x:t xml:space="preserve">Fungasin Cream เล็ก [Ketoconazole 20 mg./1 g.]</x:t>
        </x:is>
      </x:c>
      <x:c r="AZ126" t="inlineStr">
        <x:is>
          <x:t xml:space="preserve">BDS007542</x:t>
        </x:is>
      </x:c>
      <x:c r="BA126" t="inlineStr">
        <x:is>
          <x:t xml:space="preserve">apply thinly BID</x:t>
        </x:is>
      </x:c>
      <x:c r="BB126" t="inlineStr">
        <x:is>
          <x:t xml:space="preserve">7–14 days</x:t>
        </x:is>
      </x:c>
      <x:c r="BC126" t="inlineStr">
        <x:is>
          <x:t xml:space="preserve">1 tube (5 g)</x:t>
        </x:is>
      </x:c>
      <x:c r="BD126" t="inlineStr">
        <x:is>
          <x:t xml:space="preserve">local irritation</x:t>
        </x:is>
      </x:c>
      <x:c r="BE126" t="inlineStr">
        <x:is>
          <x:t xml:space="preserve">keep folds dry</x:t>
        </x:is>
      </x:c>
    </x:row>
    <x:row r="127">
      <x:c r="A127" t="inlineStr">
        <x:is>
          <x:t xml:space="preserve">FRM0126</x:t>
        </x:is>
      </x:c>
      <x:c r="B127" t="inlineStr">
        <x:is>
          <x:t xml:space="preserve">pityriasis_versicolor_adult</x:t>
        </x:is>
      </x:c>
      <x:c r="C127" t="inlineStr">
        <x:is>
          <x:t xml:space="preserve">Pityriasis versicolor</x:t>
        </x:is>
      </x:c>
      <x:c r="D127" t="inlineStr">
        <x:is>
          <x:t xml:space="preserve">Skin</x:t>
        </x:is>
      </x:c>
      <x:c r="E127" t="inlineStr">
        <x:is>
          <x:t xml:space="preserve">adult</x:t>
        </x:is>
      </x:c>
      <x:c r="F127" t="inlineStr">
        <x:is>
          <x:t xml:space="preserve">routine_opd</x:t>
        </x:is>
      </x:c>
      <x:c r="G127" t="inlineStr">
        <x:is>
          <x:t xml:space="preserve">Y</x:t>
        </x:is>
      </x:c>
      <x:c r="H127" t="n">
        <x:v>1</x:v>
      </x:c>
      <x:c r="I127" t="inlineStr">
        <x:is>
          <x:t xml:space="preserve">B36.0</x:t>
        </x:is>
      </x:c>
      <x:c r="K127" t="inlineStr">
        <x:is>
          <x:t xml:space="preserve">Most likely</x:t>
        </x:is>
      </x:c>
      <x:c r="L127" t="inlineStr">
        <x:is>
          <x:t xml:space="preserve">patchy superficial fungal rash / versicolor pattern</x:t>
        </x:is>
      </x:c>
      <x:c r="M127" t="inlineStr">
        <x:is>
          <x:t xml:space="preserve">localized pityriasis versicolor / superficial fungal patch outpatient case</x:t>
        </x:is>
      </x:c>
      <x:c r="N127" t="inlineStr">
        <x:is>
          <x:t xml:space="preserve">uncertain diagnosis or extensive inflammatory disease</x:t>
        </x:is>
      </x:c>
      <x:c r="O127" t="inlineStr">
        <x:is>
          <x:t xml:space="preserve">N</x:t>
        </x:is>
      </x:c>
      <x:c r="P127" t="inlineStr">
        <x:is>
          <x:t xml:space="preserve">N</x:t>
        </x:is>
      </x:c>
      <x:c r="Q127" t="inlineStr">
        <x:is>
          <x:t xml:space="preserve">Needs in-person eval today if uncertain diagnosis, rapid spread, or severe inflammation</x:t>
        </x:is>
      </x:c>
      <x:c r="R127" t="inlineStr">
        <x:is>
          <x:t xml:space="preserve">v6 added</x:t>
        </x:is>
      </x:c>
      <x:c r="S127" t="inlineStr">
        <x:is>
          <x:t xml:space="preserve">Funginox Solution [Ketoconazole 2%]</x:t>
        </x:is>
      </x:c>
      <x:c r="T127" t="inlineStr">
        <x:is>
          <x:t xml:space="preserve">BDS008451</x:t>
        </x:is>
      </x:c>
      <x:c r="U127" t="inlineStr">
        <x:is>
          <x:t xml:space="preserve">apply/spray to lesions once daily</x:t>
        </x:is>
      </x:c>
      <x:c r="V127" t="inlineStr">
        <x:is>
          <x:t xml:space="preserve">7–14 days</x:t>
        </x:is>
      </x:c>
      <x:c r="W127" t="inlineStr">
        <x:is>
          <x:t xml:space="preserve">1 bottle (25 mL)</x:t>
        </x:is>
      </x:c>
      <x:c r="X127" t="inlineStr">
        <x:is>
          <x:t xml:space="preserve">local irritation</x:t>
        </x:is>
      </x:c>
      <x:c r="Y127" t="inlineStr">
        <x:is>
          <x:t xml:space="preserve">avoid eye contact</x:t>
        </x:is>
      </x:c>
      <x:c r="AY127" t="inlineStr">
        <x:is>
          <x:t xml:space="preserve">Fungasin Cream เล็ก [Ketoconazole 20 mg./1 g.]</x:t>
        </x:is>
      </x:c>
      <x:c r="AZ127" t="inlineStr">
        <x:is>
          <x:t xml:space="preserve">BDS007542</x:t>
        </x:is>
      </x:c>
      <x:c r="BA127" t="inlineStr">
        <x:is>
          <x:t xml:space="preserve">apply thinly BID</x:t>
        </x:is>
      </x:c>
      <x:c r="BB127" t="inlineStr">
        <x:is>
          <x:t xml:space="preserve">7–14 days</x:t>
        </x:is>
      </x:c>
      <x:c r="BC127" t="inlineStr">
        <x:is>
          <x:t xml:space="preserve">1 tube (5 g)</x:t>
        </x:is>
      </x:c>
      <x:c r="BD127" t="inlineStr">
        <x:is>
          <x:t xml:space="preserve">local irritation</x:t>
        </x:is>
      </x:c>
      <x:c r="BE127" t="inlineStr">
        <x:is>
          <x:t xml:space="preserve">avoid eye/mucosa</x:t>
        </x:is>
      </x:c>
    </x:row>
    <x:row r="128">
      <x:c r="A128" t="inlineStr">
        <x:is>
          <x:t xml:space="preserve">FRM0127</x:t>
        </x:is>
      </x:c>
      <x:c r="B128" t="inlineStr">
        <x:is>
          <x:t xml:space="preserve">cutaneous_candidiasis_adult</x:t>
        </x:is>
      </x:c>
      <x:c r="C128" t="inlineStr">
        <x:is>
          <x:t xml:space="preserve">Cutaneous candidiasis</x:t>
        </x:is>
      </x:c>
      <x:c r="D128" t="inlineStr">
        <x:is>
          <x:t xml:space="preserve">Skin</x:t>
        </x:is>
      </x:c>
      <x:c r="E128" t="inlineStr">
        <x:is>
          <x:t xml:space="preserve">adult</x:t>
        </x:is>
      </x:c>
      <x:c r="F128" t="inlineStr">
        <x:is>
          <x:t xml:space="preserve">routine_opd</x:t>
        </x:is>
      </x:c>
      <x:c r="G128" t="inlineStr">
        <x:is>
          <x:t xml:space="preserve">Y</x:t>
        </x:is>
      </x:c>
      <x:c r="H128" t="n">
        <x:v>1</x:v>
      </x:c>
      <x:c r="I128" t="inlineStr">
        <x:is>
          <x:t xml:space="preserve">B37.2</x:t>
        </x:is>
      </x:c>
      <x:c r="K128" t="inlineStr">
        <x:is>
          <x:t xml:space="preserve">Most likely</x:t>
        </x:is>
      </x:c>
      <x:c r="L128" t="inlineStr">
        <x:is>
          <x:t xml:space="preserve">candidal skin rash pattern in moist areas</x:t>
        </x:is>
      </x:c>
      <x:c r="M128" t="inlineStr">
        <x:is>
          <x:t xml:space="preserve">localized cutaneous candidiasis / candidal moist-fold rash</x:t>
        </x:is>
      </x:c>
      <x:c r="N128" t="inlineStr">
        <x:is>
          <x:t xml:space="preserve">extensive severe disease or marked bacterial superinfection</x:t>
        </x:is>
      </x:c>
      <x:c r="O128" t="inlineStr">
        <x:is>
          <x:t xml:space="preserve">N</x:t>
        </x:is>
      </x:c>
      <x:c r="P128" t="inlineStr">
        <x:is>
          <x:t xml:space="preserve">N</x:t>
        </x:is>
      </x:c>
      <x:c r="Q128" t="inlineStr">
        <x:is>
          <x:t xml:space="preserve">Needs in-person eval today if extensive severe disease, pus, or marked pain</x:t>
        </x:is>
      </x:c>
      <x:c r="R128" t="inlineStr">
        <x:is>
          <x:t xml:space="preserve">v6 added</x:t>
        </x:is>
      </x:c>
      <x:c r="S128" t="inlineStr">
        <x:is>
          <x:t xml:space="preserve">Canesten Cream 10 g [Clotrimazole 1 g./100 g.]</x:t>
        </x:is>
      </x:c>
      <x:c r="T128" t="inlineStr">
        <x:is>
          <x:t xml:space="preserve">BDS001489</x:t>
        </x:is>
      </x:c>
      <x:c r="U128" t="inlineStr">
        <x:is>
          <x:t xml:space="preserve">apply thinly BID–TID</x:t>
        </x:is>
      </x:c>
      <x:c r="V128" t="inlineStr">
        <x:is>
          <x:t xml:space="preserve">7–14 days</x:t>
        </x:is>
      </x:c>
      <x:c r="W128" t="inlineStr">
        <x:is>
          <x:t xml:space="preserve">1 tube (10 g)</x:t>
        </x:is>
      </x:c>
      <x:c r="X128" t="inlineStr">
        <x:is>
          <x:t xml:space="preserve">local irritation</x:t>
        </x:is>
      </x:c>
      <x:c r="Y128" t="inlineStr">
        <x:is>
          <x:t xml:space="preserve">keep area dry</x:t>
        </x:is>
      </x:c>
    </x:row>
    <x:row r="129">
      <x:c r="A129" t="inlineStr">
        <x:is>
          <x:t xml:space="preserve">FRM0128</x:t>
        </x:is>
      </x:c>
      <x:c r="B129" t="inlineStr">
        <x:is>
          <x:t xml:space="preserve">wart_localized_adult</x:t>
        </x:is>
      </x:c>
      <x:c r="C129" t="inlineStr">
        <x:is>
          <x:t xml:space="preserve">Localized wart treatment</x:t>
        </x:is>
      </x:c>
      <x:c r="D129" t="inlineStr">
        <x:is>
          <x:t xml:space="preserve">Skin</x:t>
        </x:is>
      </x:c>
      <x:c r="E129" t="inlineStr">
        <x:is>
          <x:t xml:space="preserve">adult</x:t>
        </x:is>
      </x:c>
      <x:c r="F129" t="inlineStr">
        <x:is>
          <x:t xml:space="preserve">routine_opd</x:t>
        </x:is>
      </x:c>
      <x:c r="G129" t="inlineStr">
        <x:is>
          <x:t xml:space="preserve">Y</x:t>
        </x:is>
      </x:c>
      <x:c r="H129" t="n">
        <x:v>1</x:v>
      </x:c>
      <x:c r="I129" t="inlineStr">
        <x:is>
          <x:t xml:space="preserve">B07.9</x:t>
        </x:is>
      </x:c>
      <x:c r="K129" t="inlineStr">
        <x:is>
          <x:t xml:space="preserve">Most likely</x:t>
        </x:is>
      </x:c>
      <x:c r="L129" t="inlineStr">
        <x:is>
          <x:t xml:space="preserve">localized common wart suitable for topical treatment</x:t>
        </x:is>
      </x:c>
      <x:c r="M129" t="inlineStr">
        <x:is>
          <x:t xml:space="preserve">small localized wart or corn/callus-type lesion suitable for topical treatment</x:t>
        </x:is>
      </x:c>
      <x:c r="N129" t="inlineStr">
        <x:is>
          <x:t xml:space="preserve">face/genitals, large cluster, uncertain lesion, or irritated infected wart</x:t>
        </x:is>
      </x:c>
      <x:c r="O129" t="inlineStr">
        <x:is>
          <x:t xml:space="preserve">N</x:t>
        </x:is>
      </x:c>
      <x:c r="P129" t="inlineStr">
        <x:is>
          <x:t xml:space="preserve">N</x:t>
        </x:is>
      </x:c>
      <x:c r="Q129" t="inlineStr">
        <x:is>
          <x:t xml:space="preserve">Needs in-person eval today if facial/genital wart, uncertain lesion, infection, or significant pain</x:t>
        </x:is>
      </x:c>
      <x:c r="R129" t="inlineStr">
        <x:is>
          <x:t xml:space="preserve">v6 added</x:t>
        </x:is>
      </x:c>
      <x:c r="S129" t="inlineStr">
        <x:is>
          <x:t xml:space="preserve">Con Con [Salicylic Acid 25 g.+Liquified Phenol 1.5 ml./100 ml.]</x:t>
        </x:is>
      </x:c>
      <x:c r="T129" t="inlineStr">
        <x:is>
          <x:t xml:space="preserve">BDS001468</x:t>
        </x:is>
      </x:c>
      <x:c r="U129" t="inlineStr">
        <x:is>
          <x:t xml:space="preserve">apply carefully to wart/corn BID–TID</x:t>
        </x:is>
      </x:c>
      <x:c r="V129" t="inlineStr">
        <x:is>
          <x:t xml:space="preserve">2–4 weeks</x:t>
        </x:is>
      </x:c>
      <x:c r="W129" t="inlineStr">
        <x:is>
          <x:t xml:space="preserve">1 bottle (15 mL)</x:t>
        </x:is>
      </x:c>
      <x:c r="X129" t="inlineStr">
        <x:is>
          <x:t xml:space="preserve">local irritation</x:t>
        </x:is>
      </x:c>
      <x:c r="Y129" t="inlineStr">
        <x:is>
          <x:t xml:space="preserve">protect normal surrounding skin</x:t>
        </x:is>
      </x:c>
    </x:row>
    <x:row r="130">
      <x:c r="A130" t="inlineStr">
        <x:is>
          <x:t xml:space="preserve">FRM0129</x:t>
        </x:is>
      </x:c>
      <x:c r="B130" t="inlineStr">
        <x:is>
          <x:t xml:space="preserve">corn_callus_topical_adult</x:t>
        </x:is>
      </x:c>
      <x:c r="C130" t="inlineStr">
        <x:is>
          <x:t xml:space="preserve">Corn / callus topical treatment</x:t>
        </x:is>
      </x:c>
      <x:c r="D130" t="inlineStr">
        <x:is>
          <x:t xml:space="preserve">Skin</x:t>
        </x:is>
      </x:c>
      <x:c r="E130" t="inlineStr">
        <x:is>
          <x:t xml:space="preserve">adult</x:t>
        </x:is>
      </x:c>
      <x:c r="F130" t="inlineStr">
        <x:is>
          <x:t xml:space="preserve">routine_opd</x:t>
        </x:is>
      </x:c>
      <x:c r="G130" t="inlineStr">
        <x:is>
          <x:t xml:space="preserve">Y</x:t>
        </x:is>
      </x:c>
      <x:c r="H130" t="n">
        <x:v>1</x:v>
      </x:c>
      <x:c r="I130" t="inlineStr">
        <x:is>
          <x:t xml:space="preserve">L84</x:t>
        </x:is>
      </x:c>
      <x:c r="K130" t="inlineStr">
        <x:is>
          <x:t xml:space="preserve">Most likely</x:t>
        </x:is>
      </x:c>
      <x:c r="L130" t="inlineStr">
        <x:is>
          <x:t xml:space="preserve">corn/callus suitable for topical keratolytic treatment</x:t>
        </x:is>
      </x:c>
      <x:c r="M130" t="inlineStr">
        <x:is>
          <x:t xml:space="preserve">small corn/callus topical treatment row</x:t>
        </x:is>
      </x:c>
      <x:c r="N130" t="inlineStr">
        <x:is>
          <x:t xml:space="preserve">diabetic foot, ulcer, infection, or uncertain lesion</x:t>
        </x:is>
      </x:c>
      <x:c r="O130" t="inlineStr">
        <x:is>
          <x:t xml:space="preserve">N</x:t>
        </x:is>
      </x:c>
      <x:c r="P130" t="inlineStr">
        <x:is>
          <x:t xml:space="preserve">N</x:t>
        </x:is>
      </x:c>
      <x:c r="Q130" t="inlineStr">
        <x:is>
          <x:t xml:space="preserve">Needs in-person eval today if diabetic foot, ulcer, infection, or uncertain lesion</x:t>
        </x:is>
      </x:c>
      <x:c r="R130" t="inlineStr">
        <x:is>
          <x:t xml:space="preserve">v6 added</x:t>
        </x:is>
      </x:c>
      <x:c r="S130" t="inlineStr">
        <x:is>
          <x:t xml:space="preserve">Con Con [Salicylic Acid 25 g.+Liquified Phenol 1.5 ml./100 ml.]</x:t>
        </x:is>
      </x:c>
      <x:c r="T130" t="inlineStr">
        <x:is>
          <x:t xml:space="preserve">BDS001468</x:t>
        </x:is>
      </x:c>
      <x:c r="U130" t="inlineStr">
        <x:is>
          <x:t xml:space="preserve">apply carefully to corn/callus BID–TID</x:t>
        </x:is>
      </x:c>
      <x:c r="V130" t="inlineStr">
        <x:is>
          <x:t xml:space="preserve">2–4 weeks</x:t>
        </x:is>
      </x:c>
      <x:c r="W130" t="inlineStr">
        <x:is>
          <x:t xml:space="preserve">1 bottle (15 mL)</x:t>
        </x:is>
      </x:c>
      <x:c r="X130" t="inlineStr">
        <x:is>
          <x:t xml:space="preserve">local irritation</x:t>
        </x:is>
      </x:c>
      <x:c r="Y130" t="inlineStr">
        <x:is>
          <x:t xml:space="preserve">protect normal surrounding skin</x:t>
        </x:is>
      </x:c>
    </x:row>
    <x:row r="131">
      <x:c r="A131" t="inlineStr">
        <x:is>
          <x:t xml:space="preserve">FRM0130</x:t>
        </x:is>
      </x:c>
      <x:c r="B131" t="inlineStr">
        <x:is>
          <x:t xml:space="preserve">dental_pain_support_adult</x:t>
        </x:is>
      </x:c>
      <x:c r="C131" t="inlineStr">
        <x:is>
          <x:t xml:space="preserve">Dental pain support</x:t>
        </x:is>
      </x:c>
      <x:c r="D131" t="inlineStr">
        <x:is>
          <x:t xml:space="preserve">Oral</x:t>
        </x:is>
      </x:c>
      <x:c r="E131" t="inlineStr">
        <x:is>
          <x:t xml:space="preserve">adult</x:t>
        </x:is>
      </x:c>
      <x:c r="F131" t="inlineStr">
        <x:is>
          <x:t xml:space="preserve">routine_opd</x:t>
        </x:is>
      </x:c>
      <x:c r="G131" t="inlineStr">
        <x:is>
          <x:t xml:space="preserve">Y</x:t>
        </x:is>
      </x:c>
      <x:c r="H131" t="n">
        <x:v>1</x:v>
      </x:c>
      <x:c r="I131" t="inlineStr">
        <x:is>
          <x:t xml:space="preserve">K08.89</x:t>
        </x:is>
      </x:c>
      <x:c r="K131" t="inlineStr">
        <x:is>
          <x:t xml:space="preserve">Most likely</x:t>
        </x:is>
      </x:c>
      <x:c r="L131" t="inlineStr">
        <x:is>
          <x:t xml:space="preserve">tooth pain without overt infection red flags</x:t>
        </x:is>
      </x:c>
      <x:c r="M131" t="inlineStr">
        <x:is>
          <x:t xml:space="preserve">simple dental pain support pending dental review</x:t>
        </x:is>
      </x:c>
      <x:c r="N131" t="inlineStr">
        <x:is>
          <x:t xml:space="preserve">facial swelling, fever, trismus, or dysphagia</x:t>
        </x:is>
      </x:c>
      <x:c r="O131" t="inlineStr">
        <x:is>
          <x:t xml:space="preserve">N</x:t>
        </x:is>
      </x:c>
      <x:c r="P131" t="inlineStr">
        <x:is>
          <x:t xml:space="preserve">N</x:t>
        </x:is>
      </x:c>
      <x:c r="Q131" t="inlineStr">
        <x:is>
          <x:t xml:space="preserve">Needs in-person eval today if facial swelling, fever, trismus, dysphagia, or severe worsening pain</x:t>
        </x:is>
      </x:c>
      <x:c r="R131" t="inlineStr">
        <x:is>
          <x:t xml:space="preserve">v6 added</x:t>
        </x:is>
      </x:c>
      <x:c r="S131" t="inlineStr">
        <x:is>
          <x:t xml:space="preserve">Tylenol 500 mg strip 10s [Paracetamol 500 mg.]</x:t>
        </x:is>
      </x:c>
      <x:c r="T131" t="inlineStr">
        <x:is>
          <x:t xml:space="preserve">BDS003762</x:t>
        </x:is>
      </x:c>
      <x:c r="U131" t="inlineStr">
        <x:is>
          <x:t xml:space="preserve">1–2 tabs PO q4–6h PRN pain</x:t>
        </x:is>
      </x:c>
      <x:c r="V131" t="inlineStr">
        <x:is>
          <x:t xml:space="preserve">3 days</x:t>
        </x:is>
      </x:c>
      <x:c r="W131" t="inlineStr">
        <x:is>
          <x:t xml:space="preserve">1 strip (10 tabs)</x:t>
        </x:is>
      </x:c>
      <x:c r="X131" t="inlineStr">
        <x:is>
          <x:t xml:space="preserve">nausea, rash</x:t>
        </x:is>
      </x:c>
      <x:c r="Y131" t="inlineStr">
        <x:is>
          <x:t xml:space="preserve">avoid duplicate paracetamol; caution liver disease</x:t>
        </x:is>
      </x:c>
      <x:c r="Z131" t="n">
        <x:v>36</x:v>
      </x:c>
      <x:c r="AA131" t="inlineStr">
        <x:is>
          <x:t xml:space="preserve">Gofen 400 [Ibuprofen 400 mg.+Polyethylene 400+Porpylene Glycol]</x:t>
        </x:is>
      </x:c>
      <x:c r="AB131" t="inlineStr">
        <x:is>
          <x:t xml:space="preserve">BDS002042</x:t>
        </x:is>
      </x:c>
      <x:c r="AC131" t="inlineStr">
        <x:is>
          <x:t xml:space="preserve">1 cap PO q4–6h PRN pain</x:t>
        </x:is>
      </x:c>
      <x:c r="AD131" t="inlineStr">
        <x:is>
          <x:t xml:space="preserve">3 days</x:t>
        </x:is>
      </x:c>
      <x:c r="AE131" t="inlineStr">
        <x:is>
          <x:t xml:space="preserve">1 box (10 caps)</x:t>
        </x:is>
      </x:c>
      <x:c r="AF131" t="inlineStr">
        <x:is>
          <x:t xml:space="preserve">GI upset</x:t>
        </x:is>
      </x:c>
      <x:c r="AG131" t="inlineStr">
        <x:is>
          <x:t xml:space="preserve">avoid PUD/GI bleed/CKD</x:t>
        </x:is>
      </x:c>
      <x:c r="AH131" t="n">
        <x:v>177</x:v>
      </x:c>
    </x:row>
    <x:row r="132">
      <x:c r="A132" t="inlineStr">
        <x:is>
          <x:t xml:space="preserve">FRM0131</x:t>
        </x:is>
      </x:c>
      <x:c r="B132" t="inlineStr">
        <x:is>
          <x:t xml:space="preserve">gingivitis_localized_adult</x:t>
        </x:is>
      </x:c>
      <x:c r="C132" t="inlineStr">
        <x:is>
          <x:t xml:space="preserve">Localized gingivitis</x:t>
        </x:is>
      </x:c>
      <x:c r="D132" t="inlineStr">
        <x:is>
          <x:t xml:space="preserve">Oral</x:t>
        </x:is>
      </x:c>
      <x:c r="E132" t="inlineStr">
        <x:is>
          <x:t xml:space="preserve">adult</x:t>
        </x:is>
      </x:c>
      <x:c r="F132" t="inlineStr">
        <x:is>
          <x:t xml:space="preserve">routine_opd</x:t>
        </x:is>
      </x:c>
      <x:c r="G132" t="inlineStr">
        <x:is>
          <x:t xml:space="preserve">Y</x:t>
        </x:is>
      </x:c>
      <x:c r="H132" t="n">
        <x:v>1</x:v>
      </x:c>
      <x:c r="I132" t="inlineStr">
        <x:is>
          <x:t xml:space="preserve">K05.10</x:t>
        </x:is>
      </x:c>
      <x:c r="K132" t="inlineStr">
        <x:is>
          <x:t xml:space="preserve">Most likely</x:t>
        </x:is>
      </x:c>
      <x:c r="L132" t="inlineStr">
        <x:is>
          <x:t xml:space="preserve">localized gum inflammation without deep abscess red flags</x:t>
        </x:is>
      </x:c>
      <x:c r="M132" t="inlineStr">
        <x:is>
          <x:t xml:space="preserve">localized gum inflammation / gingivitis support row</x:t>
        </x:is>
      </x:c>
      <x:c r="N132" t="inlineStr">
        <x:is>
          <x:t xml:space="preserve">facial swelling, abscess, fever, or severe bleeding</x:t>
        </x:is>
      </x:c>
      <x:c r="O132" t="inlineStr">
        <x:is>
          <x:t xml:space="preserve">N</x:t>
        </x:is>
      </x:c>
      <x:c r="P132" t="inlineStr">
        <x:is>
          <x:t xml:space="preserve">N</x:t>
        </x:is>
      </x:c>
      <x:c r="Q132" t="inlineStr">
        <x:is>
          <x:t xml:space="preserve">Needs in-person eval today if facial swelling, abscess, fever, or severe bleeding</x:t>
        </x:is>
      </x:c>
      <x:c r="R132" t="inlineStr">
        <x:is>
          <x:t xml:space="preserve">v6 added</x:t>
        </x:is>
      </x:c>
      <x:c r="S132" t="inlineStr">
        <x:is>
          <x:t xml:space="preserve">Betadine Gargle [Povidone-Iodine 70 mg./1 ml.]</x:t>
        </x:is>
      </x:c>
      <x:c r="T132" t="inlineStr">
        <x:is>
          <x:t xml:space="preserve">BDS040609</x:t>
        </x:is>
      </x:c>
      <x:c r="U132" t="inlineStr">
        <x:is>
          <x:t xml:space="preserve">dilute and gargle/spit 2–3x/day</x:t>
        </x:is>
      </x:c>
      <x:c r="V132" t="inlineStr">
        <x:is>
          <x:t xml:space="preserve">3–5 days</x:t>
        </x:is>
      </x:c>
      <x:c r="W132" t="inlineStr">
        <x:is>
          <x:t xml:space="preserve">1 bottle (30 mL)</x:t>
        </x:is>
      </x:c>
      <x:c r="X132" t="inlineStr">
        <x:is>
          <x:t xml:space="preserve">local irritation</x:t>
        </x:is>
      </x:c>
      <x:c r="Y132" t="inlineStr">
        <x:is>
          <x:t xml:space="preserve">avoid swallowing; iodine/thyroid caution</x:t>
        </x:is>
      </x:c>
      <x:c r="AA132" t="inlineStr">
        <x:is>
          <x:t xml:space="preserve">Tylenol 500 mg strip 10s [Paracetamol 500 mg.]</x:t>
        </x:is>
      </x:c>
      <x:c r="AB132" t="inlineStr">
        <x:is>
          <x:t xml:space="preserve">BDS003762</x:t>
        </x:is>
      </x:c>
      <x:c r="AC132" t="inlineStr">
        <x:is>
          <x:t xml:space="preserve">1–2 tabs PO q4–6h PRN pain</x:t>
        </x:is>
      </x:c>
      <x:c r="AD132" t="inlineStr">
        <x:is>
          <x:t xml:space="preserve">3 days</x:t>
        </x:is>
      </x:c>
      <x:c r="AE132" t="inlineStr">
        <x:is>
          <x:t xml:space="preserve">1 strip (10 tabs)</x:t>
        </x:is>
      </x:c>
      <x:c r="AF132" t="inlineStr">
        <x:is>
          <x:t xml:space="preserve">nausea, rash</x:t>
        </x:is>
      </x:c>
      <x:c r="AG132" t="inlineStr">
        <x:is>
          <x:t xml:space="preserve">avoid duplicate paracetamol; caution liver disease</x:t>
        </x:is>
      </x:c>
      <x:c r="AH132" t="n">
        <x:v>36</x:v>
      </x:c>
    </x:row>
    <x:row r="133">
      <x:c r="A133" t="inlineStr">
        <x:is>
          <x:t xml:space="preserve">FRM0132</x:t>
        </x:is>
      </x:c>
      <x:c r="B133" t="inlineStr">
        <x:is>
          <x:t xml:space="preserve">gum_inflammation_support_adult</x:t>
        </x:is>
      </x:c>
      <x:c r="C133" t="inlineStr">
        <x:is>
          <x:t xml:space="preserve">Gum inflammation support</x:t>
        </x:is>
      </x:c>
      <x:c r="D133" t="inlineStr">
        <x:is>
          <x:t xml:space="preserve">Oral</x:t>
        </x:is>
      </x:c>
      <x:c r="E133" t="inlineStr">
        <x:is>
          <x:t xml:space="preserve">adult</x:t>
        </x:is>
      </x:c>
      <x:c r="F133" t="inlineStr">
        <x:is>
          <x:t xml:space="preserve">routine_opd</x:t>
        </x:is>
      </x:c>
      <x:c r="G133" t="inlineStr">
        <x:is>
          <x:t xml:space="preserve">N</x:t>
        </x:is>
      </x:c>
      <x:c r="H133" t="n">
        <x:v>9</x:v>
      </x:c>
      <x:c r="I133" t="inlineStr">
        <x:is>
          <x:t xml:space="preserve">K05.10</x:t>
        </x:is>
      </x:c>
      <x:c r="K133" t="inlineStr">
        <x:is>
          <x:t xml:space="preserve">Most likely</x:t>
        </x:is>
      </x:c>
      <x:c r="L133" t="inlineStr">
        <x:is>
          <x:t xml:space="preserve">support row for localized inflamed gums/oral antiseptic use</x:t>
        </x:is>
      </x:c>
      <x:c r="M133" t="inlineStr">
        <x:is>
          <x:t xml:space="preserve">support row for localized gum inflammation when simple antiseptic/pain control is desired</x:t>
        </x:is>
      </x:c>
      <x:c r="N133" t="inlineStr">
        <x:is>
          <x:t xml:space="preserve">facial swelling, abscess, fever, or severe bleeding</x:t>
        </x:is>
      </x:c>
      <x:c r="O133" t="inlineStr">
        <x:is>
          <x:t xml:space="preserve">N</x:t>
        </x:is>
      </x:c>
      <x:c r="P133" t="inlineStr">
        <x:is>
          <x:t xml:space="preserve">N</x:t>
        </x:is>
      </x:c>
      <x:c r="Q133" t="inlineStr">
        <x:is>
          <x:t xml:space="preserve">Needs in-person eval today if facial swelling, abscess, fever, or severe bleeding</x:t>
        </x:is>
      </x:c>
      <x:c r="R133" t="inlineStr">
        <x:is>
          <x:t xml:space="preserve">v6 added</x:t>
        </x:is>
      </x:c>
      <x:c r="S133" t="inlineStr">
        <x:is>
          <x:t xml:space="preserve">Betadine Gargle [Povidone-Iodine 70 mg./1 ml.]</x:t>
        </x:is>
      </x:c>
      <x:c r="T133" t="inlineStr">
        <x:is>
          <x:t xml:space="preserve">BDS040609</x:t>
        </x:is>
      </x:c>
      <x:c r="U133" t="inlineStr">
        <x:is>
          <x:t xml:space="preserve">dilute and gargle/spit 2–3x/day</x:t>
        </x:is>
      </x:c>
      <x:c r="V133" t="inlineStr">
        <x:is>
          <x:t xml:space="preserve">3–5 days</x:t>
        </x:is>
      </x:c>
      <x:c r="W133" t="inlineStr">
        <x:is>
          <x:t xml:space="preserve">1 bottle (30 mL)</x:t>
        </x:is>
      </x:c>
      <x:c r="X133" t="inlineStr">
        <x:is>
          <x:t xml:space="preserve">local irritation</x:t>
        </x:is>
      </x:c>
      <x:c r="Y133" t="inlineStr">
        <x:is>
          <x:t xml:space="preserve">avoid swallowing; iodine/thyroid caution</x:t>
        </x:is>
      </x:c>
      <x:c r="AA133" t="inlineStr">
        <x:is>
          <x:t xml:space="preserve">Tylenol 500 mg strip 10s [Paracetamol 500 mg.]</x:t>
        </x:is>
      </x:c>
      <x:c r="AB133" t="inlineStr">
        <x:is>
          <x:t xml:space="preserve">BDS003762</x:t>
        </x:is>
      </x:c>
      <x:c r="AC133" t="inlineStr">
        <x:is>
          <x:t xml:space="preserve">1–2 tabs PO q4–6h PRN pain</x:t>
        </x:is>
      </x:c>
      <x:c r="AD133" t="inlineStr">
        <x:is>
          <x:t xml:space="preserve">3 days</x:t>
        </x:is>
      </x:c>
      <x:c r="AE133" t="inlineStr">
        <x:is>
          <x:t xml:space="preserve">1 strip (10 tabs)</x:t>
        </x:is>
      </x:c>
      <x:c r="AF133" t="inlineStr">
        <x:is>
          <x:t xml:space="preserve">nausea, rash</x:t>
        </x:is>
      </x:c>
      <x:c r="AG133" t="inlineStr">
        <x:is>
          <x:t xml:space="preserve">avoid duplicate paracetamol; caution liver disease</x:t>
        </x:is>
      </x:c>
      <x:c r="AH133" t="n">
        <x:v>36</x:v>
      </x:c>
    </x:row>
    <x:row r="134">
      <x:c r="A134" t="inlineStr">
        <x:is>
          <x:t xml:space="preserve">FRM0133</x:t>
        </x:is>
      </x:c>
      <x:c r="B134" t="inlineStr">
        <x:is>
          <x:t xml:space="preserve">dental_abscess_support_adult</x:t>
        </x:is>
      </x:c>
      <x:c r="C134" t="inlineStr">
        <x:is>
          <x:t xml:space="preserve">Dental abscess support</x:t>
        </x:is>
      </x:c>
      <x:c r="D134" t="inlineStr">
        <x:is>
          <x:t xml:space="preserve">Oral</x:t>
        </x:is>
      </x:c>
      <x:c r="E134" t="inlineStr">
        <x:is>
          <x:t xml:space="preserve">adult</x:t>
        </x:is>
      </x:c>
      <x:c r="F134" t="inlineStr">
        <x:is>
          <x:t xml:space="preserve">routine_opd</x:t>
        </x:is>
      </x:c>
      <x:c r="G134" t="inlineStr">
        <x:is>
          <x:t xml:space="preserve">Y</x:t>
        </x:is>
      </x:c>
      <x:c r="H134" t="n">
        <x:v>1</x:v>
      </x:c>
      <x:c r="I134" t="inlineStr">
        <x:is>
          <x:t xml:space="preserve">K04.7</x:t>
        </x:is>
      </x:c>
      <x:c r="K134" t="inlineStr">
        <x:is>
          <x:t xml:space="preserve">Most likely</x:t>
        </x:is>
      </x:c>
      <x:c r="L134" t="inlineStr">
        <x:is>
          <x:t xml:space="preserve">dental abscess/infection pattern pending dental review</x:t>
        </x:is>
      </x:c>
      <x:c r="M134" t="inlineStr">
        <x:is>
          <x:t xml:space="preserve">dental abscess/infection support row pending urgent dental review</x:t>
        </x:is>
      </x:c>
      <x:c r="N134" t="inlineStr">
        <x:is>
          <x:t xml:space="preserve">facial swelling, trismus, dysphagia, or airway compromise</x:t>
        </x:is>
      </x:c>
      <x:c r="O134" t="inlineStr">
        <x:is>
          <x:t xml:space="preserve">Y</x:t>
        </x:is>
      </x:c>
      <x:c r="P134" t="inlineStr">
        <x:is>
          <x:t xml:space="preserve">N</x:t>
        </x:is>
      </x:c>
      <x:c r="Q134" t="inlineStr">
        <x:is>
          <x:t xml:space="preserve">Needs in-person eval today if facial swelling, trismus, dysphagia, fever, or airway concern</x:t>
        </x:is>
      </x:c>
      <x:c r="R134" t="inlineStr">
        <x:is>
          <x:t xml:space="preserve">v6 added</x:t>
        </x:is>
      </x:c>
      <x:c r="S134" t="inlineStr">
        <x:is>
          <x:t xml:space="preserve">AMK 1000 mg [Amoxicillin 875 mg.+Clavulanic Acid 125 mg.]</x:t>
        </x:is>
      </x:c>
      <x:c r="T134" t="inlineStr">
        <x:is>
          <x:t xml:space="preserve">BDS001103</x:t>
        </x:is>
      </x:c>
      <x:c r="U134" t="inlineStr">
        <x:is>
          <x:t xml:space="preserve">1 tab PO BID</x:t>
        </x:is>
      </x:c>
      <x:c r="V134" t="inlineStr">
        <x:is>
          <x:t xml:space="preserve">5 days</x:t>
        </x:is>
      </x:c>
      <x:c r="W134" t="inlineStr">
        <x:is>
          <x:t xml:space="preserve">1 box (10 tabs)</x:t>
        </x:is>
      </x:c>
      <x:c r="X134" t="inlineStr">
        <x:is>
          <x:t xml:space="preserve">diarrhea, nausea</x:t>
        </x:is>
      </x:c>
      <x:c r="Y134" t="inlineStr">
        <x:is>
          <x:t xml:space="preserve">penicillin allergy; urgent dental review still needed</x:t>
        </x:is>
      </x:c>
      <x:c r="AA134" t="inlineStr">
        <x:is>
          <x:t xml:space="preserve">Tylenol 500 mg strip 10s [Paracetamol 500 mg.]</x:t>
        </x:is>
      </x:c>
      <x:c r="AB134" t="inlineStr">
        <x:is>
          <x:t xml:space="preserve">BDS003762</x:t>
        </x:is>
      </x:c>
      <x:c r="AC134" t="inlineStr">
        <x:is>
          <x:t xml:space="preserve">1–2 tabs PO q4–6h PRN pain</x:t>
        </x:is>
      </x:c>
      <x:c r="AD134" t="inlineStr">
        <x:is>
          <x:t xml:space="preserve">3 days</x:t>
        </x:is>
      </x:c>
      <x:c r="AE134" t="inlineStr">
        <x:is>
          <x:t xml:space="preserve">1 strip (10 tabs)</x:t>
        </x:is>
      </x:c>
      <x:c r="AF134" t="inlineStr">
        <x:is>
          <x:t xml:space="preserve">nausea, rash</x:t>
        </x:is>
      </x:c>
      <x:c r="AG134" t="inlineStr">
        <x:is>
          <x:t xml:space="preserve">avoid duplicate paracetamol; caution liver disease</x:t>
        </x:is>
      </x:c>
      <x:c r="AH134" t="n">
        <x:v>36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28" customWidth="1"/>
    <x:col min="3" max="3" width="12" customWidth="1"/>
    <x:col min="4" max="4" width="16" customWidth="1"/>
    <x:col min="5" max="5" width="16" customWidth="1"/>
    <x:col min="6" max="6" width="15" customWidth="1"/>
    <x:col min="7" max="7" width="15" customWidth="1"/>
    <x:col min="8" max="8" width="40" customWidth="1"/>
    <x:col min="9" max="9" width="12" customWidth="1"/>
    <x:col min="10" max="10" width="12" customWidth="1"/>
    <x:col min="11" max="11" width="17" customWidth="1"/>
    <x:col min="12" max="12" width="17" customWidth="1"/>
    <x:col min="13" max="13" width="16" customWidth="1"/>
    <x:col min="14" max="14" width="27" customWidth="1"/>
    <x:col min="15" max="15" width="40" customWidth="1"/>
    <x:col min="16" max="16" width="12" customWidth="1"/>
    <x:col min="17" max="17" width="12" customWidth="1"/>
    <x:col min="18" max="18" width="19" customWidth="1"/>
    <x:col min="19" max="19" width="40" customWidth="1"/>
    <x:col min="20" max="20" width="12" customWidth="1"/>
  </x:cols>
  <x:sheetData>
    <x:row r="1" ht="24" customHeight="1">
      <x:c r="A1" s="3" t="inlineStr">
        <x:is>
          <x:t xml:space="preserve">Shortcut_ID</x:t>
        </x:is>
      </x:c>
      <x:c r="B1" s="3" t="inlineStr">
        <x:is>
          <x:t xml:space="preserve">Disease_Key</x:t>
        </x:is>
      </x:c>
      <x:c r="C1" s="3" t="inlineStr">
        <x:is>
          <x:t xml:space="preserve">Drug_Slot</x:t>
        </x:is>
      </x:c>
      <x:c r="D1" s="3" t="inlineStr">
        <x:is>
          <x:t xml:space="preserve">Age_Min_Months</x:t>
        </x:is>
      </x:c>
      <x:c r="E1" s="3" t="inlineStr">
        <x:is>
          <x:t xml:space="preserve">Age_Max_Months</x:t>
        </x:is>
      </x:c>
      <x:c r="F1" s="3" t="inlineStr">
        <x:is>
          <x:t xml:space="preserve">Weight_Min_kg</x:t>
        </x:is>
      </x:c>
      <x:c r="G1" s="3" t="inlineStr">
        <x:is>
          <x:t xml:space="preserve">Weight_Max_kg</x:t>
        </x:is>
      </x:c>
      <x:c r="H1" s="3" t="inlineStr">
        <x:is>
          <x:t xml:space="preserve">Display_Name</x:t>
        </x:is>
      </x:c>
      <x:c r="I1" s="3" t="inlineStr">
        <x:is>
          <x:t xml:space="preserve">BDS</x:t>
        </x:is>
      </x:c>
      <x:c r="J1" s="3" t="inlineStr">
        <x:is>
          <x:t xml:space="preserve">Dose_Basis</x:t>
        </x:is>
      </x:c>
      <x:c r="K1" s="3" t="inlineStr">
        <x:is>
          <x:t xml:space="preserve">Dose_Value</x:t>
        </x:is>
      </x:c>
      <x:c r="L1" s="3" t="inlineStr">
        <x:is>
          <x:t xml:space="preserve">Max_Single_Dose</x:t>
        </x:is>
      </x:c>
      <x:c r="M1" s="3" t="inlineStr">
        <x:is>
          <x:t xml:space="preserve">Max_Daily_Dose</x:t>
        </x:is>
      </x:c>
      <x:c r="N1" s="3" t="inlineStr">
        <x:is>
          <x:t xml:space="preserve">Strength_or_Concentration</x:t>
        </x:is>
      </x:c>
      <x:c r="O1" s="3" t="inlineStr">
        <x:is>
          <x:t xml:space="preserve">Practical_Conversion</x:t>
        </x:is>
      </x:c>
      <x:c r="P1" s="3" t="inlineStr">
        <x:is>
          <x:t xml:space="preserve">Frequency</x:t>
        </x:is>
      </x:c>
      <x:c r="Q1" s="3" t="inlineStr">
        <x:is>
          <x:t xml:space="preserve">Duration</x:t>
        </x:is>
      </x:c>
      <x:c r="R1" s="3" t="inlineStr">
        <x:is>
          <x:t xml:space="preserve">Dispense</x:t>
        </x:is>
      </x:c>
      <x:c r="S1" s="3" t="inlineStr">
        <x:is>
          <x:t xml:space="preserve">Age_or_Weight_Note</x:t>
        </x:is>
      </x:c>
      <x:c r="T1" s="3" t="inlineStr">
        <x:is>
          <x:t xml:space="preserve">Enabled</x:t>
        </x:is>
      </x:c>
    </x:row>
    <x:row r="2" ht="22" customHeight="1">
      <x:c r="A2" s="9" t="inlineStr">
        <x:is>
          <x:t xml:space="preserve">NOTE</x:t>
        </x:is>
      </x:c>
      <x:c r="B2" s="9" t="inlineStr">
        <x:is>
          <x:t xml:space="preserve">Starter peds rows only. Verify age/weight before real use.</x:t>
        </x:is>
      </x:c>
    </x:row>
    <x:row r="3" ht="22" customHeight="1">
      <x:c r="A3" t="inlineStr">
        <x:is>
          <x:t xml:space="preserve">PDS0001</x:t>
        </x:is>
      </x:c>
      <x:c r="B3" t="inlineStr">
        <x:is>
          <x:t xml:space="preserve">acute_watery_diarrhea_peds</x:t>
        </x:is>
      </x:c>
      <x:c r="C3" t="inlineStr">
        <x:is>
          <x:t xml:space="preserve">RX1</x:t>
        </x:is>
      </x:c>
      <x:c r="H3" t="inlineStr">
        <x:is>
          <x:t xml:space="preserve">Cera ORS รสส้ม [Glucose Anhydrous 3 g.+Sodium Chloride 0.53 g.+Potassium Chloride 0.23 g.+Sodium Citrate Dihydrate 0.44 g.]</x:t>
        </x:is>
      </x:c>
      <x:c r="I3" t="inlineStr">
        <x:is>
          <x:t xml:space="preserve">BDS008282</x:t>
        </x:is>
      </x:c>
      <x:c r="J3" t="inlineStr">
        <x:is>
          <x:t xml:space="preserve">fixed</x:t>
        </x:is>
      </x:c>
      <x:c r="K3" t="inlineStr">
        <x:is>
          <x:t xml:space="preserve">1 sachet/150 mL</x:t>
        </x:is>
      </x:c>
      <x:c r="O3" t="inlineStr">
        <x:is>
          <x:t xml:space="preserve">Mix 1 sachet in 150 mL water; small frequent sips</x:t>
        </x:is>
      </x:c>
      <x:c r="P3" t="inlineStr">
        <x:is>
          <x:t xml:space="preserve">PRN</x:t>
        </x:is>
      </x:c>
      <x:c r="Q3" t="inlineStr">
        <x:is>
          <x:t xml:space="preserve">1–2 days</x:t>
        </x:is>
      </x:c>
      <x:c r="R3" t="inlineStr">
        <x:is>
          <x:t xml:space="preserve">1 box (5 sachets)</x:t>
        </x:is>
      </x:c>
      <x:c r="S3" t="inlineStr">
        <x:is>
          <x:t xml:space="preserve">Supportive care starter row; not individualized replacement plan</x:t>
        </x:is>
      </x:c>
      <x:c r="T3" t="inlineStr">
        <x:is>
          <x:t xml:space="preserve">Y</x:t>
        </x:is>
      </x:c>
    </x:row>
    <x:row r="4" ht="22" customHeight="1">
      <x:c r="A4" t="inlineStr">
        <x:is>
          <x:t xml:space="preserve">PDS0002</x:t>
        </x:is>
      </x:c>
      <x:c r="B4" t="inlineStr">
        <x:is>
          <x:t xml:space="preserve">fever_peds</x:t>
        </x:is>
      </x:c>
      <x:c r="C4" t="inlineStr">
        <x:is>
          <x:t xml:space="preserve">RX1</x:t>
        </x:is>
      </x:c>
      <x:c r="H4" t="inlineStr">
        <x:is>
          <x:t xml:space="preserve">Tylenol Suspension [Paracetamol 160 mg./5 ml.]</x:t>
        </x:is>
      </x:c>
      <x:c r="I4" t="inlineStr">
        <x:is>
          <x:t xml:space="preserve">BDS003763</x:t>
        </x:is>
      </x:c>
      <x:c r="J4" t="inlineStr">
        <x:is>
          <x:t xml:space="preserve">fixed</x:t>
        </x:is>
      </x:c>
      <x:c r="K4" t="inlineStr">
        <x:is>
          <x:t xml:space="preserve">5 mL/dose</x:t>
        </x:is>
      </x:c>
      <x:c r="N4" t="inlineStr">
        <x:is>
          <x:t xml:space="preserve">160 mg/5 mL</x:t>
        </x:is>
      </x:c>
      <x:c r="O4" t="inlineStr">
        <x:is>
          <x:t xml:space="preserve">5 mL per dose</x:t>
        </x:is>
      </x:c>
      <x:c r="P4" t="inlineStr">
        <x:is>
          <x:t xml:space="preserve">q4–6h PRN</x:t>
        </x:is>
      </x:c>
      <x:c r="Q4" t="inlineStr">
        <x:is>
          <x:t xml:space="preserve">3 days</x:t>
        </x:is>
      </x:c>
      <x:c r="R4" t="inlineStr">
        <x:is>
          <x:t xml:space="preserve">1 bottle (60 mL)</x:t>
        </x:is>
      </x:c>
      <x:c r="S4" t="inlineStr">
        <x:is>
          <x:t xml:space="preserve">Starter label-based row from workbook; verify child weight before use</x:t>
        </x:is>
      </x:c>
      <x:c r="T4" t="inlineStr">
        <x:is>
          <x:t xml:space="preserve">Y</x:t>
        </x:is>
      </x:c>
    </x:row>
    <x:row r="5">
      <x:c r="A5" t="inlineStr">
        <x:is>
          <x:t xml:space="preserve">PDS0003</x:t>
        </x:is>
      </x:c>
      <x:c r="B5" t="inlineStr">
        <x:is>
          <x:t xml:space="preserve">allergic_rhinitis_peds</x:t>
        </x:is>
      </x:c>
      <x:c r="C5" t="inlineStr">
        <x:is>
          <x:t xml:space="preserve">RX1</x:t>
        </x:is>
      </x:c>
      <x:c r="H5" t="inlineStr">
        <x:is>
          <x:t xml:space="preserve">Zyrtec Syrup [Cetirizine 2HCI 1 mg./1 ml.]</x:t>
        </x:is>
      </x:c>
      <x:c r="I5" t="inlineStr">
        <x:is>
          <x:t xml:space="preserve">BDS004212</x:t>
        </x:is>
      </x:c>
      <x:c r="J5" t="inlineStr">
        <x:is>
          <x:t xml:space="preserve">fixed</x:t>
        </x:is>
      </x:c>
      <x:c r="K5" t="inlineStr">
        <x:is>
          <x:t xml:space="preserve">1–2 tsp OD</x:t>
        </x:is>
      </x:c>
      <x:c r="N5" t="inlineStr">
        <x:is>
          <x:t xml:space="preserve">1 mg/mL</x:t>
        </x:is>
      </x:c>
      <x:c r="O5" t="inlineStr">
        <x:is>
          <x:t xml:space="preserve">1–2 teaspoons per dose</x:t>
        </x:is>
      </x:c>
      <x:c r="P5" t="inlineStr">
        <x:is>
          <x:t xml:space="preserve">OD</x:t>
        </x:is>
      </x:c>
      <x:c r="Q5" t="inlineStr">
        <x:is>
          <x:t xml:space="preserve">5 days</x:t>
        </x:is>
      </x:c>
      <x:c r="R5" t="inlineStr">
        <x:is>
          <x:t xml:space="preserve">1 bottle (75 mL)</x:t>
        </x:is>
      </x:c>
      <x:c r="S5" t="inlineStr">
        <x:is>
          <x:t xml:space="preserve">Starter row from workbook wording; verify child age before use</x:t>
        </x:is>
      </x:c>
      <x:c r="T5" t="inlineStr">
        <x:is>
          <x:t xml:space="preserve">Y</x:t>
        </x:is>
      </x:c>
    </x:row>
    <x:row r="6">
      <x:c r="A6" t="inlineStr">
        <x:is>
          <x:t xml:space="preserve">PDS0004</x:t>
        </x:is>
      </x:c>
      <x:c r="B6" t="inlineStr">
        <x:is>
          <x:t xml:space="preserve">allergic_rhinitis_peds</x:t>
        </x:is>
      </x:c>
      <x:c r="C6" t="inlineStr">
        <x:is>
          <x:t xml:space="preserve">RX1</x:t>
        </x:is>
      </x:c>
      <x:c r="H6" t="inlineStr">
        <x:is>
          <x:t xml:space="preserve">Zyrtec Syrup [Cetirizine 2HCI 1 mg./1 ml.]</x:t>
        </x:is>
      </x:c>
      <x:c r="I6" t="inlineStr">
        <x:is>
          <x:t xml:space="preserve">BDS004212</x:t>
        </x:is>
      </x:c>
      <x:c r="J6" t="inlineStr">
        <x:is>
          <x:t xml:space="preserve">label_fixed</x:t>
        </x:is>
      </x:c>
      <x:c r="K6" t="inlineStr">
        <x:is>
          <x:t xml:space="preserve">1–2 tsp OD</x:t>
        </x:is>
      </x:c>
      <x:c r="N6" t="inlineStr">
        <x:is>
          <x:t xml:space="preserve">1 mg/mL</x:t>
        </x:is>
      </x:c>
      <x:c r="O6" t="inlineStr">
        <x:is>
          <x:t xml:space="preserve">1–2 teaspoons per dose</x:t>
        </x:is>
      </x:c>
      <x:c r="P6" t="inlineStr">
        <x:is>
          <x:t xml:space="preserve">OD</x:t>
        </x:is>
      </x:c>
      <x:c r="Q6" t="inlineStr">
        <x:is>
          <x:t xml:space="preserve">5 days</x:t>
        </x:is>
      </x:c>
      <x:c r="R6" t="inlineStr">
        <x:is>
          <x:t xml:space="preserve">1 bottle (75 mL)</x:t>
        </x:is>
      </x:c>
      <x:c r="S6" t="inlineStr">
        <x:is>
          <x:t xml:space="preserve">Starter label-based row; verify child age before use</x:t>
        </x:is>
      </x:c>
      <x:c r="T6" t="inlineStr">
        <x:is>
          <x:t xml:space="preserve">Y</x:t>
        </x:is>
      </x:c>
    </x:row>
    <x:row r="7">
      <x:c r="A7" t="inlineStr">
        <x:is>
          <x:t xml:space="preserve">PDS0005</x:t>
        </x:is>
      </x:c>
      <x:c r="B7" t="inlineStr">
        <x:is>
          <x:t xml:space="preserve">allergic_rhinitis_peds</x:t>
        </x:is>
      </x:c>
      <x:c r="C7" t="inlineStr">
        <x:is>
          <x:t xml:space="preserve">RX2</x:t>
        </x:is>
      </x:c>
      <x:c r="H7" t="inlineStr">
        <x:is>
          <x:t xml:space="preserve">Klean &amp; Kare Saline เล็ก [Sodium Chloride 0.9 g./100 ml.]</x:t>
        </x:is>
      </x:c>
      <x:c r="I7" t="inlineStr">
        <x:is>
          <x:t xml:space="preserve">BDS044320</x:t>
        </x:is>
      </x:c>
      <x:c r="J7" t="inlineStr">
        <x:is>
          <x:t xml:space="preserve">fixed</x:t>
        </x:is>
      </x:c>
      <x:c r="K7" t="inlineStr">
        <x:is>
          <x:t xml:space="preserve">PRN</x:t>
        </x:is>
      </x:c>
      <x:c r="N7" t="inlineStr">
        <x:is>
          <x:t xml:space="preserve">0.9% saline</x:t>
        </x:is>
      </x:c>
      <x:c r="O7" t="inlineStr">
        <x:is>
          <x:t xml:space="preserve">gentle nasal rinse/cleaning</x:t>
        </x:is>
      </x:c>
      <x:c r="P7" t="inlineStr">
        <x:is>
          <x:t xml:space="preserve">PRN</x:t>
        </x:is>
      </x:c>
      <x:c r="Q7" t="inlineStr">
        <x:is>
          <x:t xml:space="preserve">5 days</x:t>
        </x:is>
      </x:c>
      <x:c r="R7" t="inlineStr">
        <x:is>
          <x:t xml:space="preserve">1 bottle (100 mL)</x:t>
        </x:is>
      </x:c>
      <x:c r="S7" t="inlineStr">
        <x:is>
          <x:t xml:space="preserve">Supportive saline only</x:t>
        </x:is>
      </x:c>
      <x:c r="T7" t="inlineStr">
        <x:is>
          <x:t xml:space="preserve">Y</x:t>
        </x:is>
      </x:c>
    </x:row>
    <x:row r="8">
      <x:c r="A8" t="inlineStr">
        <x:is>
          <x:t xml:space="preserve">PDS0006</x:t>
        </x:is>
      </x:c>
      <x:c r="B8" t="inlineStr">
        <x:is>
          <x:t xml:space="preserve">uri_wet_cough_peds</x:t>
        </x:is>
      </x:c>
      <x:c r="C8" t="inlineStr">
        <x:is>
          <x:t xml:space="preserve">RX1</x:t>
        </x:is>
      </x:c>
      <x:c r="H8" t="inlineStr">
        <x:is>
          <x:t xml:space="preserve">Mucolid Junior บลูเบอร์รี่ [Ambroxol HCl 15 mg./5 ml.]</x:t>
        </x:is>
      </x:c>
      <x:c r="I8" t="inlineStr">
        <x:is>
          <x:t xml:space="preserve">BDS002691</x:t>
        </x:is>
      </x:c>
      <x:c r="J8" t="inlineStr">
        <x:is>
          <x:t xml:space="preserve">label_fixed</x:t>
        </x:is>
      </x:c>
      <x:c r="K8" t="inlineStr">
        <x:is>
          <x:t xml:space="preserve">2 tsp TID</x:t>
        </x:is>
      </x:c>
      <x:c r="N8" t="inlineStr">
        <x:is>
          <x:t xml:space="preserve">15 mg/5 mL</x:t>
        </x:is>
      </x:c>
      <x:c r="O8" t="inlineStr">
        <x:is>
          <x:t xml:space="preserve">2 teaspoons per dose</x:t>
        </x:is>
      </x:c>
      <x:c r="P8" t="inlineStr">
        <x:is>
          <x:t xml:space="preserve">TID</x:t>
        </x:is>
      </x:c>
      <x:c r="Q8" t="inlineStr">
        <x:is>
          <x:t xml:space="preserve">3 days</x:t>
        </x:is>
      </x:c>
      <x:c r="R8" t="inlineStr">
        <x:is>
          <x:t xml:space="preserve">1 bottle (60 mL)</x:t>
        </x:is>
      </x:c>
      <x:c r="S8" t="inlineStr">
        <x:is>
          <x:t xml:space="preserve">Starter label-based row; verify child age/size</x:t>
        </x:is>
      </x:c>
      <x:c r="T8" t="inlineStr">
        <x:is>
          <x:t xml:space="preserve">Y</x:t>
        </x:is>
      </x:c>
    </x:row>
    <x:row r="9">
      <x:c r="A9" t="inlineStr">
        <x:is>
          <x:t xml:space="preserve">PDS0007</x:t>
        </x:is>
      </x:c>
      <x:c r="B9" t="inlineStr">
        <x:is>
          <x:t xml:space="preserve">uri_wet_cough_peds</x:t>
        </x:is>
      </x:c>
      <x:c r="C9" t="inlineStr">
        <x:is>
          <x:t xml:space="preserve">SWAP1</x:t>
        </x:is>
      </x:c>
      <x:c r="H9" t="inlineStr">
        <x:is>
          <x:t xml:space="preserve">Bisolvon EX Syrup เล็ก [Bromhexine HCl 4 mg.+K guaiacolsulphonate 100 mg./5 ml.]</x:t>
        </x:is>
      </x:c>
      <x:c r="I9" t="inlineStr">
        <x:is>
          <x:t xml:space="preserve">BDS001257</x:t>
        </x:is>
      </x:c>
      <x:c r="J9" t="inlineStr">
        <x:is>
          <x:t xml:space="preserve">label_fixed</x:t>
        </x:is>
      </x:c>
      <x:c r="K9" t="inlineStr">
        <x:is>
          <x:t xml:space="preserve">1–2 tsp TID–QID</x:t>
        </x:is>
      </x:c>
      <x:c r="N9" t="inlineStr">
        <x:is>
          <x:t xml:space="preserve">4 mg+100 mg/5 mL</x:t>
        </x:is>
      </x:c>
      <x:c r="O9" t="inlineStr">
        <x:is>
          <x:t xml:space="preserve">1–2 teaspoons per dose</x:t>
        </x:is>
      </x:c>
      <x:c r="P9" t="inlineStr">
        <x:is>
          <x:t xml:space="preserve">TID–QID</x:t>
        </x:is>
      </x:c>
      <x:c r="Q9" t="inlineStr">
        <x:is>
          <x:t xml:space="preserve">3 days</x:t>
        </x:is>
      </x:c>
      <x:c r="R9" t="inlineStr">
        <x:is>
          <x:t xml:space="preserve">1 bottle (60 mL)</x:t>
        </x:is>
      </x:c>
      <x:c r="S9" t="inlineStr">
        <x:is>
          <x:t xml:space="preserve">Starter label-based row; verify child age/size</x:t>
        </x:is>
      </x:c>
      <x:c r="T9" t="inlineStr">
        <x:is>
          <x:t xml:space="preserve">Y</x:t>
        </x:is>
      </x:c>
    </x:row>
    <x:row r="10">
      <x:c r="A10" t="inlineStr">
        <x:is>
          <x:t xml:space="preserve">PDS0008</x:t>
        </x:is>
      </x:c>
      <x:c r="B10" t="inlineStr">
        <x:is>
          <x:t xml:space="preserve">post_uri_cough_peds</x:t>
        </x:is>
      </x:c>
      <x:c r="C10" t="inlineStr">
        <x:is>
          <x:t xml:space="preserve">RX1</x:t>
        </x:is>
      </x:c>
      <x:c r="H10" t="inlineStr">
        <x:is>
          <x:t xml:space="preserve">Bisolvon EX Syrup เล็ก [Bromhexine HCl 4 mg.+K guaiacolsulphonate 100 mg./5 ml.]</x:t>
        </x:is>
      </x:c>
      <x:c r="I10" t="inlineStr">
        <x:is>
          <x:t xml:space="preserve">BDS001257</x:t>
        </x:is>
      </x:c>
      <x:c r="J10" t="inlineStr">
        <x:is>
          <x:t xml:space="preserve">label_fixed</x:t>
        </x:is>
      </x:c>
      <x:c r="K10" t="inlineStr">
        <x:is>
          <x:t xml:space="preserve">1–2 tsp TID–QID</x:t>
        </x:is>
      </x:c>
      <x:c r="N10" t="inlineStr">
        <x:is>
          <x:t xml:space="preserve">4 mg+100 mg/5 mL</x:t>
        </x:is>
      </x:c>
      <x:c r="O10" t="inlineStr">
        <x:is>
          <x:t xml:space="preserve">1–2 teaspoons per dose</x:t>
        </x:is>
      </x:c>
      <x:c r="P10" t="inlineStr">
        <x:is>
          <x:t xml:space="preserve">TID–QID</x:t>
        </x:is>
      </x:c>
      <x:c r="Q10" t="inlineStr">
        <x:is>
          <x:t xml:space="preserve">3 days</x:t>
        </x:is>
      </x:c>
      <x:c r="R10" t="inlineStr">
        <x:is>
          <x:t xml:space="preserve">1 bottle (60 mL)</x:t>
        </x:is>
      </x:c>
      <x:c r="S10" t="inlineStr">
        <x:is>
          <x:t xml:space="preserve">Starter label-based row; verify child age/size</x:t>
        </x:is>
      </x:c>
      <x:c r="T10" t="inlineStr">
        <x:is>
          <x:t xml:space="preserve">Y</x:t>
        </x:is>
      </x:c>
    </x:row>
    <x:row r="11">
      <x:c r="A11" t="inlineStr">
        <x:is>
          <x:t xml:space="preserve">PDS0009</x:t>
        </x:is>
      </x:c>
      <x:c r="B11" t="inlineStr">
        <x:is>
          <x:t xml:space="preserve">acute_gastroenteritis_peds_mild</x:t>
        </x:is>
      </x:c>
      <x:c r="C11" t="inlineStr">
        <x:is>
          <x:t xml:space="preserve">RX1</x:t>
        </x:is>
      </x:c>
      <x:c r="H11" t="inlineStr">
        <x:is>
          <x:t xml:space="preserve">Cera ORS รสส้ม [Glucose Anhydrous 3 g.+Sodium Chloride 0.53 g.+Potassium Chloride 0.23 g.+Sodium Citrate Dihydrate 0.44 g.]</x:t>
        </x:is>
      </x:c>
      <x:c r="I11" t="inlineStr">
        <x:is>
          <x:t xml:space="preserve">BDS008282</x:t>
        </x:is>
      </x:c>
      <x:c r="J11" t="inlineStr">
        <x:is>
          <x:t xml:space="preserve">fixed</x:t>
        </x:is>
      </x:c>
      <x:c r="K11" t="inlineStr">
        <x:is>
          <x:t xml:space="preserve">1 sachet/150 mL</x:t>
        </x:is>
      </x:c>
      <x:c r="N11" t="inlineStr">
        <x:is>
          <x:t xml:space="preserve">ORS sachet</x:t>
        </x:is>
      </x:c>
      <x:c r="O11" t="inlineStr">
        <x:is>
          <x:t xml:space="preserve">small frequent sips</x:t>
        </x:is>
      </x:c>
      <x:c r="P11" t="inlineStr">
        <x:is>
          <x:t xml:space="preserve">PRN</x:t>
        </x:is>
      </x:c>
      <x:c r="Q11" t="inlineStr">
        <x:is>
          <x:t xml:space="preserve">1–2 days</x:t>
        </x:is>
      </x:c>
      <x:c r="R11" t="inlineStr">
        <x:is>
          <x:t xml:space="preserve">1 box (5 sachets)</x:t>
        </x:is>
      </x:c>
      <x:c r="S11" t="inlineStr">
        <x:is>
          <x:t xml:space="preserve">Supportive rehydration row; not individualized replacement plan</x:t>
        </x:is>
      </x:c>
      <x:c r="T11" t="inlineStr">
        <x:is>
          <x:t xml:space="preserve">Y</x:t>
        </x:is>
      </x:c>
    </x:row>
    <x:row r="12">
      <x:c r="A12" t="inlineStr">
        <x:is>
          <x:t xml:space="preserve">PDS0010</x:t>
        </x:is>
      </x:c>
      <x:c r="B12" t="inlineStr">
        <x:is>
          <x:t xml:space="preserve">acute_gastroenteritis_peds_mild</x:t>
        </x:is>
      </x:c>
      <x:c r="C12" t="inlineStr">
        <x:is>
          <x:t xml:space="preserve">SWAP1</x:t>
        </x:is>
      </x:c>
      <x:c r="H12" t="inlineStr">
        <x:is>
          <x:t xml:space="preserve">Hidrasec Paediatric 30 mg [Racecadotril 30 mg.]</x:t>
        </x:is>
      </x:c>
      <x:c r="I12" t="inlineStr">
        <x:is>
          <x:t xml:space="preserve">BDS002108</x:t>
        </x:is>
      </x:c>
      <x:c r="J12" t="inlineStr">
        <x:is>
          <x:t xml:space="preserve">label_fixed</x:t>
        </x:is>
      </x:c>
      <x:c r="K12" t="inlineStr">
        <x:is>
          <x:t xml:space="preserve">1 sachet q8h</x:t>
        </x:is>
      </x:c>
      <x:c r="N12" t="inlineStr">
        <x:is>
          <x:t xml:space="preserve">30 mg/sachet</x:t>
        </x:is>
      </x:c>
      <x:c r="O12" t="inlineStr">
        <x:is>
          <x:t xml:space="preserve">1 sachet per dose</x:t>
        </x:is>
      </x:c>
      <x:c r="P12" t="inlineStr">
        <x:is>
          <x:t xml:space="preserve">q8h</x:t>
        </x:is>
      </x:c>
      <x:c r="Q12" t="inlineStr">
        <x:is>
          <x:t xml:space="preserve">2–3 days</x:t>
        </x:is>
      </x:c>
      <x:c r="R12" t="inlineStr">
        <x:is>
          <x:t xml:space="preserve">1 box / unit as needed</x:t>
        </x:is>
      </x:c>
      <x:c r="S12" t="inlineStr">
        <x:is>
          <x:t xml:space="preserve">Verify child age/weight before use</x:t>
        </x:is>
      </x:c>
      <x:c r="T12" t="inlineStr">
        <x:is>
          <x:t xml:space="preserve">Y</x:t>
        </x:is>
      </x:c>
    </x:row>
    <x:row r="13">
      <x:c r="A13" t="inlineStr">
        <x:is>
          <x:t xml:space="preserve">PDS0011</x:t>
        </x:is>
      </x:c>
      <x:c r="B13" t="inlineStr">
        <x:is>
          <x:t xml:space="preserve">abdominal_gas_peds</x:t>
        </x:is>
      </x:c>
      <x:c r="C13" t="inlineStr">
        <x:is>
          <x:t xml:space="preserve">RX1</x:t>
        </x:is>
      </x:c>
      <x:c r="H13" t="inlineStr">
        <x:is>
          <x:t xml:space="preserve">Air-X Drops [Simethicone 40 mg./0.6 ml.]</x:t>
        </x:is>
      </x:c>
      <x:c r="I13" t="inlineStr">
        <x:is>
          <x:t xml:space="preserve">BDS001013</x:t>
        </x:is>
      </x:c>
      <x:c r="J13" t="inlineStr">
        <x:is>
          <x:t xml:space="preserve">label_fixed</x:t>
        </x:is>
      </x:c>
      <x:c r="K13" t="inlineStr">
        <x:is>
          <x:t xml:space="preserve">0.3 mL TID</x:t>
        </x:is>
      </x:c>
      <x:c r="N13" t="inlineStr">
        <x:is>
          <x:t xml:space="preserve">40 mg/0.6 mL</x:t>
        </x:is>
      </x:c>
      <x:c r="O13" t="inlineStr">
        <x:is>
          <x:t xml:space="preserve">0.3 mL per dose</x:t>
        </x:is>
      </x:c>
      <x:c r="P13" t="inlineStr">
        <x:is>
          <x:t xml:space="preserve">TID after meals</x:t>
        </x:is>
      </x:c>
      <x:c r="Q13" t="inlineStr">
        <x:is>
          <x:t xml:space="preserve">3 days</x:t>
        </x:is>
      </x:c>
      <x:c r="R13" t="inlineStr">
        <x:is>
          <x:t xml:space="preserve">1 bottle (15 mL)</x:t>
        </x:is>
      </x:c>
      <x:c r="S13" t="inlineStr">
        <x:is>
          <x:t xml:space="preserve">Label-based starter row</x:t>
        </x:is>
      </x:c>
      <x:c r="T13" t="inlineStr">
        <x:is>
          <x:t xml:space="preserve">Y</x:t>
        </x:is>
      </x:c>
    </x:row>
    <x:row r="14">
      <x:c r="A14" t="inlineStr">
        <x:is>
          <x:t xml:space="preserve">PDS0012</x:t>
        </x:is>
      </x:c>
      <x:c r="B14" t="inlineStr">
        <x:is>
          <x:t xml:space="preserve">abdominal_colic_peds</x:t>
        </x:is>
      </x:c>
      <x:c r="C14" t="inlineStr">
        <x:is>
          <x:t xml:space="preserve">RX1</x:t>
        </x:is>
      </x:c>
      <x:c r="H14" t="inlineStr">
        <x:is>
          <x:t xml:space="preserve">Berclomine Syrup [Dicyclomine 5 mg.+Simethicone 50 mg./5 ml.]</x:t>
        </x:is>
      </x:c>
      <x:c r="I14" t="inlineStr">
        <x:is>
          <x:t xml:space="preserve">BDS008034</x:t>
        </x:is>
      </x:c>
      <x:c r="J14" t="inlineStr">
        <x:is>
          <x:t xml:space="preserve">label_fixed</x:t>
        </x:is>
      </x:c>
      <x:c r="K14" t="inlineStr">
        <x:is>
          <x:t xml:space="preserve">1 tsp QID</x:t>
        </x:is>
      </x:c>
      <x:c r="N14" t="inlineStr">
        <x:is>
          <x:t xml:space="preserve">5 mg+50 mg/5 mL</x:t>
        </x:is>
      </x:c>
      <x:c r="O14" t="inlineStr">
        <x:is>
          <x:t xml:space="preserve">1 teaspoon per dose</x:t>
        </x:is>
      </x:c>
      <x:c r="P14" t="inlineStr">
        <x:is>
          <x:t xml:space="preserve">QID before meals</x:t>
        </x:is>
      </x:c>
      <x:c r="Q14" t="inlineStr">
        <x:is>
          <x:t xml:space="preserve">3 days</x:t>
        </x:is>
      </x:c>
      <x:c r="R14" t="inlineStr">
        <x:is>
          <x:t xml:space="preserve">1 bottle (60 mL)</x:t>
        </x:is>
      </x:c>
      <x:c r="S14" t="inlineStr">
        <x:is>
          <x:t xml:space="preserve">Verify child age before use</x:t>
        </x:is>
      </x:c>
      <x:c r="T14" t="inlineStr">
        <x:is>
          <x:t xml:space="preserve">Y</x:t>
        </x:is>
      </x:c>
    </x:row>
    <x:row r="15">
      <x:c r="A15" t="inlineStr">
        <x:is>
          <x:t xml:space="preserve">PDS0013</x:t>
        </x:is>
      </x:c>
      <x:c r="B15" t="inlineStr">
        <x:is>
          <x:t xml:space="preserve">oral_thrush_peds</x:t>
        </x:is>
      </x:c>
      <x:c r="C15" t="inlineStr">
        <x:is>
          <x:t xml:space="preserve">RX1</x:t>
        </x:is>
      </x:c>
      <x:c r="H15" t="inlineStr">
        <x:is>
          <x:t xml:space="preserve">Nyst Oral [Nystatin 100,000 Unit/1 ml.]</x:t>
        </x:is>
      </x:c>
      <x:c r="I15" t="inlineStr">
        <x:is>
          <x:t xml:space="preserve">BDS045631</x:t>
        </x:is>
      </x:c>
      <x:c r="J15" t="inlineStr">
        <x:is>
          <x:t xml:space="preserve">label_fixed</x:t>
        </x:is>
      </x:c>
      <x:c r="K15" t="inlineStr">
        <x:is>
          <x:t xml:space="preserve">1 dropper QID</x:t>
        </x:is>
      </x:c>
      <x:c r="N15" t="inlineStr">
        <x:is>
          <x:t xml:space="preserve">100,000 U/mL</x:t>
        </x:is>
      </x:c>
      <x:c r="O15" t="inlineStr">
        <x:is>
          <x:t xml:space="preserve">1 dropper per dose</x:t>
        </x:is>
      </x:c>
      <x:c r="P15" t="inlineStr">
        <x:is>
          <x:t xml:space="preserve">QID after meals and HS</x:t>
        </x:is>
      </x:c>
      <x:c r="Q15" t="inlineStr">
        <x:is>
          <x:t xml:space="preserve">5–7 days</x:t>
        </x:is>
      </x:c>
      <x:c r="R15" t="inlineStr">
        <x:is>
          <x:t xml:space="preserve">1 bottle (12 mL)</x:t>
        </x:is>
      </x:c>
      <x:c r="S15" t="inlineStr">
        <x:is>
          <x:t xml:space="preserve">Keep in mouth before swallowing when possible</x:t>
        </x:is>
      </x:c>
      <x:c r="T15" t="inlineStr">
        <x:is>
          <x:t xml:space="preserve">Y</x:t>
        </x:is>
      </x:c>
    </x:row>
    <x:row r="16">
      <x:c r="A16" t="inlineStr">
        <x:is>
          <x:t xml:space="preserve">PDS0014</x:t>
        </x:is>
      </x:c>
      <x:c r="B16" t="inlineStr">
        <x:is>
          <x:t xml:space="preserve">viral_fever_peds_support</x:t>
        </x:is>
      </x:c>
      <x:c r="C16" t="inlineStr">
        <x:is>
          <x:t xml:space="preserve">RX1</x:t>
        </x:is>
      </x:c>
      <x:c r="H16" t="inlineStr">
        <x:is>
          <x:t xml:space="preserve">Tylenol Suspension [Paracetamol 160 mg./5 ml.]</x:t>
        </x:is>
      </x:c>
      <x:c r="I16" t="inlineStr">
        <x:is>
          <x:t xml:space="preserve">BDS003763</x:t>
        </x:is>
      </x:c>
      <x:c r="J16" t="inlineStr">
        <x:is>
          <x:t xml:space="preserve">label_fixed</x:t>
        </x:is>
      </x:c>
      <x:c r="K16" t="inlineStr">
        <x:is>
          <x:t xml:space="preserve">5 mL q6h PRN</x:t>
        </x:is>
      </x:c>
      <x:c r="N16" t="inlineStr">
        <x:is>
          <x:t xml:space="preserve">160 mg/5 mL</x:t>
        </x:is>
      </x:c>
      <x:c r="O16" t="inlineStr">
        <x:is>
          <x:t xml:space="preserve">5 mL per dose</x:t>
        </x:is>
      </x:c>
      <x:c r="P16" t="inlineStr">
        <x:is>
          <x:t xml:space="preserve">q6h PRN</x:t>
        </x:is>
      </x:c>
      <x:c r="Q16" t="inlineStr">
        <x:is>
          <x:t xml:space="preserve">3 days</x:t>
        </x:is>
      </x:c>
      <x:c r="R16" t="inlineStr">
        <x:is>
          <x:t xml:space="preserve">1 bottle (60 mL)</x:t>
        </x:is>
      </x:c>
      <x:c r="S16" t="inlineStr">
        <x:is>
          <x:t xml:space="preserve">Verify child weight; avoid duplicate paracetamol</x:t>
        </x:is>
      </x:c>
      <x:c r="T16" t="inlineStr">
        <x:is>
          <x:t xml:space="preserve">Y</x:t>
        </x:is>
      </x:c>
    </x:row>
    <x:row r="17">
      <x:c r="A17" t="inlineStr">
        <x:is>
          <x:t xml:space="preserve">PDS0015</x:t>
        </x:is>
      </x:c>
      <x:c r="B17" t="inlineStr">
        <x:is>
          <x:t xml:space="preserve">eye_irritation_peds</x:t>
        </x:is>
      </x:c>
      <x:c r="C17" t="inlineStr">
        <x:is>
          <x:t xml:space="preserve">RX2</x:t>
        </x:is>
      </x:c>
      <x:c r="H17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I17" t="inlineStr">
        <x:is>
          <x:t xml:space="preserve">BDS004035</x:t>
        </x:is>
      </x:c>
      <x:c r="J17" t="inlineStr">
        <x:is>
          <x:t xml:space="preserve">fixed</x:t>
        </x:is>
      </x:c>
      <x:c r="K17" t="inlineStr">
        <x:is>
          <x:t xml:space="preserve">1–2 drops PRN</x:t>
        </x:is>
      </x:c>
      <x:c r="N17" t="inlineStr">
        <x:is>
          <x:t xml:space="preserve">0.18% sodium hyaluronate</x:t>
        </x:is>
      </x:c>
      <x:c r="O17" t="inlineStr">
        <x:is>
          <x:t xml:space="preserve">1–2 drops per use</x:t>
        </x:is>
      </x:c>
      <x:c r="P17" t="inlineStr">
        <x:is>
          <x:t xml:space="preserve">PRN</x:t>
        </x:is>
      </x:c>
      <x:c r="Q17" t="inlineStr">
        <x:is>
          <x:t xml:space="preserve">3–5 days</x:t>
        </x:is>
      </x:c>
      <x:c r="R17" t="inlineStr">
        <x:is>
          <x:t xml:space="preserve">1 box (20 tubes)</x:t>
        </x:is>
      </x:c>
      <x:c r="S17" t="inlineStr">
        <x:is>
          <x:t xml:space="preserve">Supportive lubricant row</x:t>
        </x:is>
      </x:c>
      <x:c r="T17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  <x:col min="3" max="3" width="14" customWidth="1"/>
    <x:col min="4" max="4" width="35" customWidth="1"/>
    <x:col min="5" max="5" width="42" customWidth="1"/>
    <x:col min="6" max="6" width="42" customWidth="1"/>
    <x:col min="7" max="7" width="34" customWidth="1"/>
    <x:col min="8" max="8" width="42" customWidth="1"/>
    <x:col min="9" max="9" width="37" customWidth="1"/>
    <x:col min="10" max="10" width="18" customWidth="1"/>
    <x:col min="11" max="11" width="12" customWidth="1"/>
    <x:col min="12" max="12" width="17" customWidth="1"/>
    <x:col min="13" max="13" width="15" customWidth="1"/>
    <x:col min="14" max="14" width="42" customWidth="1"/>
    <x:col min="15" max="15" width="42" customWidth="1"/>
    <x:col min="16" max="16" width="42" customWidth="1"/>
    <x:col min="17" max="17" width="23" customWidth="1"/>
    <x:col min="18" max="18" width="42" customWidth="1"/>
    <x:col min="19" max="19" width="29" customWidth="1"/>
    <x:col min="20" max="20" width="42" customWidth="1"/>
    <x:col min="21" max="21" width="41" customWidth="1"/>
    <x:col min="22" max="22" width="22" customWidth="1"/>
    <x:col min="23" max="23" width="20" customWidth="1"/>
    <x:col min="24" max="24" width="17" customWidth="1"/>
    <x:col min="25" max="25" width="14" customWidth="1"/>
    <x:col min="26" max="26" width="15" customWidth="1"/>
    <x:col min="27" max="27" width="19" customWidth="1"/>
    <x:col min="28" max="28" width="15" customWidth="1"/>
    <x:col min="29" max="29" width="17" customWidth="1"/>
    <x:col min="30" max="30" width="16" customWidth="1"/>
    <x:col min="31" max="31" width="16" customWidth="1"/>
    <x:col min="32" max="32" width="18" customWidth="1"/>
    <x:col min="33" max="33" width="20" customWidth="1"/>
    <x:col min="34" max="34" width="42" customWidth="1"/>
    <x:col min="35" max="35" width="12" customWidth="1"/>
    <x:col min="36" max="36" width="14" customWidth="1"/>
  </x:cols>
  <x:sheetData>
    <x:row r="1" ht="24" customHeight="1">
      <x:c r="A1" s="3" t="inlineStr">
        <x:is>
          <x:t xml:space="preserve">Drug_Key</x:t>
        </x:is>
      </x:c>
      <x:c r="B1" s="3" t="inlineStr">
        <x:is>
          <x:t xml:space="preserve">BDS_Code</x:t>
        </x:is>
      </x:c>
      <x:c r="C1" s="3" t="inlineStr">
        <x:is>
          <x:t xml:space="preserve">Product_Code</x:t>
        </x:is>
      </x:c>
      <x:c r="D1" s="3" t="inlineStr">
        <x:is>
          <x:t xml:space="preserve">Product_Name</x:t>
        </x:is>
      </x:c>
      <x:c r="E1" s="3" t="inlineStr">
        <x:is>
          <x:t xml:space="preserve">Composition</x:t>
        </x:is>
      </x:c>
      <x:c r="F1" s="3" t="inlineStr">
        <x:is>
          <x:t xml:space="preserve">Display_Name</x:t>
        </x:is>
      </x:c>
      <x:c r="G1" s="3" t="inlineStr">
        <x:is>
          <x:t xml:space="preserve">Generic_Group</x:t>
        </x:is>
      </x:c>
      <x:c r="H1" s="3" t="inlineStr">
        <x:is>
          <x:t xml:space="preserve">Category</x:t>
        </x:is>
      </x:c>
      <x:c r="I1" s="3" t="inlineStr">
        <x:is>
          <x:t xml:space="preserve">Subcategory</x:t>
        </x:is>
      </x:c>
      <x:c r="J1" s="3" t="inlineStr">
        <x:is>
          <x:t xml:space="preserve">Dosage_Form</x:t>
        </x:is>
      </x:c>
      <x:c r="K1" s="3" t="inlineStr">
        <x:is>
          <x:t xml:space="preserve">Strength</x:t>
        </x:is>
      </x:c>
      <x:c r="L1" s="3" t="inlineStr">
        <x:is>
          <x:t xml:space="preserve">Pack_Size</x:t>
        </x:is>
      </x:c>
      <x:c r="M1" s="3" t="inlineStr">
        <x:is>
          <x:t xml:space="preserve">Sellable_Unit</x:t>
        </x:is>
      </x:c>
      <x:c r="N1" s="3" t="inlineStr">
        <x:is>
          <x:t xml:space="preserve">Instructions_TH</x:t>
        </x:is>
      </x:c>
      <x:c r="O1" s="3" t="inlineStr">
        <x:is>
          <x:t xml:space="preserve">Instructions_EN</x:t>
        </x:is>
      </x:c>
      <x:c r="P1" s="3" t="inlineStr">
        <x:is>
          <x:t xml:space="preserve">Usual_Adult_Order_Line</x:t>
        </x:is>
      </x:c>
      <x:c r="Q1" s="3" t="inlineStr">
        <x:is>
          <x:t xml:space="preserve">Usual_Peds_Order_Line</x:t>
        </x:is>
      </x:c>
      <x:c r="R1" s="3" t="inlineStr">
        <x:is>
          <x:t xml:space="preserve">Quick_When_to_Choose</x:t>
        </x:is>
      </x:c>
      <x:c r="S1" s="3" t="inlineStr">
        <x:is>
          <x:t xml:space="preserve">Quick_SE</x:t>
        </x:is>
      </x:c>
      <x:c r="T1" s="3" t="inlineStr">
        <x:is>
          <x:t xml:space="preserve">Quick_Caution</x:t>
        </x:is>
      </x:c>
      <x:c r="U1" s="3" t="inlineStr">
        <x:is>
          <x:t xml:space="preserve">Notes_Limits</x:t>
        </x:is>
      </x:c>
      <x:c r="V1" s="3" t="inlineStr">
        <x:is>
          <x:t xml:space="preserve">Doctor_Pick_Priority</x:t>
        </x:is>
      </x:c>
      <x:c r="W1" s="3" t="inlineStr">
        <x:is>
          <x:t xml:space="preserve">Common_Doctor_Pick</x:t>
        </x:is>
      </x:c>
      <x:c r="X1" s="3" t="inlineStr">
        <x:is>
          <x:t xml:space="preserve">Antibiotic_Flag</x:t>
        </x:is>
      </x:c>
      <x:c r="Y1" s="3" t="inlineStr">
        <x:is>
          <x:t xml:space="preserve">Steroid_Flag</x:t>
        </x:is>
      </x:c>
      <x:c r="Z1" s="3" t="inlineStr">
        <x:is>
          <x:t xml:space="preserve">Sedating_Flag</x:t>
        </x:is>
      </x:c>
      <x:c r="AA1" s="3" t="inlineStr">
        <x:is>
          <x:t xml:space="preserve">Pregnancy_Caution</x:t>
        </x:is>
      </x:c>
      <x:c r="AB1" s="3" t="inlineStr">
        <x:is>
          <x:t xml:space="preserve">Renal_Caution</x:t>
        </x:is>
      </x:c>
      <x:c r="AC1" s="3" t="inlineStr">
        <x:is>
          <x:t xml:space="preserve">Hepatic_Caution</x:t>
        </x:is>
      </x:c>
      <x:c r="AD1" s="3" t="inlineStr">
        <x:is>
          <x:t xml:space="preserve">Price_Pack_THB</x:t>
        </x:is>
      </x:c>
      <x:c r="AE1" s="3" t="inlineStr">
        <x:is>
          <x:t xml:space="preserve">Price_Unit_THB</x:t>
        </x:is>
      </x:c>
      <x:c r="AF1" s="3" t="inlineStr">
        <x:is>
          <x:t xml:space="preserve">Price_Source_URL</x:t>
        </x:is>
      </x:c>
      <x:c r="AG1" s="3" t="inlineStr">
        <x:is>
          <x:t xml:space="preserve">Price_Checked_Date</x:t>
        </x:is>
      </x:c>
      <x:c r="AH1" s="3" t="inlineStr">
        <x:is>
          <x:t xml:space="preserve">Price_Notes</x:t>
        </x:is>
      </x:c>
      <x:c r="AI1" s="3" t="inlineStr">
        <x:is>
          <x:t xml:space="preserve">Enabled</x:t>
        </x:is>
      </x:c>
      <x:c r="AJ1" s="3" t="inlineStr">
        <x:is>
          <x:t xml:space="preserve">Last_Updated</x:t>
        </x:is>
      </x:c>
    </x:row>
    <x:row r="2" ht="22" customHeight="1">
      <x:c r="A2" t="inlineStr">
        <x:is>
          <x:t xml:space="preserve">DRUG_BDS003762</x:t>
        </x:is>
      </x:c>
      <x:c r="B2" t="inlineStr">
        <x:is>
          <x:t xml:space="preserve">BDS003762</x:t>
        </x:is>
      </x:c>
      <x:c r="C2" t="n">
        <x:v>3762</x:v>
      </x:c>
      <x:c r="D2" t="inlineStr">
        <x:is>
          <x:t xml:space="preserve">Tylenol 500 mg strip 10s</x:t>
        </x:is>
      </x:c>
      <x:c r="E2" t="inlineStr">
        <x:is>
          <x:t xml:space="preserve">Paracetamol 500 mg.</x:t>
        </x:is>
      </x:c>
      <x:c r="F2" t="inlineStr">
        <x:is>
          <x:t xml:space="preserve">Tylenol 500 mg strip 10s [Paracetamol 500 mg.]</x:t>
        </x:is>
      </x:c>
      <x:c r="G2" t="inlineStr">
        <x:is>
          <x:t xml:space="preserve">paracetamol</x:t>
        </x:is>
      </x:c>
      <x:c r="H2" t="inlineStr">
        <x:is>
          <x:t xml:space="preserve">General analgesics/antipyretics</x:t>
        </x:is>
      </x:c>
      <x:c r="I2" t="inlineStr">
        <x:is>
          <x:t xml:space="preserve">ยาแก้ปวด, ลดไข้ (OTC)</x:t>
        </x:is>
      </x:c>
      <x:c r="J2" t="inlineStr">
        <x:is>
          <x:t xml:space="preserve">tablet</x:t>
        </x:is>
      </x:c>
      <x:c r="K2" t="inlineStr">
        <x:is>
          <x:t xml:space="preserve">500 mg</x:t>
        </x:is>
      </x:c>
      <x:c r="L2" t="inlineStr">
        <x:is>
          <x:t xml:space="preserve">แผง 10 เม็ด</x:t>
        </x:is>
      </x:c>
      <x:c r="M2" t="inlineStr">
        <x:is>
          <x:t xml:space="preserve">strip</x:t>
        </x:is>
      </x:c>
      <x:c r="N2" t="inlineStr">
        <x:is>
          <x:t xml:space="preserve">รับประทานครั้งละ 1-2  เม็ด ทุก 4-6 ชั่วโมง</x:t>
        </x:is>
      </x:c>
      <x:c r="O2" t="inlineStr">
        <x:is>
          <x:t xml:space="preserve">Take 1-2 tablets every 4-6 hours</x:t>
        </x:is>
      </x:c>
      <x:c r="P2" t="inlineStr">
        <x:is>
          <x:t xml:space="preserve">1–2 tabs PO q4–6h PRN fever/pain</x:t>
        </x:is>
      </x:c>
      <x:c r="R2" t="inlineStr">
        <x:is>
          <x:t xml:space="preserve">Pain/fever; first-line analgesic/antipyretic.</x:t>
        </x:is>
      </x:c>
      <x:c r="S2" t="inlineStr">
        <x:is>
          <x:t xml:space="preserve">nausea, rash</x:t>
        </x:is>
      </x:c>
      <x:c r="T2" t="inlineStr">
        <x:is>
          <x:t xml:space="preserve">avoid duplicate paracetamol; caution liver disease</x:t>
        </x:is>
      </x:c>
      <x:c r="V2" t="n">
        <x:v>1</x:v>
      </x:c>
      <x:c r="W2" t="inlineStr">
        <x:is>
          <x:t xml:space="preserve">Y</x:t>
        </x:is>
      </x:c>
      <x:c r="X2" t="inlineStr">
        <x:is>
          <x:t xml:space="preserve">N</x:t>
        </x:is>
      </x:c>
      <x:c r="Y2" t="inlineStr">
        <x:is>
          <x:t xml:space="preserve">N</x:t>
        </x:is>
      </x:c>
      <x:c r="Z2" t="inlineStr">
        <x:is>
          <x:t xml:space="preserve">N</x:t>
        </x:is>
      </x:c>
      <x:c r="AD2" t="n">
        <x:v>36</x:v>
      </x:c>
      <x:c r="AE2" t="n">
        <x:v>3.6</x:v>
      </x:c>
      <x:c r="AF2" t="inlineStr">
        <x:is>
          <x:t xml:space="preserve">USER</x:t>
        </x:is>
      </x:c>
      <x:c r="AG2" t="inlineStr">
        <x:is>
          <x:t xml:space="preserve">2026-02-07</x:t>
        </x:is>
      </x:c>
      <x:c r="AH2" t="inlineStr">
        <x:is>
          <x:t xml:space="preserve">User provided price (online). Unit price per tablet (10 tabs strip).</x:t>
        </x:is>
      </x:c>
      <x:c r="AI2" t="inlineStr">
        <x:is>
          <x:t xml:space="preserve">Y</x:t>
        </x:is>
      </x:c>
      <x:c r="AJ2" t="inlineStr">
        <x:is>
          <x:t xml:space="preserve">2026-03-08</x:t>
        </x:is>
      </x:c>
    </x:row>
    <x:row r="3" ht="22" customHeight="1">
      <x:c r="A3" t="inlineStr">
        <x:is>
          <x:t xml:space="preserve">DRUG_BDS004213</x:t>
        </x:is>
      </x:c>
      <x:c r="B3" t="inlineStr">
        <x:is>
          <x:t xml:space="preserve">BDS004213</x:t>
        </x:is>
      </x:c>
      <x:c r="C3" t="n">
        <x:v>4213</x:v>
      </x:c>
      <x:c r="D3" t="inlineStr">
        <x:is>
          <x:t xml:space="preserve">Zyrtec</x:t>
        </x:is>
      </x:c>
      <x:c r="E3" t="inlineStr">
        <x:is>
          <x:t xml:space="preserve">Cetirizine dihydrochloride 10 mg.</x:t>
        </x:is>
      </x:c>
      <x:c r="F3" t="inlineStr">
        <x:is>
          <x:t xml:space="preserve">Zyrtec [Cetirizine dihydrochloride 10 mg.]</x:t>
        </x:is>
      </x:c>
      <x:c r="G3" t="inlineStr">
        <x:is>
          <x:t xml:space="preserve">cetirizine</x:t>
        </x:is>
      </x:c>
      <x:c r="I3" t="inlineStr">
        <x:is>
          <x:t xml:space="preserve">ยาแก้แพ้, ลดน้ำมูก (D)</x:t>
        </x:is>
      </x:c>
      <x:c r="J3" t="inlineStr">
        <x:is>
          <x:t xml:space="preserve">tablet</x:t>
        </x:is>
      </x:c>
      <x:c r="K3" t="inlineStr">
        <x:is>
          <x:t xml:space="preserve">10 mg</x:t>
        </x:is>
      </x:c>
      <x:c r="L3" t="inlineStr">
        <x:is>
          <x:t xml:space="preserve">กล่อง 10 เม็ด</x:t>
        </x:is>
      </x:c>
      <x:c r="M3" t="inlineStr">
        <x:is>
          <x:t xml:space="preserve">box</x:t>
        </x:is>
      </x:c>
      <x:c r="N3" t="inlineStr">
        <x:is>
          <x:t xml:space="preserve">รับประทานครั้งละ 1 เม็ด วันละ 1 ครั้ง</x:t>
        </x:is>
      </x:c>
      <x:c r="P3" t="inlineStr">
        <x:is>
          <x:t xml:space="preserve">1 tab PO OD</x:t>
        </x:is>
      </x:c>
      <x:c r="R3" t="inlineStr">
        <x:is>
          <x:t xml:space="preserve">Runny nose/sneezing/allergy; avoid sedating if daytime.</x:t>
        </x:is>
      </x:c>
      <x:c r="S3" t="inlineStr">
        <x:is>
          <x:t xml:space="preserve">drowsy, dry mouth</x:t>
        </x:is>
      </x:c>
      <x:c r="T3" t="inlineStr">
        <x:is>
          <x:t xml:space="preserve">caution driving if sleepy</x:t>
        </x:is>
      </x:c>
      <x:c r="V3" t="n">
        <x:v>16</x:v>
      </x:c>
      <x:c r="W3" t="inlineStr">
        <x:is>
          <x:t xml:space="preserve">Y</x:t>
        </x:is>
      </x:c>
      <x:c r="X3" t="inlineStr">
        <x:is>
          <x:t xml:space="preserve">N</x:t>
        </x:is>
      </x:c>
      <x:c r="Y3" t="inlineStr">
        <x:is>
          <x:t xml:space="preserve">N</x:t>
        </x:is>
      </x:c>
      <x:c r="Z3" t="inlineStr">
        <x:is>
          <x:t xml:space="preserve">Y</x:t>
        </x:is>
      </x:c>
      <x:c r="AD3" t="n">
        <x:v>216</x:v>
      </x:c>
      <x:c r="AE3" t="n">
        <x:v>21.6</x:v>
      </x:c>
      <x:c r="AF3" t="inlineStr">
        <x:is>
          <x:t xml:space="preserve">USER</x:t>
        </x:is>
      </x:c>
      <x:c r="AG3" t="inlineStr">
        <x:is>
          <x:t xml:space="preserve">2026-02-07</x:t>
        </x:is>
      </x:c>
      <x:c r="AH3" t="inlineStr">
        <x:is>
          <x:t xml:space="preserve">User provided price (online). Unit price is per tablet (10-tab box).</x:t>
        </x:is>
      </x:c>
      <x:c r="AI3" t="inlineStr">
        <x:is>
          <x:t xml:space="preserve">Y</x:t>
        </x:is>
      </x:c>
      <x:c r="AJ3" t="inlineStr">
        <x:is>
          <x:t xml:space="preserve">2026-03-08</x:t>
        </x:is>
      </x:c>
    </x:row>
    <x:row r="4" ht="22" customHeight="1">
      <x:c r="A4" t="inlineStr">
        <x:is>
          <x:t xml:space="preserve">DRUG_BDS003747</x:t>
        </x:is>
      </x:c>
      <x:c r="B4" t="inlineStr">
        <x:is>
          <x:t xml:space="preserve">BDS003747</x:t>
        </x:is>
      </x:c>
      <x:c r="C4" t="n">
        <x:v>3747</x:v>
      </x:c>
      <x:c r="D4" t="inlineStr">
        <x:is>
          <x:t xml:space="preserve">Telfast 180 mg</x:t>
        </x:is>
      </x:c>
      <x:c r="E4" t="inlineStr">
        <x:is>
          <x:t xml:space="preserve">Fexofenadine HCl 180 mg.</x:t>
        </x:is>
      </x:c>
      <x:c r="F4" t="inlineStr">
        <x:is>
          <x:t xml:space="preserve">Telfast 180 mg [Fexofenadine HCl 180 mg.]</x:t>
        </x:is>
      </x:c>
      <x:c r="G4" t="inlineStr">
        <x:is>
          <x:t xml:space="preserve">fexofenadine</x:t>
        </x:is>
      </x:c>
      <x:c r="I4" t="inlineStr">
        <x:is>
          <x:t xml:space="preserve">ยาแก้แพ้, ลดน้ำมูก (D)</x:t>
        </x:is>
      </x:c>
      <x:c r="J4" t="inlineStr">
        <x:is>
          <x:t xml:space="preserve">tablet</x:t>
        </x:is>
      </x:c>
      <x:c r="K4" t="inlineStr">
        <x:is>
          <x:t xml:space="preserve">180 mg</x:t>
        </x:is>
      </x:c>
      <x:c r="L4" t="inlineStr">
        <x:is>
          <x:t xml:space="preserve">กล่อง 10 เม็ด</x:t>
        </x:is>
      </x:c>
      <x:c r="M4" t="inlineStr">
        <x:is>
          <x:t xml:space="preserve">box</x:t>
        </x:is>
      </x:c>
      <x:c r="N4" t="inlineStr">
        <x:is>
          <x:t xml:space="preserve">รับประทานครั้งละ 1 เม็ด วันละ 1 ครั้ง </x:t>
        </x:is>
      </x:c>
      <x:c r="P4" t="inlineStr">
        <x:is>
          <x:t xml:space="preserve">1 tab PO OD</x:t>
        </x:is>
      </x:c>
      <x:c r="R4" t="inlineStr">
        <x:is>
          <x:t xml:space="preserve">Runny nose/sneezing/allergy; avoid sedating if daytime.</x:t>
        </x:is>
      </x:c>
      <x:c r="S4" t="inlineStr">
        <x:is>
          <x:t xml:space="preserve">headache, dry mouth</x:t>
        </x:is>
      </x:c>
      <x:c r="T4" t="inlineStr">
        <x:is>
          <x:t xml:space="preserve">avoid taking with fruit juice close to dose</x:t>
        </x:is>
      </x:c>
      <x:c r="V4" t="n">
        <x:v>17</x:v>
      </x:c>
      <x:c r="W4" t="inlineStr">
        <x:is>
          <x:t xml:space="preserve">Y</x:t>
        </x:is>
      </x:c>
      <x:c r="X4" t="inlineStr">
        <x:is>
          <x:t xml:space="preserve">N</x:t>
        </x:is>
      </x:c>
      <x:c r="Y4" t="inlineStr">
        <x:is>
          <x:t xml:space="preserve">N</x:t>
        </x:is>
      </x:c>
      <x:c r="Z4" t="inlineStr">
        <x:is>
          <x:t xml:space="preserve">N</x:t>
        </x:is>
      </x:c>
      <x:c r="AD4" t="n">
        <x:v>500</x:v>
      </x:c>
      <x:c r="AE4" t="n">
        <x:v>50</x:v>
      </x:c>
      <x:c r="AF4" t="inlineStr">
        <x:is>
          <x:t xml:space="preserve">USER</x:t>
        </x:is>
      </x:c>
      <x:c r="AG4" t="inlineStr">
        <x:is>
          <x:t xml:space="preserve">2026-02-07</x:t>
        </x:is>
      </x:c>
      <x:c r="AH4" t="inlineStr">
        <x:is>
          <x:t xml:space="preserve">User provided price (online). Unit price per tablet (10 tabs pack).</x:t>
        </x:is>
      </x:c>
      <x:c r="AI4" t="inlineStr">
        <x:is>
          <x:t xml:space="preserve">Y</x:t>
        </x:is>
      </x:c>
      <x:c r="AJ4" t="inlineStr">
        <x:is>
          <x:t xml:space="preserve">2026-03-08</x:t>
        </x:is>
      </x:c>
    </x:row>
    <x:row r="5" ht="22" customHeight="1">
      <x:c r="A5" t="inlineStr">
        <x:is>
          <x:t xml:space="preserve">DRUG_BDS045630</x:t>
        </x:is>
      </x:c>
      <x:c r="B5" t="inlineStr">
        <x:is>
          <x:t xml:space="preserve">BDS045630</x:t>
        </x:is>
      </x:c>
      <x:c r="C5" t="n">
        <x:v>45630</x:v>
      </x:c>
      <x:c r="D5" t="inlineStr">
        <x:is>
          <x:t xml:space="preserve">Nasotapp</x:t>
        </x:is>
      </x:c>
      <x:c r="E5" t="inlineStr">
        <x:is>
          <x:t xml:space="preserve">Brompheniramine Maleate 4 mg.+Phenylephrine HCl 10 mg.</x:t>
        </x:is>
      </x:c>
      <x:c r="F5" t="inlineStr">
        <x:is>
          <x:t xml:space="preserve">Nasotapp [Brompheniramine Maleate 4 mg.+Phenylephrine HCl 10 mg.]</x:t>
        </x:is>
      </x:c>
      <x:c r="G5" t="inlineStr">
        <x:is>
          <x:t xml:space="preserve">brompheniramine+phenylephrine</x:t>
        </x:is>
      </x:c>
      <x:c r="I5" t="inlineStr">
        <x:is>
          <x:t xml:space="preserve">ยาแก้แพ้, ลดน้ำมูก (D)</x:t>
        </x:is>
      </x:c>
      <x:c r="J5" t="inlineStr">
        <x:is>
          <x:t xml:space="preserve">tablet</x:t>
        </x:is>
      </x:c>
      <x:c r="K5" t="inlineStr">
        <x:is>
          <x:t xml:space="preserve">4 mg</x:t>
        </x:is>
      </x:c>
      <x:c r="L5" t="inlineStr">
        <x:is>
          <x:t xml:space="preserve">แผง 10 เม็ด</x:t>
        </x:is>
      </x:c>
      <x:c r="M5" t="inlineStr">
        <x:is>
          <x:t xml:space="preserve">strip</x:t>
        </x:is>
      </x:c>
      <x:c r="N5" t="inlineStr">
        <x:is>
          <x:t xml:space="preserve">ผู้ใหญ่รับประทานครั้งละ 1 เม็ด ทุก 4-6 ชั่วโมง</x:t>
        </x:is>
      </x:c>
      <x:c r="P5" t="inlineStr">
        <x:is>
          <x:t xml:space="preserve">1 tab PO q4–6h</x:t>
        </x:is>
      </x:c>
      <x:c r="R5" t="inlineStr">
        <x:is>
          <x:t xml:space="preserve">Runny nose/sneezing/allergy; avoid sedating if daytime.</x:t>
        </x:is>
      </x:c>
      <x:c r="S5" t="inlineStr">
        <x:is>
          <x:t xml:space="preserve">drowsy, palpitation</x:t>
        </x:is>
      </x:c>
      <x:c r="T5" t="inlineStr">
        <x:is>
          <x:t xml:space="preserve">caution HTN; may cause sleepiness</x:t>
        </x:is>
      </x:c>
      <x:c r="V5" t="n">
        <x:v>21</x:v>
      </x:c>
      <x:c r="W5" t="inlineStr">
        <x:is>
          <x:t xml:space="preserve">Y</x:t>
        </x:is>
      </x:c>
      <x:c r="X5" t="inlineStr">
        <x:is>
          <x:t xml:space="preserve">N</x:t>
        </x:is>
      </x:c>
      <x:c r="Y5" t="inlineStr">
        <x:is>
          <x:t xml:space="preserve">N</x:t>
        </x:is>
      </x:c>
      <x:c r="Z5" t="inlineStr">
        <x:is>
          <x:t xml:space="preserve">Y</x:t>
        </x:is>
      </x:c>
      <x:c r="AD5" t="n">
        <x:v>116</x:v>
      </x:c>
      <x:c r="AE5" t="n">
        <x:v>11.6</x:v>
      </x:c>
      <x:c r="AF5" t="inlineStr">
        <x:is>
          <x:t xml:space="preserve">USER</x:t>
        </x:is>
      </x:c>
      <x:c r="AG5" t="inlineStr">
        <x:is>
          <x:t xml:space="preserve">2026-02-07</x:t>
        </x:is>
      </x:c>
      <x:c r="AH5" t="inlineStr">
        <x:is>
          <x:t xml:space="preserve">User provided price (Nasotapp 10 tabs).</x:t>
        </x:is>
      </x:c>
      <x:c r="AI5" t="inlineStr">
        <x:is>
          <x:t xml:space="preserve">Y</x:t>
        </x:is>
      </x:c>
      <x:c r="AJ5" t="inlineStr">
        <x:is>
          <x:t xml:space="preserve">2026-03-08</x:t>
        </x:is>
      </x:c>
    </x:row>
    <x:row r="6" ht="22" customHeight="1">
      <x:c r="A6" t="inlineStr">
        <x:is>
          <x:t xml:space="preserve">DRUG_BDS002805</x:t>
        </x:is>
      </x:c>
      <x:c r="B6" t="inlineStr">
        <x:is>
          <x:t xml:space="preserve">BDS002805</x:t>
        </x:is>
      </x:c>
      <x:c r="C6" t="n">
        <x:v>2805</x:v>
      </x:c>
      <x:c r="D6" t="inlineStr">
        <x:is>
          <x:t xml:space="preserve">Nasonex 60 doses</x:t>
        </x:is>
      </x:c>
      <x:c r="E6" t="inlineStr">
        <x:is>
          <x:t xml:space="preserve">Mometasone Furoate Monohydrate (eq. to Mometasone Furoate 50 mcg/dose)+Preservative (Benzalkonium Chloride 0.2 mg/g)</x:t>
        </x:is>
      </x:c>
      <x:c r="F6" t="inlineStr">
        <x:is>
          <x:t xml:space="preserve">Nasonex 60 doses [Mometasone Furoate Monohydrate (eq. to Mometasone Furoate 50 mcg/dose)+Preservative (Benzalkonium Chloride 0.2 mg/g)]</x:t>
        </x:is>
      </x:c>
      <x:c r="G6" t="inlineStr">
        <x:is>
          <x:t xml:space="preserve">mometasone nasal spray</x:t>
        </x:is>
      </x:c>
      <x:c r="I6" t="inlineStr">
        <x:is>
          <x:t xml:space="preserve">ยาพ่นและยาหยอดจมูก (D)</x:t>
        </x:is>
      </x:c>
      <x:c r="J6" t="inlineStr">
        <x:is>
          <x:t xml:space="preserve">bottle</x:t>
        </x:is>
      </x:c>
      <x:c r="K6" t="inlineStr">
        <x:is>
          <x:t xml:space="preserve">50 mcg</x:t>
        </x:is>
      </x:c>
      <x:c r="L6" t="inlineStr">
        <x:is>
          <x:t xml:space="preserve">ขวด 60 doses</x:t>
        </x:is>
      </x:c>
      <x:c r="M6" t="inlineStr">
        <x:is>
          <x:t xml:space="preserve">bottle</x:t>
        </x:is>
      </x:c>
      <x:c r="N6" t="inlineStr">
        <x:is>
          <x:t xml:space="preserve">ผู้ใหญ่พ่นเข้าจมูกข้างละ 2-4 สเปรย์ วันละ 1-2 ครั้ง หรือตามแพทย์สั่ง </x:t>
        </x:is>
      </x:c>
      <x:c r="P6" t="inlineStr">
        <x:is>
          <x:t xml:space="preserve">2 sprays/nostril OD</x:t>
        </x:is>
      </x:c>
      <x:c r="R6" t="inlineStr">
        <x:is>
          <x:t xml:space="preserve">Allergic rhinitis/nasal inflammation; daily use; slower onset.</x:t>
        </x:is>
      </x:c>
      <x:c r="S6" t="inlineStr">
        <x:is>
          <x:t xml:space="preserve">nasal dryness, epistaxis</x:t>
        </x:is>
      </x:c>
      <x:c r="T6" t="inlineStr">
        <x:is>
          <x:t xml:space="preserve">daily use; slower onset over days</x:t>
        </x:is>
      </x:c>
      <x:c r="V6" t="n">
        <x:v>24</x:v>
      </x:c>
      <x:c r="W6" t="inlineStr">
        <x:is>
          <x:t xml:space="preserve">Y</x:t>
        </x:is>
      </x:c>
      <x:c r="X6" t="inlineStr">
        <x:is>
          <x:t xml:space="preserve">N</x:t>
        </x:is>
      </x:c>
      <x:c r="Y6" t="inlineStr">
        <x:is>
          <x:t xml:space="preserve">Y</x:t>
        </x:is>
      </x:c>
      <x:c r="Z6" t="inlineStr">
        <x:is>
          <x:t xml:space="preserve">N</x:t>
        </x:is>
      </x:c>
      <x:c r="AI6" t="inlineStr">
        <x:is>
          <x:t xml:space="preserve">Y</x:t>
        </x:is>
      </x:c>
      <x:c r="AJ6" t="inlineStr">
        <x:is>
          <x:t xml:space="preserve">2026-03-08</x:t>
        </x:is>
      </x:c>
    </x:row>
    <x:row r="7" ht="22" customHeight="1">
      <x:c r="A7" t="inlineStr">
        <x:is>
          <x:t xml:space="preserve">DRUG_BDS002901</x:t>
        </x:is>
      </x:c>
      <x:c r="B7" t="inlineStr">
        <x:is>
          <x:t xml:space="preserve">BDS002901</x:t>
        </x:is>
      </x:c>
      <x:c r="C7" t="n">
        <x:v>2901</x:v>
      </x:c>
      <x:c r="D7" t="inlineStr">
        <x:is>
          <x:t xml:space="preserve">Nac Long</x:t>
        </x:is>
      </x:c>
      <x:c r="E7" t="inlineStr">
        <x:is>
          <x:t xml:space="preserve">Acetylcysteine 600 mg.</x:t>
        </x:is>
      </x:c>
      <x:c r="F7" t="inlineStr">
        <x:is>
          <x:t xml:space="preserve">Nac Long [Acetylcysteine 600 mg.]</x:t>
        </x:is>
      </x:c>
      <x:c r="G7" t="inlineStr">
        <x:is>
          <x:t xml:space="preserve">acetylcysteine</x:t>
        </x:is>
      </x:c>
      <x:c r="H7" t="inlineStr">
        <x:is>
          <x:t xml:space="preserve">Cough medicines / mucolytics / expectorants</x:t>
        </x:is>
      </x:c>
      <x:c r="I7" t="inlineStr">
        <x:is>
          <x:t xml:space="preserve">ยาละลายเสมหะ</x:t>
        </x:is>
      </x:c>
      <x:c r="J7" t="inlineStr">
        <x:is>
          <x:t xml:space="preserve">tube</x:t>
        </x:is>
      </x:c>
      <x:c r="K7" t="inlineStr">
        <x:is>
          <x:t xml:space="preserve">600 mg</x:t>
        </x:is>
      </x:c>
      <x:c r="L7" t="inlineStr">
        <x:is>
          <x:t xml:space="preserve">หลอด 10 เม็ด</x:t>
        </x:is>
      </x:c>
      <x:c r="M7" t="inlineStr">
        <x:is>
          <x:t xml:space="preserve">tube</x:t>
        </x:is>
      </x:c>
      <x:c r="N7" t="inlineStr">
        <x:is>
          <x:t xml:space="preserve"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x:t>
        </x:is>
      </x:c>
      <x:c r="O7" t="inlineStr">
        <x:is>
          <x:t xml:space="preserve">orally (dissolve the drug in half a glass of water), Take 2-4 tablets once a day before bedtime. 1 time a day before dinner</x:t>
        </x:is>
      </x:c>
      <x:c r="P7" t="inlineStr">
        <x:is>
          <x:t xml:space="preserve">1 eff tab PO OD</x:t>
        </x:is>
      </x:c>
      <x:c r="R7" t="inlineStr">
        <x:is>
          <x:t xml:space="preserve">Productive cough/sputum; help expectoration.</x:t>
        </x:is>
      </x:c>
      <x:c r="S7" t="inlineStr">
        <x:is>
          <x:t xml:space="preserve">GI upset</x:t>
        </x:is>
      </x:c>
      <x:c r="T7" t="inlineStr">
        <x:is>
          <x:t xml:space="preserve">encourage hydration</x:t>
        </x:is>
      </x:c>
      <x:c r="V7" t="n">
        <x:v>11</x:v>
      </x:c>
      <x:c r="W7" t="inlineStr">
        <x:is>
          <x:t xml:space="preserve">Y</x:t>
        </x:is>
      </x:c>
      <x:c r="X7" t="inlineStr">
        <x:is>
          <x:t xml:space="preserve">N</x:t>
        </x:is>
      </x:c>
      <x:c r="Y7" t="inlineStr">
        <x:is>
          <x:t xml:space="preserve">N</x:t>
        </x:is>
      </x:c>
      <x:c r="Z7" t="inlineStr">
        <x:is>
          <x:t xml:space="preserve">N</x:t>
        </x:is>
      </x:c>
      <x:c r="AD7" t="n">
        <x:v>270</x:v>
      </x:c>
      <x:c r="AE7" t="n">
        <x:v>27</x:v>
      </x:c>
      <x:c r="AF7" t="inlineStr">
        <x:is>
          <x:t xml:space="preserve">USER</x:t>
        </x:is>
      </x:c>
      <x:c r="AG7" t="inlineStr">
        <x:is>
          <x:t xml:space="preserve">2026-02-07</x:t>
        </x:is>
      </x:c>
      <x:c r="AH7" t="inlineStr">
        <x:is>
          <x:t xml:space="preserve">User provided price (online). Unit price is per tablet (10-tab tube).</x:t>
        </x:is>
      </x:c>
      <x:c r="AI7" t="inlineStr">
        <x:is>
          <x:t xml:space="preserve">Y</x:t>
        </x:is>
      </x:c>
      <x:c r="AJ7" t="inlineStr">
        <x:is>
          <x:t xml:space="preserve">2026-03-08</x:t>
        </x:is>
      </x:c>
    </x:row>
    <x:row r="8" ht="22" customHeight="1">
      <x:c r="A8" t="inlineStr">
        <x:is>
          <x:t xml:space="preserve">DRUG_BDS002655</x:t>
        </x:is>
      </x:c>
      <x:c r="B8" t="inlineStr">
        <x:is>
          <x:t xml:space="preserve">BDS002655</x:t>
        </x:is>
      </x:c>
      <x:c r="C8" t="n">
        <x:v>2655</x:v>
      </x:c>
      <x:c r="D8" t="inlineStr">
        <x:is>
          <x:t xml:space="preserve">Mucolid</x:t>
        </x:is>
      </x:c>
      <x:c r="E8" t="inlineStr">
        <x:is>
          <x:t xml:space="preserve">Ambroxol HCl 30 mg.</x:t>
        </x:is>
      </x:c>
      <x:c r="F8" t="inlineStr">
        <x:is>
          <x:t xml:space="preserve">Mucolid [Ambroxol HCl 30 mg.]</x:t>
        </x:is>
      </x:c>
      <x:c r="G8" t="inlineStr">
        <x:is>
          <x:t xml:space="preserve">ambroxol</x:t>
        </x:is>
      </x:c>
      <x:c r="H8" t="inlineStr">
        <x:is>
          <x:t xml:space="preserve">Cough medicines / mucolytics / expectorants</x:t>
        </x:is>
      </x:c>
      <x:c r="I8" t="inlineStr">
        <x:is>
          <x:t xml:space="preserve">ยาละลายเสมหะ</x:t>
        </x:is>
      </x:c>
      <x:c r="J8" t="inlineStr">
        <x:is>
          <x:t xml:space="preserve">tablet</x:t>
        </x:is>
      </x:c>
      <x:c r="K8" t="inlineStr">
        <x:is>
          <x:t xml:space="preserve">30 mg</x:t>
        </x:is>
      </x:c>
      <x:c r="L8" t="inlineStr">
        <x:is>
          <x:t xml:space="preserve">แผง 10 เม็ด</x:t>
        </x:is>
      </x:c>
      <x:c r="M8" t="inlineStr">
        <x:is>
          <x:t xml:space="preserve">strip</x:t>
        </x:is>
      </x:c>
      <x:c r="N8" t="inlineStr">
        <x:is>
          <x:t xml:space="preserve">รับประทานครั้งละ 1 เม็ด วันละ 3-4 ครั้ง </x:t>
        </x:is>
      </x:c>
      <x:c r="P8" t="inlineStr">
        <x:is>
          <x:t xml:space="preserve">1 tab PO TID–QID</x:t>
        </x:is>
      </x:c>
      <x:c r="R8" t="inlineStr">
        <x:is>
          <x:t xml:space="preserve">Productive cough/sputum; help expectoration.</x:t>
        </x:is>
      </x:c>
      <x:c r="S8" t="inlineStr">
        <x:is>
          <x:t xml:space="preserve">GI upset</x:t>
        </x:is>
      </x:c>
      <x:c r="T8" t="inlineStr">
        <x:is>
          <x:t xml:space="preserve">encourage hydration</x:t>
        </x:is>
      </x:c>
      <x:c r="V8" t="n">
        <x:v>13</x:v>
      </x:c>
      <x:c r="W8" t="inlineStr">
        <x:is>
          <x:t xml:space="preserve">Y</x:t>
        </x:is>
      </x:c>
      <x:c r="X8" t="inlineStr">
        <x:is>
          <x:t xml:space="preserve">N</x:t>
        </x:is>
      </x:c>
      <x:c r="Y8" t="inlineStr">
        <x:is>
          <x:t xml:space="preserve">N</x:t>
        </x:is>
      </x:c>
      <x:c r="Z8" t="inlineStr">
        <x:is>
          <x:t xml:space="preserve">N</x:t>
        </x:is>
      </x:c>
      <x:c r="AD8" t="n">
        <x:v>90</x:v>
      </x:c>
      <x:c r="AE8" t="n">
        <x:v>9</x:v>
      </x:c>
      <x:c r="AF8" t="inlineStr">
        <x:is>
          <x:t xml:space="preserve">USER</x:t>
        </x:is>
      </x:c>
      <x:c r="AG8" t="inlineStr">
        <x:is>
          <x:t xml:space="preserve">2026-02-07</x:t>
        </x:is>
      </x:c>
      <x:c r="AH8" t="inlineStr">
        <x:is>
          <x:t xml:space="preserve">User provided price (Mucolid 10 tabs).</x:t>
        </x:is>
      </x:c>
      <x:c r="AI8" t="inlineStr">
        <x:is>
          <x:t xml:space="preserve">Y</x:t>
        </x:is>
      </x:c>
      <x:c r="AJ8" t="inlineStr">
        <x:is>
          <x:t xml:space="preserve">2026-03-08</x:t>
        </x:is>
      </x:c>
    </x:row>
    <x:row r="9" ht="22" customHeight="1">
      <x:c r="A9" t="inlineStr">
        <x:is>
          <x:t xml:space="preserve">DRUG_BDS008282</x:t>
        </x:is>
      </x:c>
      <x:c r="B9" t="inlineStr">
        <x:is>
          <x:t xml:space="preserve">BDS008282</x:t>
        </x:is>
      </x:c>
      <x:c r="C9" t="n">
        <x:v>8282</x:v>
      </x:c>
      <x:c r="D9" t="inlineStr">
        <x:is>
          <x:t xml:space="preserve">Cera ORS รสส้ม</x:t>
        </x:is>
      </x:c>
      <x:c r="E9" t="inlineStr">
        <x:is>
          <x:t xml:space="preserve">Glucose Anhydrous 3 g.+Sodium Chloride 0.53 g.+Potassium Chloride 0.23 g.+Sodium Citrate Dihydrate 0.44 g.</x:t>
        </x:is>
      </x:c>
      <x:c r="F9" t="inlineStr">
        <x:is>
          <x:t xml:space="preserve">Cera ORS รสส้ม [Glucose Anhydrous 3 g.+Sodium Chloride 0.53 g.+Potassium Chloride 0.23 g.+Sodium Citrate Dihydrate 0.44 g.]</x:t>
        </x:is>
      </x:c>
      <x:c r="G9" t="inlineStr">
        <x:is>
          <x:t xml:space="preserve">ors</x:t>
        </x:is>
      </x:c>
      <x:c r="H9" t="inlineStr">
        <x:is>
          <x:t xml:space="preserve">ORS / electrolytes</x:t>
        </x:is>
      </x:c>
      <x:c r="I9" t="inlineStr">
        <x:is>
          <x:t xml:space="preserve">ผงเกลือแร่</x:t>
        </x:is>
      </x:c>
      <x:c r="J9" t="inlineStr">
        <x:is>
          <x:t xml:space="preserve">sachet</x:t>
        </x:is>
      </x:c>
      <x:c r="K9" t="inlineStr">
        <x:is>
          <x:t xml:space="preserve">3 g</x:t>
        </x:is>
      </x:c>
      <x:c r="L9" t="inlineStr">
        <x:is>
          <x:t xml:space="preserve">กล่อง 5 ซอง</x:t>
        </x:is>
      </x:c>
      <x:c r="M9" t="inlineStr">
        <x:is>
          <x:t xml:space="preserve">box</x:t>
        </x:is>
      </x:c>
      <x:c r="N9" t="inlineStr">
        <x:is>
          <x:t xml:space="preserve">ละลายครั้งละ 1 ซอง ต่อน้ำ 1 แก้ว (150 ml.) </x:t>
        </x:is>
      </x:c>
      <x:c r="P9" t="inlineStr">
        <x:is>
          <x:t xml:space="preserve">1 sachet in 150 mL water; sip frequently</x:t>
        </x:is>
      </x:c>
      <x:c r="R9" t="inlineStr">
        <x:is>
          <x:t xml:space="preserve">Rehydration in diarrhea/vomiting.</x:t>
        </x:is>
      </x:c>
      <x:c r="S9" t="inlineStr">
        <x:is>
          <x:t xml:space="preserve">bloating</x:t>
        </x:is>
      </x:c>
      <x:c r="T9" t="inlineStr">
        <x:is>
          <x:t xml:space="preserve">mix correctly; small frequent sips</x:t>
        </x:is>
      </x:c>
      <x:c r="V9" t="n">
        <x:v>38</x:v>
      </x:c>
      <x:c r="W9" t="inlineStr">
        <x:is>
          <x:t xml:space="preserve">Y</x:t>
        </x:is>
      </x:c>
      <x:c r="X9" t="inlineStr">
        <x:is>
          <x:t xml:space="preserve">N</x:t>
        </x:is>
      </x:c>
      <x:c r="Y9" t="inlineStr">
        <x:is>
          <x:t xml:space="preserve">N</x:t>
        </x:is>
      </x:c>
      <x:c r="Z9" t="inlineStr">
        <x:is>
          <x:t xml:space="preserve">N</x:t>
        </x:is>
      </x:c>
      <x:c r="AD9" t="n">
        <x:v>76</x:v>
      </x:c>
      <x:c r="AE9" t="n">
        <x:v>15.2</x:v>
      </x:c>
      <x:c r="AF9" t="inlineStr">
        <x:is>
          <x:t xml:space="preserve">USER</x:t>
        </x:is>
      </x:c>
      <x:c r="AG9" t="inlineStr">
        <x:is>
          <x:t xml:space="preserve">2026-02-17</x:t>
        </x:is>
      </x:c>
      <x:c r="AH9" t="inlineStr">
        <x:is>
          <x:t xml:space="preserve">User provided price (Cera ORS รสส้ม 5 sachets). Unit price is per sachet.</x:t>
        </x:is>
      </x:c>
      <x:c r="AI9" t="inlineStr">
        <x:is>
          <x:t xml:space="preserve">Y</x:t>
        </x:is>
      </x:c>
      <x:c r="AJ9" t="inlineStr">
        <x:is>
          <x:t xml:space="preserve">2026-03-08</x:t>
        </x:is>
      </x:c>
    </x:row>
    <x:row r="10" ht="22" customHeight="1">
      <x:c r="A10" t="inlineStr">
        <x:is>
          <x:t xml:space="preserve">DRUG_BDS001248</x:t>
        </x:is>
      </x:c>
      <x:c r="B10" t="inlineStr">
        <x:is>
          <x:t xml:space="preserve">BDS001248</x:t>
        </x:is>
      </x:c>
      <x:c r="C10" t="n">
        <x:v>1248</x:v>
      </x:c>
      <x:c r="D10" t="inlineStr">
        <x:is>
          <x:t xml:space="preserve">Bioflor</x:t>
        </x:is>
      </x:c>
      <x:c r="E10" t="inlineStr">
        <x:is>
          <x:t xml:space="preserve">Lyophilized Saccharomyces boulardii 250 mg.</x:t>
        </x:is>
      </x:c>
      <x:c r="F10" t="inlineStr">
        <x:is>
          <x:t xml:space="preserve">Bioflor [Lyophilized Saccharomyces boulardii 250 mg.]</x:t>
        </x:is>
      </x:c>
      <x:c r="G10" t="inlineStr">
        <x:is>
          <x:t xml:space="preserve">saccharomyces boulardii</x:t>
        </x:is>
      </x:c>
      <x:c r="I10" t="inlineStr">
        <x:is>
          <x:t xml:space="preserve">ยาแก้ท้องเสีย (D)</x:t>
        </x:is>
      </x:c>
      <x:c r="J10" t="inlineStr">
        <x:is>
          <x:t xml:space="preserve">sachet</x:t>
        </x:is>
      </x:c>
      <x:c r="K10" t="inlineStr">
        <x:is>
          <x:t xml:space="preserve">250 mg</x:t>
        </x:is>
      </x:c>
      <x:c r="L10" t="inlineStr">
        <x:is>
          <x:t xml:space="preserve">ซอง</x:t>
        </x:is>
      </x:c>
      <x:c r="M10" t="inlineStr">
        <x:is>
          <x:t xml:space="preserve">sachet</x:t>
        </x:is>
      </x:c>
      <x:c r="N10" t="inlineStr">
        <x:is>
          <x:t xml:space="preserve">รับประทานครั้งละ 1 ซอง วันละ 2 ครั้ง</x:t>
        </x:is>
      </x:c>
      <x:c r="P10" t="inlineStr">
        <x:is>
          <x:t xml:space="preserve">1 sachet PO BID</x:t>
        </x:is>
      </x:c>
      <x:c r="R10" t="inlineStr">
        <x:is>
          <x:t xml:space="preserve">Acute diarrhea symptom control + ORS.</x:t>
        </x:is>
      </x:c>
      <x:c r="S10" t="inlineStr">
        <x:is>
          <x:t xml:space="preserve">bloating</x:t>
        </x:is>
      </x:c>
      <x:c r="T10" t="inlineStr">
        <x:is>
          <x:t xml:space="preserve">assess bloody stool/high fever before simple OPD treatment</x:t>
        </x:is>
      </x:c>
      <x:c r="V10" t="n">
        <x:v>36</x:v>
      </x:c>
      <x:c r="W10" t="inlineStr">
        <x:is>
          <x:t xml:space="preserve">Y</x:t>
        </x:is>
      </x:c>
      <x:c r="X10" t="inlineStr">
        <x:is>
          <x:t xml:space="preserve">N</x:t>
        </x:is>
      </x:c>
      <x:c r="Y10" t="inlineStr">
        <x:is>
          <x:t xml:space="preserve">N</x:t>
        </x:is>
      </x:c>
      <x:c r="Z10" t="inlineStr">
        <x:is>
          <x:t xml:space="preserve">N</x:t>
        </x:is>
      </x:c>
      <x:c r="AI10" t="inlineStr">
        <x:is>
          <x:t xml:space="preserve">Y</x:t>
        </x:is>
      </x:c>
      <x:c r="AJ10" t="inlineStr">
        <x:is>
          <x:t xml:space="preserve">2026-03-08</x:t>
        </x:is>
      </x:c>
    </x:row>
    <x:row r="11" ht="22" customHeight="1">
      <x:c r="A11" t="inlineStr">
        <x:is>
          <x:t xml:space="preserve">DRUG_BDS042304</x:t>
        </x:is>
      </x:c>
      <x:c r="B11" t="inlineStr">
        <x:is>
          <x:t xml:space="preserve">BDS042304</x:t>
        </x:is>
      </x:c>
      <x:c r="C11" t="n">
        <x:v>42304</x:v>
      </x:c>
      <x:c r="D11" t="inlineStr">
        <x:is>
          <x:t xml:space="preserve">Dehecta</x:t>
        </x:is>
      </x:c>
      <x:c r="E11" t="inlineStr">
        <x:is>
          <x:t xml:space="preserve">Dioctahedral Smectite 3 g./20 ml.</x:t>
        </x:is>
      </x:c>
      <x:c r="F11" t="inlineStr">
        <x:is>
          <x:t xml:space="preserve">Dehecta [Dioctahedral Smectite 3 g./20 ml.]</x:t>
        </x:is>
      </x:c>
      <x:c r="G11" t="inlineStr">
        <x:is>
          <x:t xml:space="preserve">dioctahedral smectite</x:t>
        </x:is>
      </x:c>
      <x:c r="H11" t="inlineStr">
        <x:is>
          <x:t xml:space="preserve">Adsorbents / toxin binders</x:t>
        </x:is>
      </x:c>
      <x:c r="I11" t="inlineStr">
        <x:is>
          <x:t xml:space="preserve">ยาดูดซับสารพิษ</x:t>
        </x:is>
      </x:c>
      <x:c r="J11" t="inlineStr">
        <x:is>
          <x:t xml:space="preserve">sachet</x:t>
        </x:is>
      </x:c>
      <x:c r="K11" t="inlineStr">
        <x:is>
          <x:t xml:space="preserve">3 g</x:t>
        </x:is>
      </x:c>
      <x:c r="L11" t="inlineStr">
        <x:is>
          <x:t xml:space="preserve">ซอง 20 ml.</x:t>
        </x:is>
      </x:c>
      <x:c r="M11" t="inlineStr">
        <x:is>
          <x:t xml:space="preserve">sachet</x:t>
        </x:is>
      </x:c>
      <x:c r="N11" t="inlineStr">
        <x:is>
          <x:t xml:space="preserve">รับประทานครั้งละ 1 ซอง วันละ 3-4 ครั้ง </x:t>
        </x:is>
      </x:c>
      <x:c r="P11" t="inlineStr">
        <x:is>
          <x:t xml:space="preserve">1 sachet PO TID–QID</x:t>
        </x:is>
      </x:c>
      <x:c r="R11" t="inlineStr">
        <x:is>
          <x:t xml:space="preserve">Acute diarrhea symptom control + ORS.</x:t>
        </x:is>
      </x:c>
      <x:c r="S11" t="inlineStr">
        <x:is>
          <x:t xml:space="preserve">constipation, bloating</x:t>
        </x:is>
      </x:c>
      <x:c r="T11" t="inlineStr">
        <x:is>
          <x:t xml:space="preserve">separate from other oral meds</x:t>
        </x:is>
      </x:c>
      <x:c r="V11" t="n">
        <x:v>37</x:v>
      </x:c>
      <x:c r="W11" t="inlineStr">
        <x:is>
          <x:t xml:space="preserve">Y</x:t>
        </x:is>
      </x:c>
      <x:c r="X11" t="inlineStr">
        <x:is>
          <x:t xml:space="preserve">N</x:t>
        </x:is>
      </x:c>
      <x:c r="Y11" t="inlineStr">
        <x:is>
          <x:t xml:space="preserve">N</x:t>
        </x:is>
      </x:c>
      <x:c r="Z11" t="inlineStr">
        <x:is>
          <x:t xml:space="preserve">N</x:t>
        </x:is>
      </x:c>
      <x:c r="AI11" t="inlineStr">
        <x:is>
          <x:t xml:space="preserve">Y</x:t>
        </x:is>
      </x:c>
      <x:c r="AJ11" t="inlineStr">
        <x:is>
          <x:t xml:space="preserve">2026-03-08</x:t>
        </x:is>
      </x:c>
    </x:row>
    <x:row r="12" ht="22" customHeight="1">
      <x:c r="A12" t="inlineStr">
        <x:is>
          <x:t xml:space="preserve">DRUG_BDS043842</x:t>
        </x:is>
      </x:c>
      <x:c r="B12" t="inlineStr">
        <x:is>
          <x:t xml:space="preserve">BDS043842</x:t>
        </x:is>
      </x:c>
      <x:c r="C12" t="n">
        <x:v>43842</x:v>
      </x:c>
      <x:c r="D12" t="inlineStr">
        <x:is>
          <x:t xml:space="preserve">Hidrasec 100 mg.</x:t>
        </x:is>
      </x:c>
      <x:c r="E12" t="inlineStr">
        <x:is>
          <x:t xml:space="preserve">Racecadotril 100 mg.</x:t>
        </x:is>
      </x:c>
      <x:c r="F12" t="inlineStr">
        <x:is>
          <x:t xml:space="preserve">Hidrasec 100 mg. [Racecadotril 100 mg.]</x:t>
        </x:is>
      </x:c>
      <x:c r="G12" t="inlineStr">
        <x:is>
          <x:t xml:space="preserve">racecadotril</x:t>
        </x:is>
      </x:c>
      <x:c r="I12" t="inlineStr">
        <x:is>
          <x:t xml:space="preserve">ยาแก้ท้องเสีย (D)</x:t>
        </x:is>
      </x:c>
      <x:c r="J12" t="inlineStr">
        <x:is>
          <x:t xml:space="preserve">capsule</x:t>
        </x:is>
      </x:c>
      <x:c r="K12" t="inlineStr">
        <x:is>
          <x:t xml:space="preserve">100 mg</x:t>
        </x:is>
      </x:c>
      <x:c r="L12" t="inlineStr">
        <x:is>
          <x:t xml:space="preserve">กล่อง 10 แคปซูล</x:t>
        </x:is>
      </x:c>
      <x:c r="M12" t="inlineStr">
        <x:is>
          <x:t xml:space="preserve">box</x:t>
        </x:is>
      </x:c>
      <x:c r="N12" t="inlineStr">
        <x:is>
          <x:t xml:space="preserve">รับประทานครั้งละ 1 แคปซูล ทุก 8 ชั่วโมง  </x:t>
        </x:is>
      </x:c>
      <x:c r="P12" t="inlineStr">
        <x:is>
          <x:t xml:space="preserve">1 cap PO q8h</x:t>
        </x:is>
      </x:c>
      <x:c r="R12" t="inlineStr">
        <x:is>
          <x:t xml:space="preserve">Acute diarrhea symptom control + ORS.</x:t>
        </x:is>
      </x:c>
      <x:c r="S12" t="inlineStr">
        <x:is>
          <x:t xml:space="preserve">nausea</x:t>
        </x:is>
      </x:c>
      <x:c r="T12" t="inlineStr">
        <x:is>
          <x:t xml:space="preserve">avoid if bloody stool/high fever; assess dehydration</x:t>
        </x:is>
      </x:c>
      <x:c r="U12" t="inlineStr">
        <x:is>
          <x:t xml:space="preserve">Currently out of stock (per your note).</x:t>
        </x:is>
      </x:c>
      <x:c r="V12" t="n">
        <x:v>35</x:v>
      </x:c>
      <x:c r="W12" t="inlineStr">
        <x:is>
          <x:t xml:space="preserve">Y</x:t>
        </x:is>
      </x:c>
      <x:c r="X12" t="inlineStr">
        <x:is>
          <x:t xml:space="preserve">N</x:t>
        </x:is>
      </x:c>
      <x:c r="Y12" t="inlineStr">
        <x:is>
          <x:t xml:space="preserve">N</x:t>
        </x:is>
      </x:c>
      <x:c r="Z12" t="inlineStr">
        <x:is>
          <x:t xml:space="preserve">N</x:t>
        </x:is>
      </x:c>
      <x:c r="AI12" t="inlineStr">
        <x:is>
          <x:t xml:space="preserve">Y</x:t>
        </x:is>
      </x:c>
      <x:c r="AJ12" t="inlineStr">
        <x:is>
          <x:t xml:space="preserve">2026-03-08</x:t>
        </x:is>
      </x:c>
    </x:row>
    <x:row r="13">
      <x:c r="A13" t="inlineStr">
        <x:is>
          <x:t xml:space="preserve">DRUG_BDS006745</x:t>
        </x:is>
      </x:c>
      <x:c r="B13" t="inlineStr">
        <x:is>
          <x:t xml:space="preserve">BDS006745</x:t>
        </x:is>
      </x:c>
      <x:c r="C13" t="n">
        <x:v>6745</x:v>
      </x:c>
      <x:c r="D13" t="inlineStr">
        <x:is>
          <x:t xml:space="preserve">Antergan Cream</x:t>
        </x:is>
      </x:c>
      <x:c r="E13" t="inlineStr">
        <x:is>
          <x:t xml:space="preserve">Hydrocortisone Acetate 5 mg+Mepyramine Maleate 20 mg/1 g</x:t>
        </x:is>
      </x:c>
      <x:c r="F13" t="inlineStr">
        <x:is>
          <x:t xml:space="preserve">Antergan Cream [Hydrocortisone Acetate 5 mg+Mepyramine Maleate 20 mg/1 g]</x:t>
        </x:is>
      </x:c>
      <x:c r="G13" t="inlineStr">
        <x:is>
          <x:t xml:space="preserve">hydrocortisone+mepyramine cream</x:t>
        </x:is>
      </x:c>
      <x:c r="H13" t="inlineStr">
        <x:is>
          <x:t xml:space="preserve">Eczema/diaper rash / anti-itch topicals</x:t>
        </x:is>
      </x:c>
      <x:c r="I13" t="inlineStr">
        <x:is>
          <x:t xml:space="preserve">ยาทาแก้แพ้, แก้คัน (D)</x:t>
        </x:is>
      </x:c>
      <x:c r="J13" t="inlineStr">
        <x:is>
          <x:t xml:space="preserve">cream</x:t>
        </x:is>
      </x:c>
      <x:c r="K13" t="inlineStr">
        <x:is>
          <x:t xml:space="preserve">5 mg</x:t>
        </x:is>
      </x:c>
      <x:c r="L13" t="inlineStr">
        <x:is>
          <x:t xml:space="preserve">หลอด 10 g.</x:t>
        </x:is>
      </x:c>
      <x:c r="M13" t="inlineStr">
        <x:is>
          <x:t xml:space="preserve">tube</x:t>
        </x:is>
      </x:c>
      <x:c r="N13" t="inlineStr">
        <x:is>
          <x:t xml:space="preserve">ทาบางๆ วันละ 2-3 ครั้ง  หรือตามแพทย์สั่ง</x:t>
        </x:is>
      </x:c>
      <x:c r="P13" t="inlineStr">
        <x:is>
          <x:t xml:space="preserve">apply thinly BID–TID to itchy rash</x:t>
        </x:is>
      </x:c>
      <x:c r="S13" t="inlineStr">
        <x:is>
          <x:t xml:space="preserve">local irritation</x:t>
        </x:is>
      </x:c>
      <x:c r="T13" t="inlineStr">
        <x:is>
          <x:t xml:space="preserve">avoid face/eye/open wound</x:t>
        </x:is>
      </x:c>
      <x:c r="W13" t="inlineStr">
        <x:is>
          <x:t xml:space="preserve">N</x:t>
        </x:is>
      </x:c>
      <x:c r="X13" t="inlineStr">
        <x:is>
          <x:t xml:space="preserve">N</x:t>
        </x:is>
      </x:c>
      <x:c r="Y13" t="inlineStr">
        <x:is>
          <x:t xml:space="preserve">Y</x:t>
        </x:is>
      </x:c>
      <x:c r="Z13" t="inlineStr">
        <x:is>
          <x:t xml:space="preserve">N</x:t>
        </x:is>
      </x:c>
      <x:c r="AI13" t="inlineStr">
        <x:is>
          <x:t xml:space="preserve">Y</x:t>
        </x:is>
      </x:c>
      <x:c r="AJ13" t="inlineStr">
        <x:is>
          <x:t xml:space="preserve">2026-03-08</x:t>
        </x:is>
      </x:c>
    </x:row>
    <x:row r="14">
      <x:c r="A14" t="inlineStr">
        <x:is>
          <x:t xml:space="preserve">DRUG_BDS006462</x:t>
        </x:is>
      </x:c>
      <x:c r="B14" t="inlineStr">
        <x:is>
          <x:t xml:space="preserve">BDS006462</x:t>
        </x:is>
      </x:c>
      <x:c r="C14" t="n">
        <x:v>6462</x:v>
      </x:c>
      <x:c r="D14" t="inlineStr">
        <x:is>
          <x:t xml:space="preserve">Difflam Forte Spray</x:t>
        </x:is>
      </x:c>
      <x:c r="E14" t="inlineStr">
        <x:is>
          <x:t xml:space="preserve">Benzydamine Hydrochloride 3 mg.+Ethanol+Saccharin Sodium+Methyl Hydroxybenzoate+Glycerol+PEG-40 Hydrogenated castor oil/ml.</x:t>
        </x:is>
      </x:c>
      <x:c r="F14" t="inlineStr">
        <x:is>
          <x:t xml:space="preserve">Difflam Forte Spray [Benzydamine Hydrochloride 3 mg.+Ethanol+Saccharin Sodium+Methyl Hydroxybenzoate+Glycerol+PEG-40 Hydrogenated castor oil/ml.]</x:t>
        </x:is>
      </x:c>
      <x:c r="G14" t="inlineStr">
        <x:is>
          <x:t xml:space="preserve">benzydamine spray</x:t>
        </x:is>
      </x:c>
      <x:c r="I14" t="inlineStr">
        <x:is>
          <x:t xml:space="preserve">ยาพ่นคอ (D)</x:t>
        </x:is>
      </x:c>
      <x:c r="J14" t="inlineStr">
        <x:is>
          <x:t xml:space="preserve">spray</x:t>
        </x:is>
      </x:c>
      <x:c r="K14" t="inlineStr">
        <x:is>
          <x:t xml:space="preserve">3 mg</x:t>
        </x:is>
      </x:c>
      <x:c r="L14" t="inlineStr">
        <x:is>
          <x:t xml:space="preserve">ขวด 15 ml.</x:t>
        </x:is>
      </x:c>
      <x:c r="M14" t="inlineStr">
        <x:is>
          <x:t xml:space="preserve">bottle</x:t>
        </x:is>
      </x:c>
      <x:c r="N14" t="inlineStr">
        <x:is>
          <x:t xml:space="preserve">พ่นยาครั้งละ 2-4 ที บริเวณที่ปวดหรืออักเสบโดยตรงและกลืนเบาๆ หรือตามแพทย์สั่ง  </x:t>
        </x:is>
      </x:c>
      <x:c r="P14" t="inlineStr">
        <x:is>
          <x:t xml:space="preserve">2–4 sprays to throat PRN</x:t>
        </x:is>
      </x:c>
      <x:c r="R14" t="inlineStr">
        <x:is>
          <x:t xml:space="preserve">Sore throat/irritation; symptom relief.</x:t>
        </x:is>
      </x:c>
      <x:c r="S14" t="inlineStr">
        <x:is>
          <x:t xml:space="preserve">local stinging, numbness</x:t>
        </x:is>
      </x:c>
      <x:c r="T14" t="inlineStr">
        <x:is>
          <x:t xml:space="preserve">do not swallow large amounts</x:t>
        </x:is>
      </x:c>
      <x:c r="V14" t="n">
        <x:v>5</x:v>
      </x:c>
      <x:c r="W14" t="inlineStr">
        <x:is>
          <x:t xml:space="preserve">Y</x:t>
        </x:is>
      </x:c>
      <x:c r="X14" t="inlineStr">
        <x:is>
          <x:t xml:space="preserve">N</x:t>
        </x:is>
      </x:c>
      <x:c r="Y14" t="inlineStr">
        <x:is>
          <x:t xml:space="preserve">N</x:t>
        </x:is>
      </x:c>
      <x:c r="Z14" t="inlineStr">
        <x:is>
          <x:t xml:space="preserve">N</x:t>
        </x:is>
      </x:c>
      <x:c r="AD14" t="n">
        <x:v>529</x:v>
      </x:c>
      <x:c r="AE14" t="n">
        <x:v>35.27</x:v>
      </x:c>
      <x:c r="AF14" t="inlineStr">
        <x:is>
          <x:t xml:space="preserve">USER</x:t>
        </x:is>
      </x:c>
      <x:c r="AG14" t="inlineStr">
        <x:is>
          <x:t xml:space="preserve">2026-02-07</x:t>
        </x:is>
      </x:c>
      <x:c r="AH14" t="inlineStr">
        <x:is>
          <x:t xml:space="preserve">User provided price (online). Unit price is per mL (15 mL bottle).</x:t>
        </x:is>
      </x:c>
      <x:c r="AI14" t="inlineStr">
        <x:is>
          <x:t xml:space="preserve">Y</x:t>
        </x:is>
      </x:c>
      <x:c r="AJ14" t="inlineStr">
        <x:is>
          <x:t xml:space="preserve">2026-03-08</x:t>
        </x:is>
      </x:c>
    </x:row>
    <x:row r="15">
      <x:c r="A15" t="inlineStr">
        <x:is>
          <x:t xml:space="preserve">DRUG_BDS002411</x:t>
        </x:is>
      </x:c>
      <x:c r="B15" t="inlineStr">
        <x:is>
          <x:t xml:space="preserve">BDS002411</x:t>
        </x:is>
      </x:c>
      <x:c r="C15" t="n">
        <x:v>2411</x:v>
      </x:c>
      <x:c r="D15" t="inlineStr">
        <x:is>
          <x:t xml:space="preserve">Kamillosan-M Spray</x:t>
        </x:is>
      </x:c>
      <x:c r="E15" t="inlineStr">
        <x:is>
          <x:t xml:space="preserve">ดอกหญ้าหอม+เพเพอร์มิ้นต์+เซจ ออยล์+เทียนสัตบุษย์+ไพน์ นีดเดิล ออยล์+เบอร์กามอต ออยล์+ยูคาลิปทอล</x:t>
        </x:is>
      </x:c>
      <x:c r="F15" t="inlineStr">
        <x:is>
          <x:t xml:space="preserve"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x:t>
        </x:is>
      </x:c>
      <x:c r="G15" t="inlineStr">
        <x:is>
          <x:t xml:space="preserve">herbal throat spray</x:t>
        </x:is>
      </x:c>
      <x:c r="I15" t="inlineStr">
        <x:is>
          <x:t xml:space="preserve">ยาพ่นคอ</x:t>
        </x:is>
      </x:c>
      <x:c r="J15" t="inlineStr">
        <x:is>
          <x:t xml:space="preserve">spray</x:t>
        </x:is>
      </x:c>
      <x:c r="L15" t="inlineStr">
        <x:is>
          <x:t xml:space="preserve">ขวด 15 ml.</x:t>
        </x:is>
      </x:c>
      <x:c r="M15" t="inlineStr">
        <x:is>
          <x:t xml:space="preserve">bottle</x:t>
        </x:is>
      </x:c>
      <x:c r="N15" t="inlineStr">
        <x:is>
          <x:t xml:space="preserve">กดหัวพ่นฉีดครั้งละ 2 ที ในบริเวณช่องปากและลำคอ วันละ 3 ครั้ง</x:t>
        </x:is>
      </x:c>
      <x:c r="P15" t="inlineStr">
        <x:is>
          <x:t xml:space="preserve">2 sprays to mouth/throat TID</x:t>
        </x:is>
      </x:c>
      <x:c r="R15" t="inlineStr">
        <x:is>
          <x:t xml:space="preserve">Sore throat/irritation; symptom relief.</x:t>
        </x:is>
      </x:c>
      <x:c r="S15" t="inlineStr">
        <x:is>
          <x:t xml:space="preserve">local irritation</x:t>
        </x:is>
      </x:c>
      <x:c r="T15" t="inlineStr">
        <x:is>
          <x:t xml:space="preserve">avoid if ingredient allergy</x:t>
        </x:is>
      </x:c>
      <x:c r="V15" t="n">
        <x:v>4</x:v>
      </x:c>
      <x:c r="W15" t="inlineStr">
        <x:is>
          <x:t xml:space="preserve">Y</x:t>
        </x:is>
      </x:c>
      <x:c r="X15" t="inlineStr">
        <x:is>
          <x:t xml:space="preserve">N</x:t>
        </x:is>
      </x:c>
      <x:c r="Y15" t="inlineStr">
        <x:is>
          <x:t xml:space="preserve">N</x:t>
        </x:is>
      </x:c>
      <x:c r="Z15" t="inlineStr">
        <x:is>
          <x:t xml:space="preserve">N</x:t>
        </x:is>
      </x:c>
      <x:c r="AD15" t="n">
        <x:v>163.5</x:v>
      </x:c>
      <x:c r="AE15" t="n">
        <x:v>10.9</x:v>
      </x:c>
      <x:c r="AF15" t="inlineStr">
        <x:is>
          <x:t xml:space="preserve">USER</x:t>
        </x:is>
      </x:c>
      <x:c r="AG15" t="inlineStr">
        <x:is>
          <x:t xml:space="preserve">2026-02-07</x:t>
        </x:is>
      </x:c>
      <x:c r="AH15" t="inlineStr">
        <x:is>
          <x:t xml:space="preserve">User provided price (online). Unit price per mL (15 mL bottle).</x:t>
        </x:is>
      </x:c>
      <x:c r="AI15" t="inlineStr">
        <x:is>
          <x:t xml:space="preserve">Y</x:t>
        </x:is>
      </x:c>
      <x:c r="AJ15" t="inlineStr">
        <x:is>
          <x:t xml:space="preserve">2026-03-08</x:t>
        </x:is>
      </x:c>
    </x:row>
    <x:row r="16">
      <x:c r="A16" t="inlineStr">
        <x:is>
          <x:t xml:space="preserve">DRUG_BDS004035</x:t>
        </x:is>
      </x:c>
      <x:c r="B16" t="inlineStr">
        <x:is>
          <x:t xml:space="preserve">BDS004035</x:t>
        </x:is>
      </x:c>
      <x:c r="C16" t="n">
        <x:v>4035</x:v>
      </x:c>
      <x:c r="D16" t="inlineStr">
        <x:is>
          <x:t xml:space="preserve">Vislube</x:t>
        </x:is>
      </x:c>
      <x:c r="E16" t="inlineStr">
        <x:is>
          <x:t xml:space="preserve">Sodium Hyaluronate 0.18% (Sodium Hyaluronate 1.8 mg.+Sodium Chloride 2.8 mg.+Potassium Chloride 1 mg.+Disodium Hydrogenphosphate 3.2 mg.+Sodium Citrate 0.3 mg.+Magnesium Chloride 0.09 mg.+Calcium Chloride 0.09 mg.)</x:t>
        </x:is>
      </x:c>
      <x:c r="F16" t="inlineStr">
        <x:is>
          <x:t xml:space="preserve">Vislube [Sodium Hyaluronate 0.18% (Sodium Hyaluronate 1.8 mg.+Sodium Chloride 2.8 mg.+Potassium Chloride 1 mg.+Disodium Hydrogenphosphate 3.2 mg.+Sodium Citrate 0.3 mg.+Magnesium Chloride 0.09 mg.+Calcium Chloride 0.09 mg.)]</x:t>
        </x:is>
      </x:c>
      <x:c r="G16" t="inlineStr">
        <x:is>
          <x:t xml:space="preserve">artificial tears</x:t>
        </x:is>
      </x:c>
      <x:c r="H16" t="inlineStr">
        <x:is>
          <x:t xml:space="preserve">Artificial tears / eye lubricants</x:t>
        </x:is>
      </x:c>
      <x:c r="I16" t="inlineStr">
        <x:is>
          <x:t xml:space="preserve">น้ำตาเทียม</x:t>
        </x:is>
      </x:c>
      <x:c r="J16" t="inlineStr">
        <x:is>
          <x:t xml:space="preserve">tube</x:t>
        </x:is>
      </x:c>
      <x:c r="K16" t="inlineStr">
        <x:is>
          <x:t xml:space="preserve">0.18%</x:t>
        </x:is>
      </x:c>
      <x:c r="L16" t="inlineStr">
        <x:is>
          <x:t xml:space="preserve">กล่อง 20 หลอด</x:t>
        </x:is>
      </x:c>
      <x:c r="M16" t="inlineStr">
        <x:is>
          <x:t xml:space="preserve">box</x:t>
        </x:is>
      </x:c>
      <x:c r="N16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16" t="inlineStr">
        <x:is>
          <x:t xml:space="preserve">1–2 drops OU/affected eye PRN</x:t>
        </x:is>
      </x:c>
      <x:c r="R16" t="inlineStr">
        <x:is>
          <x:t xml:space="preserve">Dry eye/irritation.</x:t>
        </x:is>
      </x:c>
      <x:c r="S16" t="inlineStr">
        <x:is>
          <x:t xml:space="preserve">transient blur</x:t>
        </x:is>
      </x:c>
      <x:c r="T16" t="inlineStr">
        <x:is>
          <x:t xml:space="preserve">contact lens precautions</x:t>
        </x:is>
      </x:c>
      <x:c r="V16" t="n">
        <x:v>39</x:v>
      </x:c>
      <x:c r="W16" t="inlineStr">
        <x:is>
          <x:t xml:space="preserve">Y</x:t>
        </x:is>
      </x:c>
      <x:c r="X16" t="inlineStr">
        <x:is>
          <x:t xml:space="preserve">N</x:t>
        </x:is>
      </x:c>
      <x:c r="Y16" t="inlineStr">
        <x:is>
          <x:t xml:space="preserve">N</x:t>
        </x:is>
      </x:c>
      <x:c r="Z16" t="inlineStr">
        <x:is>
          <x:t xml:space="preserve">N</x:t>
        </x:is>
      </x:c>
      <x:c r="AI16" t="inlineStr">
        <x:is>
          <x:t xml:space="preserve">Y</x:t>
        </x:is>
      </x:c>
      <x:c r="AJ16" t="inlineStr">
        <x:is>
          <x:t xml:space="preserve">2026-03-08</x:t>
        </x:is>
      </x:c>
    </x:row>
    <x:row r="17">
      <x:c r="A17" t="inlineStr">
        <x:is>
          <x:t xml:space="preserve">DRUG_BDS001552</x:t>
        </x:is>
      </x:c>
      <x:c r="B17" t="inlineStr">
        <x:is>
          <x:t xml:space="preserve">BDS001552</x:t>
        </x:is>
      </x:c>
      <x:c r="C17" t="n">
        <x:v>1552</x:v>
      </x:c>
      <x:c r="D17" t="inlineStr">
        <x:is>
          <x:t xml:space="preserve">Cellufresh</x:t>
        </x:is>
      </x:c>
      <x:c r="E17" t="inlineStr">
        <x:is>
          <x:t xml:space="preserve">Carboxymethylcellulose Sodium (CMC) 0.5%+Calcium Chloride+Magnesium Chloride+Potassium Chloride+Sodium Chloride+Sodium Lactate+Hydrochloric Acid+Sodium Hydroxide</x:t>
        </x:is>
      </x:c>
      <x:c r="F17" t="inlineStr">
        <x:is>
          <x:t xml:space="preserve">Cellufresh [Carboxymethylcellulose Sodium (CMC) 0.5%+Calcium Chloride+Magnesium Chloride+Potassium Chloride+Sodium Chloride+Sodium Lactate+Hydrochloric Acid+Sodium Hydroxide]</x:t>
        </x:is>
      </x:c>
      <x:c r="G17" t="inlineStr">
        <x:is>
          <x:t xml:space="preserve">artificial tears</x:t>
        </x:is>
      </x:c>
      <x:c r="H17" t="inlineStr">
        <x:is>
          <x:t xml:space="preserve">Artificial tears / eye lubricants</x:t>
        </x:is>
      </x:c>
      <x:c r="I17" t="inlineStr">
        <x:is>
          <x:t xml:space="preserve">น้ำตาเทียม</x:t>
        </x:is>
      </x:c>
      <x:c r="J17" t="inlineStr">
        <x:is>
          <x:t xml:space="preserve">tube</x:t>
        </x:is>
      </x:c>
      <x:c r="K17" t="inlineStr">
        <x:is>
          <x:t xml:space="preserve">0.5%</x:t>
        </x:is>
      </x:c>
      <x:c r="L17" t="inlineStr">
        <x:is>
          <x:t xml:space="preserve">กล่อง 30 หลอด</x:t>
        </x:is>
      </x:c>
      <x:c r="M17" t="inlineStr">
        <x:is>
          <x:t xml:space="preserve">box</x:t>
        </x:is>
      </x:c>
      <x:c r="N17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17" t="inlineStr">
        <x:is>
          <x:t xml:space="preserve">1–2 drops OU/affected eye PRN</x:t>
        </x:is>
      </x:c>
      <x:c r="R17" t="inlineStr">
        <x:is>
          <x:t xml:space="preserve">Dry eye/irritation.</x:t>
        </x:is>
      </x:c>
      <x:c r="S17" t="inlineStr">
        <x:is>
          <x:t xml:space="preserve">transient blur</x:t>
        </x:is>
      </x:c>
      <x:c r="T17" t="inlineStr">
        <x:is>
          <x:t xml:space="preserve">contact lens precautions</x:t>
        </x:is>
      </x:c>
      <x:c r="V17" t="n">
        <x:v>40</x:v>
      </x:c>
      <x:c r="W17" t="inlineStr">
        <x:is>
          <x:t xml:space="preserve">Y</x:t>
        </x:is>
      </x:c>
      <x:c r="X17" t="inlineStr">
        <x:is>
          <x:t xml:space="preserve">N</x:t>
        </x:is>
      </x:c>
      <x:c r="Y17" t="inlineStr">
        <x:is>
          <x:t xml:space="preserve">N</x:t>
        </x:is>
      </x:c>
      <x:c r="Z17" t="inlineStr">
        <x:is>
          <x:t xml:space="preserve">N</x:t>
        </x:is>
      </x:c>
      <x:c r="AI17" t="inlineStr">
        <x:is>
          <x:t xml:space="preserve">Y</x:t>
        </x:is>
      </x:c>
      <x:c r="AJ17" t="inlineStr">
        <x:is>
          <x:t xml:space="preserve">2026-03-08</x:t>
        </x:is>
      </x:c>
    </x:row>
    <x:row r="18">
      <x:c r="A18" t="inlineStr">
        <x:is>
          <x:t xml:space="preserve">DRUG_BDS003763</x:t>
        </x:is>
      </x:c>
      <x:c r="B18" t="inlineStr">
        <x:is>
          <x:t xml:space="preserve">BDS003763</x:t>
        </x:is>
      </x:c>
      <x:c r="C18" t="n">
        <x:v>3763</x:v>
      </x:c>
      <x:c r="D18" t="inlineStr">
        <x:is>
          <x:t xml:space="preserve">Tylenol Suspension</x:t>
        </x:is>
      </x:c>
      <x:c r="E18" t="inlineStr">
        <x:is>
          <x:t xml:space="preserve">Paracetamol 160 mg./5 ml.</x:t>
        </x:is>
      </x:c>
      <x:c r="F18" t="inlineStr">
        <x:is>
          <x:t xml:space="preserve">Tylenol Suspension [Paracetamol 160 mg./5 ml.]</x:t>
        </x:is>
      </x:c>
      <x:c r="G18" t="inlineStr">
        <x:is>
          <x:t xml:space="preserve">paracetamol syrup</x:t>
        </x:is>
      </x:c>
      <x:c r="H18" t="inlineStr">
        <x:is>
          <x:t xml:space="preserve">General analgesics/antipyretics</x:t>
        </x:is>
      </x:c>
      <x:c r="I18" t="inlineStr">
        <x:is>
          <x:t xml:space="preserve">ยาแก้ปวด, ลดไข้ ชนิดน้ำ</x:t>
        </x:is>
      </x:c>
      <x:c r="J18" t="inlineStr">
        <x:is>
          <x:t xml:space="preserve">syrup/suspension</x:t>
        </x:is>
      </x:c>
      <x:c r="K18" t="inlineStr">
        <x:is>
          <x:t xml:space="preserve">160 mg</x:t>
        </x:is>
      </x:c>
      <x:c r="L18" t="inlineStr">
        <x:is>
          <x:t xml:space="preserve">ขวด 60 ml.</x:t>
        </x:is>
      </x:c>
      <x:c r="M18" t="inlineStr">
        <x:is>
          <x:t xml:space="preserve">bottle</x:t>
        </x:is>
      </x:c>
      <x:c r="N18" t="inlineStr">
        <x:is>
          <x:t xml:space="preserve">รับประทานครั้งละ 5 ซีซี วันละ 3-4 ครั้ง</x:t>
        </x:is>
      </x:c>
      <x:c r="Q18" t="inlineStr">
        <x:is>
          <x:t xml:space="preserve">5 mL PO 3–4 times/day</x:t>
        </x:is>
      </x:c>
      <x:c r="S18" t="inlineStr">
        <x:is>
          <x:t xml:space="preserve">nausea, rash</x:t>
        </x:is>
      </x:c>
      <x:c r="T18" t="inlineStr">
        <x:is>
          <x:t xml:space="preserve">verify child weight; avoid duplicate paracetamol</x:t>
        </x:is>
      </x:c>
      <x:c r="W18" t="inlineStr">
        <x:is>
          <x:t xml:space="preserve">N</x:t>
        </x:is>
      </x:c>
      <x:c r="X18" t="inlineStr">
        <x:is>
          <x:t xml:space="preserve">N</x:t>
        </x:is>
      </x:c>
      <x:c r="Y18" t="inlineStr">
        <x:is>
          <x:t xml:space="preserve">N</x:t>
        </x:is>
      </x:c>
      <x:c r="Z18" t="inlineStr">
        <x:is>
          <x:t xml:space="preserve">N</x:t>
        </x:is>
      </x:c>
      <x:c r="AI18" t="inlineStr">
        <x:is>
          <x:t xml:space="preserve">Y</x:t>
        </x:is>
      </x:c>
      <x:c r="AJ18" t="inlineStr">
        <x:is>
          <x:t xml:space="preserve">2026-03-08</x:t>
        </x:is>
      </x:c>
    </x:row>
    <x:row r="19">
      <x:c r="A19" t="inlineStr">
        <x:is>
          <x:t xml:space="preserve">DRUG_BDS004212</x:t>
        </x:is>
      </x:c>
      <x:c r="B19" t="inlineStr">
        <x:is>
          <x:t xml:space="preserve">BDS004212</x:t>
        </x:is>
      </x:c>
      <x:c r="C19" t="n">
        <x:v>4212</x:v>
      </x:c>
      <x:c r="D19" t="inlineStr">
        <x:is>
          <x:t xml:space="preserve">Zyrtec Syrup</x:t>
        </x:is>
      </x:c>
      <x:c r="E19" t="inlineStr">
        <x:is>
          <x:t xml:space="preserve">Cetirizine 2HCI 1 mg./1 ml.</x:t>
        </x:is>
      </x:c>
      <x:c r="F19" t="inlineStr">
        <x:is>
          <x:t xml:space="preserve">Zyrtec Syrup [Cetirizine 2HCI 1 mg./1 ml.]</x:t>
        </x:is>
      </x:c>
      <x:c r="G19" t="inlineStr">
        <x:is>
          <x:t xml:space="preserve">cetirizine syrup</x:t>
        </x:is>
      </x:c>
      <x:c r="I19" t="inlineStr">
        <x:is>
          <x:t xml:space="preserve">ยาแก้แพ้, ลดน้ำมูก ชนิดน้ำ (D)</x:t>
        </x:is>
      </x:c>
      <x:c r="J19" t="inlineStr">
        <x:is>
          <x:t xml:space="preserve">syrup/suspension</x:t>
        </x:is>
      </x:c>
      <x:c r="K19" t="inlineStr">
        <x:is>
          <x:t xml:space="preserve">1 mg</x:t>
        </x:is>
      </x:c>
      <x:c r="L19" t="inlineStr">
        <x:is>
          <x:t xml:space="preserve">ขวด 75 ml.</x:t>
        </x:is>
      </x:c>
      <x:c r="M19" t="inlineStr">
        <x:is>
          <x:t xml:space="preserve">bottle</x:t>
        </x:is>
      </x:c>
      <x:c r="N19" t="inlineStr">
        <x:is>
          <x:t xml:space="preserve">ผู้ใหญ่และเด็กโตรับประทานครั้งละ 1-2 ช้อนชา วันละ 1 ครั้ง</x:t>
        </x:is>
      </x:c>
      <x:c r="Q19" t="inlineStr">
        <x:is>
          <x:t xml:space="preserve">1–2 tsp PO OD</x:t>
        </x:is>
      </x:c>
      <x:c r="S19" t="inlineStr">
        <x:is>
          <x:t xml:space="preserve">drowsy, dry mouth</x:t>
        </x:is>
      </x:c>
      <x:c r="T19" t="inlineStr">
        <x:is>
          <x:t xml:space="preserve">verify child age before use</x:t>
        </x:is>
      </x:c>
      <x:c r="W19" t="inlineStr">
        <x:is>
          <x:t xml:space="preserve">N</x:t>
        </x:is>
      </x:c>
      <x:c r="X19" t="inlineStr">
        <x:is>
          <x:t xml:space="preserve">N</x:t>
        </x:is>
      </x:c>
      <x:c r="Y19" t="inlineStr">
        <x:is>
          <x:t xml:space="preserve">N</x:t>
        </x:is>
      </x:c>
      <x:c r="Z19" t="inlineStr">
        <x:is>
          <x:t xml:space="preserve">N</x:t>
        </x:is>
      </x:c>
      <x:c r="AD19" t="n">
        <x:v>250</x:v>
      </x:c>
      <x:c r="AE19" t="n">
        <x:v>3.33</x:v>
      </x:c>
      <x:c r="AF19" t="inlineStr">
        <x:is>
          <x:t xml:space="preserve">USER</x:t>
        </x:is>
      </x:c>
      <x:c r="AG19" t="inlineStr">
        <x:is>
          <x:t xml:space="preserve">2026-02-17</x:t>
        </x:is>
      </x:c>
      <x:c r="AH19" t="inlineStr">
        <x:is>
          <x:t xml:space="preserve">User provided price (Zyrtec Syrup 75 ml). Unit price is per ml.</x:t>
        </x:is>
      </x:c>
      <x:c r="AI19" t="inlineStr">
        <x:is>
          <x:t xml:space="preserve">Y</x:t>
        </x:is>
      </x:c>
      <x:c r="AJ19" t="inlineStr">
        <x:is>
          <x:t xml:space="preserve">2026-03-08</x:t>
        </x:is>
      </x:c>
    </x:row>
    <x:row r="20">
      <x:c r="A20" t="inlineStr">
        <x:is>
          <x:t xml:space="preserve">DRUG_BDS002215</x:t>
        </x:is>
      </x:c>
      <x:c r="B20" t="inlineStr">
        <x:is>
          <x:t xml:space="preserve">BDS002215</x:t>
        </x:is>
      </x:c>
      <x:c r="C20" t="n">
        <x:v>2215</x:v>
      </x:c>
      <x:c r="D20" t="inlineStr">
        <x:is>
          <x:t xml:space="preserve">Iliadin Spray</x:t>
        </x:is>
      </x:c>
      <x:c r="E20" t="inlineStr">
        <x:is>
          <x:t xml:space="preserve">Oxymetazoline Hydrochloride 0.05% (0.5 mg./1 ml.)</x:t>
        </x:is>
      </x:c>
      <x:c r="F20" t="inlineStr">
        <x:is>
          <x:t xml:space="preserve">Iliadin Spray [Oxymetazoline Hydrochloride 0.05% (0.5 mg./1 ml.)]</x:t>
        </x:is>
      </x:c>
      <x:c r="G20" t="inlineStr">
        <x:is>
          <x:t xml:space="preserve">oxymetazoline</x:t>
        </x:is>
      </x:c>
      <x:c r="I20" t="inlineStr">
        <x:is>
          <x:t xml:space="preserve">ยาพ่นและยาหยอดจมูก</x:t>
        </x:is>
      </x:c>
      <x:c r="J20" t="inlineStr">
        <x:is>
          <x:t xml:space="preserve">spray</x:t>
        </x:is>
      </x:c>
      <x:c r="K20" t="inlineStr">
        <x:is>
          <x:t xml:space="preserve">0.05%</x:t>
        </x:is>
      </x:c>
      <x:c r="L20" t="inlineStr">
        <x:is>
          <x:t xml:space="preserve">ขวด 10 ml.</x:t>
        </x:is>
      </x:c>
      <x:c r="M20" t="inlineStr">
        <x:is>
          <x:t xml:space="preserve">bottle</x:t>
        </x:is>
      </x:c>
      <x:c r="N20" t="inlineStr">
        <x:is>
          <x:t xml:space="preserve">พ่นเข้าช่องจมูกข้างละ 1-2 สเปรย์ วันละ 2-3 ครั้ง หรือตามแพทย์สั่ง </x:t>
        </x:is>
      </x:c>
      <x:c r="P20" t="inlineStr">
        <x:is>
          <x:t xml:space="preserve">1–2 sprays/nostril BID–TID (max 3 days)</x:t>
        </x:is>
      </x:c>
      <x:c r="R20" t="inlineStr">
        <x:is>
          <x:t xml:space="preserve">Nasal blockage; use ≤3 days (rebound).</x:t>
        </x:is>
      </x:c>
      <x:c r="S20" t="inlineStr">
        <x:is>
          <x:t xml:space="preserve">local irritation</x:t>
        </x:is>
      </x:c>
      <x:c r="T20" t="inlineStr">
        <x:is>
          <x:t xml:space="preserve">≤3 days; rebound congestion; caution HTN</x:t>
        </x:is>
      </x:c>
      <x:c r="V20" t="n">
        <x:v>23</x:v>
      </x:c>
      <x:c r="W20" t="inlineStr">
        <x:is>
          <x:t xml:space="preserve">Y</x:t>
        </x:is>
      </x:c>
      <x:c r="X20" t="inlineStr">
        <x:is>
          <x:t xml:space="preserve">N</x:t>
        </x:is>
      </x:c>
      <x:c r="Y20" t="inlineStr">
        <x:is>
          <x:t xml:space="preserve">N</x:t>
        </x:is>
      </x:c>
      <x:c r="Z20" t="inlineStr">
        <x:is>
          <x:t xml:space="preserve">N</x:t>
        </x:is>
      </x:c>
      <x:c r="AD20" t="n">
        <x:v>262</x:v>
      </x:c>
      <x:c r="AE20" t="n">
        <x:v>26.2</x:v>
      </x:c>
      <x:c r="AF20" t="inlineStr">
        <x:is>
          <x:t xml:space="preserve">USER</x:t>
        </x:is>
      </x:c>
      <x:c r="AG20" t="inlineStr">
        <x:is>
          <x:t xml:space="preserve">2026-02-07</x:t>
        </x:is>
      </x:c>
      <x:c r="AH20" t="inlineStr">
        <x:is>
          <x:t xml:space="preserve">User provided price (online). Unit price is per mL (10 mL bottle).</x:t>
        </x:is>
      </x:c>
      <x:c r="AI20" t="inlineStr">
        <x:is>
          <x:t xml:space="preserve">Y</x:t>
        </x:is>
      </x:c>
      <x:c r="AJ20" t="inlineStr">
        <x:is>
          <x:t xml:space="preserve">2026-03-08</x:t>
        </x:is>
      </x:c>
    </x:row>
    <x:row r="21">
      <x:c r="A21" t="inlineStr">
        <x:is>
          <x:t xml:space="preserve">DRUG_BDS044320</x:t>
        </x:is>
      </x:c>
      <x:c r="B21" t="inlineStr">
        <x:is>
          <x:t xml:space="preserve">BDS044320</x:t>
        </x:is>
      </x:c>
      <x:c r="C21" t="n">
        <x:v>44320</x:v>
      </x:c>
      <x:c r="D21" t="inlineStr">
        <x:is>
          <x:t xml:space="preserve">Klean &amp; Kare Saline เล็ก</x:t>
        </x:is>
      </x:c>
      <x:c r="E21" t="inlineStr">
        <x:is>
          <x:t xml:space="preserve">Sodium Chloride 0.9 g./100 ml.</x:t>
        </x:is>
      </x:c>
      <x:c r="F21" t="inlineStr">
        <x:is>
          <x:t xml:space="preserve">Klean &amp; Kare Saline เล็ก [Sodium Chloride 0.9 g./100 ml.]</x:t>
        </x:is>
      </x:c>
      <x:c r="G21" t="inlineStr">
        <x:is>
          <x:t xml:space="preserve">normal saline</x:t>
        </x:is>
      </x:c>
      <x:c r="H21" t="inlineStr">
        <x:is>
          <x:t xml:space="preserve">Normal saline / irrigation</x:t>
        </x:is>
      </x:c>
      <x:c r="I21" t="inlineStr">
        <x:is>
          <x:t xml:space="preserve">น้ำเกลือ</x:t>
        </x:is>
      </x:c>
      <x:c r="J21" t="inlineStr">
        <x:is>
          <x:t xml:space="preserve">irrigation</x:t>
        </x:is>
      </x:c>
      <x:c r="K21" t="inlineStr">
        <x:is>
          <x:t xml:space="preserve">0.9 g</x:t>
        </x:is>
      </x:c>
      <x:c r="L21" t="inlineStr">
        <x:is>
          <x:t xml:space="preserve">ขวด 100 ml.</x:t>
        </x:is>
      </x:c>
      <x:c r="M21" t="inlineStr">
        <x:is>
          <x:t xml:space="preserve">bottle</x:t>
        </x:is>
      </x:c>
      <x:c r="N21" t="inlineStr">
        <x:is>
          <x:t xml:space="preserve">ล้างทำความสะอาดในบริเวณที่ต้องการ </x:t>
        </x:is>
      </x:c>
      <x:c r="P21" t="inlineStr">
        <x:is>
          <x:t xml:space="preserve">irrigate / rinse nasal cavity PRN</x:t>
        </x:is>
      </x:c>
      <x:c r="R21" t="inlineStr">
        <x:is>
          <x:t xml:space="preserve">Nasal irrigation; safe adjunct.</x:t>
        </x:is>
      </x:c>
      <x:c r="S21" t="inlineStr">
        <x:is>
          <x:t xml:space="preserve">mild local discomfort</x:t>
        </x:is>
      </x:c>
      <x:c r="T21" t="inlineStr">
        <x:is>
          <x:t xml:space="preserve">sterile technique; stop if severe ear pain</x:t>
        </x:is>
      </x:c>
      <x:c r="V21" t="n">
        <x:v>28</x:v>
      </x:c>
      <x:c r="W21" t="inlineStr">
        <x:is>
          <x:t xml:space="preserve">Y</x:t>
        </x:is>
      </x:c>
      <x:c r="X21" t="inlineStr">
        <x:is>
          <x:t xml:space="preserve">N</x:t>
        </x:is>
      </x:c>
      <x:c r="Y21" t="inlineStr">
        <x:is>
          <x:t xml:space="preserve">N</x:t>
        </x:is>
      </x:c>
      <x:c r="Z21" t="inlineStr">
        <x:is>
          <x:t xml:space="preserve">N</x:t>
        </x:is>
      </x:c>
      <x:c r="AI21" t="inlineStr">
        <x:is>
          <x:t xml:space="preserve">Y</x:t>
        </x:is>
      </x:c>
      <x:c r="AJ21" t="inlineStr">
        <x:is>
          <x:t xml:space="preserve">2026-03-08</x:t>
        </x:is>
      </x:c>
    </x:row>
    <x:row r="22">
      <x:c r="A22" t="inlineStr">
        <x:is>
          <x:t xml:space="preserve">DRUG_BDS002211</x:t>
        </x:is>
      </x:c>
      <x:c r="B22" t="inlineStr">
        <x:is>
          <x:t xml:space="preserve">BDS002211</x:t>
        </x:is>
      </x:c>
      <x:c r="C22" t="n">
        <x:v>2211</x:v>
      </x:c>
      <x:c r="D22" t="inlineStr">
        <x:is>
          <x:t xml:space="preserve">Icolid (ควบคุมจำนวน)</x:t>
        </x:is>
      </x:c>
      <x:c r="E22" t="inlineStr">
        <x:is>
          <x:t xml:space="preserve">Dextromethorphan HBr 15 mg.</x:t>
        </x:is>
      </x:c>
      <x:c r="F22" t="inlineStr">
        <x:is>
          <x:t xml:space="preserve">Icolid (ควบคุมจำนวน) [Dextromethorphan HBr 15 mg.]</x:t>
        </x:is>
      </x:c>
      <x:c r="G22" t="inlineStr">
        <x:is>
          <x:t xml:space="preserve">dextromethorphan</x:t>
        </x:is>
      </x:c>
      <x:c r="H22" t="inlineStr">
        <x:is>
          <x:t xml:space="preserve">Cough medicines / mucolytics / expectorants</x:t>
        </x:is>
      </x:c>
      <x:c r="I22" t="inlineStr">
        <x:is>
          <x:t xml:space="preserve">ยาแก้ไอแห้ง, คันคอ (D)</x:t>
        </x:is>
      </x:c>
      <x:c r="J22" t="inlineStr">
        <x:is>
          <x:t xml:space="preserve">tablet</x:t>
        </x:is>
      </x:c>
      <x:c r="K22" t="inlineStr">
        <x:is>
          <x:t xml:space="preserve">15 mg</x:t>
        </x:is>
      </x:c>
      <x:c r="L22" t="inlineStr">
        <x:is>
          <x:t xml:space="preserve">แผง 10 เม็ด</x:t>
        </x:is>
      </x:c>
      <x:c r="M22" t="inlineStr">
        <x:is>
          <x:t xml:space="preserve">strip</x:t>
        </x:is>
      </x:c>
      <x:c r="N22" t="inlineStr">
        <x:is>
          <x:t xml:space="preserve">รับประทานครั้งละ 1-2 เม็ด วันละ 3 ครั้ง</x:t>
        </x:is>
      </x:c>
      <x:c r="P22" t="inlineStr">
        <x:is>
          <x:t xml:space="preserve">1–2 tabs PO TID</x:t>
        </x:is>
      </x:c>
      <x:c r="R22" t="inlineStr">
        <x:is>
          <x:t xml:space="preserve">Dry cough / cough disturbing sleep; limit qty.</x:t>
        </x:is>
      </x:c>
      <x:c r="S22" t="inlineStr">
        <x:is>
          <x:t xml:space="preserve">drowsy, dizzy</x:t>
        </x:is>
      </x:c>
      <x:c r="T22" t="inlineStr">
        <x:is>
          <x:t xml:space="preserve">avoid with serotonergic meds; do not suppress heavy sputum</x:t>
        </x:is>
      </x:c>
      <x:c r="U22" t="inlineStr">
        <x:is>
          <x:t xml:space="preserve">Limit order ≤2 แผง per your rule.</x:t>
        </x:is>
      </x:c>
      <x:c r="V22" t="n">
        <x:v>14</x:v>
      </x:c>
      <x:c r="W22" t="inlineStr">
        <x:is>
          <x:t xml:space="preserve">Y</x:t>
        </x:is>
      </x:c>
      <x:c r="X22" t="inlineStr">
        <x:is>
          <x:t xml:space="preserve">N</x:t>
        </x:is>
      </x:c>
      <x:c r="Y22" t="inlineStr">
        <x:is>
          <x:t xml:space="preserve">N</x:t>
        </x:is>
      </x:c>
      <x:c r="Z22" t="inlineStr">
        <x:is>
          <x:t xml:space="preserve">Y</x:t>
        </x:is>
      </x:c>
      <x:c r="AD22" t="n">
        <x:v>50</x:v>
      </x:c>
      <x:c r="AE22" t="n">
        <x:v>5</x:v>
      </x:c>
      <x:c r="AF22" t="inlineStr">
        <x:is>
          <x:t xml:space="preserve">USER</x:t>
        </x:is>
      </x:c>
      <x:c r="AG22" t="inlineStr">
        <x:is>
          <x:t xml:space="preserve">2026-02-07</x:t>
        </x:is>
      </x:c>
      <x:c r="AH22" t="inlineStr">
        <x:is>
          <x:t xml:space="preserve">User provided price (online). Unit price per tablet (10 tabs pack).</x:t>
        </x:is>
      </x:c>
      <x:c r="AI22" t="inlineStr">
        <x:is>
          <x:t xml:space="preserve">Y</x:t>
        </x:is>
      </x:c>
      <x:c r="AJ22" t="inlineStr">
        <x:is>
          <x:t xml:space="preserve">2026-03-08</x:t>
        </x:is>
      </x:c>
    </x:row>
    <x:row r="23">
      <x:c r="A23" t="inlineStr">
        <x:is>
          <x:t xml:space="preserve">DRUG_BDS007973</x:t>
        </x:is>
      </x:c>
      <x:c r="B23" t="inlineStr">
        <x:is>
          <x:t xml:space="preserve">BDS007973</x:t>
        </x:is>
      </x:c>
      <x:c r="C23" t="n">
        <x:v>7973</x:v>
      </x:c>
      <x:c r="D23" t="inlineStr">
        <x:is>
          <x:t xml:space="preserve">Fartussin (ควบคุมจำนวน)</x:t>
        </x:is>
      </x:c>
      <x:c r="E23" t="inlineStr">
        <x:is>
          <x:t xml:space="preserve">Dextromethorphan HBr 15 mg.+Glyceryl Guaiacolate 100 mg.+Terpin Hydrate 130 mg.</x:t>
        </x:is>
      </x:c>
      <x:c r="F23" t="inlineStr">
        <x:is>
          <x:t xml:space="preserve">Fartussin (ควบคุมจำนวน) [Dextromethorphan HBr 15 mg.+Glyceryl Guaiacolate 100 mg.+Terpin Hydrate 130 mg.]</x:t>
        </x:is>
      </x:c>
      <x:c r="G23" t="inlineStr">
        <x:is>
          <x:t xml:space="preserve">cough combo</x:t>
        </x:is>
      </x:c>
      <x:c r="H23" t="inlineStr">
        <x:is>
          <x:t xml:space="preserve">Cough medicines / mucolytics / expectorants</x:t>
        </x:is>
      </x:c>
      <x:c r="I23" t="inlineStr">
        <x:is>
          <x:t xml:space="preserve">ยาแก้ไอสูตรผสม (D)</x:t>
        </x:is>
      </x:c>
      <x:c r="J23" t="inlineStr">
        <x:is>
          <x:t xml:space="preserve">tablet</x:t>
        </x:is>
      </x:c>
      <x:c r="K23" t="inlineStr">
        <x:is>
          <x:t xml:space="preserve">15 mg</x:t>
        </x:is>
      </x:c>
      <x:c r="L23" t="inlineStr">
        <x:is>
          <x:t xml:space="preserve">แผง 10 เม็ด</x:t>
        </x:is>
      </x:c>
      <x:c r="M23" t="inlineStr">
        <x:is>
          <x:t xml:space="preserve">strip</x:t>
        </x:is>
      </x:c>
      <x:c r="N23" t="inlineStr">
        <x:is>
          <x:t xml:space="preserve">รับประทานครั้งละ 1-2 เม็ด วันละ 3-4 ครั้ง</x:t>
        </x:is>
      </x:c>
      <x:c r="P23" t="inlineStr">
        <x:is>
          <x:t xml:space="preserve">1–2 tabs PO TID–QID</x:t>
        </x:is>
      </x:c>
      <x:c r="R23" t="inlineStr">
        <x:is>
          <x:t xml:space="preserve">Cough ± mucus; limit qty.</x:t>
        </x:is>
      </x:c>
      <x:c r="S23" t="inlineStr">
        <x:is>
          <x:t xml:space="preserve">drowsy, GI upset</x:t>
        </x:is>
      </x:c>
      <x:c r="T23" t="inlineStr">
        <x:is>
          <x:t xml:space="preserve">limit ≤2 packs; avoid if heavy sputum suppression is undesirable</x:t>
        </x:is>
      </x:c>
      <x:c r="U23" t="inlineStr">
        <x:is>
          <x:t xml:space="preserve">Limit order ≤2 แผง per your rule.</x:t>
        </x:is>
      </x:c>
      <x:c r="V23" t="n">
        <x:v>15</x:v>
      </x:c>
      <x:c r="W23" t="inlineStr">
        <x:is>
          <x:t xml:space="preserve">Y</x:t>
        </x:is>
      </x:c>
      <x:c r="X23" t="inlineStr">
        <x:is>
          <x:t xml:space="preserve">N</x:t>
        </x:is>
      </x:c>
      <x:c r="Y23" t="inlineStr">
        <x:is>
          <x:t xml:space="preserve">N</x:t>
        </x:is>
      </x:c>
      <x:c r="Z23" t="inlineStr">
        <x:is>
          <x:t xml:space="preserve">Y</x:t>
        </x:is>
      </x:c>
      <x:c r="AI23" t="inlineStr">
        <x:is>
          <x:t xml:space="preserve">Y</x:t>
        </x:is>
      </x:c>
      <x:c r="AJ23" t="inlineStr">
        <x:is>
          <x:t xml:space="preserve">2026-03-08</x:t>
        </x:is>
      </x:c>
    </x:row>
    <x:row r="24">
      <x:c r="A24" t="inlineStr">
        <x:is>
          <x:t xml:space="preserve">DRUG_BDS002042</x:t>
        </x:is>
      </x:c>
      <x:c r="B24" t="inlineStr">
        <x:is>
          <x:t xml:space="preserve">BDS002042</x:t>
        </x:is>
      </x:c>
      <x:c r="C24" t="n">
        <x:v>2042</x:v>
      </x:c>
      <x:c r="D24" t="inlineStr">
        <x:is>
          <x:t xml:space="preserve">Gofen 400</x:t>
        </x:is>
      </x:c>
      <x:c r="E24" t="inlineStr">
        <x:is>
          <x:t xml:space="preserve">Ibuprofen 400 mg.+Polyethylene 400+Porpylene Glycol</x:t>
        </x:is>
      </x:c>
      <x:c r="F24" t="inlineStr">
        <x:is>
          <x:t xml:space="preserve">Gofen 400 [Ibuprofen 400 mg.+Polyethylene 400+Porpylene Glycol]</x:t>
        </x:is>
      </x:c>
      <x:c r="G24" t="inlineStr">
        <x:is>
          <x:t xml:space="preserve">ibuprofen</x:t>
        </x:is>
      </x:c>
      <x:c r="H24" t="inlineStr">
        <x:is>
          <x:t xml:space="preserve">General analgesics/antipyretics</x:t>
        </x:is>
      </x:c>
      <x:c r="I24" t="inlineStr">
        <x:is>
          <x:t xml:space="preserve">ยาแก้ปวด, ลดไข้ (D)</x:t>
        </x:is>
      </x:c>
      <x:c r="J24" t="inlineStr">
        <x:is>
          <x:t xml:space="preserve">capsule</x:t>
        </x:is>
      </x:c>
      <x:c r="K24" t="inlineStr">
        <x:is>
          <x:t xml:space="preserve">400 mg</x:t>
        </x:is>
      </x:c>
      <x:c r="L24" t="inlineStr">
        <x:is>
          <x:t xml:space="preserve">กล่อง 10 แคปซูล</x:t>
        </x:is>
      </x:c>
      <x:c r="M24" t="inlineStr">
        <x:is>
          <x:t xml:space="preserve">box</x:t>
        </x:is>
      </x:c>
      <x:c r="N24" t="inlineStr">
        <x:is>
          <x:t xml:space="preserve">รับประทานครั้งละ 1 แคปซูล ทุก 4-6 ชั่วโมง </x:t>
        </x:is>
      </x:c>
      <x:c r="P24" t="inlineStr">
        <x:is>
          <x:t xml:space="preserve">1 cap PO q4–6h PRN pain</x:t>
        </x:is>
      </x:c>
      <x:c r="R24" t="inlineStr">
        <x:is>
          <x:t xml:space="preserve">Inflammatory pain; choose based on GI/CV/renal risk.</x:t>
        </x:is>
      </x:c>
      <x:c r="S24" t="inlineStr">
        <x:is>
          <x:t xml:space="preserve">GI upset</x:t>
        </x:is>
      </x:c>
      <x:c r="T24" t="inlineStr">
        <x:is>
          <x:t xml:space="preserve">avoid PUD/GI bleed/CKD; pregnancy 3rd tri</x:t>
        </x:is>
      </x:c>
      <x:c r="V24" t="n">
        <x:v>44</x:v>
      </x:c>
      <x:c r="W24" t="inlineStr">
        <x:is>
          <x:t xml:space="preserve">Y</x:t>
        </x:is>
      </x:c>
      <x:c r="X24" t="inlineStr">
        <x:is>
          <x:t xml:space="preserve">N</x:t>
        </x:is>
      </x:c>
      <x:c r="Y24" t="inlineStr">
        <x:is>
          <x:t xml:space="preserve">N</x:t>
        </x:is>
      </x:c>
      <x:c r="Z24" t="inlineStr">
        <x:is>
          <x:t xml:space="preserve">N</x:t>
        </x:is>
      </x:c>
      <x:c r="AD24" t="n">
        <x:v>177</x:v>
      </x:c>
      <x:c r="AE24" t="n">
        <x:v>17.7</x:v>
      </x:c>
      <x:c r="AF24" t="inlineStr">
        <x:is>
          <x:t xml:space="preserve">USER</x:t>
        </x:is>
      </x:c>
      <x:c r="AG24" t="inlineStr">
        <x:is>
          <x:t xml:space="preserve">2026-02-07</x:t>
        </x:is>
      </x:c>
      <x:c r="AH24" t="inlineStr">
        <x:is>
          <x:t xml:space="preserve">User provided price (Gofen 400 10 caps).</x:t>
        </x:is>
      </x:c>
      <x:c r="AI24" t="inlineStr">
        <x:is>
          <x:t xml:space="preserve">Y</x:t>
        </x:is>
      </x:c>
      <x:c r="AJ24" t="inlineStr">
        <x:is>
          <x:t xml:space="preserve">2026-03-08</x:t>
        </x:is>
      </x:c>
    </x:row>
    <x:row r="25">
      <x:c r="A25" t="inlineStr">
        <x:is>
          <x:t xml:space="preserve">DRUG_BDS003914</x:t>
        </x:is>
      </x:c>
      <x:c r="B25" t="inlineStr">
        <x:is>
          <x:t xml:space="preserve">BDS003914</x:t>
        </x:is>
      </x:c>
      <x:c r="C25" t="n">
        <x:v>3914</x:v>
      </x:c>
      <x:c r="D25" t="inlineStr">
        <x:is>
          <x:t xml:space="preserve">Uniren Spray</x:t>
        </x:is>
      </x:c>
      <x:c r="E25" t="inlineStr">
        <x:is>
          <x:t xml:space="preserve">Diclofenac Sodium 1 % w/w</x:t>
        </x:is>
      </x:c>
      <x:c r="F25" t="inlineStr">
        <x:is>
          <x:t xml:space="preserve">Uniren Spray [Diclofenac Sodium 1 % w/w]</x:t>
        </x:is>
      </x:c>
      <x:c r="G25" t="inlineStr">
        <x:is>
          <x:t xml:space="preserve">diclofenac topical</x:t>
        </x:is>
      </x:c>
      <x:c r="H25" t="inlineStr">
        <x:is>
          <x:t xml:space="preserve">Topical pain relief / topical NSAIDs</x:t>
        </x:is>
      </x:c>
      <x:c r="I25" t="inlineStr">
        <x:is>
          <x:t xml:space="preserve">ยาทาและยาพ่นแก้ปวดอักเสบ NSAIDs</x:t>
        </x:is>
      </x:c>
      <x:c r="J25" t="inlineStr">
        <x:is>
          <x:t xml:space="preserve">spray</x:t>
        </x:is>
      </x:c>
      <x:c r="K25" t="inlineStr">
        <x:is>
          <x:t xml:space="preserve">1 %</x:t>
        </x:is>
      </x:c>
      <x:c r="L25" t="inlineStr">
        <x:is>
          <x:t xml:space="preserve">ขวด 60 ml.</x:t>
        </x:is>
      </x:c>
      <x:c r="M25" t="inlineStr">
        <x:is>
          <x:t xml:space="preserve">bottle</x:t>
        </x:is>
      </x:c>
      <x:c r="N25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25" t="inlineStr">
        <x:is>
          <x:t xml:space="preserve">spray to affected area TID–QID</x:t>
        </x:is>
      </x:c>
      <x:c r="R25" t="inlineStr">
        <x:is>
          <x:t xml:space="preserve">Local muscle/joint pain; topical analgesic/NSAID.</x:t>
        </x:is>
      </x:c>
      <x:c r="S25" t="inlineStr">
        <x:is>
          <x:t xml:space="preserve">local skin irritation</x:t>
        </x:is>
      </x:c>
      <x:c r="T25" t="inlineStr">
        <x:is>
          <x:t xml:space="preserve">avoid broken skin; NSAID allergy</x:t>
        </x:is>
      </x:c>
      <x:c r="V25" t="n">
        <x:v>48</x:v>
      </x:c>
      <x:c r="W25" t="inlineStr">
        <x:is>
          <x:t xml:space="preserve">Y</x:t>
        </x:is>
      </x:c>
      <x:c r="X25" t="inlineStr">
        <x:is>
          <x:t xml:space="preserve">N</x:t>
        </x:is>
      </x:c>
      <x:c r="Y25" t="inlineStr">
        <x:is>
          <x:t xml:space="preserve">N</x:t>
        </x:is>
      </x:c>
      <x:c r="Z25" t="inlineStr">
        <x:is>
          <x:t xml:space="preserve">N</x:t>
        </x:is>
      </x:c>
      <x:c r="AD25" t="n">
        <x:v>346</x:v>
      </x:c>
      <x:c r="AE25" t="n">
        <x:v>5.77</x:v>
      </x:c>
      <x:c r="AF25" t="inlineStr">
        <x:is>
          <x:t xml:space="preserve">USER</x:t>
        </x:is>
      </x:c>
      <x:c r="AG25" t="inlineStr">
        <x:is>
          <x:t xml:space="preserve">2026-02-07</x:t>
        </x:is>
      </x:c>
      <x:c r="AH25" t="inlineStr">
        <x:is>
          <x:t xml:space="preserve">User provided price (Uniren Spray 60 ml).</x:t>
        </x:is>
      </x:c>
      <x:c r="AI25" t="inlineStr">
        <x:is>
          <x:t xml:space="preserve">Y</x:t>
        </x:is>
      </x:c>
      <x:c r="AJ25" t="inlineStr">
        <x:is>
          <x:t xml:space="preserve">2026-03-08</x:t>
        </x:is>
      </x:c>
    </x:row>
    <x:row r="26">
      <x:c r="A26" t="inlineStr">
        <x:is>
          <x:t xml:space="preserve">DRUG_BDS006571</x:t>
        </x:is>
      </x:c>
      <x:c r="B26" t="inlineStr">
        <x:is>
          <x:t xml:space="preserve">BDS006571</x:t>
        </x:is>
      </x:c>
      <x:c r="C26" t="n">
        <x:v>6571</x:v>
      </x:c>
      <x:c r="D26" t="inlineStr">
        <x:is>
          <x:t xml:space="preserve">Serc 24 mg</x:t>
        </x:is>
      </x:c>
      <x:c r="E26" t="inlineStr">
        <x:is>
          <x:t xml:space="preserve">Betahistine dihydrochloride 24 mg.</x:t>
        </x:is>
      </x:c>
      <x:c r="F26" t="inlineStr">
        <x:is>
          <x:t xml:space="preserve">Serc 24 mg [Betahistine dihydrochloride 24 mg.]</x:t>
        </x:is>
      </x:c>
      <x:c r="G26" t="inlineStr">
        <x:is>
          <x:t xml:space="preserve">betahistine</x:t>
        </x:is>
      </x:c>
      <x:c r="I26" t="inlineStr">
        <x:is>
          <x:t xml:space="preserve">ยาปรับการไหลเวียนโลหิต (D)</x:t>
        </x:is>
      </x:c>
      <x:c r="J26" t="inlineStr">
        <x:is>
          <x:t xml:space="preserve">tablet</x:t>
        </x:is>
      </x:c>
      <x:c r="K26" t="inlineStr">
        <x:is>
          <x:t xml:space="preserve">24 mg</x:t>
        </x:is>
      </x:c>
      <x:c r="L26" t="inlineStr">
        <x:is>
          <x:t xml:space="preserve">กล่อง 20 เม็ด</x:t>
        </x:is>
      </x:c>
      <x:c r="M26" t="inlineStr">
        <x:is>
          <x:t xml:space="preserve">box</x:t>
        </x:is>
      </x:c>
      <x:c r="N26" t="inlineStr">
        <x:is>
          <x:t xml:space="preserve">รับประทานครั้งละ 1 เม็ด วันละ 2 ครั้ง หรือตามแพทย์สั่ง</x:t>
        </x:is>
      </x:c>
      <x:c r="P26" t="inlineStr">
        <x:is>
          <x:t xml:space="preserve">1 tab PO BID</x:t>
        </x:is>
      </x:c>
      <x:c r="R26" t="inlineStr">
        <x:is>
          <x:t xml:space="preserve">Condition-specific (vertigo/migraine/aphthous/HSV).</x:t>
        </x:is>
      </x:c>
      <x:c r="S26" t="inlineStr">
        <x:is>
          <x:t xml:space="preserve">nausea, headache</x:t>
        </x:is>
      </x:c>
      <x:c r="T26" t="inlineStr">
        <x:is>
          <x:t xml:space="preserve">condition-specific; verify vertigo diagnosis</x:t>
        </x:is>
      </x:c>
      <x:c r="V26" t="n">
        <x:v>50</x:v>
      </x:c>
      <x:c r="W26" t="inlineStr">
        <x:is>
          <x:t xml:space="preserve">Y</x:t>
        </x:is>
      </x:c>
      <x:c r="X26" t="inlineStr">
        <x:is>
          <x:t xml:space="preserve">N</x:t>
        </x:is>
      </x:c>
      <x:c r="Y26" t="inlineStr">
        <x:is>
          <x:t xml:space="preserve">N</x:t>
        </x:is>
      </x:c>
      <x:c r="Z26" t="inlineStr">
        <x:is>
          <x:t xml:space="preserve">N</x:t>
        </x:is>
      </x:c>
      <x:c r="AI26" t="inlineStr">
        <x:is>
          <x:t xml:space="preserve">Y</x:t>
        </x:is>
      </x:c>
      <x:c r="AJ26" t="inlineStr">
        <x:is>
          <x:t xml:space="preserve">2026-03-08</x:t>
        </x:is>
      </x:c>
    </x:row>
    <x:row r="27">
      <x:c r="A27" t="inlineStr">
        <x:is>
          <x:t xml:space="preserve">DRUG_BDS006840</x:t>
        </x:is>
      </x:c>
      <x:c r="B27" t="inlineStr">
        <x:is>
          <x:t xml:space="preserve">BDS006840</x:t>
        </x:is>
      </x:c>
      <x:c r="C27" t="n">
        <x:v>6840</x:v>
      </x:c>
      <x:c r="D27" t="inlineStr">
        <x:is>
          <x:t xml:space="preserve">Relpax 40 mg</x:t>
        </x:is>
      </x:c>
      <x:c r="E27" t="inlineStr">
        <x:is>
          <x:t xml:space="preserve">Eletriptan 40 mg.</x:t>
        </x:is>
      </x:c>
      <x:c r="F27" t="inlineStr">
        <x:is>
          <x:t xml:space="preserve">Relpax 40 mg [Eletriptan 40 mg.]</x:t>
        </x:is>
      </x:c>
      <x:c r="G27" t="inlineStr">
        <x:is>
          <x:t xml:space="preserve">eletriptan</x:t>
        </x:is>
      </x:c>
      <x:c r="H27" t="inlineStr">
        <x:is>
          <x:t xml:space="preserve">Migraine-specific drugs</x:t>
        </x:is>
      </x:c>
      <x:c r="I27" t="inlineStr">
        <x:is>
          <x:t xml:space="preserve">ยาแก้ปวดไมเกรน (D)</x:t>
        </x:is>
      </x:c>
      <x:c r="J27" t="inlineStr">
        <x:is>
          <x:t xml:space="preserve">tablet</x:t>
        </x:is>
      </x:c>
      <x:c r="K27" t="inlineStr">
        <x:is>
          <x:t xml:space="preserve">40 mg</x:t>
        </x:is>
      </x:c>
      <x:c r="L27" t="inlineStr">
        <x:is>
          <x:t xml:space="preserve">กล่อง 2 เม็ด</x:t>
        </x:is>
      </x:c>
      <x:c r="M27" t="inlineStr">
        <x:is>
          <x:t xml:space="preserve">box</x:t>
        </x:is>
      </x:c>
      <x:c r="N27" t="inlineStr">
        <x:is>
          <x:t xml:space="preserve">รับประทานครั้งละ 1 เม็ด เมื่อเริ่มมีอาการ รับประทานเม็ดที่ 2 ได้ ห่างจากเม็ดแรก 2 ชั่วโมง</x:t>
        </x:is>
      </x:c>
      <x:c r="P27" t="inlineStr">
        <x:is>
          <x:t xml:space="preserve">1 tab at migraine onset; may repeat once after 2 h</x:t>
        </x:is>
      </x:c>
      <x:c r="R27" t="inlineStr">
        <x:is>
          <x:t xml:space="preserve">Condition-specific (vertigo/migraine/aphthous/HSV).</x:t>
        </x:is>
      </x:c>
      <x:c r="S27" t="inlineStr">
        <x:is>
          <x:t xml:space="preserve">dizziness, nausea</x:t>
        </x:is>
      </x:c>
      <x:c r="T27" t="inlineStr">
        <x:is>
          <x:t xml:space="preserve">avoid with ischemic heart disease/uncontrolled HTN</x:t>
        </x:is>
      </x:c>
      <x:c r="V27" t="n">
        <x:v>51</x:v>
      </x:c>
      <x:c r="W27" t="inlineStr">
        <x:is>
          <x:t xml:space="preserve">Y</x:t>
        </x:is>
      </x:c>
      <x:c r="X27" t="inlineStr">
        <x:is>
          <x:t xml:space="preserve">N</x:t>
        </x:is>
      </x:c>
      <x:c r="Y27" t="inlineStr">
        <x:is>
          <x:t xml:space="preserve">N</x:t>
        </x:is>
      </x:c>
      <x:c r="Z27" t="inlineStr">
        <x:is>
          <x:t xml:space="preserve">N</x:t>
        </x:is>
      </x:c>
      <x:c r="AD27" t="n">
        <x:v>516</x:v>
      </x:c>
      <x:c r="AE27" t="n">
        <x:v>258</x:v>
      </x:c>
      <x:c r="AF27" t="inlineStr">
        <x:is>
          <x:t xml:space="preserve">USER</x:t>
        </x:is>
      </x:c>
      <x:c r="AG27" t="inlineStr">
        <x:is>
          <x:t xml:space="preserve">2026-02-17</x:t>
        </x:is>
      </x:c>
      <x:c r="AH27" t="inlineStr">
        <x:is>
          <x:t xml:space="preserve">User provided price (Relpax 40 mg 2 tabs). Unit price is per tab.</x:t>
        </x:is>
      </x:c>
      <x:c r="AI27" t="inlineStr">
        <x:is>
          <x:t xml:space="preserve">Y</x:t>
        </x:is>
      </x:c>
      <x:c r="AJ27" t="inlineStr">
        <x:is>
          <x:t xml:space="preserve">2026-03-08</x:t>
        </x:is>
      </x:c>
    </x:row>
    <x:row r="28">
      <x:c r="A28" t="inlineStr">
        <x:is>
          <x:t xml:space="preserve">DRUG_BDS002430</x:t>
        </x:is>
      </x:c>
      <x:c r="B28" t="inlineStr">
        <x:is>
          <x:t xml:space="preserve">BDS002430</x:t>
        </x:is>
      </x:c>
      <x:c r="C28" t="n">
        <x:v>2430</x:v>
      </x:c>
      <x:c r="D28" t="inlineStr">
        <x:is>
          <x:t xml:space="preserve">Kamistad-Gel N</x:t>
        </x:is>
      </x:c>
      <x:c r="E28" t="inlineStr">
        <x:is>
          <x:t xml:space="preserve">Lidocaine HCl 20 mg.+Chamomile Flower Extract 185 mg.+Ethanol 50% v/v+Tromethamole 1.37% w/w+Preservative (Benzalkonium Chloride 1 mg.)/1 g.</x:t>
        </x:is>
      </x:c>
      <x:c r="F28" t="inlineStr">
        <x:is>
          <x:t xml:space="preserve">Kamistad-Gel N [Lidocaine HCl 20 mg.+Chamomile Flower Extract 185 mg.+Ethanol 50% v/v+Tromethamole 1.37% w/w+Preservative (Benzalkonium Chloride 1 mg.)/1 g.]</x:t>
        </x:is>
      </x:c>
      <x:c r="G28" t="inlineStr">
        <x:is>
          <x:t xml:space="preserve">oral ulcer gel</x:t>
        </x:is>
      </x:c>
      <x:c r="H28" t="inlineStr">
        <x:is>
          <x:t xml:space="preserve">Mouthwash / throat/oral care</x:t>
        </x:is>
      </x:c>
      <x:c r="I28" t="inlineStr">
        <x:is>
          <x:t xml:space="preserve">ยาทาแผลในปาก (D)</x:t>
        </x:is>
      </x:c>
      <x:c r="J28" t="inlineStr">
        <x:is>
          <x:t xml:space="preserve">cream/gel</x:t>
        </x:is>
      </x:c>
      <x:c r="K28" t="inlineStr">
        <x:is>
          <x:t xml:space="preserve">20 mg</x:t>
        </x:is>
      </x:c>
      <x:c r="L28" t="inlineStr">
        <x:is>
          <x:t xml:space="preserve">หลอด 10 g.</x:t>
        </x:is>
      </x:c>
      <x:c r="M28" t="inlineStr">
        <x:is>
          <x:t xml:space="preserve">tube</x:t>
        </x:is>
      </x:c>
      <x:c r="N28" t="inlineStr">
        <x:is>
          <x:t xml:space="preserve">ป้ายยาบริเวณที่เป็นแผล วันละ 2-3 ครั้ง หลังอาหาร และก่อนนอน</x:t>
        </x:is>
      </x:c>
      <x:c r="P28" t="inlineStr">
        <x:is>
          <x:t xml:space="preserve">apply to oral ulcer after meals and before bed</x:t>
        </x:is>
      </x:c>
      <x:c r="R28" t="inlineStr">
        <x:is>
          <x:t xml:space="preserve">Condition-specific (vertigo/migraine/aphthous/HSV).</x:t>
        </x:is>
      </x:c>
      <x:c r="S28" t="inlineStr">
        <x:is>
          <x:t xml:space="preserve">local numbness, irritation</x:t>
        </x:is>
      </x:c>
      <x:c r="T28" t="inlineStr">
        <x:is>
          <x:t xml:space="preserve">avoid swallowing large amounts</x:t>
        </x:is>
      </x:c>
      <x:c r="V28" t="n">
        <x:v>52</x:v>
      </x:c>
      <x:c r="W28" t="inlineStr">
        <x:is>
          <x:t xml:space="preserve">Y</x:t>
        </x:is>
      </x:c>
      <x:c r="X28" t="inlineStr">
        <x:is>
          <x:t xml:space="preserve">N</x:t>
        </x:is>
      </x:c>
      <x:c r="Y28" t="inlineStr">
        <x:is>
          <x:t xml:space="preserve">N</x:t>
        </x:is>
      </x:c>
      <x:c r="Z28" t="inlineStr">
        <x:is>
          <x:t xml:space="preserve">N</x:t>
        </x:is>
      </x:c>
      <x:c r="AI28" t="inlineStr">
        <x:is>
          <x:t xml:space="preserve">Y</x:t>
        </x:is>
      </x:c>
      <x:c r="AJ28" t="inlineStr">
        <x:is>
          <x:t xml:space="preserve">2026-03-08</x:t>
        </x:is>
      </x:c>
    </x:row>
    <x:row r="29">
      <x:c r="A29" t="inlineStr">
        <x:is>
          <x:t xml:space="preserve">DRUG_BDS003679</x:t>
        </x:is>
      </x:c>
      <x:c r="B29" t="inlineStr">
        <x:is>
          <x:t xml:space="preserve">BDS003679</x:t>
        </x:is>
      </x:c>
      <x:c r="C29" t="n">
        <x:v>3679</x:v>
      </x:c>
      <x:c r="D29" t="inlineStr">
        <x:is>
          <x:t xml:space="preserve">Systane Ultra Lubricant Eye Drops</x:t>
        </x:is>
      </x:c>
      <x:c r="E29" t="inlineStr">
        <x:is>
          <x:t xml:space="preserve">Polyethylene Glycol 400 0.4%+Propylene Glycol 0.3%+Aminomethylpropanol+//Boric Acid+Hydroxypropyl guar+Potassium Chloride+Sodium Chloride+Sorbitol+Hydrochloric Acid+Sodium Hydroxide+Preservative (Polyquaternium-1 0.001%)</x:t>
        </x:is>
      </x:c>
      <x:c r="F29" t="inlineStr">
        <x:is>
          <x:t xml:space="preserve">Systane Ultra Lubricant Eye Drops [Polyethylene Glycol 400 0.4%+Propylene Glycol 0.3%+Aminomethylpropanol+//Boric Acid+Hydroxypropyl guar+Potassium Chloride+Sodium Chloride+Sorbitol+Hydrochloric Acid+Sodium Hydroxide+Preservative (Polyquaternium-1 0.001%)]</x:t>
        </x:is>
      </x:c>
      <x:c r="G29" t="inlineStr">
        <x:is>
          <x:t xml:space="preserve">artificial tears</x:t>
        </x:is>
      </x:c>
      <x:c r="H29" t="inlineStr">
        <x:is>
          <x:t xml:space="preserve">Artificial tears / eye lubricants</x:t>
        </x:is>
      </x:c>
      <x:c r="I29" t="inlineStr">
        <x:is>
          <x:t xml:space="preserve">น้ำตาเทียม</x:t>
        </x:is>
      </x:c>
      <x:c r="J29" t="inlineStr">
        <x:is>
          <x:t xml:space="preserve">drops</x:t>
        </x:is>
      </x:c>
      <x:c r="K29" t="inlineStr">
        <x:is>
          <x:t xml:space="preserve">0.4%</x:t>
        </x:is>
      </x:c>
      <x:c r="L29" t="inlineStr">
        <x:is>
          <x:t xml:space="preserve">ขวด 10 ml.</x:t>
        </x:is>
      </x:c>
      <x:c r="M29" t="inlineStr">
        <x:is>
          <x:t xml:space="preserve">bottle</x:t>
        </x:is>
      </x:c>
      <x:c r="N29" t="inlineStr">
        <x:is>
          <x:t xml:space="preserve">หยดน้ำยา 1-2 หยด เข้าในตาแต่ละข้าง กะพริบตาต่อเนื่องกันประมาณ 1 นาที </x:t>
        </x:is>
      </x:c>
      <x:c r="P29" t="inlineStr">
        <x:is>
          <x:t xml:space="preserve">1–2 drops OU / affected eye PRN</x:t>
        </x:is>
      </x:c>
      <x:c r="R29" t="inlineStr">
        <x:is>
          <x:t xml:space="preserve">Dry eye/irritation.</x:t>
        </x:is>
      </x:c>
      <x:c r="S29" t="inlineStr">
        <x:is>
          <x:t xml:space="preserve">transient blur</x:t>
        </x:is>
      </x:c>
      <x:c r="T29" t="inlineStr">
        <x:is>
          <x:t xml:space="preserve">contact lens precautions</x:t>
        </x:is>
      </x:c>
      <x:c r="V29" t="n">
        <x:v>41</x:v>
      </x:c>
      <x:c r="W29" t="inlineStr">
        <x:is>
          <x:t xml:space="preserve">Y</x:t>
        </x:is>
      </x:c>
      <x:c r="X29" t="inlineStr">
        <x:is>
          <x:t xml:space="preserve">N</x:t>
        </x:is>
      </x:c>
      <x:c r="Y29" t="inlineStr">
        <x:is>
          <x:t xml:space="preserve">N</x:t>
        </x:is>
      </x:c>
      <x:c r="Z29" t="inlineStr">
        <x:is>
          <x:t xml:space="preserve">N</x:t>
        </x:is>
      </x:c>
      <x:c r="AI29" t="inlineStr">
        <x:is>
          <x:t xml:space="preserve">Y</x:t>
        </x:is>
      </x:c>
      <x:c r="AJ29" t="inlineStr">
        <x:is>
          <x:t xml:space="preserve">2026-03-08</x:t>
        </x:is>
      </x:c>
    </x:row>
    <x:row r="30">
      <x:c r="A30" t="inlineStr">
        <x:is>
          <x:t xml:space="preserve">DRUG_BDS046208</x:t>
        </x:is>
      </x:c>
      <x:c r="B30" t="inlineStr">
        <x:is>
          <x:t xml:space="preserve">BDS046208</x:t>
        </x:is>
      </x:c>
      <x:c r="C30" t="n">
        <x:v>46208</x:v>
      </x:c>
      <x:c r="D30" t="inlineStr">
        <x:is>
          <x:t xml:space="preserve">Op-Ize Eye Wash</x:t>
        </x:is>
      </x:c>
      <x:c r="E30" t="inlineStr">
        <x:is>
          <x:t xml:space="preserve">Boric Acid 2.0 g.+Sodium Borate 0.5 g.+Zinc Sulphate 0.004 g./100 ml.</x:t>
        </x:is>
      </x:c>
      <x:c r="F30" t="inlineStr">
        <x:is>
          <x:t xml:space="preserve">Op-Ize Eye Wash [Boric Acid 2.0 g.+Sodium Borate 0.5 g.+Zinc Sulphate 0.004 g./100 ml.]</x:t>
        </x:is>
      </x:c>
      <x:c r="G30" t="inlineStr">
        <x:is>
          <x:t xml:space="preserve">eye wash</x:t>
        </x:is>
      </x:c>
      <x:c r="I30" t="inlineStr">
        <x:is>
          <x:t xml:space="preserve">ยาล้างตา</x:t>
        </x:is>
      </x:c>
      <x:c r="J30" t="inlineStr">
        <x:is>
          <x:t xml:space="preserve">wash</x:t>
        </x:is>
      </x:c>
      <x:c r="K30" t="inlineStr">
        <x:is>
          <x:t xml:space="preserve">2.0 g</x:t>
        </x:is>
      </x:c>
      <x:c r="L30" t="inlineStr">
        <x:is>
          <x:t xml:space="preserve">ขวด 110 ml.</x:t>
        </x:is>
      </x:c>
      <x:c r="M30" t="inlineStr">
        <x:is>
          <x:t xml:space="preserve">bottle</x:t>
        </x:is>
      </x:c>
      <x:c r="N30" t="inlineStr">
        <x:is>
          <x:t xml:space="preserve">ใช้ล้างตา วันละ 2-3 ครั้ง หรือตามแพทย์สั่ง</x:t>
        </x:is>
      </x:c>
      <x:c r="P30" t="inlineStr">
        <x:is>
          <x:t xml:space="preserve">use as eye wash BID–TID PRN</x:t>
        </x:is>
      </x:c>
      <x:c r="R30" t="inlineStr">
        <x:is>
          <x:t xml:space="preserve">Eye irrigation for irritant/dust; not for chemical burn (urgent).</x:t>
        </x:is>
      </x:c>
      <x:c r="S30" t="inlineStr">
        <x:is>
          <x:t xml:space="preserve">temporary irritation</x:t>
        </x:is>
      </x:c>
      <x:c r="T30" t="inlineStr">
        <x:is>
          <x:t xml:space="preserve">pain/vision loss/chemical burn → urgent eval</x:t>
        </x:is>
      </x:c>
      <x:c r="V30" t="n">
        <x:v>42</x:v>
      </x:c>
      <x:c r="W30" t="inlineStr">
        <x:is>
          <x:t xml:space="preserve">Y</x:t>
        </x:is>
      </x:c>
      <x:c r="X30" t="inlineStr">
        <x:is>
          <x:t xml:space="preserve">N</x:t>
        </x:is>
      </x:c>
      <x:c r="Y30" t="inlineStr">
        <x:is>
          <x:t xml:space="preserve">N</x:t>
        </x:is>
      </x:c>
      <x:c r="Z30" t="inlineStr">
        <x:is>
          <x:t xml:space="preserve">N</x:t>
        </x:is>
      </x:c>
      <x:c r="AI30" t="inlineStr">
        <x:is>
          <x:t xml:space="preserve">Y</x:t>
        </x:is>
      </x:c>
      <x:c r="AJ30" t="inlineStr">
        <x:is>
          <x:t xml:space="preserve">2026-03-08</x:t>
        </x:is>
      </x:c>
    </x:row>
    <x:row r="31">
      <x:c r="A31" t="inlineStr">
        <x:is>
          <x:t xml:space="preserve">DRUG_BDS001079</x:t>
        </x:is>
      </x:c>
      <x:c r="B31" t="inlineStr">
        <x:is>
          <x:t xml:space="preserve">BDS001079</x:t>
        </x:is>
      </x:c>
      <x:c r="C31" t="n">
        <x:v>1079</x:v>
      </x:c>
      <x:c r="D31" t="inlineStr">
        <x:is>
          <x:t xml:space="preserve">Air-X 120</x:t>
        </x:is>
      </x:c>
      <x:c r="E31" t="inlineStr">
        <x:is>
          <x:t xml:space="preserve">Simethicone 120 mg.</x:t>
        </x:is>
      </x:c>
      <x:c r="F31" t="inlineStr">
        <x:is>
          <x:t xml:space="preserve">Air-X 120 [Simethicone 120 mg.]</x:t>
        </x:is>
      </x:c>
      <x:c r="G31" t="inlineStr">
        <x:is>
          <x:t xml:space="preserve">simethicone</x:t>
        </x:is>
      </x:c>
      <x:c r="H31" t="inlineStr">
        <x:is>
          <x:t xml:space="preserve">Carminatives (gas relief)</x:t>
        </x:is>
      </x:c>
      <x:c r="I31" t="inlineStr">
        <x:is>
          <x:t xml:space="preserve">ยาขับลม</x:t>
        </x:is>
      </x:c>
      <x:c r="J31" t="inlineStr">
        <x:is>
          <x:t xml:space="preserve">tablet</x:t>
        </x:is>
      </x:c>
      <x:c r="K31" t="inlineStr">
        <x:is>
          <x:t xml:space="preserve">120 mg</x:t>
        </x:is>
      </x:c>
      <x:c r="L31" t="inlineStr">
        <x:is>
          <x:t xml:space="preserve">แผง 10 เม็ด</x:t>
        </x:is>
      </x:c>
      <x:c r="M31" t="inlineStr">
        <x:is>
          <x:t xml:space="preserve">strip</x:t>
        </x:is>
      </x:c>
      <x:c r="N31" t="inlineStr">
        <x:is>
          <x:t xml:space="preserve">รับประทาน (เคี้ยว) ครั้งละ 1 เม็ด วันละ 3-4 ครั้ง</x:t>
        </x:is>
      </x:c>
      <x:c r="P31" t="inlineStr">
        <x:is>
          <x:t xml:space="preserve">1 chewable tab PO TID–QID</x:t>
        </x:is>
      </x:c>
      <x:c r="S31" t="inlineStr">
        <x:is>
          <x:t xml:space="preserve">bloating relief; minimal SE</x:t>
        </x:is>
      </x:c>
      <x:c r="T31" t="inlineStr">
        <x:is>
          <x:t xml:space="preserve">chew before swallowing</x:t>
        </x:is>
      </x:c>
      <x:c r="W31" t="inlineStr">
        <x:is>
          <x:t xml:space="preserve">N</x:t>
        </x:is>
      </x:c>
      <x:c r="X31" t="inlineStr">
        <x:is>
          <x:t xml:space="preserve">N</x:t>
        </x:is>
      </x:c>
      <x:c r="Y31" t="inlineStr">
        <x:is>
          <x:t xml:space="preserve">N</x:t>
        </x:is>
      </x:c>
      <x:c r="Z31" t="inlineStr">
        <x:is>
          <x:t xml:space="preserve">N</x:t>
        </x:is>
      </x:c>
      <x:c r="AI31" t="inlineStr">
        <x:is>
          <x:t xml:space="preserve">Y</x:t>
        </x:is>
      </x:c>
      <x:c r="AJ31" t="inlineStr">
        <x:is>
          <x:t xml:space="preserve">2026-03-08</x:t>
        </x:is>
      </x:c>
    </x:row>
    <x:row r="32">
      <x:c r="A32" t="inlineStr">
        <x:is>
          <x:t xml:space="preserve">DRUG_BDS006054</x:t>
        </x:is>
      </x:c>
      <x:c r="B32" t="inlineStr">
        <x:is>
          <x:t xml:space="preserve">BDS006054</x:t>
        </x:is>
      </x:c>
      <x:c r="C32" t="n">
        <x:v>6054</x:v>
      </x:c>
      <x:c r="D32" t="inlineStr">
        <x:is>
          <x:t xml:space="preserve">Gogaz</x:t>
        </x:is>
      </x:c>
      <x:c r="E32" t="inlineStr">
        <x:is>
          <x:t xml:space="preserve">Simethicone 200 mg.</x:t>
        </x:is>
      </x:c>
      <x:c r="F32" t="inlineStr">
        <x:is>
          <x:t xml:space="preserve">Gogaz [Simethicone 200 mg.]</x:t>
        </x:is>
      </x:c>
      <x:c r="G32" t="inlineStr">
        <x:is>
          <x:t xml:space="preserve">simethicone</x:t>
        </x:is>
      </x:c>
      <x:c r="H32" t="inlineStr">
        <x:is>
          <x:t xml:space="preserve">Carminatives (gas relief)</x:t>
        </x:is>
      </x:c>
      <x:c r="I32" t="inlineStr">
        <x:is>
          <x:t xml:space="preserve">ยาขับลม</x:t>
        </x:is>
      </x:c>
      <x:c r="J32" t="inlineStr">
        <x:is>
          <x:t xml:space="preserve">capsule</x:t>
        </x:is>
      </x:c>
      <x:c r="K32" t="inlineStr">
        <x:is>
          <x:t xml:space="preserve">200 mg</x:t>
        </x:is>
      </x:c>
      <x:c r="L32" t="inlineStr">
        <x:is>
          <x:t xml:space="preserve">กล่อง 10 แคปซูล</x:t>
        </x:is>
      </x:c>
      <x:c r="M32" t="inlineStr">
        <x:is>
          <x:t xml:space="preserve">box</x:t>
        </x:is>
      </x:c>
      <x:c r="N32" t="inlineStr">
        <x:is>
          <x:t xml:space="preserve">รับประทานครั้งละ 1 แคปซูล วันละ 1-2 ครั้ง หลังอาหาร หรือก่อนนอน หรือตามแพทย์สั่ง</x:t>
        </x:is>
      </x:c>
      <x:c r="P32" t="inlineStr">
        <x:is>
          <x:t xml:space="preserve">1 cap PO OD–BID after meals</x:t>
        </x:is>
      </x:c>
      <x:c r="S32" t="inlineStr">
        <x:is>
          <x:t xml:space="preserve">minimal GI SE</x:t>
        </x:is>
      </x:c>
      <x:c r="T32" t="inlineStr">
        <x:is>
          <x:t xml:space="preserve">after meals / bedtime</x:t>
        </x:is>
      </x:c>
      <x:c r="W32" t="inlineStr">
        <x:is>
          <x:t xml:space="preserve">N</x:t>
        </x:is>
      </x:c>
      <x:c r="X32" t="inlineStr">
        <x:is>
          <x:t xml:space="preserve">N</x:t>
        </x:is>
      </x:c>
      <x:c r="Y32" t="inlineStr">
        <x:is>
          <x:t xml:space="preserve">N</x:t>
        </x:is>
      </x:c>
      <x:c r="Z32" t="inlineStr">
        <x:is>
          <x:t xml:space="preserve">N</x:t>
        </x:is>
      </x:c>
      <x:c r="AI32" t="inlineStr">
        <x:is>
          <x:t xml:space="preserve">Y</x:t>
        </x:is>
      </x:c>
      <x:c r="AJ32" t="inlineStr">
        <x:is>
          <x:t xml:space="preserve">2026-03-08</x:t>
        </x:is>
      </x:c>
    </x:row>
    <x:row r="33">
      <x:c r="A33" t="inlineStr">
        <x:is>
          <x:t xml:space="preserve">DRUG_BDS001283</x:t>
        </x:is>
      </x:c>
      <x:c r="B33" t="inlineStr">
        <x:is>
          <x:t xml:space="preserve">BDS001283</x:t>
        </x:is>
      </x:c>
      <x:c r="C33" t="n">
        <x:v>1283</x:v>
      </x:c>
      <x:c r="D33" t="inlineStr">
        <x:is>
          <x:t xml:space="preserve">Buscopan</x:t>
        </x:is>
      </x:c>
      <x:c r="E33" t="inlineStr">
        <x:is>
          <x:t xml:space="preserve">Hyoscine-N-butylbromide 10 mg.</x:t>
        </x:is>
      </x:c>
      <x:c r="F33" t="inlineStr">
        <x:is>
          <x:t xml:space="preserve">Buscopan [Hyoscine-N-butylbromide 10 mg.]</x:t>
        </x:is>
      </x:c>
      <x:c r="G33" t="inlineStr">
        <x:is>
          <x:t xml:space="preserve">hyoscine butylbromide</x:t>
        </x:is>
      </x:c>
      <x:c r="H33" t="inlineStr">
        <x:is>
          <x:t xml:space="preserve">Antispasmodics (smooth muscle cramps / abdominal colic)</x:t>
        </x:is>
      </x:c>
      <x:c r="I33" t="inlineStr">
        <x:is>
          <x:t xml:space="preserve">ยาแก้ปวดเกร็งกล้ามเนื้อเรียบ (D)</x:t>
        </x:is>
      </x:c>
      <x:c r="J33" t="inlineStr">
        <x:is>
          <x:t xml:space="preserve">tablet</x:t>
        </x:is>
      </x:c>
      <x:c r="K33" t="inlineStr">
        <x:is>
          <x:t xml:space="preserve">10 mg</x:t>
        </x:is>
      </x:c>
      <x:c r="L33" t="inlineStr">
        <x:is>
          <x:t xml:space="preserve">แผง 10 เม็ด</x:t>
        </x:is>
      </x:c>
      <x:c r="M33" t="inlineStr">
        <x:is>
          <x:t xml:space="preserve">strip</x:t>
        </x:is>
      </x:c>
      <x:c r="N33" t="inlineStr">
        <x:is>
          <x:t xml:space="preserve">รับประทานครั้งละ 1-2 เม็ด วันละ 3-5 ครั้ง </x:t>
        </x:is>
      </x:c>
      <x:c r="P33" t="inlineStr">
        <x:is>
          <x:t xml:space="preserve">1–2 tabs PO TID–QID PRN cramp</x:t>
        </x:is>
      </x:c>
      <x:c r="S33" t="inlineStr">
        <x:is>
          <x:t xml:space="preserve">dry mouth, dizziness</x:t>
        </x:is>
      </x:c>
      <x:c r="T33" t="inlineStr">
        <x:is>
          <x:t xml:space="preserve">caution glaucoma/BPH</x:t>
        </x:is>
      </x:c>
      <x:c r="W33" t="inlineStr">
        <x:is>
          <x:t xml:space="preserve">N</x:t>
        </x:is>
      </x:c>
      <x:c r="X33" t="inlineStr">
        <x:is>
          <x:t xml:space="preserve">N</x:t>
        </x:is>
      </x:c>
      <x:c r="Y33" t="inlineStr">
        <x:is>
          <x:t xml:space="preserve">N</x:t>
        </x:is>
      </x:c>
      <x:c r="Z33" t="inlineStr">
        <x:is>
          <x:t xml:space="preserve">N</x:t>
        </x:is>
      </x:c>
      <x:c r="AI33" t="inlineStr">
        <x:is>
          <x:t xml:space="preserve">Y</x:t>
        </x:is>
      </x:c>
      <x:c r="AJ33" t="inlineStr">
        <x:is>
          <x:t xml:space="preserve">2026-03-08</x:t>
        </x:is>
      </x:c>
    </x:row>
    <x:row r="34">
      <x:c r="A34" t="inlineStr">
        <x:is>
          <x:t xml:space="preserve">DRUG_BDS001271</x:t>
        </x:is>
      </x:c>
      <x:c r="B34" t="inlineStr">
        <x:is>
          <x:t xml:space="preserve">BDS001271</x:t>
        </x:is>
      </x:c>
      <x:c r="C34" t="n">
        <x:v>1271</x:v>
      </x:c>
      <x:c r="D34" t="inlineStr">
        <x:is>
          <x:t xml:space="preserve">Biocalm</x:t>
        </x:is>
      </x:c>
      <x:c r="E34" t="inlineStr">
        <x:is>
          <x:t xml:space="preserve">Tolperisone 50 mg.</x:t>
        </x:is>
      </x:c>
      <x:c r="F34" t="inlineStr">
        <x:is>
          <x:t xml:space="preserve">Biocalm [Tolperisone 50 mg.]</x:t>
        </x:is>
      </x:c>
      <x:c r="G34" t="inlineStr">
        <x:is>
          <x:t xml:space="preserve">tolperisone</x:t>
        </x:is>
      </x:c>
      <x:c r="H34" t="inlineStr">
        <x:is>
          <x:t xml:space="preserve">Muscle relaxants</x:t>
        </x:is>
      </x:c>
      <x:c r="I34" t="inlineStr">
        <x:is>
          <x:t xml:space="preserve">ยาคลายกล้ามเนื้อ (D)</x:t>
        </x:is>
      </x:c>
      <x:c r="J34" t="inlineStr">
        <x:is>
          <x:t xml:space="preserve">tablet</x:t>
        </x:is>
      </x:c>
      <x:c r="K34" t="inlineStr">
        <x:is>
          <x:t xml:space="preserve">50 mg</x:t>
        </x:is>
      </x:c>
      <x:c r="L34" t="inlineStr">
        <x:is>
          <x:t xml:space="preserve">แผง 10 เม็ด</x:t>
        </x:is>
      </x:c>
      <x:c r="M34" t="inlineStr">
        <x:is>
          <x:t xml:space="preserve">strip</x:t>
        </x:is>
      </x:c>
      <x:c r="N34" t="inlineStr">
        <x:is>
          <x:t xml:space="preserve">รับประทานครั้งละ 1 เม็ด วันละ 3 ครั้ง หรือตามแพทย์สั่ง</x:t>
        </x:is>
      </x:c>
      <x:c r="P34" t="inlineStr">
        <x:is>
          <x:t xml:space="preserve">1 tab PO TID</x:t>
        </x:is>
      </x:c>
      <x:c r="S34" t="inlineStr">
        <x:is>
          <x:t xml:space="preserve">drowsy, dizziness</x:t>
        </x:is>
      </x:c>
      <x:c r="T34" t="inlineStr">
        <x:is>
          <x:t xml:space="preserve">caution driving if sleepy</x:t>
        </x:is>
      </x:c>
      <x:c r="W34" t="inlineStr">
        <x:is>
          <x:t xml:space="preserve">N</x:t>
        </x:is>
      </x:c>
      <x:c r="X34" t="inlineStr">
        <x:is>
          <x:t xml:space="preserve">N</x:t>
        </x:is>
      </x:c>
      <x:c r="Y34" t="inlineStr">
        <x:is>
          <x:t xml:space="preserve">N</x:t>
        </x:is>
      </x:c>
      <x:c r="Z34" t="inlineStr">
        <x:is>
          <x:t xml:space="preserve">Y</x:t>
        </x:is>
      </x:c>
      <x:c r="AD34" t="n">
        <x:v>80</x:v>
      </x:c>
      <x:c r="AE34" t="n">
        <x:v>8</x:v>
      </x:c>
      <x:c r="AF34" t="inlineStr">
        <x:is>
          <x:t xml:space="preserve">USER</x:t>
        </x:is>
      </x:c>
      <x:c r="AG34" t="inlineStr">
        <x:is>
          <x:t xml:space="preserve">2026-02-07</x:t>
        </x:is>
      </x:c>
      <x:c r="AH34" t="inlineStr">
        <x:is>
          <x:t xml:space="preserve">User provided price (Biocalm 10 tabs).</x:t>
        </x:is>
      </x:c>
      <x:c r="AI34" t="inlineStr">
        <x:is>
          <x:t xml:space="preserve">Y</x:t>
        </x:is>
      </x:c>
      <x:c r="AJ34" t="inlineStr">
        <x:is>
          <x:t xml:space="preserve">2026-03-08</x:t>
        </x:is>
      </x:c>
    </x:row>
    <x:row r="35">
      <x:c r="A35" t="inlineStr">
        <x:is>
          <x:t xml:space="preserve">DRUG_BDS001078</x:t>
        </x:is>
      </x:c>
      <x:c r="B35" t="inlineStr">
        <x:is>
          <x:t xml:space="preserve">BDS001078</x:t>
        </x:is>
      </x:c>
      <x:c r="C35" t="n">
        <x:v>1078</x:v>
      </x:c>
      <x:c r="D35" t="inlineStr">
        <x:is>
          <x:t xml:space="preserve">Arcoxia 60 mg</x:t>
        </x:is>
      </x:c>
      <x:c r="E35" t="inlineStr">
        <x:is>
          <x:t xml:space="preserve">Etoricoxib 60 mg.</x:t>
        </x:is>
      </x:c>
      <x:c r="F35" t="inlineStr">
        <x:is>
          <x:t xml:space="preserve">Arcoxia 60 mg [Etoricoxib 60 mg.]</x:t>
        </x:is>
      </x:c>
      <x:c r="G35" t="inlineStr">
        <x:is>
          <x:t xml:space="preserve">etoricoxib</x:t>
        </x:is>
      </x:c>
      <x:c r="H35" t="inlineStr">
        <x:is>
          <x:t xml:space="preserve">NSAIDs (oral anti-inflammatory painkillers)</x:t>
        </x:is>
      </x:c>
      <x:c r="I35" t="inlineStr">
        <x:is>
          <x:t xml:space="preserve">ยาแก้ปวดอักเสบกลุ่ม NSAIDs (D)</x:t>
        </x:is>
      </x:c>
      <x:c r="J35" t="inlineStr">
        <x:is>
          <x:t xml:space="preserve">tablet</x:t>
        </x:is>
      </x:c>
      <x:c r="K35" t="inlineStr">
        <x:is>
          <x:t xml:space="preserve">60 mg</x:t>
        </x:is>
      </x:c>
      <x:c r="L35" t="inlineStr">
        <x:is>
          <x:t xml:space="preserve">แผง 5 เม็ด</x:t>
        </x:is>
      </x:c>
      <x:c r="M35" t="inlineStr">
        <x:is>
          <x:t xml:space="preserve">strip</x:t>
        </x:is>
      </x:c>
      <x:c r="N35" t="inlineStr">
        <x:is>
          <x:t xml:space="preserve">รับประทานครั้งละ 1 เม็ด วันละ 1 ครั้ง หลังอาหารทันที</x:t>
        </x:is>
      </x:c>
      <x:c r="P35" t="inlineStr">
        <x:is>
          <x:t xml:space="preserve">1 tab PO OD after food</x:t>
        </x:is>
      </x:c>
      <x:c r="R35" t="inlineStr">
        <x:is>
          <x:t xml:space="preserve">Inflammatory pain; choose based on GI/CV/renal risk.</x:t>
        </x:is>
      </x:c>
      <x:c r="S35" t="inlineStr">
        <x:is>
          <x:t xml:space="preserve">GI upset, edema</x:t>
        </x:is>
      </x:c>
      <x:c r="T35" t="inlineStr">
        <x:is>
          <x:t xml:space="preserve">avoid CKD/uncontrolled HTN/PUD</x:t>
        </x:is>
      </x:c>
      <x:c r="V35" t="n">
        <x:v>45</x:v>
      </x:c>
      <x:c r="W35" t="inlineStr">
        <x:is>
          <x:t xml:space="preserve">Y</x:t>
        </x:is>
      </x:c>
      <x:c r="X35" t="inlineStr">
        <x:is>
          <x:t xml:space="preserve">N</x:t>
        </x:is>
      </x:c>
      <x:c r="Y35" t="inlineStr">
        <x:is>
          <x:t xml:space="preserve">N</x:t>
        </x:is>
      </x:c>
      <x:c r="Z35" t="inlineStr">
        <x:is>
          <x:t xml:space="preserve">N</x:t>
        </x:is>
      </x:c>
      <x:c r="AI35" t="inlineStr">
        <x:is>
          <x:t xml:space="preserve">Y</x:t>
        </x:is>
      </x:c>
      <x:c r="AJ35" t="inlineStr">
        <x:is>
          <x:t xml:space="preserve">2026-03-08</x:t>
        </x:is>
      </x:c>
    </x:row>
    <x:row r="36">
      <x:c r="A36" t="inlineStr">
        <x:is>
          <x:t xml:space="preserve">DRUG_BDS001682</x:t>
        </x:is>
      </x:c>
      <x:c r="B36" t="inlineStr">
        <x:is>
          <x:t xml:space="preserve">BDS001682</x:t>
        </x:is>
      </x:c>
      <x:c r="C36" t="n">
        <x:v>1682</x:v>
      </x:c>
      <x:c r="D36" t="inlineStr">
        <x:is>
          <x:t xml:space="preserve">Diabederm Urea Cream 10%</x:t>
        </x:is>
      </x:c>
      <x:c r="E36" t="inlineStr">
        <x:is>
          <x:t xml:space="preserve">10% Urea</x:t>
        </x:is>
      </x:c>
      <x:c r="F36" t="inlineStr">
        <x:is>
          <x:t xml:space="preserve">Diabederm Urea Cream 10% [10% Urea]</x:t>
        </x:is>
      </x:c>
      <x:c r="G36" t="inlineStr">
        <x:is>
          <x:t xml:space="preserve">urea cream</x:t>
        </x:is>
      </x:c>
      <x:c r="H36" t="inlineStr">
        <x:is>
          <x:t xml:space="preserve">Dry skin creams</x:t>
        </x:is>
      </x:c>
      <x:c r="I36" t="inlineStr">
        <x:is>
          <x:t xml:space="preserve">ครีมรักษาผิวแห้ง</x:t>
        </x:is>
      </x:c>
      <x:c r="J36" t="inlineStr">
        <x:is>
          <x:t xml:space="preserve">cream/gel</x:t>
        </x:is>
      </x:c>
      <x:c r="K36" t="inlineStr">
        <x:is>
          <x:t xml:space="preserve">10%</x:t>
        </x:is>
      </x:c>
      <x:c r="L36" t="inlineStr">
        <x:is>
          <x:t xml:space="preserve">หลอด 35 g.</x:t>
        </x:is>
      </x:c>
      <x:c r="M36" t="inlineStr">
        <x:is>
          <x:t xml:space="preserve">tube</x:t>
        </x:is>
      </x:c>
      <x:c r="N36" t="inlineStr">
        <x:is>
          <x:t xml:space="preserve">ทาบริเวณที่เป็น วันละ 1-3 ครั้ง</x:t>
        </x:is>
      </x:c>
      <x:c r="P36" t="inlineStr">
        <x:is>
          <x:t xml:space="preserve">apply to dry skin BID–TID</x:t>
        </x:is>
      </x:c>
      <x:c r="S36" t="inlineStr">
        <x:is>
          <x:t xml:space="preserve">local irritation</x:t>
        </x:is>
      </x:c>
      <x:c r="T36" t="inlineStr">
        <x:is>
          <x:t xml:space="preserve">avoid open wound</x:t>
        </x:is>
      </x:c>
      <x:c r="W36" t="inlineStr">
        <x:is>
          <x:t xml:space="preserve">N</x:t>
        </x:is>
      </x:c>
      <x:c r="X36" t="inlineStr">
        <x:is>
          <x:t xml:space="preserve">N</x:t>
        </x:is>
      </x:c>
      <x:c r="Y36" t="inlineStr">
        <x:is>
          <x:t xml:space="preserve">N</x:t>
        </x:is>
      </x:c>
      <x:c r="Z36" t="inlineStr">
        <x:is>
          <x:t xml:space="preserve">N</x:t>
        </x:is>
      </x:c>
      <x:c r="AI36" t="inlineStr">
        <x:is>
          <x:t xml:space="preserve">Y</x:t>
        </x:is>
      </x:c>
      <x:c r="AJ36" t="inlineStr">
        <x:is>
          <x:t xml:space="preserve">2026-03-08</x:t>
        </x:is>
      </x:c>
    </x:row>
    <x:row r="37">
      <x:c r="A37" t="inlineStr">
        <x:is>
          <x:t xml:space="preserve">DRUG_BDS001683</x:t>
        </x:is>
      </x:c>
      <x:c r="B37" t="inlineStr">
        <x:is>
          <x:t xml:space="preserve">BDS001683</x:t>
        </x:is>
      </x:c>
      <x:c r="C37" t="n">
        <x:v>1683</x:v>
      </x:c>
      <x:c r="D37" t="inlineStr">
        <x:is>
          <x:t xml:space="preserve">Diabederm Urea Cream 20%</x:t>
        </x:is>
      </x:c>
      <x:c r="E37" t="inlineStr">
        <x:is>
          <x:t xml:space="preserve">20% Urea</x:t>
        </x:is>
      </x:c>
      <x:c r="F37" t="inlineStr">
        <x:is>
          <x:t xml:space="preserve">Diabederm Urea Cream 20% [20% Urea]</x:t>
        </x:is>
      </x:c>
      <x:c r="G37" t="inlineStr">
        <x:is>
          <x:t xml:space="preserve">urea cream</x:t>
        </x:is>
      </x:c>
      <x:c r="H37" t="inlineStr">
        <x:is>
          <x:t xml:space="preserve">Dry skin creams</x:t>
        </x:is>
      </x:c>
      <x:c r="I37" t="inlineStr">
        <x:is>
          <x:t xml:space="preserve">ครีมรักษาผิวแห้ง</x:t>
        </x:is>
      </x:c>
      <x:c r="J37" t="inlineStr">
        <x:is>
          <x:t xml:space="preserve">cream/gel</x:t>
        </x:is>
      </x:c>
      <x:c r="K37" t="inlineStr">
        <x:is>
          <x:t xml:space="preserve">20%</x:t>
        </x:is>
      </x:c>
      <x:c r="L37" t="inlineStr">
        <x:is>
          <x:t xml:space="preserve">หลอด 35 g.</x:t>
        </x:is>
      </x:c>
      <x:c r="M37" t="inlineStr">
        <x:is>
          <x:t xml:space="preserve">tube</x:t>
        </x:is>
      </x:c>
      <x:c r="N37" t="inlineStr">
        <x:is>
          <x:t xml:space="preserve">ทาบริเวณที่เป็น วันละ 1-3 ครั้ง</x:t>
        </x:is>
      </x:c>
      <x:c r="P37" t="inlineStr">
        <x:is>
          <x:t xml:space="preserve">apply to thicker dry skin BID</x:t>
        </x:is>
      </x:c>
      <x:c r="S37" t="inlineStr">
        <x:is>
          <x:t xml:space="preserve">local irritation</x:t>
        </x:is>
      </x:c>
      <x:c r="T37" t="inlineStr">
        <x:is>
          <x:t xml:space="preserve">stronger; avoid sensitive/open skin</x:t>
        </x:is>
      </x:c>
      <x:c r="W37" t="inlineStr">
        <x:is>
          <x:t xml:space="preserve">N</x:t>
        </x:is>
      </x:c>
      <x:c r="X37" t="inlineStr">
        <x:is>
          <x:t xml:space="preserve">N</x:t>
        </x:is>
      </x:c>
      <x:c r="Y37" t="inlineStr">
        <x:is>
          <x:t xml:space="preserve">N</x:t>
        </x:is>
      </x:c>
      <x:c r="Z37" t="inlineStr">
        <x:is>
          <x:t xml:space="preserve">N</x:t>
        </x:is>
      </x:c>
      <x:c r="AI37" t="inlineStr">
        <x:is>
          <x:t xml:space="preserve">Y</x:t>
        </x:is>
      </x:c>
      <x:c r="AJ37" t="inlineStr">
        <x:is>
          <x:t xml:space="preserve">2026-03-08</x:t>
        </x:is>
      </x:c>
    </x:row>
    <x:row r="38">
      <x:c r="A38" t="inlineStr">
        <x:is>
          <x:t xml:space="preserve">DRUG_BDS001057</x:t>
        </x:is>
      </x:c>
      <x:c r="B38" t="inlineStr">
        <x:is>
          <x:t xml:space="preserve">BDS001057</x:t>
        </x:is>
      </x:c>
      <x:c r="C38" t="n">
        <x:v>1057</x:v>
      </x:c>
      <x:c r="D38" t="inlineStr">
        <x:is>
          <x:t xml:space="preserve">Aristocort 0.02%</x:t>
        </x:is>
      </x:c>
      <x:c r="E38" t="inlineStr">
        <x:is>
          <x:t xml:space="preserve">Triamcinolone Acetonide 0.02%</x:t>
        </x:is>
      </x:c>
      <x:c r="F38" t="inlineStr">
        <x:is>
          <x:t xml:space="preserve">Aristocort 0.02% [Triamcinolone Acetonide 0.02%]</x:t>
        </x:is>
      </x:c>
      <x:c r="G38" t="inlineStr">
        <x:is>
          <x:t xml:space="preserve">triamcinolone cream</x:t>
        </x:is>
      </x:c>
      <x:c r="H38" t="inlineStr">
        <x:is>
          <x:t xml:space="preserve">Eczema/diaper rash / anti-itch topicals</x:t>
        </x:is>
      </x:c>
      <x:c r="I38" t="inlineStr">
        <x:is>
          <x:t xml:space="preserve">ยาทาแก้แพ้, แก้คัน (D)</x:t>
        </x:is>
      </x:c>
      <x:c r="J38" t="inlineStr">
        <x:is>
          <x:t xml:space="preserve">tube</x:t>
        </x:is>
      </x:c>
      <x:c r="K38" t="inlineStr">
        <x:is>
          <x:t xml:space="preserve">0.02%</x:t>
        </x:is>
      </x:c>
      <x:c r="L38" t="inlineStr">
        <x:is>
          <x:t xml:space="preserve">หลอด 15 g.</x:t>
        </x:is>
      </x:c>
      <x:c r="M38" t="inlineStr">
        <x:is>
          <x:t xml:space="preserve">tube</x:t>
        </x:is>
      </x:c>
      <x:c r="N38" t="inlineStr">
        <x:is>
          <x:t xml:space="preserve">ทาครีมบางๆ บริเวณที่มีอาการ วันละ 3-4 ครั้ง</x:t>
        </x:is>
      </x:c>
      <x:c r="P38" t="inlineStr">
        <x:is>
          <x:t xml:space="preserve">apply thinly BID–TID</x:t>
        </x:is>
      </x:c>
      <x:c r="S38" t="inlineStr">
        <x:is>
          <x:t xml:space="preserve">local irritation</x:t>
        </x:is>
      </x:c>
      <x:c r="T38" t="inlineStr">
        <x:is>
          <x:t xml:space="preserve">short course; avoid face/folds/open wound</x:t>
        </x:is>
      </x:c>
      <x:c r="W38" t="inlineStr">
        <x:is>
          <x:t xml:space="preserve">N</x:t>
        </x:is>
      </x:c>
      <x:c r="X38" t="inlineStr">
        <x:is>
          <x:t xml:space="preserve">N</x:t>
        </x:is>
      </x:c>
      <x:c r="Y38" t="inlineStr">
        <x:is>
          <x:t xml:space="preserve">Y</x:t>
        </x:is>
      </x:c>
      <x:c r="Z38" t="inlineStr">
        <x:is>
          <x:t xml:space="preserve">N</x:t>
        </x:is>
      </x:c>
      <x:c r="AI38" t="inlineStr">
        <x:is>
          <x:t xml:space="preserve">Y</x:t>
        </x:is>
      </x:c>
      <x:c r="AJ38" t="inlineStr">
        <x:is>
          <x:t xml:space="preserve">2026-03-08</x:t>
        </x:is>
      </x:c>
    </x:row>
    <x:row r="39">
      <x:c r="A39" t="inlineStr">
        <x:is>
          <x:t xml:space="preserve">DRUG_BDS008064</x:t>
        </x:is>
      </x:c>
      <x:c r="B39" t="inlineStr">
        <x:is>
          <x:t xml:space="preserve">BDS008064</x:t>
        </x:is>
      </x:c>
      <x:c r="C39" t="n">
        <x:v>8064</x:v>
      </x:c>
      <x:c r="D39" t="inlineStr">
        <x:is>
          <x:t xml:space="preserve">Acyvir 400 mg</x:t>
        </x:is>
      </x:c>
      <x:c r="E39" t="inlineStr">
        <x:is>
          <x:t xml:space="preserve">Acyclovir 400 mg.</x:t>
        </x:is>
      </x:c>
      <x:c r="F39" t="inlineStr">
        <x:is>
          <x:t xml:space="preserve">Acyvir 400 mg [Acyclovir 400 mg.]</x:t>
        </x:is>
      </x:c>
      <x:c r="G39" t="inlineStr">
        <x:is>
          <x:t xml:space="preserve">acyclovir</x:t>
        </x:is>
      </x:c>
      <x:c r="H39" t="inlineStr">
        <x:is>
          <x:t xml:space="preserve">Antivirals (oral/topical)</x:t>
        </x:is>
      </x:c>
      <x:c r="I39" t="inlineStr">
        <x:is>
          <x:t xml:space="preserve">ยาต้านเชื้อไวรัส (D)</x:t>
        </x:is>
      </x:c>
      <x:c r="J39" t="inlineStr">
        <x:is>
          <x:t xml:space="preserve">tablet</x:t>
        </x:is>
      </x:c>
      <x:c r="K39" t="inlineStr">
        <x:is>
          <x:t xml:space="preserve">400 mg</x:t>
        </x:is>
      </x:c>
      <x:c r="L39" t="inlineStr">
        <x:is>
          <x:t xml:space="preserve">แผง 5 เม็ด</x:t>
        </x:is>
      </x:c>
      <x:c r="M39" t="inlineStr">
        <x:is>
          <x:t xml:space="preserve">strip</x:t>
        </x:is>
      </x:c>
      <x:c r="N39" t="inlineStr">
        <x:is>
          <x:t xml:space="preserve">กรณีเริม รับประทานครั้งละ 1 เม็ด ทุก 6 ชั่วโมง (วันละ 3 ครั้ง)</x:t>
        </x:is>
      </x:c>
      <x:c r="P39" t="inlineStr">
        <x:is>
          <x:t xml:space="preserve">1 tab PO q6h</x:t>
        </x:is>
      </x:c>
      <x:c r="S39" t="inlineStr">
        <x:is>
          <x:t xml:space="preserve">nausea, headache</x:t>
        </x:is>
      </x:c>
      <x:c r="T39" t="inlineStr">
        <x:is>
          <x:t xml:space="preserve">start early for best effect; hydrate well</x:t>
        </x:is>
      </x:c>
      <x:c r="W39" t="inlineStr">
        <x:is>
          <x:t xml:space="preserve">N</x:t>
        </x:is>
      </x:c>
      <x:c r="X39" t="inlineStr">
        <x:is>
          <x:t xml:space="preserve">N</x:t>
        </x:is>
      </x:c>
      <x:c r="Y39" t="inlineStr">
        <x:is>
          <x:t xml:space="preserve">N</x:t>
        </x:is>
      </x:c>
      <x:c r="Z39" t="inlineStr">
        <x:is>
          <x:t xml:space="preserve">N</x:t>
        </x:is>
      </x:c>
      <x:c r="AI39" t="inlineStr">
        <x:is>
          <x:t xml:space="preserve">Y</x:t>
        </x:is>
      </x:c>
      <x:c r="AJ39" t="inlineStr">
        <x:is>
          <x:t xml:space="preserve">2026-03-08</x:t>
        </x:is>
      </x:c>
    </x:row>
    <x:row r="40">
      <x:c r="A40" t="inlineStr">
        <x:is>
          <x:t xml:space="preserve">DRUG_BDS008065</x:t>
        </x:is>
      </x:c>
      <x:c r="B40" t="inlineStr">
        <x:is>
          <x:t xml:space="preserve">BDS008065</x:t>
        </x:is>
      </x:c>
      <x:c r="C40" t="n">
        <x:v>8065</x:v>
      </x:c>
      <x:c r="D40" t="inlineStr">
        <x:is>
          <x:t xml:space="preserve">Acyvir 800 mg</x:t>
        </x:is>
      </x:c>
      <x:c r="E40" t="inlineStr">
        <x:is>
          <x:t xml:space="preserve">Acyclovir 800 mg.</x:t>
        </x:is>
      </x:c>
      <x:c r="F40" t="inlineStr">
        <x:is>
          <x:t xml:space="preserve">Acyvir 800 mg [Acyclovir 800 mg.]</x:t>
        </x:is>
      </x:c>
      <x:c r="G40" t="inlineStr">
        <x:is>
          <x:t xml:space="preserve">acyclovir</x:t>
        </x:is>
      </x:c>
      <x:c r="H40" t="inlineStr">
        <x:is>
          <x:t xml:space="preserve">Antivirals (oral/topical)</x:t>
        </x:is>
      </x:c>
      <x:c r="I40" t="inlineStr">
        <x:is>
          <x:t xml:space="preserve">ยาต้านเชื้อไวรัส (D)</x:t>
        </x:is>
      </x:c>
      <x:c r="J40" t="inlineStr">
        <x:is>
          <x:t xml:space="preserve">tablet</x:t>
        </x:is>
      </x:c>
      <x:c r="K40" t="inlineStr">
        <x:is>
          <x:t xml:space="preserve">800 mg</x:t>
        </x:is>
      </x:c>
      <x:c r="L40" t="inlineStr">
        <x:is>
          <x:t xml:space="preserve">แผง 5 เม็ด</x:t>
        </x:is>
      </x:c>
      <x:c r="M40" t="inlineStr">
        <x:is>
          <x:t xml:space="preserve">strip</x:t>
        </x:is>
      </x:c>
      <x:c r="N40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40" t="inlineStr">
        <x:is>
          <x:t xml:space="preserve">1 tab PO 5x/day</x:t>
        </x:is>
      </x:c>
      <x:c r="S40" t="inlineStr">
        <x:is>
          <x:t xml:space="preserve">nausea, headache</x:t>
        </x:is>
      </x:c>
      <x:c r="T40" t="inlineStr">
        <x:is>
          <x:t xml:space="preserve">hydrate well; early treatment preferred</x:t>
        </x:is>
      </x:c>
      <x:c r="W40" t="inlineStr">
        <x:is>
          <x:t xml:space="preserve">N</x:t>
        </x:is>
      </x:c>
      <x:c r="X40" t="inlineStr">
        <x:is>
          <x:t xml:space="preserve">N</x:t>
        </x:is>
      </x:c>
      <x:c r="Y40" t="inlineStr">
        <x:is>
          <x:t xml:space="preserve">N</x:t>
        </x:is>
      </x:c>
      <x:c r="Z40" t="inlineStr">
        <x:is>
          <x:t xml:space="preserve">N</x:t>
        </x:is>
      </x:c>
      <x:c r="AI40" t="inlineStr">
        <x:is>
          <x:t xml:space="preserve">Y</x:t>
        </x:is>
      </x:c>
      <x:c r="AJ40" t="inlineStr">
        <x:is>
          <x:t xml:space="preserve">2026-03-08</x:t>
        </x:is>
      </x:c>
    </x:row>
    <x:row r="41">
      <x:c r="A41" t="inlineStr">
        <x:is>
          <x:t xml:space="preserve">DRUG_BDS001491</x:t>
        </x:is>
      </x:c>
      <x:c r="B41" t="inlineStr">
        <x:is>
          <x:t xml:space="preserve">BDS001491</x:t>
        </x:is>
      </x:c>
      <x:c r="C41" t="n">
        <x:v>1491</x:v>
      </x:c>
      <x:c r="D41" t="inlineStr">
        <x:is>
          <x:t xml:space="preserve">Canasone C.B. Cream</x:t>
        </x:is>
      </x:c>
      <x:c r="E41" t="inlineStr">
        <x:is>
          <x:t xml:space="preserve">Clotrimazole 1%+Betamethasone Dipropionate (eq. to Betamethasone 0.1%) w/w</x:t>
        </x:is>
      </x:c>
      <x:c r="F41" t="inlineStr">
        <x:is>
          <x:t xml:space="preserve">Canasone C.B. Cream [Clotrimazole 1%+Betamethasone Dipropionate (eq. to Betamethasone 0.1%) w/w]</x:t>
        </x:is>
      </x:c>
      <x:c r="G41" t="inlineStr">
        <x:is>
          <x:t xml:space="preserve">clotrimazole+betamethasone cream</x:t>
        </x:is>
      </x:c>
      <x:c r="H41" t="inlineStr">
        <x:is>
          <x:t xml:space="preserve">Antifungals (oral/topical)</x:t>
        </x:is>
      </x:c>
      <x:c r="I41" t="inlineStr">
        <x:is>
          <x:t xml:space="preserve">ยาทาฆ่าเชื้อราและแก้คัน (D)</x:t>
        </x:is>
      </x:c>
      <x:c r="J41" t="inlineStr">
        <x:is>
          <x:t xml:space="preserve">cream/gel</x:t>
        </x:is>
      </x:c>
      <x:c r="K41" t="inlineStr">
        <x:is>
          <x:t xml:space="preserve">1%</x:t>
        </x:is>
      </x:c>
      <x:c r="L41" t="inlineStr">
        <x:is>
          <x:t xml:space="preserve">หลอด 15 g.</x:t>
        </x:is>
      </x:c>
      <x:c r="M41" t="inlineStr">
        <x:is>
          <x:t xml:space="preserve">tube</x:t>
        </x:is>
      </x:c>
      <x:c r="N41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41" t="inlineStr">
        <x:is>
          <x:t xml:space="preserve">apply thinly BID</x:t>
        </x:is>
      </x:c>
      <x:c r="S41" t="inlineStr">
        <x:is>
          <x:t xml:space="preserve">local irritation</x:t>
        </x:is>
      </x:c>
      <x:c r="T41" t="inlineStr">
        <x:is>
          <x:t xml:space="preserve">short course only; steroid-containing antifungal combo</x:t>
        </x:is>
      </x:c>
      <x:c r="W41" t="inlineStr">
        <x:is>
          <x:t xml:space="preserve">N</x:t>
        </x:is>
      </x:c>
      <x:c r="X41" t="inlineStr">
        <x:is>
          <x:t xml:space="preserve">N</x:t>
        </x:is>
      </x:c>
      <x:c r="Y41" t="inlineStr">
        <x:is>
          <x:t xml:space="preserve">Y</x:t>
        </x:is>
      </x:c>
      <x:c r="Z41" t="inlineStr">
        <x:is>
          <x:t xml:space="preserve">N</x:t>
        </x:is>
      </x:c>
      <x:c r="AI41" t="inlineStr">
        <x:is>
          <x:t xml:space="preserve">Y</x:t>
        </x:is>
      </x:c>
      <x:c r="AJ41" t="inlineStr">
        <x:is>
          <x:t xml:space="preserve">2026-03-08</x:t>
        </x:is>
      </x:c>
    </x:row>
    <x:row r="42">
      <x:c r="A42" t="inlineStr">
        <x:is>
          <x:t xml:space="preserve">DRUG_BDS045631</x:t>
        </x:is>
      </x:c>
      <x:c r="B42" t="inlineStr">
        <x:is>
          <x:t xml:space="preserve">BDS045631</x:t>
        </x:is>
      </x:c>
      <x:c r="C42" t="n">
        <x:v>45631</x:v>
      </x:c>
      <x:c r="D42" t="inlineStr">
        <x:is>
          <x:t xml:space="preserve">Nyst Oral</x:t>
        </x:is>
      </x:c>
      <x:c r="E42" t="inlineStr">
        <x:is>
          <x:t xml:space="preserve">Nystatin 100,000 Unit/1 ml.</x:t>
        </x:is>
      </x:c>
      <x:c r="F42" t="inlineStr">
        <x:is>
          <x:t xml:space="preserve">Nyst Oral [Nystatin 100,000 Unit/1 ml.]</x:t>
        </x:is>
      </x:c>
      <x:c r="G42" t="inlineStr">
        <x:is>
          <x:t xml:space="preserve">nystatin oral</x:t>
        </x:is>
      </x:c>
      <x:c r="H42" t="inlineStr">
        <x:is>
          <x:t xml:space="preserve">Antifungals (oral/topical)</x:t>
        </x:is>
      </x:c>
      <x:c r="I42" t="inlineStr">
        <x:is>
          <x:t xml:space="preserve">ยาต้านเชื้อรา (D)</x:t>
        </x:is>
      </x:c>
      <x:c r="J42" t="inlineStr">
        <x:is>
          <x:t xml:space="preserve">bottle</x:t>
        </x:is>
      </x:c>
      <x:c r="K42" t="inlineStr">
        <x:is>
          <x:t xml:space="preserve">1 ml</x:t>
        </x:is>
      </x:c>
      <x:c r="L42" t="inlineStr">
        <x:is>
          <x:t xml:space="preserve">ขวด 12 ml.</x:t>
        </x:is>
      </x:c>
      <x:c r="M42" t="inlineStr">
        <x:is>
          <x:t xml:space="preserve">bottle</x:t>
        </x:is>
      </x:c>
      <x:c r="N42" t="inlineStr">
        <x:is>
          <x:t xml:space="preserve">รับประทานครั้งละ 1 หลอดหยด วันละ 4 ครั้ง หลังอาหารและก่อนนอน</x:t>
        </x:is>
      </x:c>
      <x:c r="P42" t="inlineStr">
        <x:is>
          <x:t xml:space="preserve">1 dropper PO QID after meals and HS</x:t>
        </x:is>
      </x:c>
      <x:c r="S42" t="inlineStr">
        <x:is>
          <x:t xml:space="preserve">bad taste, mild GI upset</x:t>
        </x:is>
      </x:c>
      <x:c r="T42" t="inlineStr">
        <x:is>
          <x:t xml:space="preserve">keep in mouth before swallowing when possible</x:t>
        </x:is>
      </x:c>
      <x:c r="W42" t="inlineStr">
        <x:is>
          <x:t xml:space="preserve">N</x:t>
        </x:is>
      </x:c>
      <x:c r="X42" t="inlineStr">
        <x:is>
          <x:t xml:space="preserve">N</x:t>
        </x:is>
      </x:c>
      <x:c r="Y42" t="inlineStr">
        <x:is>
          <x:t xml:space="preserve">N</x:t>
        </x:is>
      </x:c>
      <x:c r="Z42" t="inlineStr">
        <x:is>
          <x:t xml:space="preserve">N</x:t>
        </x:is>
      </x:c>
      <x:c r="AI42" t="inlineStr">
        <x:is>
          <x:t xml:space="preserve">Y</x:t>
        </x:is>
      </x:c>
      <x:c r="AJ42" t="inlineStr">
        <x:is>
          <x:t xml:space="preserve">2026-03-08</x:t>
        </x:is>
      </x:c>
    </x:row>
    <x:row r="43">
      <x:c r="A43" t="inlineStr">
        <x:is>
          <x:t xml:space="preserve">DRUG_BDS001103</x:t>
        </x:is>
      </x:c>
      <x:c r="B43" t="inlineStr">
        <x:is>
          <x:t xml:space="preserve">BDS001103</x:t>
        </x:is>
      </x:c>
      <x:c r="C43" t="n">
        <x:v>1103</x:v>
      </x:c>
      <x:c r="D43" t="inlineStr">
        <x:is>
          <x:t xml:space="preserve">AMK 1000 mg</x:t>
        </x:is>
      </x:c>
      <x:c r="E43" t="inlineStr">
        <x:is>
          <x:t xml:space="preserve">Amoxicillin 875 mg.+Clavulanic Acid 125 mg.</x:t>
        </x:is>
      </x:c>
      <x:c r="F43" t="inlineStr">
        <x:is>
          <x:t xml:space="preserve">AMK 1000 mg [Amoxicillin 875 mg.+Clavulanic Acid 125 mg.]</x:t>
        </x:is>
      </x:c>
      <x:c r="G43" t="inlineStr">
        <x:is>
          <x:t xml:space="preserve">amoxicillin-clavulanate</x:t>
        </x:is>
      </x:c>
      <x:c r="H43" t="inlineStr">
        <x:is>
          <x:t xml:space="preserve">Respiratory antibiotics</x:t>
        </x:is>
      </x:c>
      <x:c r="I43" t="inlineStr">
        <x:is>
          <x:t xml:space="preserve">ยาฆ่าเชื้อแบคทีเรียทางเดินหายใจ (D)</x:t>
        </x:is>
      </x:c>
      <x:c r="J43" t="inlineStr">
        <x:is>
          <x:t xml:space="preserve">tablet</x:t>
        </x:is>
      </x:c>
      <x:c r="K43" t="inlineStr">
        <x:is>
          <x:t xml:space="preserve">875 mg</x:t>
        </x:is>
      </x:c>
      <x:c r="L43" t="inlineStr">
        <x:is>
          <x:t xml:space="preserve">กล่อง 10 เม็ด</x:t>
        </x:is>
      </x:c>
      <x:c r="M43" t="inlineStr">
        <x:is>
          <x:t xml:space="preserve">box</x:t>
        </x:is>
      </x:c>
      <x:c r="N43" t="inlineStr">
        <x:is>
          <x:t xml:space="preserve">รับประทานครั้งละ 1 เม็ด วันละ 2 ครั้ง หรือตามแพทย์สั่ง</x:t>
        </x:is>
      </x:c>
      <x:c r="O43" t="inlineStr">
        <x:is>
          <x:t xml:space="preserve">Take 1 tablet 2 times daily or as directed by a doctor.</x:t>
        </x:is>
      </x:c>
      <x:c r="P43" t="inlineStr">
        <x:is>
          <x:t xml:space="preserve">1 tab PO BID</x:t>
        </x:is>
      </x:c>
      <x:c r="R43" t="inlineStr">
        <x:is>
          <x:t xml:space="preserve">Use only when bacterial indication likely (AOM, sinusitis, etc.).</x:t>
        </x:is>
      </x:c>
      <x:c r="S43" t="inlineStr">
        <x:is>
          <x:t xml:space="preserve">diarrhea, nausea</x:t>
        </x:is>
      </x:c>
      <x:c r="T43" t="inlineStr">
        <x:is>
          <x:t xml:space="preserve">penicillin allergy; use only when bacterial likely</x:t>
        </x:is>
      </x:c>
      <x:c r="V43" t="n">
        <x:v>32</x:v>
      </x:c>
      <x:c r="W43" t="inlineStr">
        <x:is>
          <x:t xml:space="preserve">Y</x:t>
        </x:is>
      </x:c>
      <x:c r="X43" t="inlineStr">
        <x:is>
          <x:t xml:space="preserve">Y</x:t>
        </x:is>
      </x:c>
      <x:c r="Y43" t="inlineStr">
        <x:is>
          <x:t xml:space="preserve">N</x:t>
        </x:is>
      </x:c>
      <x:c r="Z43" t="inlineStr">
        <x:is>
          <x:t xml:space="preserve">N</x:t>
        </x:is>
      </x:c>
      <x:c r="AI43" t="inlineStr">
        <x:is>
          <x:t xml:space="preserve">Y</x:t>
        </x:is>
      </x:c>
      <x:c r="AJ43" t="inlineStr">
        <x:is>
          <x:t xml:space="preserve">2026-03-08</x:t>
        </x:is>
      </x:c>
    </x:row>
    <x:row r="44">
      <x:c r="A44" t="inlineStr">
        <x:is>
          <x:t xml:space="preserve">DRUG_BDS002201</x:t>
        </x:is>
      </x:c>
      <x:c r="B44" t="inlineStr">
        <x:is>
          <x:t xml:space="preserve">BDS002201</x:t>
        </x:is>
      </x:c>
      <x:c r="C44" t="n">
        <x:v>2201</x:v>
      </x:c>
      <x:c r="D44" t="inlineStr">
        <x:is>
          <x:t xml:space="preserve">Ibiamox 500 mg</x:t>
        </x:is>
      </x:c>
      <x:c r="E44" t="inlineStr">
        <x:is>
          <x:t xml:space="preserve">Amoxicillin 500 mg.</x:t>
        </x:is>
      </x:c>
      <x:c r="F44" t="inlineStr">
        <x:is>
          <x:t xml:space="preserve">Ibiamox 500 mg [Amoxicillin 500 mg.]</x:t>
        </x:is>
      </x:c>
      <x:c r="G44" t="inlineStr">
        <x:is>
          <x:t xml:space="preserve">amoxicillin</x:t>
        </x:is>
      </x:c>
      <x:c r="H44" t="inlineStr">
        <x:is>
          <x:t xml:space="preserve">Respiratory antibiotics</x:t>
        </x:is>
      </x:c>
      <x:c r="I44" t="inlineStr">
        <x:is>
          <x:t xml:space="preserve">ยาฆ่าเชื้อแบคทีเรียทางเดินหายใจ (D)</x:t>
        </x:is>
      </x:c>
      <x:c r="J44" t="inlineStr">
        <x:is>
          <x:t xml:space="preserve">capsule</x:t>
        </x:is>
      </x:c>
      <x:c r="K44" t="inlineStr">
        <x:is>
          <x:t xml:space="preserve">500 mg</x:t>
        </x:is>
      </x:c>
      <x:c r="L44" t="inlineStr">
        <x:is>
          <x:t xml:space="preserve">แผง 10 แคปซูล</x:t>
        </x:is>
      </x:c>
      <x:c r="M44" t="inlineStr">
        <x:is>
          <x:t xml:space="preserve">strip</x:t>
        </x:is>
      </x:c>
      <x:c r="N44" t="inlineStr">
        <x:is>
          <x:t xml:space="preserve">รับประทานครั้งละ 1 แคปซูล วันละ 3 ครั้ง หรือตามแพทย์สั่ง</x:t>
        </x:is>
      </x:c>
      <x:c r="O44" t="inlineStr">
        <x:is>
          <x:t xml:space="preserve">Take 1 capsule 3 times daily or as directed by a doctor</x:t>
        </x:is>
      </x:c>
      <x:c r="P44" t="inlineStr">
        <x:is>
          <x:t xml:space="preserve">1 cap PO TID</x:t>
        </x:is>
      </x:c>
      <x:c r="R44" t="inlineStr">
        <x:is>
          <x:t xml:space="preserve">Use only when bacterial indication likely (AOM, sinusitis, etc.).</x:t>
        </x:is>
      </x:c>
      <x:c r="S44" t="inlineStr">
        <x:is>
          <x:t xml:space="preserve">diarrhea, rash</x:t>
        </x:is>
      </x:c>
      <x:c r="T44" t="inlineStr">
        <x:is>
          <x:t xml:space="preserve">penicillin allergy; use only when bacterial likely</x:t>
        </x:is>
      </x:c>
      <x:c r="V44" t="n">
        <x:v>29</x:v>
      </x:c>
      <x:c r="W44" t="inlineStr">
        <x:is>
          <x:t xml:space="preserve">Y</x:t>
        </x:is>
      </x:c>
      <x:c r="X44" t="inlineStr">
        <x:is>
          <x:t xml:space="preserve">Y</x:t>
        </x:is>
      </x:c>
      <x:c r="Y44" t="inlineStr">
        <x:is>
          <x:t xml:space="preserve">N</x:t>
        </x:is>
      </x:c>
      <x:c r="Z44" t="inlineStr">
        <x:is>
          <x:t xml:space="preserve">N</x:t>
        </x:is>
      </x:c>
      <x:c r="AD44" t="n">
        <x:v>110</x:v>
      </x:c>
      <x:c r="AE44" t="n">
        <x:v>11</x:v>
      </x:c>
      <x:c r="AF44" t="inlineStr">
        <x:is>
          <x:t xml:space="preserve">USER</x:t>
        </x:is>
      </x:c>
      <x:c r="AG44" t="inlineStr">
        <x:is>
          <x:t xml:space="preserve">2026-02-17</x:t>
        </x:is>
      </x:c>
      <x:c r="AH44" t="inlineStr">
        <x:is>
          <x:t xml:space="preserve">User provided price (Ibiamox 500 mg 10 caps). Unit price is per cap.</x:t>
        </x:is>
      </x:c>
      <x:c r="AI44" t="inlineStr">
        <x:is>
          <x:t xml:space="preserve">Y</x:t>
        </x:is>
      </x:c>
      <x:c r="AJ44" t="inlineStr">
        <x:is>
          <x:t xml:space="preserve">2026-03-08</x:t>
        </x:is>
      </x:c>
    </x:row>
    <x:row r="45">
      <x:c r="A45" t="inlineStr">
        <x:is>
          <x:t xml:space="preserve">DRUG_BDS002003</x:t>
        </x:is>
      </x:c>
      <x:c r="B45" t="inlineStr">
        <x:is>
          <x:t xml:space="preserve">BDS002003</x:t>
        </x:is>
      </x:c>
      <x:c r="C45" t="n">
        <x:v>2003</x:v>
      </x:c>
      <x:c r="D45" t="inlineStr">
        <x:is>
          <x:t xml:space="preserve">Garamycin Cream</x:t>
        </x:is>
      </x:c>
      <x:c r="E45" t="inlineStr">
        <x:is>
          <x:t xml:space="preserve">Gentamicin 1 mg./1 g.</x:t>
        </x:is>
      </x:c>
      <x:c r="F45" t="inlineStr">
        <x:is>
          <x:t xml:space="preserve">Garamycin Cream [Gentamicin 1 mg./1 g.]</x:t>
        </x:is>
      </x:c>
      <x:c r="G45" t="inlineStr">
        <x:is>
          <x:t xml:space="preserve">gentamicin cream</x:t>
        </x:is>
      </x:c>
      <x:c r="H45" t="inlineStr">
        <x:is>
          <x:t xml:space="preserve">Topical antibiotic / wound care / burn care</x:t>
        </x:is>
      </x:c>
      <x:c r="I45" t="inlineStr">
        <x:is>
          <x:t xml:space="preserve">ยาทาฆ่าเชื้อแบคทีเรีย (D)</x:t>
        </x:is>
      </x:c>
      <x:c r="J45" t="inlineStr">
        <x:is>
          <x:t xml:space="preserve">cream/gel</x:t>
        </x:is>
      </x:c>
      <x:c r="K45" t="inlineStr">
        <x:is>
          <x:t xml:space="preserve">1 mg</x:t>
        </x:is>
      </x:c>
      <x:c r="L45" t="inlineStr">
        <x:is>
          <x:t xml:space="preserve">หลอด 5 g.</x:t>
        </x:is>
      </x:c>
      <x:c r="M45" t="inlineStr">
        <x:is>
          <x:t xml:space="preserve">tube</x:t>
        </x:is>
      </x:c>
      <x:c r="N45" t="inlineStr">
        <x:is>
          <x:t xml:space="preserve">ทาบางๆ บริเวณผิวหนังที่ติดเชื้อ วันละ 3-4 ครั้ง</x:t>
        </x:is>
      </x:c>
      <x:c r="P45" t="inlineStr">
        <x:is>
          <x:t xml:space="preserve">apply thinly TID–QID</x:t>
        </x:is>
      </x:c>
      <x:c r="S45" t="inlineStr">
        <x:is>
          <x:t xml:space="preserve">local irritation</x:t>
        </x:is>
      </x:c>
      <x:c r="T45" t="inlineStr">
        <x:is>
          <x:t xml:space="preserve">topical use only; avoid large area without review</x:t>
        </x:is>
      </x:c>
      <x:c r="W45" t="inlineStr">
        <x:is>
          <x:t xml:space="preserve">N</x:t>
        </x:is>
      </x:c>
      <x:c r="X45" t="inlineStr">
        <x:is>
          <x:t xml:space="preserve">N</x:t>
        </x:is>
      </x:c>
      <x:c r="Y45" t="inlineStr">
        <x:is>
          <x:t xml:space="preserve">N</x:t>
        </x:is>
      </x:c>
      <x:c r="Z45" t="inlineStr">
        <x:is>
          <x:t xml:space="preserve">N</x:t>
        </x:is>
      </x:c>
      <x:c r="AI45" t="inlineStr">
        <x:is>
          <x:t xml:space="preserve">Y</x:t>
        </x:is>
      </x:c>
      <x:c r="AJ45" t="inlineStr">
        <x:is>
          <x:t xml:space="preserve">2026-03-08</x:t>
        </x:is>
      </x:c>
    </x:row>
    <x:row r="46">
      <x:c r="A46" t="inlineStr">
        <x:is>
          <x:t xml:space="preserve">DRUG_BDS001007</x:t>
        </x:is>
      </x:c>
      <x:c r="B46" t="inlineStr">
        <x:is>
          <x:t xml:space="preserve">BDS001007</x:t>
        </x:is>
      </x:c>
      <x:c r="C46" t="n">
        <x:v>1007</x:v>
      </x:c>
      <x:c r="D46" t="inlineStr">
        <x:is>
          <x:t xml:space="preserve">Aloe Gel</x:t>
        </x:is>
      </x:c>
      <x:c r="E46" t="inlineStr">
        <x:is>
          <x:t xml:space="preserve">วุ้นจากว่านหางจระเข้ 87.399 %</x:t>
        </x:is>
      </x:c>
      <x:c r="F46" t="inlineStr">
        <x:is>
          <x:t xml:space="preserve">Aloe Gel [วุ้นจากว่านหางจระเข้ 87.399 %]</x:t>
        </x:is>
      </x:c>
      <x:c r="G46" t="inlineStr">
        <x:is>
          <x:t xml:space="preserve">aloe gel</x:t>
        </x:is>
      </x:c>
      <x:c r="H46" t="inlineStr">
        <x:is>
          <x:t xml:space="preserve">Topical antibiotic / wound care / burn care</x:t>
        </x:is>
      </x:c>
      <x:c r="I46" t="inlineStr">
        <x:is>
          <x:t xml:space="preserve">ยาทาแผลไฟไหม้, น้ำร้อนลวก</x:t>
        </x:is>
      </x:c>
      <x:c r="J46" t="inlineStr">
        <x:is>
          <x:t xml:space="preserve">cream/gel</x:t>
        </x:is>
      </x:c>
      <x:c r="K46" t="inlineStr">
        <x:is>
          <x:t xml:space="preserve">87.399 %</x:t>
        </x:is>
      </x:c>
      <x:c r="L46" t="inlineStr">
        <x:is>
          <x:t xml:space="preserve">หลอด 30 g.</x:t>
        </x:is>
      </x:c>
      <x:c r="M46" t="inlineStr">
        <x:is>
          <x:t xml:space="preserve">tube</x:t>
        </x:is>
      </x:c>
      <x:c r="N46" t="inlineStr">
        <x:is>
          <x:t xml:space="preserve">ทาเจลบริเวณที่มีอาการ วันละ 2-3 ครั้ง</x:t>
        </x:is>
      </x:c>
      <x:c r="P46" t="inlineStr">
        <x:is>
          <x:t xml:space="preserve">apply to affected area BID–TID</x:t>
        </x:is>
      </x:c>
      <x:c r="S46" t="inlineStr">
        <x:is>
          <x:t xml:space="preserve">local irritation</x:t>
        </x:is>
      </x:c>
      <x:c r="T46" t="inlineStr">
        <x:is>
          <x:t xml:space="preserve">for minor superficial burn only</x:t>
        </x:is>
      </x:c>
      <x:c r="W46" t="inlineStr">
        <x:is>
          <x:t xml:space="preserve">N</x:t>
        </x:is>
      </x:c>
      <x:c r="X46" t="inlineStr">
        <x:is>
          <x:t xml:space="preserve">N</x:t>
        </x:is>
      </x:c>
      <x:c r="Y46" t="inlineStr">
        <x:is>
          <x:t xml:space="preserve">N</x:t>
        </x:is>
      </x:c>
      <x:c r="Z46" t="inlineStr">
        <x:is>
          <x:t xml:space="preserve">N</x:t>
        </x:is>
      </x:c>
      <x:c r="AI46" t="inlineStr">
        <x:is>
          <x:t xml:space="preserve">Y</x:t>
        </x:is>
      </x:c>
      <x:c r="AJ46" t="inlineStr">
        <x:is>
          <x:t xml:space="preserve">2026-03-08</x:t>
        </x:is>
      </x:c>
    </x:row>
    <x:row r="47">
      <x:c r="A47" t="inlineStr">
        <x:is>
          <x:t xml:space="preserve">DRUG_BDS002801</x:t>
        </x:is>
      </x:c>
      <x:c r="B47" t="inlineStr">
        <x:is>
          <x:t xml:space="preserve">BDS002801</x:t>
        </x:is>
      </x:c>
      <x:c r="C47" t="n">
        <x:v>2801</x:v>
      </x:c>
      <x:c r="D47" t="inlineStr">
        <x:is>
          <x:t xml:space="preserve">Mebo</x:t>
        </x:is>
      </x:c>
      <x:c r="E47" t="inlineStr">
        <x:is>
          <x:t xml:space="preserve">Beta-sitosterol 0.25%</x:t>
        </x:is>
      </x:c>
      <x:c r="F47" t="inlineStr">
        <x:is>
          <x:t xml:space="preserve">Mebo [Beta-sitosterol 0.25%]</x:t>
        </x:is>
      </x:c>
      <x:c r="G47" t="inlineStr">
        <x:is>
          <x:t xml:space="preserve">beta-sitosterol burn cream</x:t>
        </x:is>
      </x:c>
      <x:c r="H47" t="inlineStr">
        <x:is>
          <x:t xml:space="preserve">Topical antibiotic / wound care / burn care</x:t>
        </x:is>
      </x:c>
      <x:c r="I47" t="inlineStr">
        <x:is>
          <x:t xml:space="preserve">ยาทาแผลไฟไหม้, น้ำร้อนลวก</x:t>
        </x:is>
      </x:c>
      <x:c r="J47" t="inlineStr">
        <x:is>
          <x:t xml:space="preserve">tube</x:t>
        </x:is>
      </x:c>
      <x:c r="K47" t="inlineStr">
        <x:is>
          <x:t xml:space="preserve">0.25%</x:t>
        </x:is>
      </x:c>
      <x:c r="L47" t="inlineStr">
        <x:is>
          <x:t xml:space="preserve">หลอด 10 g.</x:t>
        </x:is>
      </x:c>
      <x:c r="M47" t="inlineStr">
        <x:is>
          <x:t xml:space="preserve">tube</x:t>
        </x:is>
      </x:c>
      <x:c r="N47" t="inlineStr">
        <x:is>
          <x:t xml:space="preserve">ทาบริเวณที่มีอาการ วันละ 2-3 ครั้ง</x:t>
        </x:is>
      </x:c>
      <x:c r="P47" t="inlineStr">
        <x:is>
          <x:t xml:space="preserve">apply to affected area BID–TID</x:t>
        </x:is>
      </x:c>
      <x:c r="S47" t="inlineStr">
        <x:is>
          <x:t xml:space="preserve">local irritation</x:t>
        </x:is>
      </x:c>
      <x:c r="T47" t="inlineStr">
        <x:is>
          <x:t xml:space="preserve">for minor superficial burn only</x:t>
        </x:is>
      </x:c>
      <x:c r="W47" t="inlineStr">
        <x:is>
          <x:t xml:space="preserve">N</x:t>
        </x:is>
      </x:c>
      <x:c r="X47" t="inlineStr">
        <x:is>
          <x:t xml:space="preserve">N</x:t>
        </x:is>
      </x:c>
      <x:c r="Y47" t="inlineStr">
        <x:is>
          <x:t xml:space="preserve">N</x:t>
        </x:is>
      </x:c>
      <x:c r="Z47" t="inlineStr">
        <x:is>
          <x:t xml:space="preserve">N</x:t>
        </x:is>
      </x:c>
      <x:c r="AI47" t="inlineStr">
        <x:is>
          <x:t xml:space="preserve">Y</x:t>
        </x:is>
      </x:c>
      <x:c r="AJ47" t="inlineStr">
        <x:is>
          <x:t xml:space="preserve">2026-03-08</x:t>
        </x:is>
      </x:c>
    </x:row>
    <x:row r="48">
      <x:c r="A48" t="inlineStr">
        <x:is>
          <x:t xml:space="preserve">DRUG_BDS001255</x:t>
        </x:is>
      </x:c>
      <x:c r="B48" t="inlineStr">
        <x:is>
          <x:t xml:space="preserve">BDS001255</x:t>
        </x:is>
      </x:c>
      <x:c r="C48" t="n">
        <x:v>1255</x:v>
      </x:c>
      <x:c r="D48" t="inlineStr">
        <x:is>
          <x:t xml:space="preserve">Bisolvon</x:t>
        </x:is>
      </x:c>
      <x:c r="E48" t="inlineStr">
        <x:is>
          <x:t xml:space="preserve">Bromhexine HCl 8 mg.</x:t>
        </x:is>
      </x:c>
      <x:c r="F48" t="inlineStr">
        <x:is>
          <x:t xml:space="preserve">Bisolvon [Bromhexine HCl 8 mg.]</x:t>
        </x:is>
      </x:c>
      <x:c r="G48" t="inlineStr">
        <x:is>
          <x:t xml:space="preserve">bromhexine</x:t>
        </x:is>
      </x:c>
      <x:c r="H48" t="inlineStr">
        <x:is>
          <x:t xml:space="preserve">Cough medicines / mucolytics / expectorants</x:t>
        </x:is>
      </x:c>
      <x:c r="I48" t="inlineStr">
        <x:is>
          <x:t xml:space="preserve">ยาละลายเสมหะ</x:t>
        </x:is>
      </x:c>
      <x:c r="J48" t="inlineStr">
        <x:is>
          <x:t xml:space="preserve">tablet</x:t>
        </x:is>
      </x:c>
      <x:c r="K48" t="inlineStr">
        <x:is>
          <x:t xml:space="preserve">8 mg</x:t>
        </x:is>
      </x:c>
      <x:c r="L48" t="inlineStr">
        <x:is>
          <x:t xml:space="preserve">แผง 10 เม็ด</x:t>
        </x:is>
      </x:c>
      <x:c r="M48" t="inlineStr">
        <x:is>
          <x:t xml:space="preserve">strip</x:t>
        </x:is>
      </x:c>
      <x:c r="N48" t="inlineStr">
        <x:is>
          <x:t xml:space="preserve">รับประทานครั้งละ 1 เม็ด วันละ 3 ครั้ง</x:t>
        </x:is>
      </x:c>
      <x:c r="R48" t="inlineStr">
        <x:is>
          <x:t xml:space="preserve">wet cough / sputum when a simple mucolytic is preferred</x:t>
        </x:is>
      </x:c>
      <x:c r="S48" t="inlineStr">
        <x:is>
          <x:t xml:space="preserve">GI upset</x:t>
        </x:is>
      </x:c>
      <x:c r="T48" t="inlineStr">
        <x:is>
          <x:t xml:space="preserve">encourage hydration</x:t>
        </x:is>
      </x:c>
      <x:c r="V48" t="n">
        <x:v>2</x:v>
      </x:c>
      <x:c r="W48" t="inlineStr">
        <x:is>
          <x:t xml:space="preserve">Y</x:t>
        </x:is>
      </x:c>
      <x:c r="X48" t="inlineStr">
        <x:is>
          <x:t xml:space="preserve">N</x:t>
        </x:is>
      </x:c>
      <x:c r="Y48" t="inlineStr">
        <x:is>
          <x:t xml:space="preserve">N</x:t>
        </x:is>
      </x:c>
      <x:c r="Z48" t="inlineStr">
        <x:is>
          <x:t xml:space="preserve">N</x:t>
        </x:is>
      </x:c>
      <x:c r="AI48" t="inlineStr">
        <x:is>
          <x:t xml:space="preserve">Y</x:t>
        </x:is>
      </x:c>
      <x:c r="AJ48" t="inlineStr">
        <x:is>
          <x:t xml:space="preserve">2026-03-08</x:t>
        </x:is>
      </x:c>
    </x:row>
    <x:row r="49">
      <x:c r="A49" t="inlineStr">
        <x:is>
          <x:t xml:space="preserve">DRUG_BDS003574</x:t>
        </x:is>
      </x:c>
      <x:c r="B49" t="inlineStr">
        <x:is>
          <x:t xml:space="preserve">BDS003574</x:t>
        </x:is>
      </x:c>
      <x:c r="C49" t="n">
        <x:v>3574</x:v>
      </x:c>
      <x:c r="D49" t="inlineStr">
        <x:is>
          <x:t xml:space="preserve">Strepsils Citrus Lemon SF HHR ซอง 6s</x:t>
        </x:is>
      </x:c>
      <x:c r="E49" t="inlineStr">
        <x:is>
          <x:t xml:space="preserve">2,4-Dichlorobenzyl Alcohol 1.2 mg.+Amylmetacresol 0.6 mg.</x:t>
        </x:is>
      </x:c>
      <x:c r="F49" t="inlineStr">
        <x:is>
          <x:t xml:space="preserve">Strepsils Citrus Lemon SF HHR ซอง 6s [2,4-Dichlorobenzyl Alcohol 1.2 mg.+Amylmetacresol 0.6 mg.]</x:t>
        </x:is>
      </x:c>
      <x:c r="G49" t="inlineStr">
        <x:is>
          <x:t xml:space="preserve">lozenge throat relief</x:t>
        </x:is>
      </x:c>
      <x:c r="I49" t="inlineStr">
        <x:is>
          <x:t xml:space="preserve">ยาอมแก้เจ็บคอ</x:t>
        </x:is>
      </x:c>
      <x:c r="J49" t="inlineStr">
        <x:is>
          <x:t xml:space="preserve">tablet</x:t>
        </x:is>
      </x:c>
      <x:c r="K49" t="inlineStr">
        <x:is>
          <x:t xml:space="preserve">1.2 mg</x:t>
        </x:is>
      </x:c>
      <x:c r="L49" t="inlineStr">
        <x:is>
          <x:t xml:space="preserve">ซอง 6 เม็ด</x:t>
        </x:is>
      </x:c>
      <x:c r="M49" t="inlineStr">
        <x:is>
          <x:t xml:space="preserve">unit</x:t>
        </x:is>
      </x:c>
      <x:c r="N49" t="inlineStr">
        <x:is>
          <x:t xml:space="preserve">รับประทาน (อม) ครั้งละ1-2 เม็ด วันละ 3-5 ครั้ง หรือเมื่อมีอาการ</x:t>
        </x:is>
      </x:c>
      <x:c r="O49" t="inlineStr">
        <x:is>
          <x:t xml:space="preserve">Take 1-2 lozenges 3-5 times a day or when symptoms appear.</x:t>
        </x:is>
      </x:c>
      <x:c r="R49" t="inlineStr">
        <x:is>
          <x:t xml:space="preserve">mild sore throat / throat irritation needing lozenge support</x:t>
        </x:is>
      </x:c>
      <x:c r="S49" t="inlineStr">
        <x:is>
          <x:t xml:space="preserve">local mouth irritation</x:t>
        </x:is>
      </x:c>
      <x:c r="T49" t="inlineStr">
        <x:is>
          <x:t xml:space="preserve">not for very young children</x:t>
        </x:is>
      </x:c>
      <x:c r="V49" t="n">
        <x:v>2</x:v>
      </x:c>
      <x:c r="W49" t="inlineStr">
        <x:is>
          <x:t xml:space="preserve">Y</x:t>
        </x:is>
      </x:c>
      <x:c r="X49" t="inlineStr">
        <x:is>
          <x:t xml:space="preserve">N</x:t>
        </x:is>
      </x:c>
      <x:c r="Y49" t="inlineStr">
        <x:is>
          <x:t xml:space="preserve">N</x:t>
        </x:is>
      </x:c>
      <x:c r="Z49" t="inlineStr">
        <x:is>
          <x:t xml:space="preserve">N</x:t>
        </x:is>
      </x:c>
      <x:c r="AI49" t="inlineStr">
        <x:is>
          <x:t xml:space="preserve">Y</x:t>
        </x:is>
      </x:c>
      <x:c r="AJ49" t="inlineStr">
        <x:is>
          <x:t xml:space="preserve">2026-03-08</x:t>
        </x:is>
      </x:c>
    </x:row>
    <x:row r="50">
      <x:c r="A50" t="inlineStr">
        <x:is>
          <x:t xml:space="preserve">DRUG_BDS001238</x:t>
        </x:is>
      </x:c>
      <x:c r="B50" t="inlineStr">
        <x:is>
          <x:t xml:space="preserve">BDS001238</x:t>
        </x:is>
      </x:c>
      <x:c r="C50" t="n">
        <x:v>1238</x:v>
      </x:c>
      <x:c r="D50" t="inlineStr">
        <x:is>
          <x:t xml:space="preserve">Betadine Solution 15 ml</x:t>
        </x:is>
      </x:c>
      <x:c r="E50" t="inlineStr">
        <x:is>
          <x:t xml:space="preserve">Povidone-Iodine USP 10 % w/v</x:t>
        </x:is>
      </x:c>
      <x:c r="F50" t="inlineStr">
        <x:is>
          <x:t xml:space="preserve">Betadine Solution 15 ml [Povidone-Iodine USP 10 % w/v]</x:t>
        </x:is>
      </x:c>
      <x:c r="G50" t="inlineStr">
        <x:is>
          <x:t xml:space="preserve">povidone iodine</x:t>
        </x:is>
      </x:c>
      <x:c r="I50" t="inlineStr">
        <x:is>
          <x:t xml:space="preserve">ยาใส่แผล</x:t>
        </x:is>
      </x:c>
      <x:c r="J50" t="inlineStr">
        <x:is>
          <x:t xml:space="preserve">liquid</x:t>
        </x:is>
      </x:c>
      <x:c r="K50" t="inlineStr">
        <x:is>
          <x:t xml:space="preserve">10 %</x:t>
        </x:is>
      </x:c>
      <x:c r="L50" t="inlineStr">
        <x:is>
          <x:t xml:space="preserve">ขวด 15 ml.</x:t>
        </x:is>
      </x:c>
      <x:c r="M50" t="inlineStr">
        <x:is>
          <x:t xml:space="preserve">bottle</x:t>
        </x:is>
      </x:c>
      <x:c r="N50" t="inlineStr">
        <x:is>
          <x:t xml:space="preserve">ทาบริเวณรอบๆ บาดแผล </x:t>
        </x:is>
      </x:c>
      <x:c r="R50" t="inlineStr">
        <x:is>
          <x:t xml:space="preserve">minor wound cleansing support</x:t>
        </x:is>
      </x:c>
      <x:c r="S50" t="inlineStr">
        <x:is>
          <x:t xml:space="preserve">local irritation</x:t>
        </x:is>
      </x:c>
      <x:c r="T50" t="inlineStr">
        <x:is>
          <x:t xml:space="preserve">avoid deep wounds / iodine allergy / thyroid caution</x:t>
        </x:is>
      </x:c>
      <x:c r="V50" t="n">
        <x:v>3</x:v>
      </x:c>
      <x:c r="W50" t="inlineStr">
        <x:is>
          <x:t xml:space="preserve">Y</x:t>
        </x:is>
      </x:c>
      <x:c r="X50" t="inlineStr">
        <x:is>
          <x:t xml:space="preserve">N</x:t>
        </x:is>
      </x:c>
      <x:c r="Y50" t="inlineStr">
        <x:is>
          <x:t xml:space="preserve">N</x:t>
        </x:is>
      </x:c>
      <x:c r="Z50" t="inlineStr">
        <x:is>
          <x:t xml:space="preserve">N</x:t>
        </x:is>
      </x:c>
      <x:c r="AI50" t="inlineStr">
        <x:is>
          <x:t xml:space="preserve">Y</x:t>
        </x:is>
      </x:c>
      <x:c r="AJ50" t="inlineStr">
        <x:is>
          <x:t xml:space="preserve">2026-03-08</x:t>
        </x:is>
      </x:c>
    </x:row>
    <x:row r="51">
      <x:c r="A51" t="inlineStr">
        <x:is>
          <x:t xml:space="preserve">DRUG_BDS003568</x:t>
        </x:is>
      </x:c>
      <x:c r="B51" t="inlineStr">
        <x:is>
          <x:t xml:space="preserve">BDS003568</x:t>
        </x:is>
      </x:c>
      <x:c r="C51" t="n">
        <x:v>3568</x:v>
      </x:c>
      <x:c r="D51" t="inlineStr">
        <x:is>
          <x:t xml:space="preserve">Synflex</x:t>
        </x:is>
      </x:c>
      <x:c r="E51" t="inlineStr">
        <x:is>
          <x:t xml:space="preserve">Naproxen sodium 275 mg.</x:t>
        </x:is>
      </x:c>
      <x:c r="F51" t="inlineStr">
        <x:is>
          <x:t xml:space="preserve">Synflex [Naproxen sodium 275 mg.]</x:t>
        </x:is>
      </x:c>
      <x:c r="G51" t="inlineStr">
        <x:is>
          <x:t xml:space="preserve">naproxen</x:t>
        </x:is>
      </x:c>
      <x:c r="H51" t="inlineStr">
        <x:is>
          <x:t xml:space="preserve">NSAIDs (oral anti-inflammatory painkillers)</x:t>
        </x:is>
      </x:c>
      <x:c r="I51" t="inlineStr">
        <x:is>
          <x:t xml:space="preserve">ยาแก้ปวดอักเสบกลุ่ม NSAIDs (D)</x:t>
        </x:is>
      </x:c>
      <x:c r="J51" t="inlineStr">
        <x:is>
          <x:t xml:space="preserve">tablet</x:t>
        </x:is>
      </x:c>
      <x:c r="K51" t="inlineStr">
        <x:is>
          <x:t xml:space="preserve">275 mg</x:t>
        </x:is>
      </x:c>
      <x:c r="L51" t="inlineStr">
        <x:is>
          <x:t xml:space="preserve">แผง 6 เม็ด</x:t>
        </x:is>
      </x:c>
      <x:c r="M51" t="inlineStr">
        <x:is>
          <x:t xml:space="preserve">strip</x:t>
        </x:is>
      </x:c>
      <x:c r="N51" t="inlineStr">
        <x:is>
          <x:t xml:space="preserve">รับประทานครั้งละ 1 เม็ด วันละ 2 ครั้ง หลังอาหารทันที </x:t>
        </x:is>
      </x:c>
      <x:c r="R51" t="inlineStr">
        <x:is>
          <x:t xml:space="preserve">inflammatory pain when a BID NSAID option is preferred</x:t>
        </x:is>
      </x:c>
      <x:c r="S51" t="inlineStr">
        <x:is>
          <x:t xml:space="preserve">GI upset</x:t>
        </x:is>
      </x:c>
      <x:c r="T51" t="inlineStr">
        <x:is>
          <x:t xml:space="preserve">avoid PUD/GI bleed/CKD; take after food</x:t>
        </x:is>
      </x:c>
      <x:c r="V51" t="n">
        <x:v>3</x:v>
      </x:c>
      <x:c r="W51" t="inlineStr">
        <x:is>
          <x:t xml:space="preserve">Y</x:t>
        </x:is>
      </x:c>
      <x:c r="X51" t="inlineStr">
        <x:is>
          <x:t xml:space="preserve">N</x:t>
        </x:is>
      </x:c>
      <x:c r="Y51" t="inlineStr">
        <x:is>
          <x:t xml:space="preserve">N</x:t>
        </x:is>
      </x:c>
      <x:c r="Z51" t="inlineStr">
        <x:is>
          <x:t xml:space="preserve">N</x:t>
        </x:is>
      </x:c>
      <x:c r="AI51" t="inlineStr">
        <x:is>
          <x:t xml:space="preserve">Y</x:t>
        </x:is>
      </x:c>
      <x:c r="AJ51" t="inlineStr">
        <x:is>
          <x:t xml:space="preserve">2026-03-08</x:t>
        </x:is>
      </x:c>
    </x:row>
    <x:row r="52">
      <x:c r="A52" t="inlineStr">
        <x:is>
          <x:t xml:space="preserve">DRUG_BDS007549</x:t>
        </x:is>
      </x:c>
      <x:c r="B52" t="inlineStr">
        <x:is>
          <x:t xml:space="preserve">BDS007549</x:t>
        </x:is>
      </x:c>
      <x:c r="C52" t="n">
        <x:v>7549</x:v>
      </x:c>
      <x:c r="D52" t="inlineStr">
        <x:is>
          <x:t xml:space="preserve">Kenalone Oral Paste 5 g</x:t>
        </x:is>
      </x:c>
      <x:c r="E52" t="inlineStr">
        <x:is>
          <x:t xml:space="preserve">Triamcinolone Acetonide 0.1%</x:t>
        </x:is>
      </x:c>
      <x:c r="F52" t="inlineStr">
        <x:is>
          <x:t xml:space="preserve">Kenalone Oral Paste 5 g [Triamcinolone Acetonide 0.1%]</x:t>
        </x:is>
      </x:c>
      <x:c r="G52" t="inlineStr">
        <x:is>
          <x:t xml:space="preserve">triamcinolone oral paste</x:t>
        </x:is>
      </x:c>
      <x:c r="H52" t="inlineStr">
        <x:is>
          <x:t xml:space="preserve">Mouthwash / throat/oral care</x:t>
        </x:is>
      </x:c>
      <x:c r="I52" t="inlineStr">
        <x:is>
          <x:t xml:space="preserve">ยาทาแผลในปาก (D)</x:t>
        </x:is>
      </x:c>
      <x:c r="J52" t="inlineStr">
        <x:is>
          <x:t xml:space="preserve">other</x:t>
        </x:is>
      </x:c>
      <x:c r="K52" t="inlineStr">
        <x:is>
          <x:t xml:space="preserve">0.1%</x:t>
        </x:is>
      </x:c>
      <x:c r="L52" t="inlineStr">
        <x:is>
          <x:t xml:space="preserve">หลอด 5 g.</x:t>
        </x:is>
      </x:c>
      <x:c r="M52" t="inlineStr">
        <x:is>
          <x:t xml:space="preserve">bottle</x:t>
        </x:is>
      </x:c>
      <x:c r="N52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R52" t="inlineStr">
        <x:is>
          <x:t xml:space="preserve">aphthous ulcer needing anti-inflammatory topical support</x:t>
        </x:is>
      </x:c>
      <x:c r="S52" t="inlineStr">
        <x:is>
          <x:t xml:space="preserve">local irritation</x:t>
        </x:is>
      </x:c>
      <x:c r="T52" t="inlineStr">
        <x:is>
          <x:t xml:space="preserve">avoid if fungal lesion suspected</x:t>
        </x:is>
      </x:c>
      <x:c r="V52" t="n">
        <x:v>2</x:v>
      </x:c>
      <x:c r="W52" t="inlineStr">
        <x:is>
          <x:t xml:space="preserve">Y</x:t>
        </x:is>
      </x:c>
      <x:c r="X52" t="inlineStr">
        <x:is>
          <x:t xml:space="preserve">N</x:t>
        </x:is>
      </x:c>
      <x:c r="Y52" t="inlineStr">
        <x:is>
          <x:t xml:space="preserve">Y</x:t>
        </x:is>
      </x:c>
      <x:c r="Z52" t="inlineStr">
        <x:is>
          <x:t xml:space="preserve">N</x:t>
        </x:is>
      </x:c>
      <x:c r="AI52" t="inlineStr">
        <x:is>
          <x:t xml:space="preserve">Y</x:t>
        </x:is>
      </x:c>
      <x:c r="AJ52" t="inlineStr">
        <x:is>
          <x:t xml:space="preserve">2026-03-08</x:t>
        </x:is>
      </x:c>
    </x:row>
    <x:row r="53">
      <x:c r="A53" t="inlineStr">
        <x:is>
          <x:t xml:space="preserve">DRUG_BDS001509</x:t>
        </x:is>
      </x:c>
      <x:c r="B53" t="inlineStr">
        <x:is>
          <x:t xml:space="preserve">BDS001509</x:t>
        </x:is>
      </x:c>
      <x:c r="C53" t="n">
        <x:v>1509</x:v>
      </x:c>
      <x:c r="D53" t="inlineStr">
        <x:is>
          <x:t xml:space="preserve">Celebrex 200 mg</x:t>
        </x:is>
      </x:c>
      <x:c r="E53" t="inlineStr">
        <x:is>
          <x:t xml:space="preserve">Celecoxib 200 mg.</x:t>
        </x:is>
      </x:c>
      <x:c r="F53" t="inlineStr">
        <x:is>
          <x:t xml:space="preserve">Celebrex 200 mg [Celecoxib 200 mg.]</x:t>
        </x:is>
      </x:c>
      <x:c r="G53" t="inlineStr">
        <x:is>
          <x:t xml:space="preserve">celecoxib</x:t>
        </x:is>
      </x:c>
      <x:c r="H53" t="inlineStr">
        <x:is>
          <x:t xml:space="preserve">NSAIDs (oral anti-inflammatory painkillers)</x:t>
        </x:is>
      </x:c>
      <x:c r="I53" t="inlineStr">
        <x:is>
          <x:t xml:space="preserve">ยาแก้ปวดอักเสบกลุ่ม NSAIDs (D)</x:t>
        </x:is>
      </x:c>
      <x:c r="J53" t="inlineStr">
        <x:is>
          <x:t xml:space="preserve">capsule</x:t>
        </x:is>
      </x:c>
      <x:c r="K53" t="inlineStr">
        <x:is>
          <x:t xml:space="preserve">200 mg</x:t>
        </x:is>
      </x:c>
      <x:c r="L53" t="inlineStr">
        <x:is>
          <x:t xml:space="preserve">กล่อง 10 แคปซูล</x:t>
        </x:is>
      </x:c>
      <x:c r="M53" t="inlineStr">
        <x:is>
          <x:t xml:space="preserve">box</x:t>
        </x:is>
      </x:c>
      <x:c r="N53" t="inlineStr">
        <x:is>
          <x:t xml:space="preserve">รับประทานครั้งละ 1 แคปซูล วันละ 2 ครั้ง หลังอาหารทันที</x:t>
        </x:is>
      </x:c>
      <x:c r="R53" t="inlineStr">
        <x:is>
          <x:t xml:space="preserve">pain/inflammation when a COX-2 option is preferred</x:t>
        </x:is>
      </x:c>
      <x:c r="S53" t="inlineStr">
        <x:is>
          <x:t xml:space="preserve">GI upset, edema</x:t>
        </x:is>
      </x:c>
      <x:c r="T53" t="inlineStr">
        <x:is>
          <x:t xml:space="preserve">CV risk; sulfa allergy caution; avoid late pregnancy</x:t>
        </x:is>
      </x:c>
      <x:c r="V53" t="n">
        <x:v>3</x:v>
      </x:c>
      <x:c r="W53" t="inlineStr">
        <x:is>
          <x:t xml:space="preserve">Y</x:t>
        </x:is>
      </x:c>
      <x:c r="X53" t="inlineStr">
        <x:is>
          <x:t xml:space="preserve">N</x:t>
        </x:is>
      </x:c>
      <x:c r="Y53" t="inlineStr">
        <x:is>
          <x:t xml:space="preserve">N</x:t>
        </x:is>
      </x:c>
      <x:c r="Z53" t="inlineStr">
        <x:is>
          <x:t xml:space="preserve">N</x:t>
        </x:is>
      </x:c>
      <x:c r="AI53" t="inlineStr">
        <x:is>
          <x:t xml:space="preserve">Y</x:t>
        </x:is>
      </x:c>
      <x:c r="AJ53" t="inlineStr">
        <x:is>
          <x:t xml:space="preserve">2026-03-08</x:t>
        </x:is>
      </x:c>
    </x:row>
    <x:row r="54">
      <x:c r="A54" t="inlineStr">
        <x:is>
          <x:t xml:space="preserve">DRUG_BDS003118</x:t>
        </x:is>
      </x:c>
      <x:c r="B54" t="inlineStr">
        <x:is>
          <x:t xml:space="preserve">BDS003118</x:t>
        </x:is>
      </x:c>
      <x:c r="C54" t="n">
        <x:v>3118</x:v>
      </x:c>
      <x:c r="D54" t="inlineStr">
        <x:is>
          <x:t xml:space="preserve">Perskindol Classic Gel</x:t>
        </x:is>
      </x:c>
      <x:c r="E54" t="inlineStr">
        <x:is>
          <x:t xml:space="preserve">Menthol 1.5%+Pine Needle Oil 1.35%+Wintergreen Oil 0.35%+Orange Oil 0.4%</x:t>
        </x:is>
      </x:c>
      <x:c r="F54" t="inlineStr">
        <x:is>
          <x:t xml:space="preserve">Perskindol Classic Gel [Menthol 1.5%+Pine Needle Oil 1.35%+Wintergreen Oil 0.35%+Orange Oil 0.4%]</x:t>
        </x:is>
      </x:c>
      <x:c r="G54" t="inlineStr">
        <x:is>
          <x:t xml:space="preserve">topical pain rub</x:t>
        </x:is>
      </x:c>
      <x:c r="H54" t="inlineStr">
        <x:is>
          <x:t xml:space="preserve">Topical pain relief / topical NSAIDs</x:t>
        </x:is>
      </x:c>
      <x:c r="I54" t="inlineStr">
        <x:is>
          <x:t xml:space="preserve">ยาทาและยาพ่นแก้ปวดเมื่อย </x:t>
        </x:is>
      </x:c>
      <x:c r="J54" t="inlineStr">
        <x:is>
          <x:t xml:space="preserve">cream/gel</x:t>
        </x:is>
      </x:c>
      <x:c r="K54" t="inlineStr">
        <x:is>
          <x:t xml:space="preserve">1.5%</x:t>
        </x:is>
      </x:c>
      <x:c r="L54" t="inlineStr">
        <x:is>
          <x:t xml:space="preserve">กล่อง 100 ml.</x:t>
        </x:is>
      </x:c>
      <x:c r="M54" t="inlineStr">
        <x:is>
          <x:t xml:space="preserve">box</x:t>
        </x:is>
      </x:c>
      <x:c r="N54" t="inlineStr">
        <x:is>
          <x:t xml:space="preserve">ทาบริเวณที่มีอาการ วันละ 3-4 ครั้ง นวดเบาๆ จนเนื้อเจลซึมเข้าสู่ผิวหนัง</x:t>
        </x:is>
      </x:c>
      <x:c r="R54" t="inlineStr">
        <x:is>
          <x:t xml:space="preserve">localized muscle ache / strain support</x:t>
        </x:is>
      </x:c>
      <x:c r="S54" t="inlineStr">
        <x:is>
          <x:t xml:space="preserve">local irritation</x:t>
        </x:is>
      </x:c>
      <x:c r="T54" t="inlineStr">
        <x:is>
          <x:t xml:space="preserve">avoid broken skin</x:t>
        </x:is>
      </x:c>
      <x:c r="V54" t="n">
        <x:v>3</x:v>
      </x:c>
      <x:c r="W54" t="inlineStr">
        <x:is>
          <x:t xml:space="preserve">Y</x:t>
        </x:is>
      </x:c>
      <x:c r="X54" t="inlineStr">
        <x:is>
          <x:t xml:space="preserve">N</x:t>
        </x:is>
      </x:c>
      <x:c r="Y54" t="inlineStr">
        <x:is>
          <x:t xml:space="preserve">N</x:t>
        </x:is>
      </x:c>
      <x:c r="Z54" t="inlineStr">
        <x:is>
          <x:t xml:space="preserve">N</x:t>
        </x:is>
      </x:c>
      <x:c r="AI54" t="inlineStr">
        <x:is>
          <x:t xml:space="preserve">Y</x:t>
        </x:is>
      </x:c>
      <x:c r="AJ54" t="inlineStr">
        <x:is>
          <x:t xml:space="preserve">2026-03-08</x:t>
        </x:is>
      </x:c>
    </x:row>
    <x:row r="55">
      <x:c r="A55" t="inlineStr">
        <x:is>
          <x:t xml:space="preserve">DRUG_BDS001257</x:t>
        </x:is>
      </x:c>
      <x:c r="B55" t="inlineStr">
        <x:is>
          <x:t xml:space="preserve">BDS001257</x:t>
        </x:is>
      </x:c>
      <x:c r="C55" t="n">
        <x:v>1257</x:v>
      </x:c>
      <x:c r="D55" t="inlineStr">
        <x:is>
          <x:t xml:space="preserve">Bisolvon EX Syrup เล็ก</x:t>
        </x:is>
      </x:c>
      <x:c r="E55" t="inlineStr">
        <x:is>
          <x:t xml:space="preserve">Bromhexine HCl 4 mg.+K guaiacolsulphonate 100 mg./5 ml.</x:t>
        </x:is>
      </x:c>
      <x:c r="F55" t="inlineStr">
        <x:is>
          <x:t xml:space="preserve">Bisolvon EX Syrup เล็ก [Bromhexine HCl 4 mg.+K guaiacolsulphonate 100 mg./5 ml.]</x:t>
        </x:is>
      </x:c>
      <x:c r="G55" t="inlineStr">
        <x:is>
          <x:t xml:space="preserve">bromhexine syrup</x:t>
        </x:is>
      </x:c>
      <x:c r="H55" t="inlineStr">
        <x:is>
          <x:t xml:space="preserve">Cough medicines / mucolytics / expectorants</x:t>
        </x:is>
      </x:c>
      <x:c r="I55" t="inlineStr">
        <x:is>
          <x:t xml:space="preserve">ยาละลายเสมหะ ชนิดน้ำ</x:t>
        </x:is>
      </x:c>
      <x:c r="J55" t="inlineStr">
        <x:is>
          <x:t xml:space="preserve">syrup</x:t>
        </x:is>
      </x:c>
      <x:c r="K55" t="inlineStr">
        <x:is>
          <x:t xml:space="preserve">4 mg</x:t>
        </x:is>
      </x:c>
      <x:c r="L55" t="inlineStr">
        <x:is>
          <x:t xml:space="preserve">ขวด 60 ml.</x:t>
        </x:is>
      </x:c>
      <x:c r="M55" t="inlineStr">
        <x:is>
          <x:t xml:space="preserve">bottle</x:t>
        </x:is>
      </x:c>
      <x:c r="N55" t="inlineStr">
        <x:is>
          <x:t xml:space="preserve">รับประทานครั้งละ 1-2 ช้อนชา วันละ 3-4 ครั้ง</x:t>
        </x:is>
      </x:c>
      <x:c r="R55" t="inlineStr">
        <x:is>
          <x:t xml:space="preserve">wet cough / sputum in child-friendly syrup form</x:t>
        </x:is>
      </x:c>
      <x:c r="S55" t="inlineStr">
        <x:is>
          <x:t xml:space="preserve">GI upset</x:t>
        </x:is>
      </x:c>
      <x:c r="T55" t="inlineStr">
        <x:is>
          <x:t xml:space="preserve">encourage hydration</x:t>
        </x:is>
      </x:c>
      <x:c r="V55" t="n">
        <x:v>2</x:v>
      </x:c>
      <x:c r="W55" t="inlineStr">
        <x:is>
          <x:t xml:space="preserve">Y</x:t>
        </x:is>
      </x:c>
      <x:c r="X55" t="inlineStr">
        <x:is>
          <x:t xml:space="preserve">N</x:t>
        </x:is>
      </x:c>
      <x:c r="Y55" t="inlineStr">
        <x:is>
          <x:t xml:space="preserve">N</x:t>
        </x:is>
      </x:c>
      <x:c r="Z55" t="inlineStr">
        <x:is>
          <x:t xml:space="preserve">N</x:t>
        </x:is>
      </x:c>
      <x:c r="AI55" t="inlineStr">
        <x:is>
          <x:t xml:space="preserve">Y</x:t>
        </x:is>
      </x:c>
      <x:c r="AJ55" t="inlineStr">
        <x:is>
          <x:t xml:space="preserve">2026-03-08</x:t>
        </x:is>
      </x:c>
    </x:row>
    <x:row r="56">
      <x:c r="A56" t="inlineStr">
        <x:is>
          <x:t xml:space="preserve">DRUG_BDS002691</x:t>
        </x:is>
      </x:c>
      <x:c r="B56" t="inlineStr">
        <x:is>
          <x:t xml:space="preserve">BDS002691</x:t>
        </x:is>
      </x:c>
      <x:c r="C56" t="n">
        <x:v>2691</x:v>
      </x:c>
      <x:c r="D56" t="inlineStr">
        <x:is>
          <x:t xml:space="preserve">Mucolid Junior บลูเบอร์รี่</x:t>
        </x:is>
      </x:c>
      <x:c r="E56" t="inlineStr">
        <x:is>
          <x:t xml:space="preserve">Ambroxol HCl 15 mg./5 ml.</x:t>
        </x:is>
      </x:c>
      <x:c r="F56" t="inlineStr">
        <x:is>
          <x:t xml:space="preserve">Mucolid Junior บลูเบอร์รี่ [Ambroxol HCl 15 mg./5 ml.]</x:t>
        </x:is>
      </x:c>
      <x:c r="G56" t="inlineStr">
        <x:is>
          <x:t xml:space="preserve">ambroxol syrup</x:t>
        </x:is>
      </x:c>
      <x:c r="H56" t="inlineStr">
        <x:is>
          <x:t xml:space="preserve">Cough medicines / mucolytics / expectorants</x:t>
        </x:is>
      </x:c>
      <x:c r="I56" t="inlineStr">
        <x:is>
          <x:t xml:space="preserve">ยาละลายเสมหะ ชนิดน้ำ</x:t>
        </x:is>
      </x:c>
      <x:c r="J56" t="inlineStr">
        <x:is>
          <x:t xml:space="preserve">other</x:t>
        </x:is>
      </x:c>
      <x:c r="K56" t="inlineStr">
        <x:is>
          <x:t xml:space="preserve">15 mg</x:t>
        </x:is>
      </x:c>
      <x:c r="L56" t="inlineStr">
        <x:is>
          <x:t xml:space="preserve">ขวด 60 ml.</x:t>
        </x:is>
      </x:c>
      <x:c r="M56" t="inlineStr">
        <x:is>
          <x:t xml:space="preserve">bottle</x:t>
        </x:is>
      </x:c>
      <x:c r="N56" t="inlineStr">
        <x:is>
          <x:t xml:space="preserve">รับประทานครั้งละ 2 ช้อนชา วันละ 3 ครั้ง</x:t>
        </x:is>
      </x:c>
      <x:c r="R56" t="inlineStr">
        <x:is>
          <x:t xml:space="preserve">wet cough / sputum in child-friendly syrup form</x:t>
        </x:is>
      </x:c>
      <x:c r="S56" t="inlineStr">
        <x:is>
          <x:t xml:space="preserve">GI upset</x:t>
        </x:is>
      </x:c>
      <x:c r="T56" t="inlineStr">
        <x:is>
          <x:t xml:space="preserve">encourage hydration</x:t>
        </x:is>
      </x:c>
      <x:c r="V56" t="n">
        <x:v>2</x:v>
      </x:c>
      <x:c r="W56" t="inlineStr">
        <x:is>
          <x:t xml:space="preserve">Y</x:t>
        </x:is>
      </x:c>
      <x:c r="X56" t="inlineStr">
        <x:is>
          <x:t xml:space="preserve">N</x:t>
        </x:is>
      </x:c>
      <x:c r="Y56" t="inlineStr">
        <x:is>
          <x:t xml:space="preserve">N</x:t>
        </x:is>
      </x:c>
      <x:c r="Z56" t="inlineStr">
        <x:is>
          <x:t xml:space="preserve">N</x:t>
        </x:is>
      </x:c>
      <x:c r="AI56" t="inlineStr">
        <x:is>
          <x:t xml:space="preserve">Y</x:t>
        </x:is>
      </x:c>
      <x:c r="AJ56" t="inlineStr">
        <x:is>
          <x:t xml:space="preserve">2026-03-08</x:t>
        </x:is>
      </x:c>
    </x:row>
    <x:row r="57">
      <x:c r="A57" t="inlineStr">
        <x:is>
          <x:t xml:space="preserve">DRUG_BDS002108</x:t>
        </x:is>
      </x:c>
      <x:c r="B57" t="inlineStr">
        <x:is>
          <x:t xml:space="preserve">BDS002108</x:t>
        </x:is>
      </x:c>
      <x:c r="C57" t="n">
        <x:v>2108</x:v>
      </x:c>
      <x:c r="D57" t="inlineStr">
        <x:is>
          <x:t xml:space="preserve">Hidrasec Paediatric 30 mg</x:t>
        </x:is>
      </x:c>
      <x:c r="E57" t="inlineStr">
        <x:is>
          <x:t xml:space="preserve">Racecadotril 30 mg.</x:t>
        </x:is>
      </x:c>
      <x:c r="F57" t="inlineStr">
        <x:is>
          <x:t xml:space="preserve">Hidrasec Paediatric 30 mg [Racecadotril 30 mg.]</x:t>
        </x:is>
      </x:c>
      <x:c r="G57" t="inlineStr">
        <x:is>
          <x:t xml:space="preserve">racecadotril paeds</x:t>
        </x:is>
      </x:c>
      <x:c r="I57" t="inlineStr">
        <x:is>
          <x:t xml:space="preserve">ยาแก้ท้องเสีย (D)</x:t>
        </x:is>
      </x:c>
      <x:c r="J57" t="inlineStr">
        <x:is>
          <x:t xml:space="preserve">other</x:t>
        </x:is>
      </x:c>
      <x:c r="K57" t="inlineStr">
        <x:is>
          <x:t xml:space="preserve">30 mg</x:t>
        </x:is>
      </x:c>
      <x:c r="L57" t="inlineStr">
        <x:is>
          <x:t xml:space="preserve">ซอง 3 g.</x:t>
        </x:is>
      </x:c>
      <x:c r="M57" t="inlineStr">
        <x:is>
          <x:t xml:space="preserve">strip</x:t>
        </x:is>
      </x:c>
      <x:c r="N57" t="inlineStr">
        <x:is>
          <x:t xml:space="preserve">รับประทานครั้งละ 1 แคปซูล ทุก 8 ชั่วโมง  </x:t>
        </x:is>
      </x:c>
      <x:c r="R57" t="inlineStr">
        <x:is>
          <x:t xml:space="preserve">pediatric watery diarrhea when weight/age verified</x:t>
        </x:is>
      </x:c>
      <x:c r="S57" t="inlineStr">
        <x:is>
          <x:t xml:space="preserve">nausea</x:t>
        </x:is>
      </x:c>
      <x:c r="T57" t="inlineStr">
        <x:is>
          <x:t xml:space="preserve">verify age/weight; avoid if bloody stool/high fever</x:t>
        </x:is>
      </x:c>
      <x:c r="V57" t="n">
        <x:v>2</x:v>
      </x:c>
      <x:c r="W57" t="inlineStr">
        <x:is>
          <x:t xml:space="preserve">Y</x:t>
        </x:is>
      </x:c>
      <x:c r="X57" t="inlineStr">
        <x:is>
          <x:t xml:space="preserve">N</x:t>
        </x:is>
      </x:c>
      <x:c r="Y57" t="inlineStr">
        <x:is>
          <x:t xml:space="preserve">N</x:t>
        </x:is>
      </x:c>
      <x:c r="Z57" t="inlineStr">
        <x:is>
          <x:t xml:space="preserve">N</x:t>
        </x:is>
      </x:c>
      <x:c r="AI57" t="inlineStr">
        <x:is>
          <x:t xml:space="preserve">Y</x:t>
        </x:is>
      </x:c>
      <x:c r="AJ57" t="inlineStr">
        <x:is>
          <x:t xml:space="preserve">2026-03-08</x:t>
        </x:is>
      </x:c>
    </x:row>
    <x:row r="58">
      <x:c r="A58" t="inlineStr">
        <x:is>
          <x:t xml:space="preserve">DRUG_BDS001013</x:t>
        </x:is>
      </x:c>
      <x:c r="B58" t="inlineStr">
        <x:is>
          <x:t xml:space="preserve">BDS001013</x:t>
        </x:is>
      </x:c>
      <x:c r="C58" t="n">
        <x:v>1013</x:v>
      </x:c>
      <x:c r="D58" t="inlineStr">
        <x:is>
          <x:t xml:space="preserve">Air-X Drops</x:t>
        </x:is>
      </x:c>
      <x:c r="E58" t="inlineStr">
        <x:is>
          <x:t xml:space="preserve">Simethicone 40 mg./0.6 ml.</x:t>
        </x:is>
      </x:c>
      <x:c r="F58" t="inlineStr">
        <x:is>
          <x:t xml:space="preserve">Air-X Drops [Simethicone 40 mg./0.6 ml.]</x:t>
        </x:is>
      </x:c>
      <x:c r="G58" t="inlineStr">
        <x:is>
          <x:t xml:space="preserve">simethicone drops</x:t>
        </x:is>
      </x:c>
      <x:c r="H58" t="inlineStr">
        <x:is>
          <x:t xml:space="preserve">Carminatives (gas relief)</x:t>
        </x:is>
      </x:c>
      <x:c r="I58" t="inlineStr">
        <x:is>
          <x:t xml:space="preserve">ยาขับลม ชนิดน้ำ</x:t>
        </x:is>
      </x:c>
      <x:c r="J58" t="inlineStr">
        <x:is>
          <x:t xml:space="preserve">liquid</x:t>
        </x:is>
      </x:c>
      <x:c r="K58" t="inlineStr">
        <x:is>
          <x:t xml:space="preserve">40 mg</x:t>
        </x:is>
      </x:c>
      <x:c r="L58" t="inlineStr">
        <x:is>
          <x:t xml:space="preserve">ขวด 15 ml.</x:t>
        </x:is>
      </x:c>
      <x:c r="M58" t="inlineStr">
        <x:is>
          <x:t xml:space="preserve">bottle</x:t>
        </x:is>
      </x:c>
      <x:c r="N58" t="inlineStr">
        <x:is>
          <x:t xml:space="preserve">รับประทานครั้งละ 0.3 ml. วันละ 3 ครั้ง หลังอาหาร</x:t>
        </x:is>
      </x:c>
      <x:c r="R58" t="inlineStr">
        <x:is>
          <x:t xml:space="preserve">infant/child gas support</x:t>
        </x:is>
      </x:c>
      <x:c r="S58" t="inlineStr">
        <x:is>
          <x:t xml:space="preserve">minimal GI SE</x:t>
        </x:is>
      </x:c>
      <x:c r="T58" t="inlineStr">
        <x:is>
          <x:t xml:space="preserve">use label-based child dosing</x:t>
        </x:is>
      </x:c>
      <x:c r="V58" t="n">
        <x:v>2</x:v>
      </x:c>
      <x:c r="W58" t="inlineStr">
        <x:is>
          <x:t xml:space="preserve">Y</x:t>
        </x:is>
      </x:c>
      <x:c r="X58" t="inlineStr">
        <x:is>
          <x:t xml:space="preserve">N</x:t>
        </x:is>
      </x:c>
      <x:c r="Y58" t="inlineStr">
        <x:is>
          <x:t xml:space="preserve">N</x:t>
        </x:is>
      </x:c>
      <x:c r="Z58" t="inlineStr">
        <x:is>
          <x:t xml:space="preserve">N</x:t>
        </x:is>
      </x:c>
      <x:c r="AI58" t="inlineStr">
        <x:is>
          <x:t xml:space="preserve">Y</x:t>
        </x:is>
      </x:c>
      <x:c r="AJ58" t="inlineStr">
        <x:is>
          <x:t xml:space="preserve">2026-03-08</x:t>
        </x:is>
      </x:c>
    </x:row>
    <x:row r="59">
      <x:c r="A59" t="inlineStr">
        <x:is>
          <x:t xml:space="preserve">DRUG_BDS008034</x:t>
        </x:is>
      </x:c>
      <x:c r="B59" t="inlineStr">
        <x:is>
          <x:t xml:space="preserve">BDS008034</x:t>
        </x:is>
      </x:c>
      <x:c r="C59" t="n">
        <x:v>8034</x:v>
      </x:c>
      <x:c r="D59" t="inlineStr">
        <x:is>
          <x:t xml:space="preserve">Berclomine Syrup</x:t>
        </x:is>
      </x:c>
      <x:c r="E59" t="inlineStr">
        <x:is>
          <x:t xml:space="preserve">Dicyclomine 5 mg.+Simethicone 50 mg./5 ml.</x:t>
        </x:is>
      </x:c>
      <x:c r="F59" t="inlineStr">
        <x:is>
          <x:t xml:space="preserve">Berclomine Syrup [Dicyclomine 5 mg.+Simethicone 50 mg./5 ml.]</x:t>
        </x:is>
      </x:c>
      <x:c r="G59" t="inlineStr">
        <x:is>
          <x:t xml:space="preserve">dicyclomine+simethicone syrup</x:t>
        </x:is>
      </x:c>
      <x:c r="H59" t="inlineStr">
        <x:is>
          <x:t xml:space="preserve">Carminatives (gas relief)</x:t>
        </x:is>
      </x:c>
      <x:c r="I59" t="inlineStr">
        <x:is>
          <x:t xml:space="preserve">ยาขับลม ชนิดน้ำ (D)</x:t>
        </x:is>
      </x:c>
      <x:c r="J59" t="inlineStr">
        <x:is>
          <x:t xml:space="preserve">syrup</x:t>
        </x:is>
      </x:c>
      <x:c r="K59" t="inlineStr">
        <x:is>
          <x:t xml:space="preserve">5 mg</x:t>
        </x:is>
      </x:c>
      <x:c r="L59" t="inlineStr">
        <x:is>
          <x:t xml:space="preserve">ขวด 60 ml.</x:t>
        </x:is>
      </x:c>
      <x:c r="M59" t="inlineStr">
        <x:is>
          <x:t xml:space="preserve">bottle</x:t>
        </x:is>
      </x:c>
      <x:c r="N59" t="inlineStr">
        <x:is>
          <x:t xml:space="preserve">รับประทานครั้งละ 1 ช้อนชา วันละ 4 ครั้ง ก่อนอาหาร</x:t>
        </x:is>
      </x:c>
      <x:c r="R59" t="inlineStr">
        <x:is>
          <x:t xml:space="preserve">child abdominal gas / colic support</x:t>
        </x:is>
      </x:c>
      <x:c r="S59" t="inlineStr">
        <x:is>
          <x:t xml:space="preserve">dry mouth, drowsiness</x:t>
        </x:is>
      </x:c>
      <x:c r="T59" t="inlineStr">
        <x:is>
          <x:t xml:space="preserve">verify child age before use</x:t>
        </x:is>
      </x:c>
      <x:c r="V59" t="n">
        <x:v>2</x:v>
      </x:c>
      <x:c r="W59" t="inlineStr">
        <x:is>
          <x:t xml:space="preserve">Y</x:t>
        </x:is>
      </x:c>
      <x:c r="X59" t="inlineStr">
        <x:is>
          <x:t xml:space="preserve">N</x:t>
        </x:is>
      </x:c>
      <x:c r="Y59" t="inlineStr">
        <x:is>
          <x:t xml:space="preserve">N</x:t>
        </x:is>
      </x:c>
      <x:c r="Z59" t="inlineStr">
        <x:is>
          <x:t xml:space="preserve">Y</x:t>
        </x:is>
      </x:c>
      <x:c r="AI59" t="inlineStr">
        <x:is>
          <x:t xml:space="preserve">Y</x:t>
        </x:is>
      </x:c>
      <x:c r="AJ59" t="inlineStr">
        <x:is>
          <x:t xml:space="preserve">2026-03-08</x:t>
        </x:is>
      </x:c>
    </x:row>
    <x:row r="60">
      <x:c r="A60" t="inlineStr">
        <x:is>
          <x:t xml:space="preserve">DRUG_BDS043123</x:t>
        </x:is>
      </x:c>
      <x:c r="B60" t="inlineStr">
        <x:is>
          <x:t xml:space="preserve">BDS043123</x:t>
        </x:is>
      </x:c>
      <x:c r="C60" t="n">
        <x:v>43123</x:v>
      </x:c>
      <x:c r="D60" t="inlineStr">
        <x:is>
          <x:t xml:space="preserve">Facil 100</x:t>
        </x:is>
      </x:c>
      <x:c r="E60" t="inlineStr">
        <x:is>
          <x:t xml:space="preserve">Acetylcysteine 100 mg./5 g.</x:t>
        </x:is>
      </x:c>
      <x:c r="F60" t="inlineStr">
        <x:is>
          <x:t xml:space="preserve">Facil 100 [Acetylcysteine 100 mg./5 g.]</x:t>
        </x:is>
      </x:c>
      <x:c r="G60" t="inlineStr">
        <x:is>
          <x:t xml:space="preserve">acetylcysteine sachet</x:t>
        </x:is>
      </x:c>
      <x:c r="H60" t="inlineStr">
        <x:is>
          <x:t xml:space="preserve">Cough medicines / mucolytics / expectorants</x:t>
        </x:is>
      </x:c>
      <x:c r="I60" t="inlineStr">
        <x:is>
          <x:t xml:space="preserve">ยาละลายเสมหะ</x:t>
        </x:is>
      </x:c>
      <x:c r="J60" t="inlineStr">
        <x:is>
          <x:t xml:space="preserve">other</x:t>
        </x:is>
      </x:c>
      <x:c r="K60" t="inlineStr">
        <x:is>
          <x:t xml:space="preserve">100 mg</x:t>
        </x:is>
      </x:c>
      <x:c r="L60" t="inlineStr">
        <x:is>
          <x:t xml:space="preserve">ซอง 5 g.</x:t>
        </x:is>
      </x:c>
      <x:c r="M60" t="inlineStr">
        <x:is>
          <x:t xml:space="preserve">strip</x:t>
        </x:is>
      </x:c>
      <x:c r="N60" t="inlineStr">
        <x:is>
          <x:t xml:space="preserve">ละลายยา 1 ซองต่อน้ำ 1 แก้ว รับประทานครั้งละ 1 ซอง วันละ 3 ครั้ง</x:t>
        </x:is>
      </x:c>
      <x:c r="R60" t="inlineStr">
        <x:is>
          <x:t xml:space="preserve">child-friendly mucolytic sachet option</x:t>
        </x:is>
      </x:c>
      <x:c r="S60" t="inlineStr">
        <x:is>
          <x:t xml:space="preserve">GI upset</x:t>
        </x:is>
      </x:c>
      <x:c r="T60" t="inlineStr">
        <x:is>
          <x:t xml:space="preserve">dissolve before use; encourage hydration</x:t>
        </x:is>
      </x:c>
      <x:c r="V60" t="n">
        <x:v>2</x:v>
      </x:c>
      <x:c r="W60" t="inlineStr">
        <x:is>
          <x:t xml:space="preserve">Y</x:t>
        </x:is>
      </x:c>
      <x:c r="X60" t="inlineStr">
        <x:is>
          <x:t xml:space="preserve">N</x:t>
        </x:is>
      </x:c>
      <x:c r="Y60" t="inlineStr">
        <x:is>
          <x:t xml:space="preserve">N</x:t>
        </x:is>
      </x:c>
      <x:c r="Z60" t="inlineStr">
        <x:is>
          <x:t xml:space="preserve">N</x:t>
        </x:is>
      </x:c>
      <x:c r="AI60" t="inlineStr">
        <x:is>
          <x:t xml:space="preserve">Y</x:t>
        </x:is>
      </x:c>
      <x:c r="AJ60" t="inlineStr">
        <x:is>
          <x:t xml:space="preserve">2026-03-08</x:t>
        </x:is>
      </x:c>
    </x:row>
    <x:row r="61">
      <x:c r="A61" t="inlineStr">
        <x:is>
          <x:t xml:space="preserve">DRUG_BDS001465</x:t>
        </x:is>
      </x:c>
      <x:c r="B61" t="inlineStr">
        <x:is>
          <x:t xml:space="preserve">BDS001465</x:t>
        </x:is>
      </x:c>
      <x:c r="C61" t="n">
        <x:v>1465</x:v>
      </x:c>
      <x:c r="D61" t="inlineStr">
        <x:is>
          <x:t xml:space="preserve">Combizym</x:t>
        </x:is>
      </x:c>
      <x:c r="E61" t="inlineStr">
        <x:is>
          <x:t xml:space="preserve">(Cellulase+Protease+Amylase) 24 mg.+(Lipase+Protease+Amylase) 220 mg.</x:t>
        </x:is>
      </x:c>
      <x:c r="F61" t="inlineStr">
        <x:is>
          <x:t xml:space="preserve">Combizym [(Cellulase+Protease+Amylase) 24 mg.+(Lipase+Protease+Amylase) 220 mg.]</x:t>
        </x:is>
      </x:c>
      <x:c r="G61" t="inlineStr">
        <x:is>
          <x:t xml:space="preserve">digestive enzyme</x:t>
        </x:is>
      </x:c>
      <x:c r="H61" t="inlineStr">
        <x:is>
          <x:t xml:space="preserve">Digestive aids</x:t>
        </x:is>
      </x:c>
      <x:c r="I61" t="inlineStr">
        <x:is>
          <x:t xml:space="preserve">ยาช่วยย่อยอาหาร</x:t>
        </x:is>
      </x:c>
      <x:c r="J61" t="inlineStr">
        <x:is>
          <x:t xml:space="preserve">tablet/capsule</x:t>
        </x:is>
      </x:c>
      <x:c r="K61" t="inlineStr">
        <x:is>
          <x:t xml:space="preserve">24 mg</x:t>
        </x:is>
      </x:c>
      <x:c r="L61" t="inlineStr">
        <x:is>
          <x:t xml:space="preserve">แผง 10 เม็ด</x:t>
        </x:is>
      </x:c>
      <x:c r="M61" t="inlineStr">
        <x:is>
          <x:t xml:space="preserve">strip</x:t>
        </x:is>
      </x:c>
      <x:c r="N61" t="inlineStr">
        <x:is>
          <x:t xml:space="preserve">รับประทานครั้งละ 1-2 เม็ด วันละ 3 ครั้ง หลังอาหาร</x:t>
        </x:is>
      </x:c>
      <x:c r="R61" t="inlineStr">
        <x:is>
          <x:t xml:space="preserve">post-meal indigestion support</x:t>
        </x:is>
      </x:c>
      <x:c r="S61" t="inlineStr">
        <x:is>
          <x:t xml:space="preserve">GI upset</x:t>
        </x:is>
      </x:c>
      <x:c r="T61" t="inlineStr">
        <x:is>
          <x:t xml:space="preserve">supportive use only</x:t>
        </x:is>
      </x:c>
      <x:c r="V61" t="n">
        <x:v>2</x:v>
      </x:c>
      <x:c r="W61" t="inlineStr">
        <x:is>
          <x:t xml:space="preserve">Y</x:t>
        </x:is>
      </x:c>
      <x:c r="X61" t="inlineStr">
        <x:is>
          <x:t xml:space="preserve">N</x:t>
        </x:is>
      </x:c>
      <x:c r="Y61" t="inlineStr">
        <x:is>
          <x:t xml:space="preserve">N</x:t>
        </x:is>
      </x:c>
      <x:c r="Z61" t="inlineStr">
        <x:is>
          <x:t xml:space="preserve">N</x:t>
        </x:is>
      </x:c>
      <x:c r="AI61" t="inlineStr">
        <x:is>
          <x:t xml:space="preserve">Y</x:t>
        </x:is>
      </x:c>
      <x:c r="AJ61" t="inlineStr">
        <x:is>
          <x:t xml:space="preserve">2026-03-08</x:t>
        </x:is>
      </x:c>
    </x:row>
    <x:row r="62">
      <x:c r="A62" t="inlineStr">
        <x:is>
          <x:t xml:space="preserve">DRUG_BDS002043</x:t>
        </x:is>
      </x:c>
      <x:c r="B62" t="inlineStr">
        <x:is>
          <x:t xml:space="preserve">BDS002043</x:t>
        </x:is>
      </x:c>
      <x:c r="C62" t="n">
        <x:v>2043</x:v>
      </x:c>
      <x:c r="D62" t="inlineStr">
        <x:is>
          <x:t xml:space="preserve">Gaszym</x:t>
        </x:is>
      </x:c>
      <x:c r="E62" t="inlineStr">
        <x:is>
          <x:t xml:space="preserve">Simethicone 60 mg.+Pancreatin 4NF 200 mg.</x:t>
        </x:is>
      </x:c>
      <x:c r="F62" t="inlineStr">
        <x:is>
          <x:t xml:space="preserve">Gaszym [Simethicone 60 mg.+Pancreatin 4NF 200 mg.]</x:t>
        </x:is>
      </x:c>
      <x:c r="G62" t="inlineStr">
        <x:is>
          <x:t xml:space="preserve">simethicone+pancreatin</x:t>
        </x:is>
      </x:c>
      <x:c r="H62" t="inlineStr">
        <x:is>
          <x:t xml:space="preserve">Digestive aids</x:t>
        </x:is>
      </x:c>
      <x:c r="I62" t="inlineStr">
        <x:is>
          <x:t xml:space="preserve">ยาช่วยย่อยอาหาร</x:t>
        </x:is>
      </x:c>
      <x:c r="J62" t="inlineStr">
        <x:is>
          <x:t xml:space="preserve">tablet/capsule</x:t>
        </x:is>
      </x:c>
      <x:c r="K62" t="inlineStr">
        <x:is>
          <x:t xml:space="preserve">60 mg</x:t>
        </x:is>
      </x:c>
      <x:c r="L62" t="inlineStr">
        <x:is>
          <x:t xml:space="preserve">แผง 10 เม็ด</x:t>
        </x:is>
      </x:c>
      <x:c r="M62" t="inlineStr">
        <x:is>
          <x:t xml:space="preserve">strip</x:t>
        </x:is>
      </x:c>
      <x:c r="N62" t="inlineStr">
        <x:is>
          <x:t xml:space="preserve">รับประทานครั้งละ 1-2 เม็ด วันละ 3 ครั้ง หลังอาหารทันที หรือเมื่อมีอาการ</x:t>
        </x:is>
      </x:c>
      <x:c r="R62" t="inlineStr">
        <x:is>
          <x:t xml:space="preserve">post-meal gas/dyspepsia support</x:t>
        </x:is>
      </x:c>
      <x:c r="S62" t="inlineStr">
        <x:is>
          <x:t xml:space="preserve">GI upset</x:t>
        </x:is>
      </x:c>
      <x:c r="T62" t="inlineStr">
        <x:is>
          <x:t xml:space="preserve">supportive use only</x:t>
        </x:is>
      </x:c>
      <x:c r="V62" t="n">
        <x:v>2</x:v>
      </x:c>
      <x:c r="W62" t="inlineStr">
        <x:is>
          <x:t xml:space="preserve">Y</x:t>
        </x:is>
      </x:c>
      <x:c r="X62" t="inlineStr">
        <x:is>
          <x:t xml:space="preserve">N</x:t>
        </x:is>
      </x:c>
      <x:c r="Y62" t="inlineStr">
        <x:is>
          <x:t xml:space="preserve">N</x:t>
        </x:is>
      </x:c>
      <x:c r="Z62" t="inlineStr">
        <x:is>
          <x:t xml:space="preserve">N</x:t>
        </x:is>
      </x:c>
      <x:c r="AI62" t="inlineStr">
        <x:is>
          <x:t xml:space="preserve">Y</x:t>
        </x:is>
      </x:c>
      <x:c r="AJ62" t="inlineStr">
        <x:is>
          <x:t xml:space="preserve">2026-03-08</x:t>
        </x:is>
      </x:c>
    </x:row>
    <x:row r="63">
      <x:c r="A63" t="inlineStr">
        <x:is>
          <x:t xml:space="preserve">DRUG_BDS001437</x:t>
        </x:is>
      </x:c>
      <x:c r="B63" t="inlineStr">
        <x:is>
          <x:t xml:space="preserve">BDS001437</x:t>
        </x:is>
      </x:c>
      <x:c r="C63" t="n">
        <x:v>1437</x:v>
      </x:c>
      <x:c r="D63" t="inlineStr">
        <x:is>
          <x:t xml:space="preserve">ChlorOph Eye Drops</x:t>
        </x:is>
      </x:c>
      <x:c r="E63" t="inlineStr">
        <x:is>
          <x:t xml:space="preserve">Chloramphenicol 5 mg./1 ml.</x:t>
        </x:is>
      </x:c>
      <x:c r="F63" t="inlineStr">
        <x:is>
          <x:t xml:space="preserve">ChlorOph Eye Drops [Chloramphenicol 5 mg./1 ml.]</x:t>
        </x:is>
      </x:c>
      <x:c r="G63" t="inlineStr">
        <x:is>
          <x:t xml:space="preserve">chloramphenicol eye drops</x:t>
        </x:is>
      </x:c>
      <x:c r="I63" t="inlineStr">
        <x:is>
          <x:t xml:space="preserve">ยาหยอดและยาป้ายตาฆ่าเชื้อ</x:t>
        </x:is>
      </x:c>
      <x:c r="J63" t="inlineStr">
        <x:is>
          <x:t xml:space="preserve">drops/liquid</x:t>
        </x:is>
      </x:c>
      <x:c r="K63" t="inlineStr">
        <x:is>
          <x:t xml:space="preserve">5 mg</x:t>
        </x:is>
      </x:c>
      <x:c r="L63" t="inlineStr">
        <x:is>
          <x:t xml:space="preserve">ขวด 5 ml.</x:t>
        </x:is>
      </x:c>
      <x:c r="M63" t="inlineStr">
        <x:is>
          <x:t xml:space="preserve">bottle</x:t>
        </x:is>
      </x:c>
      <x:c r="N63" t="inlineStr">
        <x:is>
          <x:t xml:space="preserve">หยอดตาครั้งละ  2 -3 หยด วันละ 4-5 ครั้ง หรือตามแพทย์สั่ง </x:t>
        </x:is>
      </x:c>
      <x:c r="R63" t="inlineStr">
        <x:is>
          <x:t xml:space="preserve">bacterial conjunctivitis when topical eye antibiotic is appropriate</x:t>
        </x:is>
      </x:c>
      <x:c r="S63" t="inlineStr">
        <x:is>
          <x:t xml:space="preserve">local eye irritation</x:t>
        </x:is>
      </x:c>
      <x:c r="T63" t="inlineStr">
        <x:is>
          <x:t xml:space="preserve">remove contact lenses; seek review if pain/photophobia/vision loss</x:t>
        </x:is>
      </x:c>
      <x:c r="V63" t="n">
        <x:v>1</x:v>
      </x:c>
      <x:c r="W63" t="inlineStr">
        <x:is>
          <x:t xml:space="preserve">Y</x:t>
        </x:is>
      </x:c>
      <x:c r="X63" t="inlineStr">
        <x:is>
          <x:t xml:space="preserve">Y</x:t>
        </x:is>
      </x:c>
      <x:c r="Y63" t="inlineStr">
        <x:is>
          <x:t xml:space="preserve">N</x:t>
        </x:is>
      </x:c>
      <x:c r="Z63" t="inlineStr">
        <x:is>
          <x:t xml:space="preserve">N</x:t>
        </x:is>
      </x:c>
      <x:c r="AI63" t="inlineStr">
        <x:is>
          <x:t xml:space="preserve">Y</x:t>
        </x:is>
      </x:c>
      <x:c r="AJ63" t="inlineStr">
        <x:is>
          <x:t xml:space="preserve">2026-03-08</x:t>
        </x:is>
      </x:c>
    </x:row>
    <x:row r="64">
      <x:c r="A64" t="inlineStr">
        <x:is>
          <x:t xml:space="preserve">DRUG_BDS003721</x:t>
        </x:is>
      </x:c>
      <x:c r="B64" t="inlineStr">
        <x:is>
          <x:t xml:space="preserve">BDS003721</x:t>
        </x:is>
      </x:c>
      <x:c r="C64" t="n">
        <x:v>3721</x:v>
      </x:c>
      <x:c r="D64" t="inlineStr">
        <x:is>
          <x:t xml:space="preserve">Terramycin Ophthalmic Ointment</x:t>
        </x:is>
      </x:c>
      <x:c r="E64" t="inlineStr">
        <x:is>
          <x:t xml:space="preserve">Oxytetracycline HCl 5 mg.+Polymyxin B Sulfate 10,000 units/1 g.</x:t>
        </x:is>
      </x:c>
      <x:c r="F64" t="inlineStr">
        <x:is>
          <x:t xml:space="preserve">Terramycin Ophthalmic Ointment [Oxytetracycline HCl 5 mg.+Polymyxin B Sulfate 10,000 units/1 g.]</x:t>
        </x:is>
      </x:c>
      <x:c r="G64" t="inlineStr">
        <x:is>
          <x:t xml:space="preserve">ophthalmic antibiotic ointment</x:t>
        </x:is>
      </x:c>
      <x:c r="I64" t="inlineStr">
        <x:is>
          <x:t xml:space="preserve">ยาหยอดและยาป้ายตาฆ่าเชื้อ</x:t>
        </x:is>
      </x:c>
      <x:c r="J64" t="inlineStr">
        <x:is>
          <x:t xml:space="preserve">cream/gel</x:t>
        </x:is>
      </x:c>
      <x:c r="K64" t="inlineStr">
        <x:is>
          <x:t xml:space="preserve">5 mg</x:t>
        </x:is>
      </x:c>
      <x:c r="L64" t="inlineStr">
        <x:is>
          <x:t xml:space="preserve">หลอด 3.5 g.</x:t>
        </x:is>
      </x:c>
      <x:c r="M64" t="inlineStr">
        <x:is>
          <x:t xml:space="preserve">bottle</x:t>
        </x:is>
      </x:c>
      <x:c r="N64" t="inlineStr">
        <x:is>
          <x:t xml:space="preserve">ป้ายบริเวณเปลือกตาด้านนอกหรือด้านใน วันละ 1 ครั้ง ก่อนนอน</x:t>
        </x:is>
      </x:c>
      <x:c r="R64" t="inlineStr">
        <x:is>
          <x:t xml:space="preserve">eyelid/stye support or night ophthalmic antibiotic option</x:t>
        </x:is>
      </x:c>
      <x:c r="S64" t="inlineStr">
        <x:is>
          <x:t xml:space="preserve">blurred vision after application</x:t>
        </x:is>
      </x:c>
      <x:c r="T64" t="inlineStr">
        <x:is>
          <x:t xml:space="preserve">ophthalmic use only</x:t>
        </x:is>
      </x:c>
      <x:c r="V64" t="n">
        <x:v>2</x:v>
      </x:c>
      <x:c r="W64" t="inlineStr">
        <x:is>
          <x:t xml:space="preserve">Y</x:t>
        </x:is>
      </x:c>
      <x:c r="X64" t="inlineStr">
        <x:is>
          <x:t xml:space="preserve">Y</x:t>
        </x:is>
      </x:c>
      <x:c r="Y64" t="inlineStr">
        <x:is>
          <x:t xml:space="preserve">N</x:t>
        </x:is>
      </x:c>
      <x:c r="Z64" t="inlineStr">
        <x:is>
          <x:t xml:space="preserve">N</x:t>
        </x:is>
      </x:c>
      <x:c r="AI64" t="inlineStr">
        <x:is>
          <x:t xml:space="preserve">Y</x:t>
        </x:is>
      </x:c>
      <x:c r="AJ64" t="inlineStr">
        <x:is>
          <x:t xml:space="preserve">2026-03-08</x:t>
        </x:is>
      </x:c>
    </x:row>
    <x:row r="65">
      <x:c r="A65" t="inlineStr">
        <x:is>
          <x:t xml:space="preserve">DRUG_BDS001847</x:t>
        </x:is>
      </x:c>
      <x:c r="B65" t="inlineStr">
        <x:is>
          <x:t xml:space="preserve">BDS001847</x:t>
        </x:is>
      </x:c>
      <x:c r="C65" t="n">
        <x:v>1847</x:v>
      </x:c>
      <x:c r="D65" t="inlineStr">
        <x:is>
          <x:t xml:space="preserve">Fucithalmic Eye Drops</x:t>
        </x:is>
      </x:c>
      <x:c r="E65" t="inlineStr">
        <x:is>
          <x:t xml:space="preserve">Fusidic acid 10 mg.+Preservative (Benzalkonium chloride 0.1%)/ 1 g.</x:t>
        </x:is>
      </x:c>
      <x:c r="F65" t="inlineStr">
        <x:is>
          <x:t xml:space="preserve">Fucithalmic Eye Drops [Fusidic acid 10 mg.+Preservative (Benzalkonium chloride 0.1%)/ 1 g.]</x:t>
        </x:is>
      </x:c>
      <x:c r="G65" t="inlineStr">
        <x:is>
          <x:t xml:space="preserve">fusidic acid eye drops</x:t>
        </x:is>
      </x:c>
      <x:c r="I65" t="inlineStr">
        <x:is>
          <x:t xml:space="preserve">ยาหยอดและยาป้ายตาฆ่าเชื้อ</x:t>
        </x:is>
      </x:c>
      <x:c r="J65" t="inlineStr">
        <x:is>
          <x:t xml:space="preserve">drops/liquid</x:t>
        </x:is>
      </x:c>
      <x:c r="K65" t="inlineStr">
        <x:is>
          <x:t xml:space="preserve">10 mg</x:t>
        </x:is>
      </x:c>
      <x:c r="L65" t="inlineStr">
        <x:is>
          <x:t xml:space="preserve">หลอด 5 g.</x:t>
        </x:is>
      </x:c>
      <x:c r="M65" t="inlineStr">
        <x:is>
          <x:t xml:space="preserve">bottle</x:t>
        </x:is>
      </x:c>
      <x:c r="N65" t="inlineStr">
        <x:is>
          <x:t xml:space="preserve">หยอดตาครั้งละ 1 หยด วันละ 2 ครั้ง หรือตามแพทย์สั่ง </x:t>
        </x:is>
      </x:c>
      <x:c r="R65" t="inlineStr">
        <x:is>
          <x:t xml:space="preserve">bacterial conjunctivitis/eyelid infection with BID dosing option</x:t>
        </x:is>
      </x:c>
      <x:c r="S65" t="inlineStr">
        <x:is>
          <x:t xml:space="preserve">local eye irritation</x:t>
        </x:is>
      </x:c>
      <x:c r="T65" t="inlineStr">
        <x:is>
          <x:t xml:space="preserve">ophthalmic use only; remove contact lenses</x:t>
        </x:is>
      </x:c>
      <x:c r="V65" t="n">
        <x:v>2</x:v>
      </x:c>
      <x:c r="W65" t="inlineStr">
        <x:is>
          <x:t xml:space="preserve">Y</x:t>
        </x:is>
      </x:c>
      <x:c r="X65" t="inlineStr">
        <x:is>
          <x:t xml:space="preserve">Y</x:t>
        </x:is>
      </x:c>
      <x:c r="Y65" t="inlineStr">
        <x:is>
          <x:t xml:space="preserve">N</x:t>
        </x:is>
      </x:c>
      <x:c r="Z65" t="inlineStr">
        <x:is>
          <x:t xml:space="preserve">N</x:t>
        </x:is>
      </x:c>
      <x:c r="AI65" t="inlineStr">
        <x:is>
          <x:t xml:space="preserve">Y</x:t>
        </x:is>
      </x:c>
      <x:c r="AJ65" t="inlineStr">
        <x:is>
          <x:t xml:space="preserve">2026-03-08</x:t>
        </x:is>
      </x:c>
    </x:row>
    <x:row r="66">
      <x:c r="A66" t="inlineStr">
        <x:is>
          <x:t xml:space="preserve">DRUG_BDS001046</x:t>
        </x:is>
      </x:c>
      <x:c r="B66" t="inlineStr">
        <x:is>
          <x:t xml:space="preserve">BDS001046</x:t>
        </x:is>
      </x:c>
      <x:c r="C66" t="n">
        <x:v>1046</x:v>
      </x:c>
      <x:c r="D66" t="inlineStr">
        <x:is>
          <x:t xml:space="preserve">AMK 228</x:t>
        </x:is>
      </x:c>
      <x:c r="E66" t="inlineStr">
        <x:is>
          <x:t xml:space="preserve">Amoxicillin 200 mg.+Clavulanic Acid 28 mg./5 ml.</x:t>
        </x:is>
      </x:c>
      <x:c r="F66" t="inlineStr">
        <x:is>
          <x:t xml:space="preserve">AMK 228 [Amoxicillin 200 mg.+Clavulanic Acid 28 mg./5 ml.]</x:t>
        </x:is>
      </x:c>
      <x:c r="G66" t="inlineStr">
        <x:is>
          <x:t xml:space="preserve">amoxicillin-clavulanate syrup</x:t>
        </x:is>
      </x:c>
      <x:c r="H66" t="inlineStr">
        <x:is>
          <x:t xml:space="preserve">Other antibiotics</x:t>
        </x:is>
      </x:c>
      <x:c r="I66" t="inlineStr">
        <x:is>
          <x:t xml:space="preserve">ยาฆ่าเชื้อแบคทีเรีย ชนิดน้ำ (D)</x:t>
        </x:is>
      </x:c>
      <x:c r="J66" t="inlineStr">
        <x:is>
          <x:t xml:space="preserve">bottle</x:t>
        </x:is>
      </x:c>
      <x:c r="K66" t="inlineStr">
        <x:is>
          <x:t xml:space="preserve">200 mg</x:t>
        </x:is>
      </x:c>
      <x:c r="L66" t="inlineStr">
        <x:is>
          <x:t xml:space="preserve">ขวด 70 ml.</x:t>
        </x:is>
      </x:c>
      <x:c r="M66" t="inlineStr">
        <x:is>
          <x:t xml:space="preserve">bottle</x:t>
        </x:is>
      </x:c>
      <x:c r="N66" t="inlineStr">
        <x:is>
          <x:t xml:space="preserve">รับประทานครั้งละ 1 ช้อนชา (5 ml.) วันละ 2 ครั้ง</x:t>
        </x:is>
      </x:c>
      <x:c r="R66" t="inlineStr">
        <x:is>
          <x:t xml:space="preserve">pediatric bacterial ENT/skin infection when bacterial pattern is likely</x:t>
        </x:is>
      </x:c>
      <x:c r="S66" t="inlineStr">
        <x:is>
          <x:t xml:space="preserve">diarrhea, rash</x:t>
        </x:is>
      </x:c>
      <x:c r="T66" t="inlineStr">
        <x:is>
          <x:t xml:space="preserve">penicillin allergy; verify child dose/age</x:t>
        </x:is>
      </x:c>
      <x:c r="V66" t="n">
        <x:v>1</x:v>
      </x:c>
      <x:c r="W66" t="inlineStr">
        <x:is>
          <x:t xml:space="preserve">Y</x:t>
        </x:is>
      </x:c>
      <x:c r="X66" t="inlineStr">
        <x:is>
          <x:t xml:space="preserve">Y</x:t>
        </x:is>
      </x:c>
      <x:c r="Y66" t="inlineStr">
        <x:is>
          <x:t xml:space="preserve">N</x:t>
        </x:is>
      </x:c>
      <x:c r="Z66" t="inlineStr">
        <x:is>
          <x:t xml:space="preserve">N</x:t>
        </x:is>
      </x:c>
      <x:c r="AI66" t="inlineStr">
        <x:is>
          <x:t xml:space="preserve">Y</x:t>
        </x:is>
      </x:c>
      <x:c r="AJ66" t="inlineStr">
        <x:is>
          <x:t xml:space="preserve">2026-03-08</x:t>
        </x:is>
      </x:c>
    </x:row>
    <x:row r="67">
      <x:c r="A67" t="inlineStr">
        <x:is>
          <x:t xml:space="preserve">DRUG_BDS001047</x:t>
        </x:is>
      </x:c>
      <x:c r="B67" t="inlineStr">
        <x:is>
          <x:t xml:space="preserve">BDS001047</x:t>
        </x:is>
      </x:c>
      <x:c r="C67" t="n">
        <x:v>1047</x:v>
      </x:c>
      <x:c r="D67" t="inlineStr">
        <x:is>
          <x:t xml:space="preserve">AMK 457</x:t>
        </x:is>
      </x:c>
      <x:c r="E67" t="inlineStr">
        <x:is>
          <x:t xml:space="preserve">Amoxicillin 400 mg.+Clavulanic Acid 57 mg./5 ml.</x:t>
        </x:is>
      </x:c>
      <x:c r="F67" t="inlineStr">
        <x:is>
          <x:t xml:space="preserve">AMK 457 [Amoxicillin 400 mg.+Clavulanic Acid 57 mg./5 ml.]</x:t>
        </x:is>
      </x:c>
      <x:c r="G67" t="inlineStr">
        <x:is>
          <x:t xml:space="preserve">amoxicillin-clavulanate syrup</x:t>
        </x:is>
      </x:c>
      <x:c r="H67" t="inlineStr">
        <x:is>
          <x:t xml:space="preserve">Other antibiotics</x:t>
        </x:is>
      </x:c>
      <x:c r="I67" t="inlineStr">
        <x:is>
          <x:t xml:space="preserve">ยาฆ่าเชื้อแบคทีเรีย ชนิดน้ำ (D)</x:t>
        </x:is>
      </x:c>
      <x:c r="J67" t="inlineStr">
        <x:is>
          <x:t xml:space="preserve">bottle</x:t>
        </x:is>
      </x:c>
      <x:c r="K67" t="inlineStr">
        <x:is>
          <x:t xml:space="preserve">400 mg</x:t>
        </x:is>
      </x:c>
      <x:c r="L67" t="inlineStr">
        <x:is>
          <x:t xml:space="preserve">ขวด 70 ml.</x:t>
        </x:is>
      </x:c>
      <x:c r="M67" t="inlineStr">
        <x:is>
          <x:t xml:space="preserve">bottle</x:t>
        </x:is>
      </x:c>
      <x:c r="N67" t="inlineStr">
        <x:is>
          <x:t xml:space="preserve">เด็กเล็กรับประทานครั้งละ ครึ่ง ช้อนชา (2.5 ml.) วันละ 2 ครั้ง</x:t>
        </x:is>
      </x:c>
      <x:c r="R67" t="inlineStr">
        <x:is>
          <x:t xml:space="preserve">pediatric bacterial ENT infection when stronger AMX-clav syrup is needed</x:t>
        </x:is>
      </x:c>
      <x:c r="S67" t="inlineStr">
        <x:is>
          <x:t xml:space="preserve">diarrhea, rash</x:t>
        </x:is>
      </x:c>
      <x:c r="T67" t="inlineStr">
        <x:is>
          <x:t xml:space="preserve">penicillin allergy; verify child dose/age</x:t>
        </x:is>
      </x:c>
      <x:c r="V67" t="n">
        <x:v>1</x:v>
      </x:c>
      <x:c r="W67" t="inlineStr">
        <x:is>
          <x:t xml:space="preserve">Y</x:t>
        </x:is>
      </x:c>
      <x:c r="X67" t="inlineStr">
        <x:is>
          <x:t xml:space="preserve">Y</x:t>
        </x:is>
      </x:c>
      <x:c r="Y67" t="inlineStr">
        <x:is>
          <x:t xml:space="preserve">N</x:t>
        </x:is>
      </x:c>
      <x:c r="Z67" t="inlineStr">
        <x:is>
          <x:t xml:space="preserve">N</x:t>
        </x:is>
      </x:c>
      <x:c r="AI67" t="inlineStr">
        <x:is>
          <x:t xml:space="preserve">Y</x:t>
        </x:is>
      </x:c>
      <x:c r="AJ67" t="inlineStr">
        <x:is>
          <x:t xml:space="preserve">2026-03-08</x:t>
        </x:is>
      </x:c>
    </x:row>
    <x:row r="68">
      <x:c r="A68" t="inlineStr">
        <x:is>
          <x:t xml:space="preserve">DRUG_BDS007066</x:t>
        </x:is>
      </x:c>
      <x:c r="B68" t="inlineStr">
        <x:is>
          <x:t xml:space="preserve">BDS007066</x:t>
        </x:is>
      </x:c>
      <x:c r="C68" t="n">
        <x:v>7066</x:v>
      </x:c>
      <x:c r="D68" t="inlineStr">
        <x:is>
          <x:t xml:space="preserve">B.Roxi</x:t>
        </x:is>
      </x:c>
      <x:c r="E68" t="inlineStr">
        <x:is>
          <x:t xml:space="preserve">Roxithromycin 150 mg.</x:t>
        </x:is>
      </x:c>
      <x:c r="F68" t="inlineStr">
        <x:is>
          <x:t xml:space="preserve">B.Roxi [Roxithromycin 150 mg.]</x:t>
        </x:is>
      </x:c>
      <x:c r="G68" t="inlineStr">
        <x:is>
          <x:t xml:space="preserve">roxithromycin</x:t>
        </x:is>
      </x:c>
      <x:c r="H68" t="inlineStr">
        <x:is>
          <x:t xml:space="preserve">Respiratory antibiotics</x:t>
        </x:is>
      </x:c>
      <x:c r="I68" t="inlineStr">
        <x:is>
          <x:t xml:space="preserve">ยาฆ่าเชื้อแบคทีเรียทางเดินหายใจ (D)</x:t>
        </x:is>
      </x:c>
      <x:c r="J68" t="inlineStr">
        <x:is>
          <x:t xml:space="preserve">tablet/capsule</x:t>
        </x:is>
      </x:c>
      <x:c r="K68" t="inlineStr">
        <x:is>
          <x:t xml:space="preserve">150 mg</x:t>
        </x:is>
      </x:c>
      <x:c r="L68" t="inlineStr">
        <x:is>
          <x:t xml:space="preserve">แผง 10 เม็ด</x:t>
        </x:is>
      </x:c>
      <x:c r="M68" t="inlineStr">
        <x:is>
          <x:t xml:space="preserve">strip</x:t>
        </x:is>
      </x:c>
      <x:c r="N68" t="inlineStr">
        <x:is>
          <x:t xml:space="preserve">รับประทานครั้งละ 1 เม็ด วันละ 2 ครั้ง ก่อนอาหาร เช้า-เย็น</x:t>
        </x:is>
      </x:c>
      <x:c r="O68" t="inlineStr">
        <x:is>
          <x:t xml:space="preserve">Take 1 tablet 2 times a day before meals, morning and evening.</x:t>
        </x:is>
      </x:c>
      <x:c r="R68" t="inlineStr">
        <x:is>
          <x:t xml:space="preserve">respiratory bacterial row when macrolide-style alternative is chosen</x:t>
        </x:is>
      </x:c>
      <x:c r="S68" t="inlineStr">
        <x:is>
          <x:t xml:space="preserve">GI upset</x:t>
        </x:is>
      </x:c>
      <x:c r="T68" t="inlineStr">
        <x:is>
          <x:t xml:space="preserve">drug interactions; use only when bacterial pattern is likely</x:t>
        </x:is>
      </x:c>
      <x:c r="V68" t="n">
        <x:v>2</x:v>
      </x:c>
      <x:c r="W68" t="inlineStr">
        <x:is>
          <x:t xml:space="preserve">Y</x:t>
        </x:is>
      </x:c>
      <x:c r="X68" t="inlineStr">
        <x:is>
          <x:t xml:space="preserve">Y</x:t>
        </x:is>
      </x:c>
      <x:c r="Y68" t="inlineStr">
        <x:is>
          <x:t xml:space="preserve">N</x:t>
        </x:is>
      </x:c>
      <x:c r="Z68" t="inlineStr">
        <x:is>
          <x:t xml:space="preserve">N</x:t>
        </x:is>
      </x:c>
      <x:c r="AI68" t="inlineStr">
        <x:is>
          <x:t xml:space="preserve">Y</x:t>
        </x:is>
      </x:c>
      <x:c r="AJ68" t="inlineStr">
        <x:is>
          <x:t xml:space="preserve">2026-03-08</x:t>
        </x:is>
      </x:c>
    </x:row>
    <x:row r="69">
      <x:c r="A69" t="inlineStr">
        <x:is>
          <x:t xml:space="preserve">DRUG_BDS001991</x:t>
        </x:is>
      </x:c>
      <x:c r="B69" t="inlineStr">
        <x:is>
          <x:t xml:space="preserve">BDS001991</x:t>
        </x:is>
      </x:c>
      <x:c r="C69" t="n">
        <x:v>1991</x:v>
      </x:c>
      <x:c r="D69" t="inlineStr">
        <x:is>
          <x:t xml:space="preserve">Fucidin Cream</x:t>
        </x:is>
      </x:c>
      <x:c r="E69" t="inlineStr">
        <x:is>
          <x:t xml:space="preserve">Fusidic acid 20 mg./1 g.</x:t>
        </x:is>
      </x:c>
      <x:c r="F69" t="inlineStr">
        <x:is>
          <x:t xml:space="preserve">Fucidin Cream [Fusidic acid 20 mg./1 g.]</x:t>
        </x:is>
      </x:c>
      <x:c r="G69" t="inlineStr">
        <x:is>
          <x:t xml:space="preserve">fusidic acid cream</x:t>
        </x:is>
      </x:c>
      <x:c r="I69" t="inlineStr">
        <x:is>
          <x:t xml:space="preserve">ยาทาฆ่าเชี้อแบคทีเรีย</x:t>
        </x:is>
      </x:c>
      <x:c r="J69" t="inlineStr">
        <x:is>
          <x:t xml:space="preserve">cream/gel</x:t>
        </x:is>
      </x:c>
      <x:c r="K69" t="inlineStr">
        <x:is>
          <x:t xml:space="preserve">20 mg</x:t>
        </x:is>
      </x:c>
      <x:c r="L69" t="inlineStr">
        <x:is>
          <x:t xml:space="preserve">หลอด 5 g.</x:t>
        </x:is>
      </x:c>
      <x:c r="M69" t="inlineStr">
        <x:is>
          <x:t xml:space="preserve">bottle</x:t>
        </x:is>
      </x:c>
      <x:c r="N69" t="inlineStr">
        <x:is>
          <x:t xml:space="preserve">ทาบริเวณผิวหนังที่ติดเชื้อ วันละ 2-3 ครั้ง โดยทั่วไปใช้ในระยะเวลา 7 วัน</x:t>
        </x:is>
      </x:c>
      <x:c r="R69" t="inlineStr">
        <x:is>
          <x:t xml:space="preserve">localized bacterial skin infection / folliculitis / impetigo-type lesion</x:t>
        </x:is>
      </x:c>
      <x:c r="S69" t="inlineStr">
        <x:is>
          <x:t xml:space="preserve">local irritation</x:t>
        </x:is>
      </x:c>
      <x:c r="T69" t="inlineStr">
        <x:is>
          <x:t xml:space="preserve">localized lesions only</x:t>
        </x:is>
      </x:c>
      <x:c r="V69" t="n">
        <x:v>1</x:v>
      </x:c>
      <x:c r="W69" t="inlineStr">
        <x:is>
          <x:t xml:space="preserve">Y</x:t>
        </x:is>
      </x:c>
      <x:c r="X69" t="inlineStr">
        <x:is>
          <x:t xml:space="preserve">Y</x:t>
        </x:is>
      </x:c>
      <x:c r="Y69" t="inlineStr">
        <x:is>
          <x:t xml:space="preserve">N</x:t>
        </x:is>
      </x:c>
      <x:c r="Z69" t="inlineStr">
        <x:is>
          <x:t xml:space="preserve">N</x:t>
        </x:is>
      </x:c>
      <x:c r="AI69" t="inlineStr">
        <x:is>
          <x:t xml:space="preserve">Y</x:t>
        </x:is>
      </x:c>
      <x:c r="AJ69" t="inlineStr">
        <x:is>
          <x:t xml:space="preserve">2026-03-08</x:t>
        </x:is>
      </x:c>
    </x:row>
    <x:row r="70">
      <x:c r="A70" t="inlineStr">
        <x:is>
          <x:t xml:space="preserve">DRUG_BDS001908</x:t>
        </x:is>
      </x:c>
      <x:c r="B70" t="inlineStr">
        <x:is>
          <x:t xml:space="preserve">BDS001908</x:t>
        </x:is>
      </x:c>
      <x:c r="C70" t="n">
        <x:v>1908</x:v>
      </x:c>
      <x:c r="D70" t="inlineStr">
        <x:is>
          <x:t xml:space="preserve">Fucicort Cream</x:t>
        </x:is>
      </x:c>
      <x:c r="E70" t="inlineStr">
        <x:is>
          <x:t xml:space="preserve">Fusidic acid 20 mg+Betamethasone Valerate (eq. to Betamethasone 1 mg)+Preservative (Chlorocresol)/1 g</x:t>
        </x:is>
      </x:c>
      <x:c r="F70" t="inlineStr">
        <x:is>
          <x:t xml:space="preserve">Fucicort Cream [Fusidic acid 20 mg+Betamethasone Valerate (eq. to Betamethasone 1 mg)+Preservative (Chlorocresol)/1 g]</x:t>
        </x:is>
      </x:c>
      <x:c r="G70" t="inlineStr">
        <x:is>
          <x:t xml:space="preserve">fusidic acid + steroid cream</x:t>
        </x:is>
      </x:c>
      <x:c r="I70" t="inlineStr">
        <x:is>
          <x:t xml:space="preserve">ยาทาแก้แพ้และฆ่าเชื้อแบคทีเรีย (D)</x:t>
        </x:is>
      </x:c>
      <x:c r="J70" t="inlineStr">
        <x:is>
          <x:t xml:space="preserve">cream/gel</x:t>
        </x:is>
      </x:c>
      <x:c r="K70" t="inlineStr">
        <x:is>
          <x:t xml:space="preserve">20 mg</x:t>
        </x:is>
      </x:c>
      <x:c r="L70" t="inlineStr">
        <x:is>
          <x:t xml:space="preserve">หลอด 5 g.</x:t>
        </x:is>
      </x:c>
      <x:c r="M70" t="inlineStr">
        <x:is>
          <x:t xml:space="preserve">bottle</x:t>
        </x:is>
      </x:c>
      <x:c r="N70" t="inlineStr">
        <x:is>
          <x:t xml:space="preserve">ทาครีมบางๆ บริเวณที่มีอาการ วันละ 2-3 ครั้ง</x:t>
        </x:is>
      </x:c>
      <x:c r="R70" t="inlineStr">
        <x:is>
          <x:t xml:space="preserve">infected inflamed dermatitis where mixed bacterial/inflammatory pattern is suspected</x:t>
        </x:is>
      </x:c>
      <x:c r="S70" t="inlineStr">
        <x:is>
          <x:t xml:space="preserve">local irritation</x:t>
        </x:is>
      </x:c>
      <x:c r="T70" t="inlineStr">
        <x:is>
          <x:t xml:space="preserve">short course; steroid-containing antibiotic combo</x:t>
        </x:is>
      </x:c>
      <x:c r="V70" t="n">
        <x:v>2</x:v>
      </x:c>
      <x:c r="W70" t="inlineStr">
        <x:is>
          <x:t xml:space="preserve">Y</x:t>
        </x:is>
      </x:c>
      <x:c r="X70" t="inlineStr">
        <x:is>
          <x:t xml:space="preserve">Y</x:t>
        </x:is>
      </x:c>
      <x:c r="Y70" t="inlineStr">
        <x:is>
          <x:t xml:space="preserve">Y</x:t>
        </x:is>
      </x:c>
      <x:c r="Z70" t="inlineStr">
        <x:is>
          <x:t xml:space="preserve">N</x:t>
        </x:is>
      </x:c>
      <x:c r="AI70" t="inlineStr">
        <x:is>
          <x:t xml:space="preserve">Y</x:t>
        </x:is>
      </x:c>
      <x:c r="AJ70" t="inlineStr">
        <x:is>
          <x:t xml:space="preserve">2026-03-08</x:t>
        </x:is>
      </x:c>
    </x:row>
    <x:row r="71">
      <x:c r="A71" t="inlineStr">
        <x:is>
          <x:t xml:space="preserve">DRUG_BDS001910</x:t>
        </x:is>
      </x:c>
      <x:c r="B71" t="inlineStr">
        <x:is>
          <x:t xml:space="preserve">BDS001910</x:t>
        </x:is>
      </x:c>
      <x:c r="C71" t="n">
        <x:v>1910</x:v>
      </x:c>
      <x:c r="D71" t="inlineStr">
        <x:is>
          <x:t xml:space="preserve">Fucidin H Cream</x:t>
        </x:is>
      </x:c>
      <x:c r="E71" t="inlineStr">
        <x:is>
          <x:t xml:space="preserve">Fusidic acid 20 mg+Hydrocortisone Acetate 10 mg+อื่นๆ/1 g</x:t>
        </x:is>
      </x:c>
      <x:c r="F71" t="inlineStr">
        <x:is>
          <x:t xml:space="preserve">Fucidin H Cream [Fusidic acid 20 mg+Hydrocortisone Acetate 10 mg+อื่นๆ/1 g]</x:t>
        </x:is>
      </x:c>
      <x:c r="G71" t="inlineStr">
        <x:is>
          <x:t xml:space="preserve">fusidic acid + hydrocortisone cream</x:t>
        </x:is>
      </x:c>
      <x:c r="I71" t="inlineStr">
        <x:is>
          <x:t xml:space="preserve">ยาทาแก้แพ้และฆ่าเชื้อแบคทีเรีย (D)</x:t>
        </x:is>
      </x:c>
      <x:c r="J71" t="inlineStr">
        <x:is>
          <x:t xml:space="preserve">cream/gel</x:t>
        </x:is>
      </x:c>
      <x:c r="K71" t="inlineStr">
        <x:is>
          <x:t xml:space="preserve">20 mg</x:t>
        </x:is>
      </x:c>
      <x:c r="L71" t="inlineStr">
        <x:is>
          <x:t xml:space="preserve">หลอด 5 g.</x:t>
        </x:is>
      </x:c>
      <x:c r="M71" t="inlineStr">
        <x:is>
          <x:t xml:space="preserve">bottle</x:t>
        </x:is>
      </x:c>
      <x:c r="N71" t="inlineStr">
        <x:is>
          <x:t xml:space="preserve">ทาครีมบางๆ บริเวณที่มีอาการ วันละ 2-3 ครั้ง</x:t>
        </x:is>
      </x:c>
      <x:c r="R71" t="inlineStr">
        <x:is>
          <x:t xml:space="preserve">mild infected eczema/intertrigo-type inflammation</x:t>
        </x:is>
      </x:c>
      <x:c r="S71" t="inlineStr">
        <x:is>
          <x:t xml:space="preserve">local irritation</x:t>
        </x:is>
      </x:c>
      <x:c r="T71" t="inlineStr">
        <x:is>
          <x:t xml:space="preserve">short course; steroid-containing antibiotic combo</x:t>
        </x:is>
      </x:c>
      <x:c r="V71" t="n">
        <x:v>2</x:v>
      </x:c>
      <x:c r="W71" t="inlineStr">
        <x:is>
          <x:t xml:space="preserve">Y</x:t>
        </x:is>
      </x:c>
      <x:c r="X71" t="inlineStr">
        <x:is>
          <x:t xml:space="preserve">Y</x:t>
        </x:is>
      </x:c>
      <x:c r="Y71" t="inlineStr">
        <x:is>
          <x:t xml:space="preserve">Y</x:t>
        </x:is>
      </x:c>
      <x:c r="Z71" t="inlineStr">
        <x:is>
          <x:t xml:space="preserve">N</x:t>
        </x:is>
      </x:c>
      <x:c r="AI71" t="inlineStr">
        <x:is>
          <x:t xml:space="preserve">Y</x:t>
        </x:is>
      </x:c>
      <x:c r="AJ71" t="inlineStr">
        <x:is>
          <x:t xml:space="preserve">2026-03-08</x:t>
        </x:is>
      </x:c>
    </x:row>
    <x:row r="72">
      <x:c r="A72" t="inlineStr">
        <x:is>
          <x:t xml:space="preserve">DRUG_BDS007591</x:t>
        </x:is>
      </x:c>
      <x:c r="B72" t="inlineStr">
        <x:is>
          <x:t xml:space="preserve">BDS007591</x:t>
        </x:is>
      </x:c>
      <x:c r="C72" t="n">
        <x:v>7591</x:v>
      </x:c>
      <x:c r="D72" t="inlineStr">
        <x:is>
          <x:t xml:space="preserve">Noflox-400</x:t>
        </x:is>
      </x:c>
      <x:c r="E72" t="inlineStr">
        <x:is>
          <x:t xml:space="preserve">Norfloxacin 400 mg.</x:t>
        </x:is>
      </x:c>
      <x:c r="F72" t="inlineStr">
        <x:is>
          <x:t xml:space="preserve">Noflox-400 [Norfloxacin 400 mg.]</x:t>
        </x:is>
      </x:c>
      <x:c r="G72" t="inlineStr">
        <x:is>
          <x:t xml:space="preserve">norfloxacin</x:t>
        </x:is>
      </x:c>
      <x:c r="H72" t="inlineStr">
        <x:is>
          <x:t xml:space="preserve">UTI antibiotics</x:t>
        </x:is>
      </x:c>
      <x:c r="I72" t="inlineStr">
        <x:is>
          <x:t xml:space="preserve">ยาฆ่าเชื้อแบคทีเรียทางเดินปัสสาวะ (D)</x:t>
        </x:is>
      </x:c>
      <x:c r="J72" t="inlineStr">
        <x:is>
          <x:t xml:space="preserve">tablet/capsule</x:t>
        </x:is>
      </x:c>
      <x:c r="K72" t="inlineStr">
        <x:is>
          <x:t xml:space="preserve">400 mg</x:t>
        </x:is>
      </x:c>
      <x:c r="L72" t="inlineStr">
        <x:is>
          <x:t xml:space="preserve">แผง 10 เม็ด</x:t>
        </x:is>
      </x:c>
      <x:c r="M72" t="inlineStr">
        <x:is>
          <x:t xml:space="preserve">strip</x:t>
        </x:is>
      </x:c>
      <x:c r="N72" t="inlineStr">
        <x:is>
          <x:t xml:space="preserve">รับประทานครั้งละ 1 เม็ด วันละ 2 ครั้ง เช้า-เย็น</x:t>
        </x:is>
      </x:c>
      <x:c r="R72" t="inlineStr">
        <x:is>
          <x:t xml:space="preserve">uncomplicated cystitis support row in adults</x:t>
        </x:is>
      </x:c>
      <x:c r="S72" t="inlineStr">
        <x:is>
          <x:t xml:space="preserve">GI upset</x:t>
        </x:is>
      </x:c>
      <x:c r="T72" t="inlineStr">
        <x:is>
          <x:t xml:space="preserve">use only when lower UTI pattern is likely; avoid pregnancy</x:t>
        </x:is>
      </x:c>
      <x:c r="V72" t="n">
        <x:v>1</x:v>
      </x:c>
      <x:c r="W72" t="inlineStr">
        <x:is>
          <x:t xml:space="preserve">Y</x:t>
        </x:is>
      </x:c>
      <x:c r="X72" t="inlineStr">
        <x:is>
          <x:t xml:space="preserve">Y</x:t>
        </x:is>
      </x:c>
      <x:c r="Y72" t="inlineStr">
        <x:is>
          <x:t xml:space="preserve">N</x:t>
        </x:is>
      </x:c>
      <x:c r="Z72" t="inlineStr">
        <x:is>
          <x:t xml:space="preserve">N</x:t>
        </x:is>
      </x:c>
      <x:c r="AI72" t="inlineStr">
        <x:is>
          <x:t xml:space="preserve">Y</x:t>
        </x:is>
      </x:c>
      <x:c r="AJ72" t="inlineStr">
        <x:is>
          <x:t xml:space="preserve">2026-03-08</x:t>
        </x:is>
      </x:c>
    </x:row>
    <x:row r="73">
      <x:c r="A73" t="inlineStr">
        <x:is>
          <x:t xml:space="preserve">DRUG_BDS040602</x:t>
        </x:is>
      </x:c>
      <x:c r="B73" t="inlineStr">
        <x:is>
          <x:t xml:space="preserve">BDS040602</x:t>
        </x:is>
      </x:c>
      <x:c r="C73" t="n">
        <x:v>40602</x:v>
      </x:c>
      <x:c r="D73" t="inlineStr">
        <x:is>
          <x:t xml:space="preserve">Biozole 150 mg</x:t>
        </x:is>
      </x:c>
      <x:c r="E73" t="inlineStr">
        <x:is>
          <x:t xml:space="preserve">Fluconazole 150 mg.</x:t>
        </x:is>
      </x:c>
      <x:c r="F73" t="inlineStr">
        <x:is>
          <x:t xml:space="preserve">Biozole 150 mg [Fluconazole 150 mg.]</x:t>
        </x:is>
      </x:c>
      <x:c r="G73" t="inlineStr">
        <x:is>
          <x:t xml:space="preserve">fluconazole</x:t>
        </x:is>
      </x:c>
      <x:c r="H73" t="inlineStr">
        <x:is>
          <x:t xml:space="preserve">Antifungals (oral/topical)</x:t>
        </x:is>
      </x:c>
      <x:c r="I73" t="inlineStr">
        <x:is>
          <x:t xml:space="preserve">ยาต้านเชื้อรา (D)</x:t>
        </x:is>
      </x:c>
      <x:c r="J73" t="inlineStr">
        <x:is>
          <x:t xml:space="preserve">tablet/capsule</x:t>
        </x:is>
      </x:c>
      <x:c r="K73" t="inlineStr">
        <x:is>
          <x:t xml:space="preserve">150 mg</x:t>
        </x:is>
      </x:c>
      <x:c r="L73" t="inlineStr">
        <x:is>
          <x:t xml:space="preserve">กล่อง 1 แคปซูล</x:t>
        </x:is>
      </x:c>
      <x:c r="M73" t="inlineStr">
        <x:is>
          <x:t xml:space="preserve">box</x:t>
        </x:is>
      </x:c>
      <x:c r="N73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R73" t="inlineStr">
        <x:is>
          <x:t xml:space="preserve">single-dose oral fungal/vaginal candidiasis support</x:t>
        </x:is>
      </x:c>
      <x:c r="S73" t="inlineStr">
        <x:is>
          <x:t xml:space="preserve">GI upset, headache</x:t>
        </x:is>
      </x:c>
      <x:c r="T73" t="inlineStr">
        <x:is>
          <x:t xml:space="preserve">avoid in pregnancy unless specifically appropriate; drug interactions</x:t>
        </x:is>
      </x:c>
      <x:c r="V73" t="n">
        <x:v>1</x:v>
      </x:c>
      <x:c r="W73" t="inlineStr">
        <x:is>
          <x:t xml:space="preserve">Y</x:t>
        </x:is>
      </x:c>
      <x:c r="X73" t="inlineStr">
        <x:is>
          <x:t xml:space="preserve">N</x:t>
        </x:is>
      </x:c>
      <x:c r="Y73" t="inlineStr">
        <x:is>
          <x:t xml:space="preserve">N</x:t>
        </x:is>
      </x:c>
      <x:c r="Z73" t="inlineStr">
        <x:is>
          <x:t xml:space="preserve">N</x:t>
        </x:is>
      </x:c>
      <x:c r="AI73" t="inlineStr">
        <x:is>
          <x:t xml:space="preserve">Y</x:t>
        </x:is>
      </x:c>
      <x:c r="AJ73" t="inlineStr">
        <x:is>
          <x:t xml:space="preserve">2026-03-08</x:t>
        </x:is>
      </x:c>
    </x:row>
    <x:row r="74">
      <x:c r="A74" t="inlineStr">
        <x:is>
          <x:t xml:space="preserve">DRUG_BDS008491</x:t>
        </x:is>
      </x:c>
      <x:c r="B74" t="inlineStr">
        <x:is>
          <x:t xml:space="preserve">BDS008491</x:t>
        </x:is>
      </x:c>
      <x:c r="C74" t="n">
        <x:v>8491</x:v>
      </x:c>
      <x:c r="D74" t="inlineStr">
        <x:is>
          <x:t xml:space="preserve">Vagicin</x:t>
        </x:is>
      </x:c>
      <x:c r="E74" t="inlineStr">
        <x:is>
          <x:t xml:space="preserve">Nystatin 100,000 units.+Chloramphenicol 250 mg.+Diiodohydroxyguin 100 mg.</x:t>
        </x:is>
      </x:c>
      <x:c r="F74" t="inlineStr">
        <x:is>
          <x:t xml:space="preserve">Vagicin [Nystatin 100,000 units.+Chloramphenicol 250 mg.+Diiodohydroxyguin 100 mg.]</x:t>
        </x:is>
      </x:c>
      <x:c r="G74" t="inlineStr">
        <x:is>
          <x:t xml:space="preserve">vaginal mixed anti-infective</x:t>
        </x:is>
      </x:c>
      <x:c r="I74" t="inlineStr">
        <x:is>
          <x:t xml:space="preserve">ยาสอดช่องคลอด (D)</x:t>
        </x:is>
      </x:c>
      <x:c r="J74" t="inlineStr">
        <x:is>
          <x:t xml:space="preserve">tablet/capsule</x:t>
        </x:is>
      </x:c>
      <x:c r="K74" t="inlineStr">
        <x:is>
          <x:t xml:space="preserve">250 mg</x:t>
        </x:is>
      </x:c>
      <x:c r="L74" t="inlineStr">
        <x:is>
          <x:t xml:space="preserve">กล่อง 1 แผง</x:t>
        </x:is>
      </x:c>
      <x:c r="M74" t="inlineStr">
        <x:is>
          <x:t xml:space="preserve">box</x:t>
        </x:is>
      </x:c>
      <x:c r="N74" t="inlineStr">
        <x:is>
          <x:t xml:space="preserve">สอดเข้าช่องคลอด ครั้งละ 1 เม็ด วันละ 1-2 ครั้ง เช้าและก่อนนอน ติดต่อกันครบ 14 วัน หรือตามแพทย์สั่ง </x:t>
        </x:is>
      </x:c>
      <x:c r="R74" t="inlineStr">
        <x:is>
          <x:t xml:space="preserve">mixed vaginal discharge/infection support row</x:t>
        </x:is>
      </x:c>
      <x:c r="S74" t="inlineStr">
        <x:is>
          <x:t xml:space="preserve">local irritation</x:t>
        </x:is>
      </x:c>
      <x:c r="T74" t="inlineStr">
        <x:is>
          <x:t xml:space="preserve">vaginal use only; avoid if pregnant without review</x:t>
        </x:is>
      </x:c>
      <x:c r="V74" t="n">
        <x:v>1</x:v>
      </x:c>
      <x:c r="W74" t="inlineStr">
        <x:is>
          <x:t xml:space="preserve">Y</x:t>
        </x:is>
      </x:c>
      <x:c r="X74" t="inlineStr">
        <x:is>
          <x:t xml:space="preserve">Y</x:t>
        </x:is>
      </x:c>
      <x:c r="Y74" t="inlineStr">
        <x:is>
          <x:t xml:space="preserve">N</x:t>
        </x:is>
      </x:c>
      <x:c r="Z74" t="inlineStr">
        <x:is>
          <x:t xml:space="preserve">N</x:t>
        </x:is>
      </x:c>
      <x:c r="AI74" t="inlineStr">
        <x:is>
          <x:t xml:space="preserve">Y</x:t>
        </x:is>
      </x:c>
      <x:c r="AJ74" t="inlineStr">
        <x:is>
          <x:t xml:space="preserve">2026-03-08</x:t>
        </x:is>
      </x:c>
    </x:row>
    <x:row r="75">
      <x:c r="A75" t="inlineStr">
        <x:is>
          <x:t xml:space="preserve">DRUG_BDS001496</x:t>
        </x:is>
      </x:c>
      <x:c r="B75" t="inlineStr">
        <x:is>
          <x:t xml:space="preserve">BDS001496</x:t>
        </x:is>
      </x:c>
      <x:c r="C75" t="n">
        <x:v>1496</x:v>
      </x:c>
      <x:c r="D75" t="inlineStr">
        <x:is>
          <x:t xml:space="preserve">Cifloxin 500 mg</x:t>
        </x:is>
      </x:c>
      <x:c r="E75" t="inlineStr">
        <x:is>
          <x:t xml:space="preserve">Ciprofloxacin 500 mg.</x:t>
        </x:is>
      </x:c>
      <x:c r="F75" t="inlineStr">
        <x:is>
          <x:t xml:space="preserve">Cifloxin 500 mg [Ciprofloxacin 500 mg.]</x:t>
        </x:is>
      </x:c>
      <x:c r="G75" t="inlineStr">
        <x:is>
          <x:t xml:space="preserve">ciprofloxacin</x:t>
        </x:is>
      </x:c>
      <x:c r="H75" t="inlineStr">
        <x:is>
          <x:t xml:space="preserve">UTI antibiotics</x:t>
        </x:is>
      </x:c>
      <x:c r="I75" t="inlineStr">
        <x:is>
          <x:t xml:space="preserve">ยาฆ่าเชื้อแบคทีเรียทางเดินปัสสาวะ (D)</x:t>
        </x:is>
      </x:c>
      <x:c r="J75" t="inlineStr">
        <x:is>
          <x:t xml:space="preserve">tablet/capsule</x:t>
        </x:is>
      </x:c>
      <x:c r="K75" t="inlineStr">
        <x:is>
          <x:t xml:space="preserve">500 mg</x:t>
        </x:is>
      </x:c>
      <x:c r="L75" t="inlineStr">
        <x:is>
          <x:t xml:space="preserve">กล่อง 10 เม็ด</x:t>
        </x:is>
      </x:c>
      <x:c r="M75" t="inlineStr">
        <x:is>
          <x:t xml:space="preserve">box</x:t>
        </x:is>
      </x:c>
      <x:c r="N75" t="inlineStr">
        <x:is>
          <x:t xml:space="preserve">รับประทานครั้งละ 1 เม็ดวันละ 2  ครั้ง เช้า-เย็น</x:t>
        </x:is>
      </x:c>
      <x:c r="R75" t="inlineStr">
        <x:is>
          <x:t xml:space="preserve">alternative lower UTI antibiotic row in adults</x:t>
        </x:is>
      </x:c>
      <x:c r="S75" t="inlineStr">
        <x:is>
          <x:t xml:space="preserve">GI upset, dizziness</x:t>
        </x:is>
      </x:c>
      <x:c r="T75" t="inlineStr">
        <x:is>
          <x:t xml:space="preserve">avoid pregnancy; tendon/CNS risk; use only when lower UTI pattern is likely</x:t>
        </x:is>
      </x:c>
      <x:c r="V75" t="n">
        <x:v>2</x:v>
      </x:c>
      <x:c r="W75" t="inlineStr">
        <x:is>
          <x:t xml:space="preserve">Y</x:t>
        </x:is>
      </x:c>
      <x:c r="X75" t="inlineStr">
        <x:is>
          <x:t xml:space="preserve">Y</x:t>
        </x:is>
      </x:c>
      <x:c r="Y75" t="inlineStr">
        <x:is>
          <x:t xml:space="preserve">N</x:t>
        </x:is>
      </x:c>
      <x:c r="Z75" t="inlineStr">
        <x:is>
          <x:t xml:space="preserve">N</x:t>
        </x:is>
      </x:c>
      <x:c r="AI75" t="inlineStr">
        <x:is>
          <x:t xml:space="preserve">Y</x:t>
        </x:is>
      </x:c>
      <x:c r="AJ75" t="inlineStr">
        <x:is>
          <x:t xml:space="preserve">2026-03-08</x:t>
        </x:is>
      </x:c>
    </x:row>
    <x:row r="76">
      <x:c r="A76" t="inlineStr">
        <x:is>
          <x:t xml:space="preserve">DRUG_BDS001489</x:t>
        </x:is>
      </x:c>
      <x:c r="B76" t="inlineStr">
        <x:is>
          <x:t xml:space="preserve">BDS001489</x:t>
        </x:is>
      </x:c>
      <x:c r="C76" t="n">
        <x:v>1489</x:v>
      </x:c>
      <x:c r="D76" t="inlineStr">
        <x:is>
          <x:t xml:space="preserve">Canesten Cream 10 g</x:t>
        </x:is>
      </x:c>
      <x:c r="E76" t="inlineStr">
        <x:is>
          <x:t xml:space="preserve">Clotrimazole 1 g./100 g.</x:t>
        </x:is>
      </x:c>
      <x:c r="F76" t="inlineStr">
        <x:is>
          <x:t xml:space="preserve">Canesten Cream 10 g [Clotrimazole 1 g./100 g.]</x:t>
        </x:is>
      </x:c>
      <x:c r="G76" t="inlineStr">
        <x:is>
          <x:t xml:space="preserve">clotrimazole cream</x:t>
        </x:is>
      </x:c>
      <x:c r="I76" t="inlineStr">
        <x:is>
          <x:t xml:space="preserve">ยาทาฆ่าเชี้อรา</x:t>
        </x:is>
      </x:c>
      <x:c r="J76" t="inlineStr">
        <x:is>
          <x:t xml:space="preserve">topical</x:t>
        </x:is>
      </x:c>
      <x:c r="K76" t="inlineStr">
        <x:is>
          <x:t xml:space="preserve">1 g</x:t>
        </x:is>
      </x:c>
      <x:c r="L76" t="inlineStr">
        <x:is>
          <x:t xml:space="preserve">หลอด 10 g.</x:t>
        </x:is>
      </x:c>
      <x:c r="M76" t="inlineStr">
        <x:is>
          <x:t xml:space="preserve">bottle</x:t>
        </x:is>
      </x:c>
      <x:c r="N76" t="inlineStr">
        <x:is>
          <x:t xml:space="preserve">ทาครีมบางๆ บริเวณที่ติดเชื้อ วันละ 2-3 ครั้ง</x:t>
        </x:is>
      </x:c>
      <x:c r="R76" t="inlineStr">
        <x:is>
          <x:t xml:space="preserve">localized fungal skin rash / tinea / candidal intertrigo</x:t>
        </x:is>
      </x:c>
      <x:c r="S76" t="inlineStr">
        <x:is>
          <x:t xml:space="preserve">local irritation</x:t>
        </x:is>
      </x:c>
      <x:c r="T76" t="inlineStr">
        <x:is>
          <x:t xml:space="preserve">avoid eye/mucosa</x:t>
        </x:is>
      </x:c>
      <x:c r="V76" t="n">
        <x:v>1</x:v>
      </x:c>
      <x:c r="W76" t="inlineStr">
        <x:is>
          <x:t xml:space="preserve">Y</x:t>
        </x:is>
      </x:c>
      <x:c r="X76" t="inlineStr">
        <x:is>
          <x:t xml:space="preserve">N</x:t>
        </x:is>
      </x:c>
      <x:c r="Y76" t="inlineStr">
        <x:is>
          <x:t xml:space="preserve">N</x:t>
        </x:is>
      </x:c>
      <x:c r="Z76" t="inlineStr">
        <x:is>
          <x:t xml:space="preserve">N</x:t>
        </x:is>
      </x:c>
      <x:c r="AI76" t="inlineStr">
        <x:is>
          <x:t xml:space="preserve">Y</x:t>
        </x:is>
      </x:c>
      <x:c r="AJ76" t="inlineStr">
        <x:is>
          <x:t xml:space="preserve">2026-03-08</x:t>
        </x:is>
      </x:c>
    </x:row>
    <x:row r="77">
      <x:c r="A77" t="inlineStr">
        <x:is>
          <x:t xml:space="preserve">DRUG_BDS007542</x:t>
        </x:is>
      </x:c>
      <x:c r="B77" t="inlineStr">
        <x:is>
          <x:t xml:space="preserve">BDS007542</x:t>
        </x:is>
      </x:c>
      <x:c r="C77" t="n">
        <x:v>7542</x:v>
      </x:c>
      <x:c r="D77" t="inlineStr">
        <x:is>
          <x:t xml:space="preserve">Fungasin Cream เล็ก</x:t>
        </x:is>
      </x:c>
      <x:c r="E77" t="inlineStr">
        <x:is>
          <x:t xml:space="preserve">Ketoconazole 20 mg./1 g.</x:t>
        </x:is>
      </x:c>
      <x:c r="F77" t="inlineStr">
        <x:is>
          <x:t xml:space="preserve">Fungasin Cream เล็ก [Ketoconazole 20 mg./1 g.]</x:t>
        </x:is>
      </x:c>
      <x:c r="G77" t="inlineStr">
        <x:is>
          <x:t xml:space="preserve">ketoconazole cream</x:t>
        </x:is>
      </x:c>
      <x:c r="I77" t="inlineStr">
        <x:is>
          <x:t xml:space="preserve">ยาทาฆ่าเชี้อรา</x:t>
        </x:is>
      </x:c>
      <x:c r="J77" t="inlineStr">
        <x:is>
          <x:t xml:space="preserve">topical</x:t>
        </x:is>
      </x:c>
      <x:c r="K77" t="inlineStr">
        <x:is>
          <x:t xml:space="preserve">20 mg</x:t>
        </x:is>
      </x:c>
      <x:c r="L77" t="inlineStr">
        <x:is>
          <x:t xml:space="preserve">หลอด 5 g.</x:t>
        </x:is>
      </x:c>
      <x:c r="M77" t="inlineStr">
        <x:is>
          <x:t xml:space="preserve">bottle</x:t>
        </x:is>
      </x:c>
      <x:c r="N77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1-2 ครั้ง</x:t>
        </x:is>
      </x:c>
      <x:c r="R77" t="inlineStr">
        <x:is>
          <x:t xml:space="preserve">localized fungal skin rash including groin/feet/intertrigo</x:t>
        </x:is>
      </x:c>
      <x:c r="S77" t="inlineStr">
        <x:is>
          <x:t xml:space="preserve">local irritation</x:t>
        </x:is>
      </x:c>
      <x:c r="T77" t="inlineStr">
        <x:is>
          <x:t xml:space="preserve">avoid eye/mucosa</x:t>
        </x:is>
      </x:c>
      <x:c r="V77" t="n">
        <x:v>1</x:v>
      </x:c>
      <x:c r="W77" t="inlineStr">
        <x:is>
          <x:t xml:space="preserve">Y</x:t>
        </x:is>
      </x:c>
      <x:c r="X77" t="inlineStr">
        <x:is>
          <x:t xml:space="preserve">N</x:t>
        </x:is>
      </x:c>
      <x:c r="Y77" t="inlineStr">
        <x:is>
          <x:t xml:space="preserve">N</x:t>
        </x:is>
      </x:c>
      <x:c r="Z77" t="inlineStr">
        <x:is>
          <x:t xml:space="preserve">N</x:t>
        </x:is>
      </x:c>
      <x:c r="AI77" t="inlineStr">
        <x:is>
          <x:t xml:space="preserve">Y</x:t>
        </x:is>
      </x:c>
      <x:c r="AJ77" t="inlineStr">
        <x:is>
          <x:t xml:space="preserve">2026-03-08</x:t>
        </x:is>
      </x:c>
    </x:row>
    <x:row r="78">
      <x:c r="A78" t="inlineStr">
        <x:is>
          <x:t xml:space="preserve">DRUG_BDS008451</x:t>
        </x:is>
      </x:c>
      <x:c r="B78" t="inlineStr">
        <x:is>
          <x:t xml:space="preserve">BDS008451</x:t>
        </x:is>
      </x:c>
      <x:c r="C78" t="n">
        <x:v>8451</x:v>
      </x:c>
      <x:c r="D78" t="inlineStr">
        <x:is>
          <x:t xml:space="preserve">Funginox Solution</x:t>
        </x:is>
      </x:c>
      <x:c r="E78" t="inlineStr">
        <x:is>
          <x:t xml:space="preserve">Ketoconazole 2%</x:t>
        </x:is>
      </x:c>
      <x:c r="F78" t="inlineStr">
        <x:is>
          <x:t xml:space="preserve">Funginox Solution [Ketoconazole 2%]</x:t>
        </x:is>
      </x:c>
      <x:c r="G78" t="inlineStr">
        <x:is>
          <x:t xml:space="preserve">ketoconazole solution</x:t>
        </x:is>
      </x:c>
      <x:c r="I78" t="inlineStr">
        <x:is>
          <x:t xml:space="preserve">ยาทาฆ่าเชี้อรา</x:t>
        </x:is>
      </x:c>
      <x:c r="J78" t="inlineStr">
        <x:is>
          <x:t xml:space="preserve">topical</x:t>
        </x:is>
      </x:c>
      <x:c r="K78" t="inlineStr">
        <x:is>
          <x:t xml:space="preserve">2%</x:t>
        </x:is>
      </x:c>
      <x:c r="L78" t="inlineStr">
        <x:is>
          <x:t xml:space="preserve">ขวด 25 ml.</x:t>
        </x:is>
      </x:c>
      <x:c r="M78" t="inlineStr">
        <x:is>
          <x:t xml:space="preserve">bottle</x:t>
        </x:is>
      </x:c>
      <x:c r="N78" t="inlineStr">
        <x:is>
          <x:t xml:space="preserve">สเปรย์ลงบนผิวหนังโดยไม่ต้องล้างออก วันละ 1-2 ครั้ง</x:t>
        </x:is>
      </x:c>
      <x:c r="R78" t="inlineStr">
        <x:is>
          <x:t xml:space="preserve">fungal skin/scalp solution support</x:t>
        </x:is>
      </x:c>
      <x:c r="S78" t="inlineStr">
        <x:is>
          <x:t xml:space="preserve">local irritation</x:t>
        </x:is>
      </x:c>
      <x:c r="T78" t="inlineStr">
        <x:is>
          <x:t xml:space="preserve">avoid eye contact</x:t>
        </x:is>
      </x:c>
      <x:c r="V78" t="n">
        <x:v>2</x:v>
      </x:c>
      <x:c r="W78" t="inlineStr">
        <x:is>
          <x:t xml:space="preserve">Y</x:t>
        </x:is>
      </x:c>
      <x:c r="X78" t="inlineStr">
        <x:is>
          <x:t xml:space="preserve">N</x:t>
        </x:is>
      </x:c>
      <x:c r="Y78" t="inlineStr">
        <x:is>
          <x:t xml:space="preserve">N</x:t>
        </x:is>
      </x:c>
      <x:c r="Z78" t="inlineStr">
        <x:is>
          <x:t xml:space="preserve">N</x:t>
        </x:is>
      </x:c>
      <x:c r="AI78" t="inlineStr">
        <x:is>
          <x:t xml:space="preserve">Y</x:t>
        </x:is>
      </x:c>
      <x:c r="AJ78" t="inlineStr">
        <x:is>
          <x:t xml:space="preserve">2026-03-08</x:t>
        </x:is>
      </x:c>
    </x:row>
    <x:row r="79">
      <x:c r="A79" t="inlineStr">
        <x:is>
          <x:t xml:space="preserve">DRUG_BDS001468</x:t>
        </x:is>
      </x:c>
      <x:c r="B79" t="inlineStr">
        <x:is>
          <x:t xml:space="preserve">BDS001468</x:t>
        </x:is>
      </x:c>
      <x:c r="C79" t="n">
        <x:v>1468</x:v>
      </x:c>
      <x:c r="D79" t="inlineStr">
        <x:is>
          <x:t xml:space="preserve">Con Con</x:t>
        </x:is>
      </x:c>
      <x:c r="E79" t="inlineStr">
        <x:is>
          <x:t xml:space="preserve">Salicylic Acid 25 g.+Liquified Phenol 1.5 ml./100 ml.</x:t>
        </x:is>
      </x:c>
      <x:c r="F79" t="inlineStr">
        <x:is>
          <x:t xml:space="preserve">Con Con [Salicylic Acid 25 g.+Liquified Phenol 1.5 ml./100 ml.]</x:t>
        </x:is>
      </x:c>
      <x:c r="G79" t="inlineStr">
        <x:is>
          <x:t xml:space="preserve">salicylic acid wart treatment</x:t>
        </x:is>
      </x:c>
      <x:c r="H79" t="inlineStr">
        <x:is>
          <x:t xml:space="preserve">Wart treatment</x:t>
        </x:is>
      </x:c>
      <x:c r="I79" t="inlineStr">
        <x:is>
          <x:t xml:space="preserve">ยาทารักษาหูด</x:t>
        </x:is>
      </x:c>
      <x:c r="J79" t="inlineStr">
        <x:is>
          <x:t xml:space="preserve">other</x:t>
        </x:is>
      </x:c>
      <x:c r="K79" t="inlineStr">
        <x:is>
          <x:t xml:space="preserve">25 g</x:t>
        </x:is>
      </x:c>
      <x:c r="L79" t="inlineStr">
        <x:is>
          <x:t xml:space="preserve">ขวด 15 ml.</x:t>
        </x:is>
      </x:c>
      <x:c r="M79" t="inlineStr">
        <x:is>
          <x:t xml:space="preserve">bottle</x:t>
        </x:is>
      </x:c>
      <x:c r="N79" t="inlineStr">
        <x:is>
          <x:t xml:space="preserve">ทายาบนตาปลาหรือหูด  วันละ  2-3 ครั้ง</x:t>
        </x:is>
      </x:c>
      <x:c r="R79" t="inlineStr">
        <x:is>
          <x:t xml:space="preserve">localized wart/corn topical treatment</x:t>
        </x:is>
      </x:c>
      <x:c r="S79" t="inlineStr">
        <x:is>
          <x:t xml:space="preserve">local irritation</x:t>
        </x:is>
      </x:c>
      <x:c r="T79" t="inlineStr">
        <x:is>
          <x:t xml:space="preserve">avoid normal surrounding skin and mucosa</x:t>
        </x:is>
      </x:c>
      <x:c r="V79" t="n">
        <x:v>1</x:v>
      </x:c>
      <x:c r="W79" t="inlineStr">
        <x:is>
          <x:t xml:space="preserve">Y</x:t>
        </x:is>
      </x:c>
      <x:c r="X79" t="inlineStr">
        <x:is>
          <x:t xml:space="preserve">N</x:t>
        </x:is>
      </x:c>
      <x:c r="Y79" t="inlineStr">
        <x:is>
          <x:t xml:space="preserve">N</x:t>
        </x:is>
      </x:c>
      <x:c r="Z79" t="inlineStr">
        <x:is>
          <x:t xml:space="preserve">N</x:t>
        </x:is>
      </x:c>
      <x:c r="AI79" t="inlineStr">
        <x:is>
          <x:t xml:space="preserve">Y</x:t>
        </x:is>
      </x:c>
      <x:c r="AJ79" t="inlineStr">
        <x:is>
          <x:t xml:space="preserve">2026-03-08</x:t>
        </x:is>
      </x:c>
    </x:row>
    <x:row r="80">
      <x:c r="A80" t="inlineStr">
        <x:is>
          <x:t xml:space="preserve">DRUG_BDS040609</x:t>
        </x:is>
      </x:c>
      <x:c r="B80" t="inlineStr">
        <x:is>
          <x:t xml:space="preserve">BDS040609</x:t>
        </x:is>
      </x:c>
      <x:c r="C80" t="n">
        <x:v>40609</x:v>
      </x:c>
      <x:c r="D80" t="inlineStr">
        <x:is>
          <x:t xml:space="preserve">Betadine Gargle</x:t>
        </x:is>
      </x:c>
      <x:c r="E80" t="inlineStr">
        <x:is>
          <x:t xml:space="preserve">Povidone-Iodine 70 mg./1 ml.</x:t>
        </x:is>
      </x:c>
      <x:c r="F80" t="inlineStr">
        <x:is>
          <x:t xml:space="preserve">Betadine Gargle [Povidone-Iodine 70 mg./1 ml.]</x:t>
        </x:is>
      </x:c>
      <x:c r="G80" t="inlineStr">
        <x:is>
          <x:t xml:space="preserve">povidone-iodine gargle</x:t>
        </x:is>
      </x:c>
      <x:c r="H80" t="inlineStr">
        <x:is>
          <x:t xml:space="preserve">Mouthwash / throat/oral care</x:t>
        </x:is>
      </x:c>
      <x:c r="I80" t="inlineStr">
        <x:is>
          <x:t xml:space="preserve">น้ำยาบ้วนปาก</x:t>
        </x:is>
      </x:c>
      <x:c r="J80" t="inlineStr">
        <x:is>
          <x:t xml:space="preserve">other</x:t>
        </x:is>
      </x:c>
      <x:c r="K80" t="inlineStr">
        <x:is>
          <x:t xml:space="preserve">70 mg</x:t>
        </x:is>
      </x:c>
      <x:c r="L80" t="inlineStr">
        <x:is>
          <x:t xml:space="preserve">ขวด 30 ml.</x:t>
        </x:is>
      </x:c>
      <x:c r="M80" t="inlineStr">
        <x:is>
          <x:t xml:space="preserve">bottle</x:t>
        </x:is>
      </x:c>
      <x:c r="N80" t="inlineStr">
        <x:is>
          <x:t xml:space="preserve">หยดน้ำยา 1-2 ml. ในถ้วยผสม เติมน้ำสะอาดจบครบ 30 ml. ใช้อมกลั้วคอ 30 วินาทีแล้วบ้วนทิ้ง  วันละ 2-3 ครั้ง</x:t>
        </x:is>
      </x:c>
      <x:c r="R80" t="inlineStr">
        <x:is>
          <x:t xml:space="preserve">oral/gum/throat antiseptic support</x:t>
        </x:is>
      </x:c>
      <x:c r="S80" t="inlineStr">
        <x:is>
          <x:t xml:space="preserve">local irritation</x:t>
        </x:is>
      </x:c>
      <x:c r="T80" t="inlineStr">
        <x:is>
          <x:t xml:space="preserve">avoid swallowing; iodine/thyroid caution</x:t>
        </x:is>
      </x:c>
      <x:c r="V80" t="n">
        <x:v>2</x:v>
      </x:c>
      <x:c r="W80" t="inlineStr">
        <x:is>
          <x:t xml:space="preserve">Y</x:t>
        </x:is>
      </x:c>
      <x:c r="X80" t="inlineStr">
        <x:is>
          <x:t xml:space="preserve">N</x:t>
        </x:is>
      </x:c>
      <x:c r="Y80" t="inlineStr">
        <x:is>
          <x:t xml:space="preserve">N</x:t>
        </x:is>
      </x:c>
      <x:c r="Z80" t="inlineStr">
        <x:is>
          <x:t xml:space="preserve">N</x:t>
        </x:is>
      </x:c>
      <x:c r="AI80" t="inlineStr">
        <x:is>
          <x:t xml:space="preserve">Y</x:t>
        </x:is>
      </x:c>
      <x:c r="AJ80" t="inlineStr">
        <x:is>
          <x:t xml:space="preserve">2026-03-08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Category</x:t>
        </x:is>
      </x:c>
      <x:c r="B1" s="1" t="inlineStr">
        <x:is>
          <x:t xml:space="preserve">Market name</x:t>
        </x:is>
      </x:c>
      <x:c r="C1" s="1" t="inlineStr">
        <x:is>
          <x:t xml:space="preserve">Generic/Active</x:t>
        </x:is>
      </x:c>
      <x:c r="D1" s="1" t="inlineStr">
        <x:is>
          <x:t xml:space="preserve">BDS code</x:t>
        </x:is>
      </x:c>
      <x:c r="E1" s="1" t="inlineStr">
        <x:is>
          <x:t xml:space="preserve">Pack</x:t>
        </x:is>
      </x:c>
      <x:c r="F1" s="1" t="inlineStr">
        <x:is>
          <x:t xml:space="preserve">Price (THB/pack)</x:t>
        </x:is>
      </x:c>
      <x:c r="G1" s="1" t="inlineStr">
        <x:is>
          <x:t xml:space="preserve">When to choose</x:t>
        </x:is>
      </x:c>
      <x:c r="H1" s="1" t="inlineStr">
        <x:is>
          <x:t xml:space="preserve">Key cautions</x:t>
        </x:is>
      </x:c>
      <x:c r="I1" s="1" t="inlineStr">
        <x:is>
          <x:t xml:space="preserve">Notes/limits</x:t>
        </x:is>
      </x:c>
    </x:row>
    <x:row r="2">
      <x:c r="A2" t="inlineStr">
        <x:is>
          <x:t xml:space="preserve">Paracetamol</x:t>
        </x:is>
      </x:c>
      <x:c r="B2" t="inlineStr">
        <x:is>
          <x:t xml:space="preserve">Tylenol 500 mg strip 10s</x:t>
        </x:is>
      </x:c>
      <x:c r="C2" t="inlineStr">
        <x:is>
          <x:t xml:space="preserve">Paracetamol 500 mg.</x:t>
        </x:is>
      </x:c>
      <x:c r="D2" t="inlineStr">
        <x:is>
          <x:t xml:space="preserve">BDS003762</x:t>
        </x:is>
      </x:c>
      <x:c r="E2" t="inlineStr">
        <x:is>
          <x:t xml:space="preserve">แผง 10 เม็ด</x:t>
        </x:is>
      </x:c>
      <x:c r="F2" t="n">
        <x:v>36</x:v>
      </x:c>
      <x:c r="G2" t="inlineStr">
        <x:is>
          <x:t xml:space="preserve">Pain/fever; first-line analgesic/antipyretic.</x:t>
        </x:is>
      </x:c>
      <x:c r="H2" t="inlineStr">
        <x:is>
          <x:t xml:space="preserve">Max 4 g/day adult; avoid duplicate paracetamol; caution liver dz/heavy EtOH.</x:t>
        </x:is>
      </x:c>
    </x:row>
    <x:row r="3">
      <x:c r="A3" t="inlineStr">
        <x:is>
          <x:t xml:space="preserve">Paracetamol</x:t>
        </x:is>
      </x:c>
      <x:c r="B3" t="inlineStr">
        <x:is>
          <x:t xml:space="preserve">Tylenol 8 Hour</x:t>
        </x:is>
      </x:c>
      <x:c r="C3" t="inlineStr">
        <x:is>
          <x:t xml:space="preserve">Paracetamol 650 mg.</x:t>
        </x:is>
      </x:c>
      <x:c r="D3" t="inlineStr">
        <x:is>
          <x:t xml:space="preserve">BDS003748</x:t>
        </x:is>
      </x:c>
      <x:c r="E3" t="inlineStr">
        <x:is>
          <x:t xml:space="preserve">กล่อง 10 เม็ด</x:t>
        </x:is>
      </x:c>
      <x:c r="G3" t="inlineStr">
        <x:is>
          <x:t xml:space="preserve">Pain/fever; first-line analgesic/antipyretic.</x:t>
        </x:is>
      </x:c>
      <x:c r="H3" t="inlineStr">
        <x:is>
          <x:t xml:space="preserve">Max 4 g/day adult; avoid duplicate paracetamol; caution liver dz/heavy EtOH.</x:t>
        </x:is>
      </x:c>
    </x:row>
    <x:row r="4">
      <x:c r="A4" t="inlineStr">
        <x:is>
          <x:t xml:space="preserve">Paracetamol</x:t>
        </x:is>
      </x:c>
      <x:c r="B4" t="inlineStr">
        <x:is>
          <x:t xml:space="preserve">Panadol Actifast </x:t>
        </x:is>
      </x:c>
      <x:c r="C4" t="inlineStr">
        <x:is>
          <x:t xml:space="preserve">Paracetamol 500 mg.</x:t>
        </x:is>
      </x:c>
      <x:c r="D4" t="inlineStr">
        <x:is>
          <x:t xml:space="preserve">BDS046505</x:t>
        </x:is>
      </x:c>
      <x:c r="E4" t="inlineStr">
        <x:is>
          <x:t xml:space="preserve">กล่อง 10 เม็ด</x:t>
        </x:is>
      </x:c>
      <x:c r="G4" t="inlineStr">
        <x:is>
          <x:t xml:space="preserve">Pain/fever; first-line analgesic/antipyretic.</x:t>
        </x:is>
      </x:c>
      <x:c r="H4" t="inlineStr">
        <x:is>
          <x:t xml:space="preserve">Max 4 g/day adult; avoid duplicate paracetamol; caution liver dz/heavy EtOH.</x:t>
        </x:is>
      </x:c>
    </x:row>
    <x:row r="5">
      <x:c r="A5" t="inlineStr">
        <x:is>
          <x:t xml:space="preserve">Throat spray</x:t>
        </x:is>
      </x:c>
      <x:c r="B5" t="inlineStr">
        <x:is>
          <x:t xml:space="preserve">Kamillosan-M Spray</x:t>
        </x:is>
      </x:c>
      <x:c r="C5" t="inlineStr">
        <x:is>
          <x:t xml:space="preserve">ดอกหญ้าหอม+เพเพอร์มิ้นต์+เซจ ออยล์+เทียนสัตบุษย์+ไพน์ นีดเดิล ออยล์+เบอร์กามอต ออยล์+ยูคาลิปทอล</x:t>
        </x:is>
      </x:c>
      <x:c r="D5" t="inlineStr">
        <x:is>
          <x:t xml:space="preserve">BDS002411</x:t>
        </x:is>
      </x:c>
      <x:c r="E5" t="inlineStr">
        <x:is>
          <x:t xml:space="preserve">ขวด 15 ml.</x:t>
        </x:is>
      </x:c>
      <x:c r="F5" t="n">
        <x:v>163.5</x:v>
      </x:c>
      <x:c r="G5" t="inlineStr">
        <x:is>
          <x:t xml:space="preserve">Sore throat/irritation; symptom relief.</x:t>
        </x:is>
      </x:c>
      <x:c r="H5" t="inlineStr">
        <x:is>
          <x:t xml:space="preserve">Local stinging/numbness; avoid if allergy; do not swallow large amounts.</x:t>
        </x:is>
      </x:c>
    </x:row>
    <x:row r="6">
      <x:c r="A6" t="inlineStr">
        <x:is>
          <x:t xml:space="preserve">Throat spray</x:t>
        </x:is>
      </x:c>
      <x:c r="B6" t="inlineStr">
        <x:is>
          <x:t xml:space="preserve">Difflam Forte Spray</x:t>
        </x:is>
      </x:c>
      <x:c r="C6" t="inlineStr">
        <x:is>
          <x:t xml:space="preserve">Benzydamine Hydrochloride 3 mg.+Ethanol+Saccharin Sodium+Methyl Hydroxybenzoate+Glycerol+PEG-40 Hydrogenated castor oil/ml.</x:t>
        </x:is>
      </x:c>
      <x:c r="D6" t="inlineStr">
        <x:is>
          <x:t xml:space="preserve">BDS006462</x:t>
        </x:is>
      </x:c>
      <x:c r="E6" t="inlineStr">
        <x:is>
          <x:t xml:space="preserve">ขวด 15 ml.</x:t>
        </x:is>
      </x:c>
      <x:c r="F6" t="n">
        <x:v>529</x:v>
      </x:c>
      <x:c r="G6" t="inlineStr">
        <x:is>
          <x:t xml:space="preserve">Sore throat/irritation; symptom relief.</x:t>
        </x:is>
      </x:c>
      <x:c r="H6" t="inlineStr">
        <x:is>
          <x:t xml:space="preserve">Local stinging/numbness; avoid if allergy; do not swallow large amounts.</x:t>
        </x:is>
      </x:c>
    </x:row>
    <x:row r="7">
      <x:c r="A7" t="inlineStr">
        <x:is>
          <x:t xml:space="preserve">Throat spray</x:t>
        </x:is>
      </x:c>
      <x:c r="B7" t="inlineStr">
        <x:is>
          <x:t xml:space="preserve">Betadine Throat Spray 12 ml</x:t>
        </x:is>
      </x:c>
      <x:c r="C7" t="inlineStr">
        <x:is>
          <x:t xml:space="preserve">Povidone-Iodine 4.5 mg./1 ml.</x:t>
        </x:is>
      </x:c>
      <x:c r="D7" t="inlineStr">
        <x:is>
          <x:t xml:space="preserve">BDS040610</x:t>
        </x:is>
      </x:c>
      <x:c r="E7" t="inlineStr">
        <x:is>
          <x:t xml:space="preserve">ขวด 12 ml.</x:t>
        </x:is>
      </x:c>
      <x:c r="G7" t="inlineStr">
        <x:is>
          <x:t xml:space="preserve">Sore throat/irritation; symptom relief.</x:t>
        </x:is>
      </x:c>
      <x:c r="H7" t="inlineStr">
        <x:is>
          <x:t xml:space="preserve">Local stinging/numbness; avoid if allergy; do not swallow large amounts.</x:t>
        </x:is>
      </x:c>
    </x:row>
    <x:row r="8">
      <x:c r="A8" t="inlineStr">
        <x:is>
          <x:t xml:space="preserve">Gargle</x:t>
        </x:is>
      </x:c>
      <x:c r="B8" t="inlineStr">
        <x:is>
          <x:t xml:space="preserve">Betadine Gargle</x:t>
        </x:is>
      </x:c>
      <x:c r="C8" t="inlineStr">
        <x:is>
          <x:t xml:space="preserve">Povidone-Iodine 70 mg./1 ml.</x:t>
        </x:is>
      </x:c>
      <x:c r="D8" t="inlineStr">
        <x:is>
          <x:t xml:space="preserve">BDS040609</x:t>
        </x:is>
      </x:c>
      <x:c r="E8" t="inlineStr">
        <x:is>
          <x:t xml:space="preserve">ขวด 30 ml.</x:t>
        </x:is>
      </x:c>
      <x:c r="G8" t="inlineStr">
        <x:is>
          <x:t xml:space="preserve">Sore throat/tonsillitis adjunct; antiseptic gargle/spit.</x:t>
        </x:is>
      </x:c>
      <x:c r="H8" t="inlineStr">
        <x:is>
          <x:t xml:space="preserve">Iodine caution: thyroid dz/iodine allergy/pregnancy; spit out.</x:t>
        </x:is>
      </x:c>
    </x:row>
    <x:row r="9">
      <x:c r="A9" t="inlineStr">
        <x:is>
          <x:t xml:space="preserve">Lozenge</x:t>
        </x:is>
      </x:c>
      <x:c r="B9" t="inlineStr">
        <x:is>
          <x:t xml:space="preserve">Difflam รสน้ำผึ้งมะนาวผสมโพรโพลิส</x:t>
        </x:is>
      </x:c>
      <x:c r="C9" t="inlineStr">
        <x:is>
          <x:t xml:space="preserve">2,4-Dichlorobenzyl alcohol 1.2 mg.+Amylmetacresol 0.6 mg.</x:t>
        </x:is>
      </x:c>
      <x:c r="D9" t="inlineStr">
        <x:is>
          <x:t xml:space="preserve">BDS042357</x:t>
        </x:is>
      </x:c>
      <x:c r="E9" t="inlineStr">
        <x:is>
          <x:t xml:space="preserve">ซอง 8 เม็ด</x:t>
        </x:is>
      </x:c>
      <x:c r="G9" t="inlineStr">
        <x:is>
          <x:t xml:space="preserve">Sore throat/irritation; PRN.</x:t>
        </x:is>
      </x:c>
      <x:c r="H9" t="inlineStr">
        <x:is>
          <x:t xml:space="preserve">Sugar content; choking risk in small children.</x:t>
        </x:is>
      </x:c>
    </x:row>
    <x:row r="10">
      <x:c r="A10" t="inlineStr">
        <x:is>
          <x:t xml:space="preserve">Lozenge</x:t>
        </x:is>
      </x:c>
      <x:c r="B10" t="inlineStr">
        <x:is>
          <x:t xml:space="preserve">Strepsils Honey &amp; Lemon HHR ซอง 8s</x:t>
        </x:is>
      </x:c>
      <x:c r="C10" t="inlineStr">
        <x:is>
          <x:t xml:space="preserve">2,4-Dichlorobenzyl Alcohol 1.2 mg.+Amylmetacresol 0.6 mg.</x:t>
        </x:is>
      </x:c>
      <x:c r="D10" t="inlineStr">
        <x:is>
          <x:t xml:space="preserve">BDS003590</x:t>
        </x:is>
      </x:c>
      <x:c r="E10" t="inlineStr">
        <x:is>
          <x:t xml:space="preserve">ซอง 8 เม็ด</x:t>
        </x:is>
      </x:c>
      <x:c r="F10" t="n">
        <x:v>120</x:v>
      </x:c>
      <x:c r="G10" t="inlineStr">
        <x:is>
          <x:t xml:space="preserve">Sore throat/irritation; PRN.</x:t>
        </x:is>
      </x:c>
      <x:c r="H10" t="inlineStr">
        <x:is>
          <x:t xml:space="preserve">Sugar content; choking risk in small children.</x:t>
        </x:is>
      </x:c>
    </x:row>
    <x:row r="11">
      <x:c r="A11" t="inlineStr">
        <x:is>
          <x:t xml:space="preserve">Lozenge</x:t>
        </x:is>
      </x:c>
      <x:c r="B11" t="inlineStr">
        <x:is>
          <x:t xml:space="preserve">Mybacin OTC Mint</x:t>
        </x:is>
      </x:c>
      <x:c r="C11" t="inlineStr">
        <x:is>
          <x:t xml:space="preserve">2,4-ไดคลอโรเบนซิล แอลกอฮอล์ 1.2 มก.+เอมิลเมเทครีซอล 0.6 มก.</x:t>
        </x:is>
      </x:c>
      <x:c r="D11" t="inlineStr">
        <x:is>
          <x:t xml:space="preserve">BDS044922</x:t>
        </x:is>
      </x:c>
      <x:c r="E11" t="inlineStr">
        <x:is>
          <x:t xml:space="preserve">ซอง 8 เม็ด</x:t>
        </x:is>
      </x:c>
      <x:c r="G11" t="inlineStr">
        <x:is>
          <x:t xml:space="preserve">Sore throat/irritation; PRN.</x:t>
        </x:is>
      </x:c>
      <x:c r="H11" t="inlineStr">
        <x:is>
          <x:t xml:space="preserve">Sugar content; choking risk in small children.</x:t>
        </x:is>
      </x:c>
    </x:row>
    <x:row r="12">
      <x:c r="A12" t="inlineStr">
        <x:is>
          <x:t xml:space="preserve">Cough/Mucolytic</x:t>
        </x:is>
      </x:c>
      <x:c r="B12" t="inlineStr">
        <x:is>
          <x:t xml:space="preserve">Nac Long</x:t>
        </x:is>
      </x:c>
      <x:c r="C12" t="inlineStr">
        <x:is>
          <x:t xml:space="preserve">Acetylcysteine 600 mg.</x:t>
        </x:is>
      </x:c>
      <x:c r="D12" t="inlineStr">
        <x:is>
          <x:t xml:space="preserve">BDS002901</x:t>
        </x:is>
      </x:c>
      <x:c r="E12" t="inlineStr">
        <x:is>
          <x:t xml:space="preserve">หลอด 10 เม็ด</x:t>
        </x:is>
      </x:c>
      <x:c r="F12" t="n">
        <x:v>270</x:v>
      </x:c>
      <x:c r="G12" t="inlineStr">
        <x:is>
          <x:t xml:space="preserve">Productive cough/sputum; help expectoration.</x:t>
        </x:is>
      </x:c>
      <x:c r="H12" t="inlineStr">
        <x:is>
          <x:t xml:space="preserve">GI upset; avoid unnecessary in very young; encourage hydration.</x:t>
        </x:is>
      </x:c>
    </x:row>
    <x:row r="13">
      <x:c r="A13" t="inlineStr">
        <x:is>
          <x:t xml:space="preserve">Cough/Mucolytic</x:t>
        </x:is>
      </x:c>
      <x:c r="B13" t="inlineStr">
        <x:is>
          <x:t xml:space="preserve">Bisolvon</x:t>
        </x:is>
      </x:c>
      <x:c r="C13" t="inlineStr">
        <x:is>
          <x:t xml:space="preserve">Bromhexine HCl 8 mg.</x:t>
        </x:is>
      </x:c>
      <x:c r="D13" t="inlineStr">
        <x:is>
          <x:t xml:space="preserve">BDS001255</x:t>
        </x:is>
      </x:c>
      <x:c r="E13" t="inlineStr">
        <x:is>
          <x:t xml:space="preserve">แผง 10 เม็ด</x:t>
        </x:is>
      </x:c>
      <x:c r="G13" t="inlineStr">
        <x:is>
          <x:t xml:space="preserve">Productive cough/sputum; help expectoration.</x:t>
        </x:is>
      </x:c>
      <x:c r="H13" t="inlineStr">
        <x:is>
          <x:t xml:space="preserve">GI upset; avoid unnecessary in very young; encourage hydration.</x:t>
        </x:is>
      </x:c>
    </x:row>
    <x:row r="14">
      <x:c r="A14" t="inlineStr">
        <x:is>
          <x:t xml:space="preserve">Cough/Mucolytic</x:t>
        </x:is>
      </x:c>
      <x:c r="B14" t="inlineStr">
        <x:is>
          <x:t xml:space="preserve">Mucolid</x:t>
        </x:is>
      </x:c>
      <x:c r="C14" t="inlineStr">
        <x:is>
          <x:t xml:space="preserve">Ambroxol HCl 30 mg.</x:t>
        </x:is>
      </x:c>
      <x:c r="D14" t="inlineStr">
        <x:is>
          <x:t xml:space="preserve">BDS002655</x:t>
        </x:is>
      </x:c>
      <x:c r="E14" t="inlineStr">
        <x:is>
          <x:t xml:space="preserve">แผง 10 เม็ด</x:t>
        </x:is>
      </x:c>
      <x:c r="F14" t="n">
        <x:v>90</x:v>
      </x:c>
      <x:c r="G14" t="inlineStr">
        <x:is>
          <x:t xml:space="preserve">Productive cough/sputum; help expectoration.</x:t>
        </x:is>
      </x:c>
      <x:c r="H14" t="inlineStr">
        <x:is>
          <x:t xml:space="preserve">GI upset; avoid unnecessary in very young; encourage hydration.</x:t>
        </x:is>
      </x:c>
    </x:row>
    <x:row r="15">
      <x:c r="A15" t="inlineStr">
        <x:is>
          <x:t xml:space="preserve">Cough antitussive (limit 2 packs)</x:t>
        </x:is>
      </x:c>
      <x:c r="B15" t="inlineStr">
        <x:is>
          <x:t xml:space="preserve">Icolid (ควบคุมจำนวน)</x:t>
        </x:is>
      </x:c>
      <x:c r="C15" t="inlineStr">
        <x:is>
          <x:t xml:space="preserve">Dextromethorphan HBr 15 mg.</x:t>
        </x:is>
      </x:c>
      <x:c r="D15" t="inlineStr">
        <x:is>
          <x:t xml:space="preserve">BDS002211</x:t>
        </x:is>
      </x:c>
      <x:c r="E15" t="inlineStr">
        <x:is>
          <x:t xml:space="preserve">แผง 10 เม็ด</x:t>
        </x:is>
      </x:c>
      <x:c r="F15" t="n">
        <x:v>50</x:v>
      </x:c>
      <x:c r="G15" t="inlineStr">
        <x:is>
          <x:t xml:space="preserve">Dry cough / cough disturbing sleep; limit qty.</x:t>
        </x:is>
      </x:c>
      <x:c r="H15" t="inlineStr">
        <x:is>
          <x:t xml:space="preserve">Drowsy/dizzy; avoid with serotonergic meds; don't suppress heavy sputum.</x:t>
        </x:is>
      </x:c>
      <x:c r="I15" t="inlineStr">
        <x:is>
          <x:t xml:space="preserve">Limit order ≤2 แผง per your rule.</x:t>
        </x:is>
      </x:c>
    </x:row>
    <x:row r="16">
      <x:c r="A16" t="inlineStr">
        <x:is>
          <x:t xml:space="preserve">Cough combo (limit 2 packs)</x:t>
        </x:is>
      </x:c>
      <x:c r="B16" t="inlineStr">
        <x:is>
          <x:t xml:space="preserve">Fartussin (ควบคุมจำนวน)</x:t>
        </x:is>
      </x:c>
      <x:c r="C16" t="inlineStr">
        <x:is>
          <x:t xml:space="preserve">Dextromethorphan HBr 15 mg.+Glyceryl Guaiacolate 100 mg.+Terpin Hydrate 130 mg.</x:t>
        </x:is>
      </x:c>
      <x:c r="D16" t="inlineStr">
        <x:is>
          <x:t xml:space="preserve">BDS007973</x:t>
        </x:is>
      </x:c>
      <x:c r="E16" t="inlineStr">
        <x:is>
          <x:t xml:space="preserve">แผง 10 เม็ด</x:t>
        </x:is>
      </x:c>
      <x:c r="G16" t="inlineStr">
        <x:is>
          <x:t xml:space="preserve">Cough ± mucus; limit qty.</x:t>
        </x:is>
      </x:c>
      <x:c r="H16" t="inlineStr">
        <x:is>
          <x:t xml:space="preserve">As above + GI upset.</x:t>
        </x:is>
      </x:c>
      <x:c r="I16" t="inlineStr">
        <x:is>
          <x:t xml:space="preserve">Limit order ≤2 แผง per your rule.</x:t>
        </x:is>
      </x:c>
    </x:row>
    <x:row r="17">
      <x:c r="A17" t="inlineStr">
        <x:is>
          <x:t xml:space="preserve">Allergy/rhinitis</x:t>
        </x:is>
      </x:c>
      <x:c r="B17" t="inlineStr">
        <x:is>
          <x:t xml:space="preserve">Zyrtec</x:t>
        </x:is>
      </x:c>
      <x:c r="C17" t="inlineStr">
        <x:is>
          <x:t xml:space="preserve">Cetirizine dihydrochloride 10 mg.</x:t>
        </x:is>
      </x:c>
      <x:c r="D17" t="inlineStr">
        <x:is>
          <x:t xml:space="preserve">BDS004213</x:t>
        </x:is>
      </x:c>
      <x:c r="E17" t="inlineStr">
        <x:is>
          <x:t xml:space="preserve">กล่อง 10 เม็ด</x:t>
        </x:is>
      </x:c>
      <x:c r="F17" t="n">
        <x:v>216</x:v>
      </x:c>
      <x:c r="G17" t="inlineStr">
        <x:is>
          <x:t xml:space="preserve">Runny nose/sneezing/allergy; avoid sedating if daytime.</x:t>
        </x:is>
      </x:c>
      <x:c r="H17" t="inlineStr">
        <x:is>
          <x:t xml:space="preserve">Some cause drowsiness/dry mouth; separate fexofenadine/bilastine from fruit juice/antacids as appropriate.</x:t>
        </x:is>
      </x:c>
    </x:row>
    <x:row r="18">
      <x:c r="A18" t="inlineStr">
        <x:is>
          <x:t xml:space="preserve">Allergy/rhinitis</x:t>
        </x:is>
      </x:c>
      <x:c r="B18" t="inlineStr">
        <x:is>
          <x:t xml:space="preserve">Telfast 180 mg</x:t>
        </x:is>
      </x:c>
      <x:c r="C18" t="inlineStr">
        <x:is>
          <x:t xml:space="preserve">Fexofenadine HCl 180 mg.</x:t>
        </x:is>
      </x:c>
      <x:c r="D18" t="inlineStr">
        <x:is>
          <x:t xml:space="preserve">BDS003747</x:t>
        </x:is>
      </x:c>
      <x:c r="E18" t="inlineStr">
        <x:is>
          <x:t xml:space="preserve">กล่อง 10 เม็ด</x:t>
        </x:is>
      </x:c>
      <x:c r="F18" t="n">
        <x:v>500</x:v>
      </x:c>
      <x:c r="G18" t="inlineStr">
        <x:is>
          <x:t xml:space="preserve">Runny nose/sneezing/allergy; avoid sedating if daytime.</x:t>
        </x:is>
      </x:c>
      <x:c r="H18" t="inlineStr">
        <x:is>
          <x:t xml:space="preserve">Some cause drowsiness/dry mouth; separate fexofenadine/bilastine from fruit juice/antacids as appropriate.</x:t>
        </x:is>
      </x:c>
    </x:row>
    <x:row r="19">
      <x:c r="A19" t="inlineStr">
        <x:is>
          <x:t xml:space="preserve">Allergy/rhinitis</x:t>
        </x:is>
      </x:c>
      <x:c r="B19" t="inlineStr">
        <x:is>
          <x:t xml:space="preserve">Bilaxten</x:t>
        </x:is>
      </x:c>
      <x:c r="C19" t="inlineStr">
        <x:is>
          <x:t xml:space="preserve">Bilastine 20 mg.</x:t>
        </x:is>
      </x:c>
      <x:c r="D19" t="inlineStr">
        <x:is>
          <x:t xml:space="preserve">BDS040630</x:t>
        </x:is>
      </x:c>
      <x:c r="E19" t="inlineStr">
        <x:is>
          <x:t xml:space="preserve">กล่อง 10 เม็ด</x:t>
        </x:is>
      </x:c>
      <x:c r="G19" t="inlineStr">
        <x:is>
          <x:t xml:space="preserve">Runny nose/sneezing/allergy; avoid sedating if daytime.</x:t>
        </x:is>
      </x:c>
      <x:c r="H19" t="inlineStr">
        <x:is>
          <x:t xml:space="preserve">Some cause drowsiness/dry mouth; separate fexofenadine/bilastine from fruit juice/antacids as appropriate.</x:t>
        </x:is>
      </x:c>
    </x:row>
    <x:row r="20">
      <x:c r="A20" t="inlineStr">
        <x:is>
          <x:t xml:space="preserve">Allergy/rhinitis</x:t>
        </x:is>
      </x:c>
      <x:c r="B20" t="inlineStr">
        <x:is>
          <x:t xml:space="preserve">Aerius tabslet</x:t>
        </x:is>
      </x:c>
      <x:c r="C20" t="inlineStr">
        <x:is>
          <x:t xml:space="preserve">Desloratadine 5 mg.</x:t>
        </x:is>
      </x:c>
      <x:c r="D20" t="inlineStr">
        <x:is>
          <x:t xml:space="preserve">BDS001010</x:t>
        </x:is>
      </x:c>
      <x:c r="E20" t="inlineStr">
        <x:is>
          <x:t xml:space="preserve">กล่อง 10 เม็ด</x:t>
        </x:is>
      </x:c>
      <x:c r="F20" t="n">
        <x:v>620</x:v>
      </x:c>
      <x:c r="G20" t="inlineStr">
        <x:is>
          <x:t xml:space="preserve">Runny nose/sneezing/allergy; avoid sedating if daytime.</x:t>
        </x:is>
      </x:c>
      <x:c r="H20" t="inlineStr">
        <x:is>
          <x:t xml:space="preserve">Some cause drowsiness/dry mouth; separate fexofenadine/bilastine from fruit juice/antacids as appropriate.</x:t>
        </x:is>
      </x:c>
    </x:row>
    <x:row r="21">
      <x:c r="A21" t="inlineStr">
        <x:is>
          <x:t xml:space="preserve">Allergy/rhinitis</x:t>
        </x:is>
      </x:c>
      <x:c r="B21" t="inlineStr">
        <x:is>
          <x:t xml:space="preserve">Alerest</x:t>
        </x:is>
      </x:c>
      <x:c r="C21" t="inlineStr">
        <x:is>
          <x:t xml:space="preserve">Cetirizine dihydrochloride 10 mg.</x:t>
        </x:is>
      </x:c>
      <x:c r="D21" t="inlineStr">
        <x:is>
          <x:t xml:space="preserve">BDS040029</x:t>
        </x:is>
      </x:c>
      <x:c r="E21" t="inlineStr">
        <x:is>
          <x:t xml:space="preserve">แผง 10 เม็ด</x:t>
        </x:is>
      </x:c>
      <x:c r="G21" t="inlineStr">
        <x:is>
          <x:t xml:space="preserve">Runny nose/sneezing/allergy; avoid sedating if daytime.</x:t>
        </x:is>
      </x:c>
      <x:c r="H21" t="inlineStr">
        <x:is>
          <x:t xml:space="preserve">Some cause drowsiness/dry mouth; separate fexofenadine/bilastine from fruit juice/antacids as appropriate.</x:t>
        </x:is>
      </x:c>
    </x:row>
    <x:row r="22">
      <x:c r="A22" t="inlineStr">
        <x:is>
          <x:t xml:space="preserve">Allergy/rhinitis</x:t>
        </x:is>
      </x:c>
      <x:c r="B22" t="inlineStr">
        <x:is>
          <x:t xml:space="preserve">Nasotapp</x:t>
        </x:is>
      </x:c>
      <x:c r="C22" t="inlineStr">
        <x:is>
          <x:t xml:space="preserve">Brompheniramine Maleate 4 mg.+Phenylephrine HCl 10 mg.</x:t>
        </x:is>
      </x:c>
      <x:c r="D22" t="inlineStr">
        <x:is>
          <x:t xml:space="preserve">BDS045630</x:t>
        </x:is>
      </x:c>
      <x:c r="E22" t="inlineStr">
        <x:is>
          <x:t xml:space="preserve">แผง 10 เม็ด</x:t>
        </x:is>
      </x:c>
      <x:c r="F22" t="n">
        <x:v>116</x:v>
      </x:c>
      <x:c r="G22" t="inlineStr">
        <x:is>
          <x:t xml:space="preserve">Runny nose/sneezing/allergy; avoid sedating if daytime.</x:t>
        </x:is>
      </x:c>
      <x:c r="H22" t="inlineStr">
        <x:is>
          <x:t xml:space="preserve">Some cause drowsiness/dry mouth; separate fexofenadine/bilastine from fruit juice/antacids as appropriate.</x:t>
        </x:is>
      </x:c>
    </x:row>
    <x:row r="23">
      <x:c r="A23" t="inlineStr">
        <x:is>
          <x:t xml:space="preserve">Allergy/rhinitis</x:t>
        </x:is>
      </x:c>
      <x:c r="B23" t="inlineStr">
        <x:is>
          <x:t xml:space="preserve">Sulidine CP</x:t>
        </x:is>
      </x:c>
      <x:c r="C23" t="inlineStr">
        <x:is>
          <x:t xml:space="preserve">Chlorpheniramine maleate 4.0 mg.+Phenylephrine hydrochloride 10.0 mg.</x:t>
        </x:is>
      </x:c>
      <x:c r="D23" t="inlineStr">
        <x:is>
          <x:t xml:space="preserve">BDS003562</x:t>
        </x:is>
      </x:c>
      <x:c r="E23" t="inlineStr">
        <x:is>
          <x:t xml:space="preserve">แผง 10 เม็ด</x:t>
        </x:is>
      </x:c>
      <x:c r="G23" t="inlineStr">
        <x:is>
          <x:t xml:space="preserve">Runny nose/sneezing/allergy; avoid sedating if daytime.</x:t>
        </x:is>
      </x:c>
      <x:c r="H23" t="inlineStr">
        <x:is>
          <x:t xml:space="preserve">Some cause drowsiness/dry mouth; separate fexofenadine/bilastine from fruit juice/antacids as appropriate.</x:t>
        </x:is>
      </x:c>
    </x:row>
    <x:row r="24">
      <x:c r="A24" t="inlineStr">
        <x:is>
          <x:t xml:space="preserve">Nasal decongestant spray</x:t>
        </x:is>
      </x:c>
      <x:c r="B24" t="inlineStr">
        <x:is>
          <x:t xml:space="preserve">Iliadin Spray</x:t>
        </x:is>
      </x:c>
      <x:c r="C24" t="inlineStr">
        <x:is>
          <x:t xml:space="preserve">Oxymetazoline Hydrochloride 0.05% (0.5 mg./1 ml.)</x:t>
        </x:is>
      </x:c>
      <x:c r="D24" t="inlineStr">
        <x:is>
          <x:t xml:space="preserve">BDS002215</x:t>
        </x:is>
      </x:c>
      <x:c r="E24" t="inlineStr">
        <x:is>
          <x:t xml:space="preserve">ขวด 10 ml.</x:t>
        </x:is>
      </x:c>
      <x:c r="F24" t="n">
        <x:v>262</x:v>
      </x:c>
      <x:c r="G24" t="inlineStr">
        <x:is>
          <x:t xml:space="preserve">Nasal blockage; use ≤3 days (rebound).</x:t>
        </x:is>
      </x:c>
      <x:c r="H24" t="inlineStr">
        <x:is>
          <x:t xml:space="preserve">≤3 days; caution HTN/IHD/hyperthyroid/glaucoma/BPH; rebound congestion.</x:t>
        </x:is>
      </x:c>
    </x:row>
    <x:row r="25">
      <x:c r="A25" t="inlineStr">
        <x:is>
          <x:t xml:space="preserve">Nasal steroid spray</x:t>
        </x:is>
      </x:c>
      <x:c r="B25" t="inlineStr">
        <x:is>
          <x:t xml:space="preserve">Nasonex 60 doses</x:t>
        </x:is>
      </x:c>
      <x:c r="C25" t="inlineStr">
        <x:is>
          <x:t xml:space="preserve">Mometasone Furoate Monohydrate (eq. to Mometasone Furoate 50 mcg/dose)+Preservative (Benzalkonium Chloride 0.2 mg/g)</x:t>
        </x:is>
      </x:c>
      <x:c r="D25" t="inlineStr">
        <x:is>
          <x:t xml:space="preserve">BDS002805</x:t>
        </x:is>
      </x:c>
      <x:c r="E25" t="inlineStr">
        <x:is>
          <x:t xml:space="preserve">ขวด 60 doses</x:t>
        </x:is>
      </x:c>
      <x:c r="G25" t="inlineStr">
        <x:is>
          <x:t xml:space="preserve">Allergic rhinitis/nasal inflammation; daily use; slower onset.</x:t>
        </x:is>
      </x:c>
      <x:c r="H25" t="inlineStr">
        <x:is>
          <x:t xml:space="preserve">Nasal dryness/epistaxis; daily use; onset days.</x:t>
        </x:is>
      </x:c>
    </x:row>
    <x:row r="26">
      <x:c r="A26" t="inlineStr">
        <x:is>
          <x:t xml:space="preserve">Nasal steroid spray</x:t>
        </x:is>
      </x:c>
      <x:c r="B26" t="inlineStr">
        <x:is>
          <x:t xml:space="preserve">Rhinocort Aqua</x:t>
        </x:is>
      </x:c>
      <x:c r="C26" t="inlineStr">
        <x:is>
          <x:t xml:space="preserve">Budesonide 1.28 mg/1 ml (64 mcg/dose)</x:t>
        </x:is>
      </x:c>
      <x:c r="D26" t="inlineStr">
        <x:is>
          <x:t xml:space="preserve">BDS003432</x:t>
        </x:is>
      </x:c>
      <x:c r="E26" t="inlineStr">
        <x:is>
          <x:t xml:space="preserve">ขวด 120 doses</x:t>
        </x:is>
      </x:c>
      <x:c r="G26" t="inlineStr">
        <x:is>
          <x:t xml:space="preserve">Allergic rhinitis/nasal inflammation; daily use; slower onset.</x:t>
        </x:is>
      </x:c>
      <x:c r="H26" t="inlineStr">
        <x:is>
          <x:t xml:space="preserve">Nasal dryness/epistaxis; daily use; onset days.</x:t>
        </x:is>
      </x:c>
    </x:row>
    <x:row r="27">
      <x:c r="A27" t="inlineStr">
        <x:is>
          <x:t xml:space="preserve">Nasal steroid spray</x:t>
        </x:is>
      </x:c>
      <x:c r="B27" t="inlineStr">
        <x:is>
          <x:t xml:space="preserve">Avamys</x:t>
        </x:is>
      </x:c>
      <x:c r="C27" t="inlineStr">
        <x:is>
          <x:t xml:space="preserve">Fluticasone furoate 27.5 mcg/spray+Preservative (Benzalkonium Chloride)+อื่นๆ</x:t>
        </x:is>
      </x:c>
      <x:c r="D27" t="inlineStr">
        <x:is>
          <x:t xml:space="preserve">BDS001009</x:t>
        </x:is>
      </x:c>
      <x:c r="E27" t="inlineStr">
        <x:is>
          <x:t xml:space="preserve">ขวด 120 doses</x:t>
        </x:is>
      </x:c>
      <x:c r="G27" t="inlineStr">
        <x:is>
          <x:t xml:space="preserve">Allergic rhinitis/nasal inflammation; daily use; slower onset.</x:t>
        </x:is>
      </x:c>
      <x:c r="H27" t="inlineStr">
        <x:is>
          <x:t xml:space="preserve">Nasal dryness/epistaxis; daily use; onset days.</x:t>
        </x:is>
      </x:c>
    </x:row>
    <x:row r="28">
      <x:c r="A28" t="inlineStr">
        <x:is>
          <x:t xml:space="preserve">Nasal decongestant spray</x:t>
        </x:is>
      </x:c>
      <x:c r="B28" t="inlineStr">
        <x:is>
          <x:t xml:space="preserve">Otrivin 0.1%</x:t>
        </x:is>
      </x:c>
      <x:c r="C28" t="inlineStr">
        <x:is>
          <x:t xml:space="preserve">Xylometazoline Hydrochloride 0.1% (1 mg./1 ml.)</x:t>
        </x:is>
      </x:c>
      <x:c r="D28" t="inlineStr">
        <x:is>
          <x:t xml:space="preserve">BDS003019</x:t>
        </x:is>
      </x:c>
      <x:c r="E28" t="inlineStr">
        <x:is>
          <x:t xml:space="preserve">ขวด 10 ml.</x:t>
        </x:is>
      </x:c>
      <x:c r="F28" t="n">
        <x:v>244</x:v>
      </x:c>
      <x:c r="G28" t="inlineStr">
        <x:is>
          <x:t xml:space="preserve">Nasal blockage; use ≤3 days (rebound).</x:t>
        </x:is>
      </x:c>
      <x:c r="H28" t="inlineStr">
        <x:is>
          <x:t xml:space="preserve">≤3 days; caution HTN/IHD/hyperthyroid/glaucoma/BPH; rebound congestion.</x:t>
        </x:is>
      </x:c>
    </x:row>
    <x:row r="29">
      <x:c r="A29" t="inlineStr">
        <x:is>
          <x:t xml:space="preserve">Saline</x:t>
        </x:is>
      </x:c>
      <x:c r="B29" t="inlineStr">
        <x:is>
          <x:t xml:space="preserve">Klean &amp; Kare Saline เล็ก</x:t>
        </x:is>
      </x:c>
      <x:c r="C29" t="inlineStr">
        <x:is>
          <x:t xml:space="preserve">Sodium Chloride 0.9 g./100 ml.</x:t>
        </x:is>
      </x:c>
      <x:c r="D29" t="inlineStr">
        <x:is>
          <x:t xml:space="preserve">BDS044320</x:t>
        </x:is>
      </x:c>
      <x:c r="E29" t="inlineStr">
        <x:is>
          <x:t xml:space="preserve">ขวด 100 ml.</x:t>
        </x:is>
      </x:c>
      <x:c r="G29" t="inlineStr">
        <x:is>
          <x:t xml:space="preserve">Nasal irrigation; safe adjunct.</x:t>
        </x:is>
      </x:c>
      <x:c r="H29" t="inlineStr">
        <x:is>
          <x:t xml:space="preserve">Sterile technique; stop if severe ear pain/otitis suspected.</x:t>
        </x:is>
      </x:c>
    </x:row>
    <x:row r="30">
      <x:c r="A30" t="inlineStr">
        <x:is>
          <x:t xml:space="preserve">ATB</x:t>
        </x:is>
      </x:c>
      <x:c r="B30" t="inlineStr">
        <x:is>
          <x:t xml:space="preserve">Ibiamox 500 mg</x:t>
        </x:is>
      </x:c>
      <x:c r="C30" t="inlineStr">
        <x:is>
          <x:t xml:space="preserve">Amoxicillin 500 mg.</x:t>
        </x:is>
      </x:c>
      <x:c r="D30" t="inlineStr">
        <x:is>
          <x:t xml:space="preserve">BDS002201</x:t>
        </x:is>
      </x:c>
      <x:c r="E30" t="inlineStr">
        <x:is>
          <x:t xml:space="preserve">แผง 10 แคปซูล</x:t>
        </x:is>
      </x:c>
      <x:c r="G30" t="inlineStr">
        <x:is>
          <x:t xml:space="preserve">Use only when bacterial indication likely (AOM, sinusitis, etc.).</x:t>
        </x:is>
      </x:c>
      <x:c r="H30" t="inlineStr">
        <x:is>
          <x:t xml:space="preserve">Check allergy; counsel diarrhea; avoid for viral URI.</x:t>
        </x:is>
      </x:c>
    </x:row>
    <x:row r="31">
      <x:c r="A31" t="inlineStr">
        <x:is>
          <x:t xml:space="preserve">ATB</x:t>
        </x:is>
      </x:c>
      <x:c r="B31" t="inlineStr">
        <x:is>
          <x:t xml:space="preserve">Uramox 500</x:t>
        </x:is>
      </x:c>
      <x:c r="C31" t="inlineStr">
        <x:is>
          <x:t xml:space="preserve">Amoxicillin 500 mg.</x:t>
        </x:is>
      </x:c>
      <x:c r="D31" t="inlineStr">
        <x:is>
          <x:t xml:space="preserve">BDS007007</x:t>
        </x:is>
      </x:c>
      <x:c r="E31" t="inlineStr">
        <x:is>
          <x:t xml:space="preserve">แผง 10 แคปซูล</x:t>
        </x:is>
      </x:c>
      <x:c r="G31" t="inlineStr">
        <x:is>
          <x:t xml:space="preserve">Use only when bacterial indication likely (AOM, sinusitis, etc.).</x:t>
        </x:is>
      </x:c>
      <x:c r="H31" t="inlineStr">
        <x:is>
          <x:t xml:space="preserve">Check allergy; counsel diarrhea; avoid for viral URI.</x:t>
        </x:is>
      </x:c>
    </x:row>
    <x:row r="32">
      <x:c r="A32" t="inlineStr">
        <x:is>
          <x:t xml:space="preserve">ATB</x:t>
        </x:is>
      </x:c>
      <x:c r="B32" t="inlineStr">
        <x:is>
          <x:t xml:space="preserve">Augmentin 1 g.</x:t>
        </x:is>
      </x:c>
      <x:c r="C32" t="inlineStr">
        <x:is>
          <x:t xml:space="preserve">Amoxicillin Trihydrate (eq. to Amoxicillin 875 mg.)+Clavulanic Potassium (eq. to Clavulanic Acid 125 mg.)</x:t>
        </x:is>
      </x:c>
      <x:c r="D32" t="inlineStr">
        <x:is>
          <x:t xml:space="preserve">BDS040017</x:t>
        </x:is>
      </x:c>
      <x:c r="E32" t="inlineStr">
        <x:is>
          <x:t xml:space="preserve">กล่อง 10 เม็ด</x:t>
        </x:is>
      </x:c>
      <x:c r="G32" t="inlineStr">
        <x:is>
          <x:t xml:space="preserve">Use only when bacterial indication likely (AOM, sinusitis, etc.).</x:t>
        </x:is>
      </x:c>
      <x:c r="H32" t="inlineStr">
        <x:is>
          <x:t xml:space="preserve">Check allergy; counsel diarrhea; avoid for viral URI.</x:t>
        </x:is>
      </x:c>
    </x:row>
    <x:row r="33">
      <x:c r="A33" t="inlineStr">
        <x:is>
          <x:t xml:space="preserve">ATB</x:t>
        </x:is>
      </x:c>
      <x:c r="B33" t="inlineStr">
        <x:is>
          <x:t xml:space="preserve">AMK 1000 mg</x:t>
        </x:is>
      </x:c>
      <x:c r="C33" t="inlineStr">
        <x:is>
          <x:t xml:space="preserve">Amoxicillin 875 mg.+Clavulanic Acid 125 mg.</x:t>
        </x:is>
      </x:c>
      <x:c r="D33" t="inlineStr">
        <x:is>
          <x:t xml:space="preserve">BDS001103</x:t>
        </x:is>
      </x:c>
      <x:c r="E33" t="inlineStr">
        <x:is>
          <x:t xml:space="preserve">กล่อง 10 เม็ด</x:t>
        </x:is>
      </x:c>
      <x:c r="G33" t="inlineStr">
        <x:is>
          <x:t xml:space="preserve">Use only when bacterial indication likely (AOM, sinusitis, etc.).</x:t>
        </x:is>
      </x:c>
      <x:c r="H33" t="inlineStr">
        <x:is>
          <x:t xml:space="preserve">Check allergy; counsel diarrhea; avoid for viral URI.</x:t>
        </x:is>
      </x:c>
    </x:row>
    <x:row r="34">
      <x:c r="A34" t="inlineStr">
        <x:is>
          <x:t xml:space="preserve">ATB</x:t>
        </x:is>
      </x:c>
      <x:c r="B34" t="inlineStr">
        <x:is>
          <x:t xml:space="preserve">B.Roxi</x:t>
        </x:is>
      </x:c>
      <x:c r="C34" t="inlineStr">
        <x:is>
          <x:t xml:space="preserve">Roxithromycin 150 mg.</x:t>
        </x:is>
      </x:c>
      <x:c r="D34" t="inlineStr">
        <x:is>
          <x:t xml:space="preserve">BDS007066</x:t>
        </x:is>
      </x:c>
      <x:c r="E34" t="inlineStr">
        <x:is>
          <x:t xml:space="preserve">แผง 10 เม็ด</x:t>
        </x:is>
      </x:c>
      <x:c r="G34" t="inlineStr">
        <x:is>
          <x:t xml:space="preserve">Use only when bacterial indication likely (AOM, sinusitis, etc.).</x:t>
        </x:is>
      </x:c>
      <x:c r="H34" t="inlineStr">
        <x:is>
          <x:t xml:space="preserve">Check allergy; counsel diarrhea; avoid for viral URI.</x:t>
        </x:is>
      </x:c>
    </x:row>
    <x:row r="35">
      <x:c r="A35" t="inlineStr">
        <x:is>
          <x:t xml:space="preserve">ATB</x:t>
        </x:is>
      </x:c>
      <x:c r="B35" t="inlineStr">
        <x:is>
          <x:t xml:space="preserve">Noflox-400</x:t>
        </x:is>
      </x:c>
      <x:c r="C35" t="inlineStr">
        <x:is>
          <x:t xml:space="preserve">Norfloxacin 400 mg.</x:t>
        </x:is>
      </x:c>
      <x:c r="D35" t="inlineStr">
        <x:is>
          <x:t xml:space="preserve">BDS007591</x:t>
        </x:is>
      </x:c>
      <x:c r="E35" t="inlineStr">
        <x:is>
          <x:t xml:space="preserve">แผง 10 เม็ด</x:t>
        </x:is>
      </x:c>
      <x:c r="G35" t="inlineStr">
        <x:is>
          <x:t xml:space="preserve">Use only when bacterial indication likely (AOM, sinusitis, etc.).</x:t>
        </x:is>
      </x:c>
      <x:c r="H35" t="inlineStr">
        <x:is>
          <x:t xml:space="preserve">Check allergy; counsel diarrhea; avoid for viral URI.</x:t>
        </x:is>
      </x:c>
    </x:row>
    <x:row r="36">
      <x:c r="A36" t="inlineStr">
        <x:is>
          <x:t xml:space="preserve">Diarrhea</x:t>
        </x:is>
      </x:c>
      <x:c r="B36" t="inlineStr">
        <x:is>
          <x:t xml:space="preserve">Hidrasec 100 mg.</x:t>
        </x:is>
      </x:c>
      <x:c r="C36" t="inlineStr">
        <x:is>
          <x:t xml:space="preserve">Racecadotril 100 mg.</x:t>
        </x:is>
      </x:c>
      <x:c r="D36" t="inlineStr">
        <x:is>
          <x:t xml:space="preserve">BDS043842</x:t>
        </x:is>
      </x:c>
      <x:c r="E36" t="inlineStr">
        <x:is>
          <x:t xml:space="preserve">กล่อง 10 แคปซูล</x:t>
        </x:is>
      </x:c>
      <x:c r="G36" t="inlineStr">
        <x:is>
          <x:t xml:space="preserve">Acute diarrhea symptom control + ORS.</x:t>
        </x:is>
      </x:c>
      <x:c r="H36" t="inlineStr">
        <x:is>
          <x:t xml:space="preserve">Assess dehydration/bloody stool/high fever; avoid antimotility in dysentery.</x:t>
        </x:is>
      </x:c>
      <x:c r="I36" t="inlineStr">
        <x:is>
          <x:t xml:space="preserve">Currently out of stock (per your note).</x:t>
        </x:is>
      </x:c>
    </x:row>
    <x:row r="37">
      <x:c r="A37" t="inlineStr">
        <x:is>
          <x:t xml:space="preserve">Diarrhea</x:t>
        </x:is>
      </x:c>
      <x:c r="B37" t="inlineStr">
        <x:is>
          <x:t xml:space="preserve">Bioflor</x:t>
        </x:is>
      </x:c>
      <x:c r="C37" t="inlineStr">
        <x:is>
          <x:t xml:space="preserve">Lyophilized Saccharomyces boulardii 250 mg.</x:t>
        </x:is>
      </x:c>
      <x:c r="D37" t="inlineStr">
        <x:is>
          <x:t xml:space="preserve">BDS001248</x:t>
        </x:is>
      </x:c>
      <x:c r="E37" t="inlineStr">
        <x:is>
          <x:t xml:space="preserve">ซอง</x:t>
        </x:is>
      </x:c>
      <x:c r="G37" t="inlineStr">
        <x:is>
          <x:t xml:space="preserve">Acute diarrhea symptom control + ORS.</x:t>
        </x:is>
      </x:c>
      <x:c r="H37" t="inlineStr">
        <x:is>
          <x:t xml:space="preserve">Assess dehydration/bloody stool/high fever; avoid antimotility in dysentery.</x:t>
        </x:is>
      </x:c>
    </x:row>
    <x:row r="38">
      <x:c r="A38" t="inlineStr">
        <x:is>
          <x:t xml:space="preserve">Diarrhea</x:t>
        </x:is>
      </x:c>
      <x:c r="B38" t="inlineStr">
        <x:is>
          <x:t xml:space="preserve">Dehecta</x:t>
        </x:is>
      </x:c>
      <x:c r="C38" t="inlineStr">
        <x:is>
          <x:t xml:space="preserve">Dioctahedral Smectite 3 g./20 ml.</x:t>
        </x:is>
      </x:c>
      <x:c r="D38" t="inlineStr">
        <x:is>
          <x:t xml:space="preserve">BDS042304</x:t>
        </x:is>
      </x:c>
      <x:c r="E38" t="inlineStr">
        <x:is>
          <x:t xml:space="preserve">ซอง 20 ml.</x:t>
        </x:is>
      </x:c>
      <x:c r="G38" t="inlineStr">
        <x:is>
          <x:t xml:space="preserve">Acute diarrhea symptom control + ORS.</x:t>
        </x:is>
      </x:c>
      <x:c r="H38" t="inlineStr">
        <x:is>
          <x:t xml:space="preserve">Assess dehydration/bloody stool/high fever; avoid antimotility in dysentery.</x:t>
        </x:is>
      </x:c>
    </x:row>
    <x:row r="39">
      <x:c r="A39" t="inlineStr">
        <x:is>
          <x:t xml:space="preserve">ORS</x:t>
        </x:is>
      </x:c>
      <x:c r="B39" t="inlineStr">
        <x:is>
          <x:t xml:space="preserve">Cera ORS รสส้ม</x:t>
        </x:is>
      </x:c>
      <x:c r="C39" t="inlineStr">
        <x:is>
          <x:t xml:space="preserve">Glucose Anhydrous 3 g.+Sodium Chloride 0.53 g.+Potassium Chloride 0.23 g.+Sodium Citrate Dihydrate 0.44 g.</x:t>
        </x:is>
      </x:c>
      <x:c r="D39" t="inlineStr">
        <x:is>
          <x:t xml:space="preserve">BDS008282</x:t>
        </x:is>
      </x:c>
      <x:c r="E39" t="inlineStr">
        <x:is>
          <x:t xml:space="preserve">กล่อง 5 ซอง</x:t>
        </x:is>
      </x:c>
      <x:c r="G39" t="inlineStr">
        <x:is>
          <x:t xml:space="preserve">Rehydration in diarrhea/vomiting.</x:t>
        </x:is>
      </x:c>
      <x:c r="H39" t="inlineStr">
        <x:is>
          <x:t xml:space="preserve">Mix correctly; small frequent sips.</x:t>
        </x:is>
      </x:c>
    </x:row>
    <x:row r="40">
      <x:c r="A40" t="inlineStr">
        <x:is>
          <x:t xml:space="preserve">Artificial tears</x:t>
        </x:is>
      </x:c>
      <x:c r="B40" t="inlineStr">
        <x:is>
          <x:t xml:space="preserve">Vislube</x:t>
        </x:is>
      </x:c>
      <x:c r="C40" t="inlineStr">
        <x:is>
          <x:t xml:space="preserve">Sodium Hyaluronate 0.18% (Sodium Hyaluronate 1.8 mg.+Sodium Chloride 2.8 mg.+Potassium Chloride 1 mg.+Disodium Hydrogenphosphate 3.2 mg.+Sodium Citrate 0.3 mg.+Magnesium Chloride 0.09 mg.+Calcium Chloride 0.09 mg.)</x:t>
        </x:is>
      </x:c>
      <x:c r="D40" t="inlineStr">
        <x:is>
          <x:t xml:space="preserve">BDS004035</x:t>
        </x:is>
      </x:c>
      <x:c r="E40" t="inlineStr">
        <x:is>
          <x:t xml:space="preserve">กล่อง 20 หลอด</x:t>
        </x:is>
      </x:c>
      <x:c r="G40" t="inlineStr">
        <x:is>
          <x:t xml:space="preserve">Dry eye/irritation.</x:t>
        </x:is>
      </x:c>
      <x:c r="H40" t="inlineStr">
        <x:is>
          <x:t xml:space="preserve">Contact lens precautions; preservative sensitivity.</x:t>
        </x:is>
      </x:c>
    </x:row>
    <x:row r="41">
      <x:c r="A41" t="inlineStr">
        <x:is>
          <x:t xml:space="preserve">Artificial tears</x:t>
        </x:is>
      </x:c>
      <x:c r="B41" t="inlineStr">
        <x:is>
          <x:t xml:space="preserve">Cellufresh</x:t>
        </x:is>
      </x:c>
      <x:c r="C41" t="inlineStr">
        <x:is>
          <x:t xml:space="preserve">Carboxymethylcellulose Sodium (CMC) 0.5%+Calcium Chloride+Magnesium Chloride+Potassium Chloride+Sodium Chloride+Sodium Lactate+Hydrochloric Acid+Sodium Hydroxide</x:t>
        </x:is>
      </x:c>
      <x:c r="D41" t="inlineStr">
        <x:is>
          <x:t xml:space="preserve">BDS001552</x:t>
        </x:is>
      </x:c>
      <x:c r="E41" t="inlineStr">
        <x:is>
          <x:t xml:space="preserve">กล่อง 30 หลอด</x:t>
        </x:is>
      </x:c>
      <x:c r="G41" t="inlineStr">
        <x:is>
          <x:t xml:space="preserve">Dry eye/irritation.</x:t>
        </x:is>
      </x:c>
      <x:c r="H41" t="inlineStr">
        <x:is>
          <x:t xml:space="preserve">Contact lens precautions; preservative sensitivity.</x:t>
        </x:is>
      </x:c>
    </x:row>
    <x:row r="42">
      <x:c r="A42" t="inlineStr">
        <x:is>
          <x:t xml:space="preserve">Artificial tears</x:t>
        </x:is>
      </x:c>
      <x:c r="B42" t="inlineStr">
        <x:is>
          <x:t xml:space="preserve">Systane Ultra Lubricant Eye Drops</x:t>
        </x:is>
      </x:c>
      <x:c r="C42" t="inlineStr">
        <x:is>
          <x:t xml:space="preserve">Polyethylene Glycol 400 0.4%+Propylene Glycol 0.3%+Aminomethylpropanol+//Boric Acid+Hydroxypropyl guar+Potassium Chloride+Sodium Chloride+Sorbitol+Hydrochloric Acid+Sodium Hydroxide+Preservative (Polyquaternium-1 0.001%)</x:t>
        </x:is>
      </x:c>
      <x:c r="D42" t="inlineStr">
        <x:is>
          <x:t xml:space="preserve">BDS003679</x:t>
        </x:is>
      </x:c>
      <x:c r="E42" t="inlineStr">
        <x:is>
          <x:t xml:space="preserve">ขวด 10 ml.</x:t>
        </x:is>
      </x:c>
      <x:c r="G42" t="inlineStr">
        <x:is>
          <x:t xml:space="preserve">Dry eye/irritation.</x:t>
        </x:is>
      </x:c>
      <x:c r="H42" t="inlineStr">
        <x:is>
          <x:t xml:space="preserve">Contact lens precautions; preservative sensitivity.</x:t>
        </x:is>
      </x:c>
    </x:row>
    <x:row r="43">
      <x:c r="A43" t="inlineStr">
        <x:is>
          <x:t xml:space="preserve">Eye wash</x:t>
        </x:is>
      </x:c>
      <x:c r="B43" t="inlineStr">
        <x:is>
          <x:t xml:space="preserve">Op-Ize Eye Wash</x:t>
        </x:is>
      </x:c>
      <x:c r="C43" t="inlineStr">
        <x:is>
          <x:t xml:space="preserve">Boric Acid 2.0 g.+Sodium Borate 0.5 g.+Zinc Sulphate 0.004 g./100 ml.</x:t>
        </x:is>
      </x:c>
      <x:c r="D43" t="inlineStr">
        <x:is>
          <x:t xml:space="preserve">BDS046208</x:t>
        </x:is>
      </x:c>
      <x:c r="E43" t="inlineStr">
        <x:is>
          <x:t xml:space="preserve">ขวด 110 ml.</x:t>
        </x:is>
      </x:c>
      <x:c r="G43" t="inlineStr">
        <x:is>
          <x:t xml:space="preserve">Eye irrigation for irritant/dust; not for chemical burn (urgent).</x:t>
        </x:is>
      </x:c>
      <x:c r="H43" t="inlineStr">
        <x:is>
          <x:t xml:space="preserve">Chemical exposure → irrigate and urgent ER; pain/vision loss → urgent.</x:t>
        </x:is>
      </x:c>
    </x:row>
    <x:row r="44">
      <x:c r="A44" t="inlineStr">
        <x:is>
          <x:t xml:space="preserve">Eye wash</x:t>
        </x:is>
      </x:c>
      <x:c r="B44" t="inlineStr">
        <x:is>
          <x:t xml:space="preserve">Opsar กลาง</x:t>
        </x:is>
      </x:c>
      <x:c r="C44" t="inlineStr">
        <x:is>
          <x:t xml:space="preserve">Sodium Borate 0.02 g.+Boric Acid 1.24 g.+Sodium Chloride+ 0.29 g.+Benzalkonium Chloride 2 mg./100 ml.</x:t>
        </x:is>
      </x:c>
      <x:c r="D44" t="inlineStr">
        <x:is>
          <x:t xml:space="preserve">BDS003009</x:t>
        </x:is>
      </x:c>
      <x:c r="E44" t="inlineStr">
        <x:is>
          <x:t xml:space="preserve">ขวด 120 ml.</x:t>
        </x:is>
      </x:c>
      <x:c r="G44" t="inlineStr">
        <x:is>
          <x:t xml:space="preserve">Eye irrigation for irritant/dust; not for chemical burn (urgent).</x:t>
        </x:is>
      </x:c>
      <x:c r="H44" t="inlineStr">
        <x:is>
          <x:t xml:space="preserve">Chemical exposure → irrigate and urgent ER; pain/vision loss → urgent.</x:t>
        </x:is>
      </x:c>
    </x:row>
    <x:row r="45">
      <x:c r="A45" t="inlineStr">
        <x:is>
          <x:t xml:space="preserve">NSAID</x:t>
        </x:is>
      </x:c>
      <x:c r="B45" t="inlineStr">
        <x:is>
          <x:t xml:space="preserve">Gofen 400</x:t>
        </x:is>
      </x:c>
      <x:c r="C45" t="inlineStr">
        <x:is>
          <x:t xml:space="preserve">Ibuprofen 400 mg.+Polyethylene 400+Porpylene Glycol</x:t>
        </x:is>
      </x:c>
      <x:c r="D45" t="inlineStr">
        <x:is>
          <x:t xml:space="preserve">BDS002042</x:t>
        </x:is>
      </x:c>
      <x:c r="E45" t="inlineStr">
        <x:is>
          <x:t xml:space="preserve">กล่อง 10 แคปซูล</x:t>
        </x:is>
      </x:c>
      <x:c r="F45" t="n">
        <x:v>177</x:v>
      </x:c>
      <x:c r="G45" t="inlineStr">
        <x:is>
          <x:t xml:space="preserve">Inflammatory pain; choose based on GI/CV/renal risk.</x:t>
        </x:is>
      </x:c>
      <x:c r="H45" t="inlineStr">
        <x:is>
          <x:t xml:space="preserve">Avoid PUD/GI bleed, CKD, anticoag, uncontrolled HTN; pregnancy 3rd tri; COX-2 CV risk.</x:t>
        </x:is>
      </x:c>
    </x:row>
    <x:row r="46">
      <x:c r="A46" t="inlineStr">
        <x:is>
          <x:t xml:space="preserve">NSAID</x:t>
        </x:is>
      </x:c>
      <x:c r="B46" t="inlineStr">
        <x:is>
          <x:t xml:space="preserve">Arcoxia 60 mg</x:t>
        </x:is>
      </x:c>
      <x:c r="C46" t="inlineStr">
        <x:is>
          <x:t xml:space="preserve">Etoricoxib 60 mg.</x:t>
        </x:is>
      </x:c>
      <x:c r="D46" t="inlineStr">
        <x:is>
          <x:t xml:space="preserve">BDS001078</x:t>
        </x:is>
      </x:c>
      <x:c r="E46" t="inlineStr">
        <x:is>
          <x:t xml:space="preserve">แผง 5 เม็ด</x:t>
        </x:is>
      </x:c>
      <x:c r="G46" t="inlineStr">
        <x:is>
          <x:t xml:space="preserve">Inflammatory pain; choose based on GI/CV/renal risk.</x:t>
        </x:is>
      </x:c>
      <x:c r="H46" t="inlineStr">
        <x:is>
          <x:t xml:space="preserve">Avoid PUD/GI bleed, CKD, anticoag, uncontrolled HTN; pregnancy 3rd tri; COX-2 CV risk.</x:t>
        </x:is>
      </x:c>
    </x:row>
    <x:row r="47">
      <x:c r="A47" t="inlineStr">
        <x:is>
          <x:t xml:space="preserve">NSAID</x:t>
        </x:is>
      </x:c>
      <x:c r="B47" t="inlineStr">
        <x:is>
          <x:t xml:space="preserve">Synflex</x:t>
        </x:is>
      </x:c>
      <x:c r="C47" t="inlineStr">
        <x:is>
          <x:t xml:space="preserve">Naproxen sodium 275 mg.</x:t>
        </x:is>
      </x:c>
      <x:c r="D47" t="inlineStr">
        <x:is>
          <x:t xml:space="preserve">BDS003568</x:t>
        </x:is>
      </x:c>
      <x:c r="E47" t="inlineStr">
        <x:is>
          <x:t xml:space="preserve">แผง 6 เม็ด</x:t>
        </x:is>
      </x:c>
      <x:c r="G47" t="inlineStr">
        <x:is>
          <x:t xml:space="preserve">Inflammatory pain; choose based on GI/CV/renal risk.</x:t>
        </x:is>
      </x:c>
      <x:c r="H47" t="inlineStr">
        <x:is>
          <x:t xml:space="preserve">Avoid PUD/GI bleed, CKD, anticoag, uncontrolled HTN; pregnancy 3rd tri; COX-2 CV risk.</x:t>
        </x:is>
      </x:c>
    </x:row>
    <x:row r="48">
      <x:c r="A48" t="inlineStr">
        <x:is>
          <x:t xml:space="preserve">NSAID</x:t>
        </x:is>
      </x:c>
      <x:c r="B48" t="inlineStr">
        <x:is>
          <x:t xml:space="preserve">Celebrex 200 mg</x:t>
        </x:is>
      </x:c>
      <x:c r="C48" t="inlineStr">
        <x:is>
          <x:t xml:space="preserve">Celecoxib 200 mg.</x:t>
        </x:is>
      </x:c>
      <x:c r="D48" t="inlineStr">
        <x:is>
          <x:t xml:space="preserve">BDS001509</x:t>
        </x:is>
      </x:c>
      <x:c r="E48" t="inlineStr">
        <x:is>
          <x:t xml:space="preserve">กล่อง 10 แคปซูล</x:t>
        </x:is>
      </x:c>
      <x:c r="G48" t="inlineStr">
        <x:is>
          <x:t xml:space="preserve">Inflammatory pain; choose based on GI/CV/renal risk.</x:t>
        </x:is>
      </x:c>
      <x:c r="H48" t="inlineStr">
        <x:is>
          <x:t xml:space="preserve">Avoid PUD/GI bleed, CKD, anticoag, uncontrolled HTN; pregnancy 3rd tri; COX-2 CV risk.</x:t>
        </x:is>
      </x:c>
    </x:row>
    <x:row r="49">
      <x:c r="A49" t="inlineStr">
        <x:is>
          <x:t xml:space="preserve">Pain spray/topical</x:t>
        </x:is>
      </x:c>
      <x:c r="B49" t="inlineStr">
        <x:is>
          <x:t xml:space="preserve">Uniren Spray</x:t>
        </x:is>
      </x:c>
      <x:c r="C49" t="inlineStr">
        <x:is>
          <x:t xml:space="preserve">Diclofenac Sodium 1 % w/w</x:t>
        </x:is>
      </x:c>
      <x:c r="D49" t="inlineStr">
        <x:is>
          <x:t xml:space="preserve">BDS003914</x:t>
        </x:is>
      </x:c>
      <x:c r="E49" t="inlineStr">
        <x:is>
          <x:t xml:space="preserve">ขวด 60 ml.</x:t>
        </x:is>
      </x:c>
      <x:c r="F49" t="n">
        <x:v>346</x:v>
      </x:c>
      <x:c r="G49" t="inlineStr">
        <x:is>
          <x:t xml:space="preserve">Local muscle/joint pain; topical analgesic/NSAID.</x:t>
        </x:is>
      </x:c>
      <x:c r="H49" t="inlineStr">
        <x:is>
          <x:t xml:space="preserve">Skin irritation; avoid broken skin; NSAID allergy.</x:t>
        </x:is>
      </x:c>
    </x:row>
    <x:row r="50">
      <x:c r="A50" t="inlineStr">
        <x:is>
          <x:t xml:space="preserve">Pain spray/topical</x:t>
        </x:is>
      </x:c>
      <x:c r="B50" t="inlineStr">
        <x:is>
          <x:t xml:space="preserve">Perskindol Classic Spray</x:t>
        </x:is>
      </x:c>
      <x:c r="C50" t="inlineStr">
        <x:is>
          <x:t xml:space="preserve">Menthol 1.5%+Pine Needle Oil 1.35%+Wintergreen Oil 0.35%+Orange Oil 0.4%+Lemon Oil 0.1%</x:t>
        </x:is>
      </x:c>
      <x:c r="D50" t="inlineStr">
        <x:is>
          <x:t xml:space="preserve">BDS003119</x:t>
        </x:is>
      </x:c>
      <x:c r="E50" t="inlineStr">
        <x:is>
          <x:t xml:space="preserve">กระป๋อง 150 ml.</x:t>
        </x:is>
      </x:c>
      <x:c r="G50" t="inlineStr">
        <x:is>
          <x:t xml:space="preserve">Local muscle/joint pain; topical analgesic/NSAID.</x:t>
        </x:is>
      </x:c>
      <x:c r="H50" t="inlineStr">
        <x:is>
          <x:t xml:space="preserve">Skin irritation; avoid broken skin; NSAID allergy.</x:t>
        </x:is>
      </x:c>
    </x:row>
    <x:row r="51">
      <x:c r="A51" t="inlineStr">
        <x:is>
          <x:t xml:space="preserve">Others</x:t>
        </x:is>
      </x:c>
      <x:c r="B51" t="inlineStr">
        <x:is>
          <x:t xml:space="preserve">Serc 24 mg</x:t>
        </x:is>
      </x:c>
      <x:c r="C51" t="inlineStr">
        <x:is>
          <x:t xml:space="preserve">Betahistine dihydrochloride 24 mg.</x:t>
        </x:is>
      </x:c>
      <x:c r="D51" t="inlineStr">
        <x:is>
          <x:t xml:space="preserve">BDS006571</x:t>
        </x:is>
      </x:c>
      <x:c r="E51" t="inlineStr">
        <x:is>
          <x:t xml:space="preserve">กล่อง 20 เม็ด</x:t>
        </x:is>
      </x:c>
      <x:c r="G51" t="inlineStr">
        <x:is>
          <x:t xml:space="preserve">Condition-specific (vertigo/migraine/aphthous/HSV).</x:t>
        </x:is>
      </x:c>
      <x:c r="H51" t="inlineStr">
        <x:is>
          <x:t xml:space="preserve">Follow condition-specific dosing; watch interactions (e.g., eletriptan).</x:t>
        </x:is>
      </x:c>
    </x:row>
    <x:row r="52">
      <x:c r="A52" t="inlineStr">
        <x:is>
          <x:t xml:space="preserve">Others</x:t>
        </x:is>
      </x:c>
      <x:c r="B52" t="inlineStr">
        <x:is>
          <x:t xml:space="preserve">Relpax 40 mg</x:t>
        </x:is>
      </x:c>
      <x:c r="C52" t="inlineStr">
        <x:is>
          <x:t xml:space="preserve">Eletriptan 40 mg.</x:t>
        </x:is>
      </x:c>
      <x:c r="D52" t="inlineStr">
        <x:is>
          <x:t xml:space="preserve">BDS006840</x:t>
        </x:is>
      </x:c>
      <x:c r="E52" t="inlineStr">
        <x:is>
          <x:t xml:space="preserve">กล่อง 2 เม็ด</x:t>
        </x:is>
      </x:c>
      <x:c r="G52" t="inlineStr">
        <x:is>
          <x:t xml:space="preserve">Condition-specific (vertigo/migraine/aphthous/HSV).</x:t>
        </x:is>
      </x:c>
      <x:c r="H52" t="inlineStr">
        <x:is>
          <x:t xml:space="preserve">Follow condition-specific dosing; watch interactions (e.g., eletriptan).</x:t>
        </x:is>
      </x:c>
    </x:row>
    <x:row r="53">
      <x:c r="A53" t="inlineStr">
        <x:is>
          <x:t xml:space="preserve">Others</x:t>
        </x:is>
      </x:c>
      <x:c r="B53" t="inlineStr">
        <x:is>
          <x:t xml:space="preserve">Kamistad-Gel N</x:t>
        </x:is>
      </x:c>
      <x:c r="C53" t="inlineStr">
        <x:is>
          <x:t xml:space="preserve">Lidocaine HCl 20 mg.+Chamomile Flower Extract 185 mg.+Ethanol 50% v/v+Tromethamole 1.37% w/w+Preservative (Benzalkonium Chloride 1 mg.)/1 g.</x:t>
        </x:is>
      </x:c>
      <x:c r="D53" t="inlineStr">
        <x:is>
          <x:t xml:space="preserve">BDS002430</x:t>
        </x:is>
      </x:c>
      <x:c r="E53" t="inlineStr">
        <x:is>
          <x:t xml:space="preserve">หลอด 10 g.</x:t>
        </x:is>
      </x:c>
      <x:c r="G53" t="inlineStr">
        <x:is>
          <x:t xml:space="preserve">Condition-specific (vertigo/migraine/aphthous/HSV).</x:t>
        </x:is>
      </x:c>
      <x:c r="H53" t="inlineStr">
        <x:is>
          <x:t xml:space="preserve">Follow condition-specific dosing; watch interactions (e.g., eletriptan).</x:t>
        </x:is>
      </x:c>
    </x:row>
    <x:row r="54">
      <x:c r="A54" t="inlineStr">
        <x:is>
          <x:t xml:space="preserve">Others</x:t>
        </x:is>
      </x:c>
      <x:c r="B54" t="inlineStr">
        <x:is>
          <x:t xml:space="preserve">Vilerm 800 mg 5s</x:t>
        </x:is>
      </x:c>
      <x:c r="C54" t="inlineStr">
        <x:is>
          <x:t xml:space="preserve">Acyclovir 800 mg.</x:t>
        </x:is>
      </x:c>
      <x:c r="D54" t="inlineStr">
        <x:is>
          <x:t xml:space="preserve">BDS004011</x:t>
        </x:is>
      </x:c>
      <x:c r="E54" t="inlineStr">
        <x:is>
          <x:t xml:space="preserve">แผง 5 เม็ด</x:t>
        </x:is>
      </x:c>
      <x:c r="G54" t="inlineStr">
        <x:is>
          <x:t xml:space="preserve">Condition-specific (vertigo/migraine/aphthous/HSV).</x:t>
        </x:is>
      </x:c>
      <x:c r="H54" t="inlineStr">
        <x:is>
          <x:t xml:space="preserve">Follow condition-specific dosing; watch interactions (e.g., eletriptan).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inlineStr">
        <x:is>
          <x:t xml:space="preserve">#</x:t>
        </x:is>
      </x:c>
      <x:c r="B2" t="inlineStr">
        <x:is>
          <x:t xml:space="preserve">ประเภทย่อย</x:t>
        </x:is>
      </x:c>
      <x:c r="C2" t="inlineStr">
        <x:is>
          <x:t xml:space="preserve">รหัสสินค้า</x:t>
        </x:is>
      </x:c>
      <x:c r="D2" t="inlineStr">
        <x:is>
          <x:t xml:space="preserve">ชื่อสินค้า</x:t>
        </x:is>
      </x:c>
      <x:c r="E2" t="inlineStr">
        <x:is>
          <x:t xml:space="preserve">ขนาด</x:t>
        </x:is>
      </x:c>
      <x:c r="F2" t="inlineStr">
        <x:is>
          <x:t xml:space="preserve">ส่วนประกอบ</x:t>
        </x:is>
      </x:c>
      <x:c r="G2" t="inlineStr">
        <x:is>
          <x:t xml:space="preserve">Medicine code</x:t>
        </x:is>
      </x:c>
      <x:c r="H2" t="inlineStr">
        <x:is>
          <x:t xml:space="preserve">Medicine name</x:t>
        </x:is>
      </x:c>
      <x:c r="I2" t="inlineStr">
        <x:is>
          <x:t xml:space="preserve">วิธีใช้ (Med-Links)</x:t>
        </x:is>
      </x:c>
      <x:c r="J2" t="inlineStr">
        <x:is>
          <x:t xml:space="preserve">วิธีใช้ (Med-Links)</x:t>
        </x:is>
      </x:c>
      <x:c r="K2" t="inlineStr">
        <x:is>
          <x:t xml:space="preserve">Online price (THB/pack) – estimate</x:t>
        </x:is>
      </x:c>
      <x:c r="L2" t="inlineStr">
        <x:is>
          <x:t xml:space="preserve">Online price (THB/unit) – estimate</x:t>
        </x:is>
      </x:c>
      <x:c r="M2" t="inlineStr">
        <x:is>
          <x:t xml:space="preserve">Price source URL</x:t>
        </x:is>
      </x:c>
      <x:c r="N2" t="inlineStr">
        <x:is>
          <x:t xml:space="preserve">Price checked (YYYY-MM-DD)</x:t>
        </x:is>
      </x:c>
      <x:c r="O2" t="inlineStr">
        <x:is>
          <x:t xml:space="preserve">Price notes</x:t>
        </x:is>
      </x:c>
    </x:row>
    <x:row r="3">
      <x:c r="A3" t="n">
        <x:v>1</x:v>
      </x:c>
      <x:c r="B3" t="inlineStr">
        <x:is>
          <x:t xml:space="preserve">ยาฆ่าเชื้อแบคทีเรียทางเดินหายใจ (D)</x:t>
        </x:is>
      </x:c>
      <x:c r="C3" t="n">
        <x:v>40078</x:v>
      </x:c>
      <x:c r="D3" t="inlineStr">
        <x:is>
          <x:t xml:space="preserve">A.M.Mox 500</x:t>
        </x:is>
      </x:c>
      <x:c r="E3" t="inlineStr">
        <x:is>
          <x:t xml:space="preserve">แผง 10 แคปซูล</x:t>
        </x:is>
      </x:c>
      <x:c r="F3" t="inlineStr">
        <x:is>
          <x:t xml:space="preserve">Amoxicillin 500 mg.</x:t>
        </x:is>
      </x:c>
      <x:c r="G3" t="inlineStr">
        <x:is>
          <x:t xml:space="preserve">BDS040078</x:t>
        </x:is>
      </x:c>
      <x:c r="H3" t="inlineStr">
        <x:is>
          <x:t xml:space="preserve">A.M.Mox 500 (10 cap)</x:t>
        </x:is>
      </x:c>
      <x:c r="I3" t="inlineStr">
        <x:is>
          <x:t xml:space="preserve">รับประทานครั้งละ 1 แคปซูล วันละ 4 ครั้ง</x:t>
        </x:is>
      </x:c>
      <x:c r="J3" t="inlineStr">
        <x:is>
          <x:t xml:space="preserve">Take 1 capsule 4 times daily.</x:t>
        </x:is>
      </x:c>
      <x:c r="P3" t="inlineStr">
        <x:is>
          <x:t xml:space="preserve">Respiratory antibiotics</x:t>
        </x:is>
      </x:c>
    </x:row>
    <x:row r="4">
      <x:c r="A4" t="n">
        <x:v>2</x:v>
      </x:c>
      <x:c r="B4" t="inlineStr">
        <x:is>
          <x:t xml:space="preserve">ยาฆ่าเชื้อแบคทีเรียทางเดินหายใจ (D)</x:t>
        </x:is>
      </x:c>
      <x:c r="C4" t="n">
        <x:v>1103</x:v>
      </x:c>
      <x:c r="D4" t="inlineStr">
        <x:is>
          <x:t xml:space="preserve">AMK 1000 mg</x:t>
        </x:is>
      </x:c>
      <x:c r="E4" t="inlineStr">
        <x:is>
          <x:t xml:space="preserve">กล่อง 10 เม็ด</x:t>
        </x:is>
      </x:c>
      <x:c r="F4" t="inlineStr">
        <x:is>
          <x:t xml:space="preserve">Amoxicillin 875 mg.+Clavulanic Acid 125 mg.</x:t>
        </x:is>
      </x:c>
      <x:c r="G4" t="inlineStr">
        <x:is>
          <x:t xml:space="preserve">BDS001103</x:t>
        </x:is>
      </x:c>
      <x:c r="H4" t="inlineStr">
        <x:is>
          <x:t xml:space="preserve">AMK 1000 mg (10 tabs)</x:t>
        </x:is>
      </x:c>
      <x:c r="I4" t="inlineStr">
        <x:is>
          <x:t xml:space="preserve">รับประทานครั้งละ 1 เม็ด วันละ 2 ครั้ง หรือตามแพทย์สั่ง</x:t>
        </x:is>
      </x:c>
      <x:c r="J4" t="inlineStr">
        <x:is>
          <x:t xml:space="preserve">Take 1 tablet 2 times daily or as directed by a doctor.</x:t>
        </x:is>
      </x:c>
      <x:c r="P4" t="inlineStr">
        <x:is>
          <x:t xml:space="preserve">Respiratory antibiotics</x:t>
        </x:is>
      </x:c>
    </x:row>
    <x:row r="5">
      <x:c r="A5" t="n">
        <x:v>3</x:v>
      </x:c>
      <x:c r="B5" t="inlineStr">
        <x:is>
          <x:t xml:space="preserve">ยาฆ่าเชื้อแบคทีเรียทางเดินหายใจ (D)</x:t>
        </x:is>
      </x:c>
      <x:c r="C5" t="n">
        <x:v>1035</x:v>
      </x:c>
      <x:c r="D5" t="inlineStr">
        <x:is>
          <x:t xml:space="preserve">Amoksiklav 1000 mg</x:t>
        </x:is>
      </x:c>
      <x:c r="E5" t="inlineStr">
        <x:is>
          <x:t xml:space="preserve">กล่อง 10 เม็ด</x:t>
        </x:is>
      </x:c>
      <x:c r="F5" t="inlineStr">
        <x:is>
          <x:t xml:space="preserve">Amoxicillin 875 mg.+Clavulanic Acid 125 mg.</x:t>
        </x:is>
      </x:c>
      <x:c r="G5" t="inlineStr">
        <x:is>
          <x:t xml:space="preserve">BDS001035</x:t>
        </x:is>
      </x:c>
      <x:c r="H5" t="inlineStr">
        <x:is>
          <x:t xml:space="preserve">Amoksiklav 1000 mg (10 tabs)</x:t>
        </x:is>
      </x:c>
      <x:c r="I5" t="inlineStr">
        <x:is>
          <x:t xml:space="preserve">รับประทานครั้งละ 1 เม็ด วันละ 2 ครั้ง หรือตามแพทย์สั่ง</x:t>
        </x:is>
      </x:c>
      <x:c r="J5" t="inlineStr">
        <x:is>
          <x:t xml:space="preserve">Take 1 tablet 2 times daily or as directed by a doctor.</x:t>
        </x:is>
      </x:c>
      <x:c r="P5" t="inlineStr">
        <x:is>
          <x:t xml:space="preserve">Respiratory antibiotics</x:t>
        </x:is>
      </x:c>
    </x:row>
    <x:row r="6">
      <x:c r="A6" t="n">
        <x:v>4</x:v>
      </x:c>
      <x:c r="B6" t="inlineStr">
        <x:is>
          <x:t xml:space="preserve">ยาฆ่าเชื้อแบคทีเรียทางเดินหายใจ (D)</x:t>
        </x:is>
      </x:c>
      <x:c r="C6" t="n">
        <x:v>40017</x:v>
      </x:c>
      <x:c r="D6" t="inlineStr">
        <x:is>
          <x:t xml:space="preserve">Augmentin 1 g.</x:t>
        </x:is>
      </x:c>
      <x:c r="E6" t="inlineStr">
        <x:is>
          <x:t xml:space="preserve">กล่อง 10 เม็ด</x:t>
        </x:is>
      </x:c>
      <x:c r="F6" t="inlineStr">
        <x:is>
          <x:t xml:space="preserve">Amoxicillin Trihydrate (eq. to Amoxicillin 875 mg.)+Clavulanic Potassium (eq. to Clavulanic Acid 125 mg.)</x:t>
        </x:is>
      </x:c>
      <x:c r="G6" t="inlineStr">
        <x:is>
          <x:t xml:space="preserve">BDS040017</x:t>
        </x:is>
      </x:c>
      <x:c r="H6" t="inlineStr">
        <x:is>
          <x:t xml:space="preserve">Augmentin 1 g. (10 tabs)</x:t>
        </x:is>
      </x:c>
      <x:c r="I6" t="inlineStr">
        <x:is>
          <x:t xml:space="preserve">รับประทานครั้งละ 1 เม็ด  วันละ 2 ครั้ง </x:t>
        </x:is>
      </x:c>
      <x:c r="J6" t="inlineStr">
        <x:is>
          <x:t xml:space="preserve">Take 1 tablet 2 times daily. </x:t>
        </x:is>
      </x:c>
      <x:c r="P6" t="inlineStr">
        <x:is>
          <x:t xml:space="preserve">Respiratory antibiotics</x:t>
        </x:is>
      </x:c>
    </x:row>
    <x:row r="7">
      <x:c r="A7" t="n">
        <x:v>5</x:v>
      </x:c>
      <x:c r="B7" t="inlineStr">
        <x:is>
          <x:t xml:space="preserve">ยาฆ่าเชื้อแบคทีเรียทางเดินหายใจ (D)</x:t>
        </x:is>
      </x:c>
      <x:c r="C7" t="n">
        <x:v>1494</x:v>
      </x:c>
      <x:c r="D7" t="inlineStr">
        <x:is>
          <x:t xml:space="preserve">Azithro 250 mg</x:t>
        </x:is>
      </x:c>
      <x:c r="E7" t="inlineStr">
        <x:is>
          <x:t xml:space="preserve">กล่อง 6 แคปซูล</x:t>
        </x:is>
      </x:c>
      <x:c r="F7" t="inlineStr">
        <x:is>
          <x:t xml:space="preserve">Azithromycin 250 mg.</x:t>
        </x:is>
      </x:c>
      <x:c r="G7" t="inlineStr">
        <x:is>
          <x:t xml:space="preserve">BDS001494</x:t>
        </x:is>
      </x:c>
      <x:c r="H7" t="inlineStr">
        <x:is>
          <x:t xml:space="preserve">Azithro 250 mg (6 cap)</x:t>
        </x:is>
      </x:c>
      <x:c r="I7" t="inlineStr">
        <x:is>
          <x:t xml:space="preserve">รับประทานครั้งละ 2 แคปซูล วันละ 1 ครั้ง ก่อนอาหาร</x:t>
        </x:is>
      </x:c>
      <x:c r="J7" t="inlineStr">
        <x:is>
          <x:t xml:space="preserve">Take 2 capsules 1 time daily before meals.</x:t>
        </x:is>
      </x:c>
      <x:c r="P7" t="inlineStr">
        <x:is>
          <x:t xml:space="preserve">Respiratory antibiotics</x:t>
        </x:is>
      </x:c>
    </x:row>
    <x:row r="8">
      <x:c r="A8" t="n">
        <x:v>6</x:v>
      </x:c>
      <x:c r="B8" t="inlineStr">
        <x:is>
          <x:t xml:space="preserve">ยาฆ่าเชื้อแบคทีเรียทางเดินหายใจ (D)</x:t>
        </x:is>
      </x:c>
      <x:c r="C8" t="n">
        <x:v>6115</x:v>
      </x:c>
      <x:c r="D8" t="inlineStr">
        <x:is>
          <x:t xml:space="preserve">Azycin 250 mg (GPO)</x:t>
        </x:is>
      </x:c>
      <x:c r="E8" t="inlineStr">
        <x:is>
          <x:t xml:space="preserve">กล่อง 6 แคปซูล</x:t>
        </x:is>
      </x:c>
      <x:c r="F8" t="inlineStr">
        <x:is>
          <x:t xml:space="preserve">Azithromycin 250 mg.</x:t>
        </x:is>
      </x:c>
      <x:c r="G8" t="inlineStr">
        <x:is>
          <x:t xml:space="preserve">BDS006115</x:t>
        </x:is>
      </x:c>
      <x:c r="H8" t="inlineStr">
        <x:is>
          <x:t xml:space="preserve">Azycin 250 mg (GPO) (6 cap)</x:t>
        </x:is>
      </x:c>
      <x:c r="I8" t="inlineStr">
        <x:is>
          <x:t xml:space="preserve">รับประทานครั้งละ 2 แคปซูล วันละ 1 ครั้ง ก่อนอาหาร</x:t>
        </x:is>
      </x:c>
      <x:c r="J8" t="inlineStr">
        <x:is>
          <x:t xml:space="preserve">Take 2 capsules 1 time daily before meals.</x:t>
        </x:is>
      </x:c>
      <x:c r="P8" t="inlineStr">
        <x:is>
          <x:t xml:space="preserve">Respiratory antibiotics</x:t>
        </x:is>
      </x:c>
    </x:row>
    <x:row r="9">
      <x:c r="A9" t="n">
        <x:v>7</x:v>
      </x:c>
      <x:c r="B9" t="inlineStr">
        <x:is>
          <x:t xml:space="preserve">ยาฆ่าเชื้อแบคทีเรียทางเดินหายใจ (D)</x:t>
        </x:is>
      </x:c>
      <x:c r="C9" t="n">
        <x:v>7066</x:v>
      </x:c>
      <x:c r="D9" t="inlineStr">
        <x:is>
          <x:t xml:space="preserve">B.Roxi</x:t>
        </x:is>
      </x:c>
      <x:c r="E9" t="inlineStr">
        <x:is>
          <x:t xml:space="preserve">แผง 10 เม็ด</x:t>
        </x:is>
      </x:c>
      <x:c r="F9" t="inlineStr">
        <x:is>
          <x:t xml:space="preserve">Roxithromycin 150 mg.</x:t>
        </x:is>
      </x:c>
      <x:c r="G9" t="inlineStr">
        <x:is>
          <x:t xml:space="preserve">BDS007066</x:t>
        </x:is>
      </x:c>
      <x:c r="H9" t="inlineStr">
        <x:is>
          <x:t xml:space="preserve">B.Roxi (10 tabs)</x:t>
        </x:is>
      </x:c>
      <x:c r="I9" t="inlineStr">
        <x:is>
          <x:t xml:space="preserve">รับประทานครั้งละ 1 เม็ด วันละ 2 ครั้ง ก่อนอาหาร เช้า-เย็น</x:t>
        </x:is>
      </x:c>
      <x:c r="J9" t="inlineStr">
        <x:is>
          <x:t xml:space="preserve">Take 1 tablet 2 times a day before meals, morning and evening.</x:t>
        </x:is>
      </x:c>
      <x:c r="P9" t="inlineStr">
        <x:is>
          <x:t xml:space="preserve">Respiratory antibiotics</x:t>
        </x:is>
      </x:c>
    </x:row>
    <x:row r="10">
      <x:c r="A10" t="n">
        <x:v>8</x:v>
      </x:c>
      <x:c r="B10" t="inlineStr">
        <x:is>
          <x:t xml:space="preserve">ยาฆ่าเชื้อแบคทีเรียทางเดินหายใจ (D)</x:t>
        </x:is>
      </x:c>
      <x:c r="C10" t="n">
        <x:v>1545</x:v>
      </x:c>
      <x:c r="D10" t="inlineStr">
        <x:is>
          <x:t xml:space="preserve">Cavumox 1 g</x:t>
        </x:is>
      </x:c>
      <x:c r="E10" t="inlineStr">
        <x:is>
          <x:t xml:space="preserve">แผง 3 เม็ด</x:t>
        </x:is>
      </x:c>
      <x:c r="F10" t="inlineStr">
        <x:is>
          <x:t xml:space="preserve">Amoxicillin 875 mg.+Clavulanic Acid 125 mg.</x:t>
        </x:is>
      </x:c>
      <x:c r="G10" t="inlineStr">
        <x:is>
          <x:t xml:space="preserve">BDS001545</x:t>
        </x:is>
      </x:c>
      <x:c r="H10" t="inlineStr">
        <x:is>
          <x:t xml:space="preserve">Cavumox 1 g (3 tabs)</x:t>
        </x:is>
      </x:c>
      <x:c r="I10" t="inlineStr">
        <x:is>
          <x:t xml:space="preserve">รับประทานครั้งละ 1 เม็ด  วันละ 2 ครั้ง </x:t>
        </x:is>
      </x:c>
      <x:c r="J10" t="inlineStr">
        <x:is>
          <x:t xml:space="preserve">Take 1 tablet 2 times daily. </x:t>
        </x:is>
      </x:c>
      <x:c r="P10" t="inlineStr">
        <x:is>
          <x:t xml:space="preserve">Respiratory antibiotics</x:t>
        </x:is>
      </x:c>
    </x:row>
    <x:row r="11">
      <x:c r="A11" t="n">
        <x:v>9</x:v>
      </x:c>
      <x:c r="B11" t="inlineStr">
        <x:is>
          <x:t xml:space="preserve">ยาฆ่าเชื้อแบคทีเรียทางเดินหายใจ (D)</x:t>
        </x:is>
      </x:c>
      <x:c r="C11" t="n">
        <x:v>7784</x:v>
      </x:c>
      <x:c r="D11" t="inlineStr">
        <x:is>
          <x:t xml:space="preserve">Cephalex-500</x:t>
        </x:is>
      </x:c>
      <x:c r="E11" t="inlineStr">
        <x:is>
          <x:t xml:space="preserve">แผง 10 แคปซูล</x:t>
        </x:is>
      </x:c>
      <x:c r="F11" t="inlineStr">
        <x:is>
          <x:t xml:space="preserve">Cephalexin 500 mg.</x:t>
        </x:is>
      </x:c>
      <x:c r="G11" t="inlineStr">
        <x:is>
          <x:t xml:space="preserve">BDS007784</x:t>
        </x:is>
      </x:c>
      <x:c r="H11" t="inlineStr">
        <x:is>
          <x:t xml:space="preserve">Cephalex-500 (10 cap)</x:t>
        </x:is>
      </x:c>
      <x:c r="I11" t="inlineStr">
        <x:is>
          <x:t xml:space="preserve">รับประทานครั้งละ 1 แคปซูล วันละ 4 ครั้ง</x:t>
        </x:is>
      </x:c>
      <x:c r="J11" t="inlineStr">
        <x:is>
          <x:t xml:space="preserve">Take 1 capsule 4 times daily.</x:t>
        </x:is>
      </x:c>
      <x:c r="P11" t="inlineStr">
        <x:is>
          <x:t xml:space="preserve">Respiratory antibiotics</x:t>
        </x:is>
      </x:c>
    </x:row>
    <x:row r="12">
      <x:c r="A12" t="n">
        <x:v>10</x:v>
      </x:c>
      <x:c r="B12" t="inlineStr">
        <x:is>
          <x:t xml:space="preserve">ยาฆ่าเชื้อแบคทีเรียทางเดินหายใจ (D)</x:t>
        </x:is>
      </x:c>
      <x:c r="C12" t="n">
        <x:v>1452</x:v>
      </x:c>
      <x:c r="D12" t="inlineStr">
        <x:is>
          <x:t xml:space="preserve">Clarith 500</x:t>
        </x:is>
      </x:c>
      <x:c r="E12" t="inlineStr">
        <x:is>
          <x:t xml:space="preserve">แผง 7 เม็ด</x:t>
        </x:is>
      </x:c>
      <x:c r="F12" t="inlineStr">
        <x:is>
          <x:t xml:space="preserve">Clarithromycin 500 mg.</x:t>
        </x:is>
      </x:c>
      <x:c r="G12" t="inlineStr">
        <x:is>
          <x:t xml:space="preserve">BDS001452</x:t>
        </x:is>
      </x:c>
      <x:c r="H12" t="inlineStr">
        <x:is>
          <x:t xml:space="preserve">Clarith 500 (7 tabs)</x:t>
        </x:is>
      </x:c>
      <x:c r="I12" t="inlineStr">
        <x:is>
          <x:t xml:space="preserve">รับประทานตามแพทย์สั่ง </x:t>
        </x:is>
      </x:c>
      <x:c r="J12" t="inlineStr">
        <x:is>
          <x:t xml:space="preserve">Take as directed by your doctor. </x:t>
        </x:is>
      </x:c>
      <x:c r="P12" t="inlineStr">
        <x:is>
          <x:t xml:space="preserve">Respiratory antibiotics</x:t>
        </x:is>
      </x:c>
    </x:row>
    <x:row r="13">
      <x:c r="A13" t="n">
        <x:v>11</x:v>
      </x:c>
      <x:c r="B13" t="inlineStr">
        <x:is>
          <x:t xml:space="preserve">ยาฆ่าเชื้อแบคทีเรียทางเดินหายใจ (D)</x:t>
        </x:is>
      </x:c>
      <x:c r="C13" t="n">
        <x:v>8652</x:v>
      </x:c>
      <x:c r="D13" t="inlineStr">
        <x:is>
          <x:t xml:space="preserve">Dicloxilin-500</x:t>
        </x:is>
      </x:c>
      <x:c r="E13" t="inlineStr">
        <x:is>
          <x:t xml:space="preserve">แผง 10 แคปซูล</x:t>
        </x:is>
      </x:c>
      <x:c r="F13" t="inlineStr">
        <x:is>
          <x:t xml:space="preserve">Dicloxacillin 500 mg.</x:t>
        </x:is>
      </x:c>
      <x:c r="G13" t="inlineStr">
        <x:is>
          <x:t xml:space="preserve">BDS008652</x:t>
        </x:is>
      </x:c>
      <x:c r="H13" t="inlineStr">
        <x:is>
          <x:t xml:space="preserve">Dicloxilin-500 (10 cap)</x:t>
        </x:is>
      </x:c>
      <x:c r="I13" t="inlineStr">
        <x:is>
          <x:t xml:space="preserve">รับประทานครั้งละ 1 แคปซูลวันละ 4 ครั้ง ก่อนอาหาร</x:t>
        </x:is>
      </x:c>
      <x:c r="J13" t="inlineStr">
        <x:is>
          <x:t xml:space="preserve">Take 1 capsule 4 times daily before meals</x:t>
        </x:is>
      </x:c>
      <x:c r="P13" t="inlineStr">
        <x:is>
          <x:t xml:space="preserve">Respiratory antibiotics</x:t>
        </x:is>
      </x:c>
    </x:row>
    <x:row r="14">
      <x:c r="A14" t="n">
        <x:v>12</x:v>
      </x:c>
      <x:c r="B14" t="inlineStr">
        <x:is>
          <x:t xml:space="preserve">ยาฆ่าเชื้อแบคทีเรียทางเดินหายใจ (D)</x:t>
        </x:is>
      </x:c>
      <x:c r="C14" t="n">
        <x:v>8702</x:v>
      </x:c>
      <x:c r="D14" t="inlineStr">
        <x:is>
          <x:t xml:space="preserve">Dicloxman-500</x:t>
        </x:is>
      </x:c>
      <x:c r="E14" t="inlineStr">
        <x:is>
          <x:t xml:space="preserve">แผง 10 แคปซูล</x:t>
        </x:is>
      </x:c>
      <x:c r="F14" t="inlineStr">
        <x:is>
          <x:t xml:space="preserve">Dicloxacillin 500 mg.</x:t>
        </x:is>
      </x:c>
      <x:c r="G14" t="inlineStr">
        <x:is>
          <x:t xml:space="preserve">BDS008702</x:t>
        </x:is>
      </x:c>
      <x:c r="H14" t="inlineStr">
        <x:is>
          <x:t xml:space="preserve">Dicloxman-500 (10 cap)</x:t>
        </x:is>
      </x:c>
      <x:c r="I14" t="inlineStr">
        <x:is>
          <x:t xml:space="preserve">รับประทานครั้งละ 1 แคปซูล วันละ 4 ครั้ง ก่อนอาหาร</x:t>
        </x:is>
      </x:c>
      <x:c r="J14" t="inlineStr">
        <x:is>
          <x:t xml:space="preserve">Take 1 capsule 4 times daily before meals</x:t>
        </x:is>
      </x:c>
      <x:c r="P14" t="inlineStr">
        <x:is>
          <x:t xml:space="preserve">Respiratory antibiotics</x:t>
        </x:is>
      </x:c>
    </x:row>
    <x:row r="15">
      <x:c r="A15" t="n">
        <x:v>13</x:v>
      </x:c>
      <x:c r="B15" t="inlineStr">
        <x:is>
          <x:t xml:space="preserve">ยาฆ่าเชื้อแบคทีเรียทางเดินหายใจ (D)</x:t>
        </x:is>
      </x:c>
      <x:c r="C15" t="n">
        <x:v>1943</x:v>
      </x:c>
      <x:c r="D15" t="inlineStr">
        <x:is>
          <x:t xml:space="preserve">Floctil 250</x:t>
        </x:is>
      </x:c>
      <x:c r="E15" t="inlineStr">
        <x:is>
          <x:t xml:space="preserve">กล่อง 6 แคปซูล</x:t>
        </x:is>
      </x:c>
      <x:c r="F15" t="inlineStr">
        <x:is>
          <x:t xml:space="preserve">Azithromycin 250 mg.</x:t>
        </x:is>
      </x:c>
      <x:c r="G15" t="inlineStr">
        <x:is>
          <x:t xml:space="preserve">BDS001943</x:t>
        </x:is>
      </x:c>
      <x:c r="H15" t="inlineStr">
        <x:is>
          <x:t xml:space="preserve">Floctil 250 (6 cap)</x:t>
        </x:is>
      </x:c>
      <x:c r="I15" t="inlineStr">
        <x:is>
          <x:t xml:space="preserve">รับประทานครั้งละ 2 แคปซูล วันละ 1 ครั้ง ก่อนอาหาร</x:t>
        </x:is>
      </x:c>
      <x:c r="J15" t="inlineStr">
        <x:is>
          <x:t xml:space="preserve">Take 2 capsules 1 time daily before meals</x:t>
        </x:is>
      </x:c>
      <x:c r="P15" t="inlineStr">
        <x:is>
          <x:t xml:space="preserve">Respiratory antibiotics</x:t>
        </x:is>
      </x:c>
    </x:row>
    <x:row r="16">
      <x:c r="A16" t="n">
        <x:v>14</x:v>
      </x:c>
      <x:c r="B16" t="inlineStr">
        <x:is>
          <x:t xml:space="preserve">ยาฆ่าเชื้อแบคทีเรียทางเดินหายใจ (D)</x:t>
        </x:is>
      </x:c>
      <x:c r="C16" t="n">
        <x:v>2201</x:v>
      </x:c>
      <x:c r="D16" t="inlineStr">
        <x:is>
          <x:t xml:space="preserve">Ibiamox 500 mg</x:t>
        </x:is>
      </x:c>
      <x:c r="E16" t="inlineStr">
        <x:is>
          <x:t xml:space="preserve">แผง 10 แคปซูล</x:t>
        </x:is>
      </x:c>
      <x:c r="F16" t="inlineStr">
        <x:is>
          <x:t xml:space="preserve">Amoxicillin 500 mg.</x:t>
        </x:is>
      </x:c>
      <x:c r="G16" t="inlineStr">
        <x:is>
          <x:t xml:space="preserve">BDS002201</x:t>
        </x:is>
      </x:c>
      <x:c r="H16" t="inlineStr">
        <x:is>
          <x:t xml:space="preserve">Ibiamox 500 mg (10 cap)</x:t>
        </x:is>
      </x:c>
      <x:c r="I16" t="inlineStr">
        <x:is>
          <x:t xml:space="preserve">รับประทานครั้งละ 1 แคปซูล วันละ 3 ครั้ง หรือตามแพทย์สั่ง</x:t>
        </x:is>
      </x:c>
      <x:c r="J16" t="inlineStr">
        <x:is>
          <x:t xml:space="preserve">Take 1 capsule 3 times daily or as directed by a doctor</x:t>
        </x:is>
      </x:c>
      <x:c r="P16" t="inlineStr">
        <x:is>
          <x:t xml:space="preserve">Respiratory antibiotics</x:t>
        </x:is>
      </x:c>
    </x:row>
    <x:row r="17">
      <x:c r="A17" t="n">
        <x:v>15</x:v>
      </x:c>
      <x:c r="B17" t="inlineStr">
        <x:is>
          <x:t xml:space="preserve">ยาฆ่าเชื้อแบคทีเรียทางเดินหายใจ (D)</x:t>
        </x:is>
      </x:c>
      <x:c r="C17" t="n">
        <x:v>2447</x:v>
      </x:c>
      <x:c r="D17" t="inlineStr">
        <x:is>
          <x:t xml:space="preserve">Klacid MR 500 mg</x:t>
        </x:is>
      </x:c>
      <x:c r="E17" t="inlineStr">
        <x:is>
          <x:t xml:space="preserve">กล่อง 7 เม็ด</x:t>
        </x:is>
      </x:c>
      <x:c r="F17" t="inlineStr">
        <x:is>
          <x:t xml:space="preserve">Clarithromycin 500 mg.</x:t>
        </x:is>
      </x:c>
      <x:c r="G17" t="inlineStr">
        <x:is>
          <x:t xml:space="preserve">BDS002447</x:t>
        </x:is>
      </x:c>
      <x:c r="H17" t="inlineStr">
        <x:is>
          <x:t xml:space="preserve">Klacid MR 500 mg (7 tabs)</x:t>
        </x:is>
      </x:c>
      <x:c r="I17" t="inlineStr">
        <x:is>
          <x:t xml:space="preserve">ผู้ใหญ่รับประทานครั้งละ 1 เม็ด วันละ 1 ครั้ง หลังอาหาร</x:t>
        </x:is>
      </x:c>
      <x:c r="J17" t="inlineStr">
        <x:is>
          <x:t xml:space="preserve">Adults take 1 tablet 1 time daily after meals</x:t>
        </x:is>
      </x:c>
      <x:c r="P17" t="inlineStr">
        <x:is>
          <x:t xml:space="preserve">Respiratory antibiotics</x:t>
        </x:is>
      </x:c>
    </x:row>
    <x:row r="18">
      <x:c r="A18" t="n">
        <x:v>16</x:v>
      </x:c>
      <x:c r="B18" t="inlineStr">
        <x:is>
          <x:t xml:space="preserve">ยาฆ่าเชื้อแบคทีเรียทางเดินหายใจ (D)</x:t>
        </x:is>
      </x:c>
      <x:c r="C18" t="n">
        <x:v>2692</x:v>
      </x:c>
      <x:c r="D18" t="inlineStr">
        <x:is>
          <x:t xml:space="preserve">Meiact tabslet</x:t>
        </x:is>
      </x:c>
      <x:c r="E18" t="inlineStr">
        <x:is>
          <x:t xml:space="preserve">แผง 10 เม็ด</x:t>
        </x:is>
      </x:c>
      <x:c r="F18" t="inlineStr">
        <x:is>
          <x:t xml:space="preserve">Cefditoren 100 mg.</x:t>
        </x:is>
      </x:c>
      <x:c r="G18" t="inlineStr">
        <x:is>
          <x:t xml:space="preserve">BDS002692</x:t>
        </x:is>
      </x:c>
      <x:c r="H18" t="inlineStr">
        <x:is>
          <x:t xml:space="preserve">Meiact tabslet (10 tabs)</x:t>
        </x:is>
      </x:c>
      <x:c r="I18" t="inlineStr">
        <x:is>
          <x:t xml:space="preserve">รับประทานตามแพทย์สั่ง </x:t>
        </x:is>
      </x:c>
      <x:c r="J18" t="inlineStr">
        <x:is>
          <x:t xml:space="preserve">Take as directed by your doctor. </x:t>
        </x:is>
      </x:c>
      <x:c r="P18" t="inlineStr">
        <x:is>
          <x:t xml:space="preserve">Respiratory antibiotics</x:t>
        </x:is>
      </x:c>
    </x:row>
    <x:row r="19">
      <x:c r="A19" t="n">
        <x:v>17</x:v>
      </x:c>
      <x:c r="B19" t="inlineStr">
        <x:is>
          <x:t xml:space="preserve">ยาฆ่าเชื้อแบคทีเรียทางเดินหายใจ (D)</x:t>
        </x:is>
      </x:c>
      <x:c r="C19" t="n">
        <x:v>3078</x:v>
      </x:c>
      <x:c r="D19" t="inlineStr">
        <x:is>
          <x:t xml:space="preserve">Omnicef 100 mg</x:t>
        </x:is>
      </x:c>
      <x:c r="E19" t="inlineStr">
        <x:is>
          <x:t xml:space="preserve">แผง 10 แคปซูล</x:t>
        </x:is>
      </x:c>
      <x:c r="F19" t="inlineStr">
        <x:is>
          <x:t xml:space="preserve">Cefdinir 100 mg.</x:t>
        </x:is>
      </x:c>
      <x:c r="G19" t="inlineStr">
        <x:is>
          <x:t xml:space="preserve">BDS003078</x:t>
        </x:is>
      </x:c>
      <x:c r="H19" t="inlineStr">
        <x:is>
          <x:t xml:space="preserve">Omnicef 100 mg (10 cap)</x:t>
        </x:is>
      </x:c>
      <x:c r="I19" t="inlineStr">
        <x:is>
          <x:t xml:space="preserve">รับประทานตามแพทย์สั่ง </x:t>
        </x:is>
      </x:c>
      <x:c r="J19" t="inlineStr">
        <x:is>
          <x:t xml:space="preserve">Take as directed by your doctor. </x:t>
        </x:is>
      </x:c>
      <x:c r="P19" t="inlineStr">
        <x:is>
          <x:t xml:space="preserve">Respiratory antibiotics</x:t>
        </x:is>
      </x:c>
    </x:row>
    <x:row r="20">
      <x:c r="A20" t="n">
        <x:v>18</x:v>
      </x:c>
      <x:c r="B20" t="inlineStr">
        <x:is>
          <x:t xml:space="preserve">ยาฆ่าเชื้อแบคทีเรียทางเดินหายใจ (D)</x:t>
        </x:is>
      </x:c>
      <x:c r="C20" t="n">
        <x:v>8121</x:v>
      </x:c>
      <x:c r="D20" t="inlineStr">
        <x:is>
          <x:t xml:space="preserve">Rintacin</x:t>
        </x:is>
      </x:c>
      <x:c r="E20" t="inlineStr">
        <x:is>
          <x:t xml:space="preserve">แผง 10 เม็ด</x:t>
        </x:is>
      </x:c>
      <x:c r="F20" t="inlineStr">
        <x:is>
          <x:t xml:space="preserve">Erythromycin stearate 250 mg.</x:t>
        </x:is>
      </x:c>
      <x:c r="G20" t="inlineStr">
        <x:is>
          <x:t xml:space="preserve">BDS008121</x:t>
        </x:is>
      </x:c>
      <x:c r="H20" t="inlineStr">
        <x:is>
          <x:t xml:space="preserve">Rintacin (10 tabs)</x:t>
        </x:is>
      </x:c>
      <x:c r="I20" t="inlineStr">
        <x:is>
          <x:t xml:space="preserve">รับประทานครั้งละ 1 เม็ด วันละ 4 ครั้ง ก่อนอาหาร</x:t>
        </x:is>
      </x:c>
      <x:c r="J20" t="inlineStr">
        <x:is>
          <x:t xml:space="preserve">Take 1 tablet 4 times daily before meals</x:t>
        </x:is>
      </x:c>
      <x:c r="P20" t="inlineStr">
        <x:is>
          <x:t xml:space="preserve">Respiratory antibiotics</x:t>
        </x:is>
      </x:c>
    </x:row>
    <x:row r="21">
      <x:c r="A21" t="n">
        <x:v>19</x:v>
      </x:c>
      <x:c r="B21" t="inlineStr">
        <x:is>
          <x:t xml:space="preserve">ยาฆ่าเชื้อแบคทีเรียทางเดินหายใจ (D)</x:t>
        </x:is>
      </x:c>
      <x:c r="C21" t="n">
        <x:v>3423</x:v>
      </x:c>
      <x:c r="D21" t="inlineStr">
        <x:is>
          <x:t xml:space="preserve">Rothricin 150 mg</x:t>
        </x:is>
      </x:c>
      <x:c r="E21" t="inlineStr">
        <x:is>
          <x:t xml:space="preserve">แผง 10 เม็ด</x:t>
        </x:is>
      </x:c>
      <x:c r="F21" t="inlineStr">
        <x:is>
          <x:t xml:space="preserve">Roxithromycin 150 mg.</x:t>
        </x:is>
      </x:c>
      <x:c r="G21" t="inlineStr">
        <x:is>
          <x:t xml:space="preserve">BDS003423</x:t>
        </x:is>
      </x:c>
      <x:c r="H21" t="inlineStr">
        <x:is>
          <x:t xml:space="preserve">Rothricin 150 mg (10 tabs)</x:t>
        </x:is>
      </x:c>
      <x:c r="I21" t="inlineStr">
        <x:is>
          <x:t xml:space="preserve">รับประทานครั้งละ 1 เม็ด วันละ 2 ครั้ง ก่อนอาหาร เช้า-เย็น</x:t>
        </x:is>
      </x:c>
      <x:c r="J21" t="inlineStr">
        <x:is>
          <x:t xml:space="preserve">Take 1 tablet 2 times a day before meals, morning and evening</x:t>
        </x:is>
      </x:c>
      <x:c r="P21" t="inlineStr">
        <x:is>
          <x:t xml:space="preserve">Respiratory antibiotics</x:t>
        </x:is>
      </x:c>
    </x:row>
    <x:row r="22">
      <x:c r="A22" t="n">
        <x:v>20</x:v>
      </x:c>
      <x:c r="B22" t="inlineStr">
        <x:is>
          <x:t xml:space="preserve">ยาฆ่าเชื้อแบคทีเรียทางเดินหายใจ (D)</x:t>
        </x:is>
      </x:c>
      <x:c r="C22" t="n">
        <x:v>7976</x:v>
      </x:c>
      <x:c r="D22" t="inlineStr">
        <x:is>
          <x:t xml:space="preserve">Roxitop 300</x:t>
        </x:is>
      </x:c>
      <x:c r="E22" t="inlineStr">
        <x:is>
          <x:t xml:space="preserve">แผง 10 เม็ด</x:t>
        </x:is>
      </x:c>
      <x:c r="F22" t="inlineStr">
        <x:is>
          <x:t xml:space="preserve">Roxithromycin 300 mg.</x:t>
        </x:is>
      </x:c>
      <x:c r="G22" t="inlineStr">
        <x:is>
          <x:t xml:space="preserve">BDS007976</x:t>
        </x:is>
      </x:c>
      <x:c r="H22" t="inlineStr">
        <x:is>
          <x:t xml:space="preserve">Roxitop 300 (10 tabs)</x:t>
        </x:is>
      </x:c>
      <x:c r="I22" t="inlineStr">
        <x:is>
          <x:t xml:space="preserve">รับประทานครั้งละ 1 เม็ด วันละ 1 ครั้ง ก่อนอาหาร</x:t>
        </x:is>
      </x:c>
      <x:c r="J22" t="inlineStr">
        <x:is>
          <x:t xml:space="preserve">Take 1 tablet 1 time daily before meals</x:t>
        </x:is>
      </x:c>
      <x:c r="P22" t="inlineStr">
        <x:is>
          <x:t xml:space="preserve">Respiratory antibiotics</x:t>
        </x:is>
      </x:c>
    </x:row>
    <x:row r="23">
      <x:c r="A23" t="n">
        <x:v>21</x:v>
      </x:c>
      <x:c r="B23" t="inlineStr">
        <x:is>
          <x:t xml:space="preserve">ยาฆ่าเชื้อแบคทีเรียทางเดินหายใจ (D)</x:t>
        </x:is>
      </x:c>
      <x:c r="C23" t="n">
        <x:v>3428</x:v>
      </x:c>
      <x:c r="D23" t="inlineStr">
        <x:is>
          <x:t xml:space="preserve">Rulid 150 mg</x:t>
        </x:is>
      </x:c>
      <x:c r="E23" t="inlineStr">
        <x:is>
          <x:t xml:space="preserve">กล่อง 10 เม็ด</x:t>
        </x:is>
      </x:c>
      <x:c r="F23" t="inlineStr">
        <x:is>
          <x:t xml:space="preserve">Roxithromycin 150 mg.</x:t>
        </x:is>
      </x:c>
      <x:c r="G23" t="inlineStr">
        <x:is>
          <x:t xml:space="preserve">BDS003428</x:t>
        </x:is>
      </x:c>
      <x:c r="H23" t="inlineStr">
        <x:is>
          <x:t xml:space="preserve">Rulid 150 mg (10 tabs)</x:t>
        </x:is>
      </x:c>
      <x:c r="I23" t="inlineStr">
        <x:is>
          <x:t xml:space="preserve">รับประทานครั้งละ 1 เม็ด วันละ 2 ครั้ง ก่อนอาหาร เช้า-เย็น</x:t>
        </x:is>
      </x:c>
      <x:c r="J23" t="inlineStr">
        <x:is>
          <x:t xml:space="preserve">Take 1 tablet 2 times a day before meals, morning and evening</x:t>
        </x:is>
      </x:c>
      <x:c r="P23" t="inlineStr">
        <x:is>
          <x:t xml:space="preserve">Respiratory antibiotics</x:t>
        </x:is>
      </x:c>
    </x:row>
    <x:row r="24">
      <x:c r="A24" t="n">
        <x:v>22</x:v>
      </x:c>
      <x:c r="B24" t="inlineStr">
        <x:is>
          <x:t xml:space="preserve">ยาฆ่าเชื้อแบคทีเรียทางเดินหายใจ (D)</x:t>
        </x:is>
      </x:c>
      <x:c r="C24" t="n">
        <x:v>7007</x:v>
      </x:c>
      <x:c r="D24" t="inlineStr">
        <x:is>
          <x:t xml:space="preserve">Uramox 500</x:t>
        </x:is>
      </x:c>
      <x:c r="E24" t="inlineStr">
        <x:is>
          <x:t xml:space="preserve">แผง 10 แคปซูล</x:t>
        </x:is>
      </x:c>
      <x:c r="F24" t="inlineStr">
        <x:is>
          <x:t xml:space="preserve">Amoxicillin 500 mg.</x:t>
        </x:is>
      </x:c>
      <x:c r="G24" t="inlineStr">
        <x:is>
          <x:t xml:space="preserve">BDS007007</x:t>
        </x:is>
      </x:c>
      <x:c r="H24" t="inlineStr">
        <x:is>
          <x:t xml:space="preserve">Uramox 500 (10 cap)</x:t>
        </x:is>
      </x:c>
      <x:c r="I24" t="inlineStr">
        <x:is>
          <x:t xml:space="preserve">รับประทานครั้งละ 1 แคปซูล วันละ 4 ครั้ง</x:t>
        </x:is>
      </x:c>
      <x:c r="P24" t="inlineStr">
        <x:is>
          <x:t xml:space="preserve">Respiratory antibiotics</x:t>
        </x:is>
      </x:c>
    </x:row>
    <x:row r="25">
      <x:c r="A25" t="n">
        <x:v>23</x:v>
      </x:c>
      <x:c r="B25" t="inlineStr">
        <x:is>
          <x:t xml:space="preserve">ยาฆ่าเชื้อแบคทีเรียทางเดินหายใจ (D)</x:t>
        </x:is>
      </x:c>
      <x:c r="C25" t="n">
        <x:v>49776</x:v>
      </x:c>
      <x:c r="D25" t="inlineStr">
        <x:is>
          <x:t xml:space="preserve">Zithromax tabslet 250 mg</x:t>
        </x:is>
      </x:c>
      <x:c r="E25" t="inlineStr">
        <x:is>
          <x:t xml:space="preserve">กล่อง 6 เม็ด</x:t>
        </x:is>
      </x:c>
      <x:c r="F25" t="inlineStr">
        <x:is>
          <x:t xml:space="preserve">Azithromycin 250 mg.</x:t>
        </x:is>
      </x:c>
      <x:c r="G25" t="inlineStr">
        <x:is>
          <x:t xml:space="preserve">BDS049776</x:t>
        </x:is>
      </x:c>
      <x:c r="H25" t="inlineStr">
        <x:is>
          <x:t xml:space="preserve">Zithromax tabslet 250 mg (6 tabs)</x:t>
        </x:is>
      </x:c>
      <x:c r="I25" t="inlineStr">
        <x:is>
          <x:t xml:space="preserve">รับประทานครั้งละ 2 เม็ด วันละ 1 ครั้ง ก่อนอาหาร</x:t>
        </x:is>
      </x:c>
      <x:c r="P25" t="inlineStr">
        <x:is>
          <x:t xml:space="preserve">Respiratory antibiotics</x:t>
        </x:is>
      </x:c>
    </x:row>
    <x:row r="26">
      <x:c r="A26" t="n">
        <x:v>24</x:v>
      </x:c>
      <x:c r="B26" t="inlineStr">
        <x:is>
          <x:t xml:space="preserve">ยาแก้ปวด, ลดไข้</x:t>
        </x:is>
      </x:c>
      <x:c r="C26" t="n">
        <x:v>40614</x:v>
      </x:c>
      <x:c r="D26" t="inlineStr">
        <x:is>
          <x:t xml:space="preserve">Bakamol 500 mg bottle 100s</x:t>
        </x:is>
      </x:c>
      <x:c r="E26" t="inlineStr">
        <x:is>
          <x:t xml:space="preserve">กระปุก 100 เม็ด</x:t>
        </x:is>
      </x:c>
      <x:c r="F26" t="inlineStr">
        <x:is>
          <x:t xml:space="preserve">Paracetamol 500 mg.</x:t>
        </x:is>
      </x:c>
      <x:c r="G26" t="inlineStr">
        <x:is>
          <x:t xml:space="preserve">BDS040614</x:t>
        </x:is>
      </x:c>
      <x:c r="H26" t="inlineStr">
        <x:is>
          <x:t xml:space="preserve">Bakamol 500 mg bottle 100s (100 tabs)</x:t>
        </x:is>
      </x:c>
      <x:c r="I26" t="inlineStr">
        <x:is>
          <x:t xml:space="preserve">รับประทานครั้งละ 1-2 เม็ด ทุก 4-6 ชั่วโมง</x:t>
        </x:is>
      </x:c>
      <x:c r="P26" t="inlineStr">
        <x:is>
          <x:t xml:space="preserve">General analgesics/antipyretics</x:t>
        </x:is>
      </x:c>
    </x:row>
    <x:row r="27">
      <x:c r="A27" t="n">
        <x:v>25</x:v>
      </x:c>
      <x:c r="B27" t="inlineStr">
        <x:is>
          <x:t xml:space="preserve">ยาแก้ปวด, ลดไข้</x:t>
        </x:is>
      </x:c>
      <x:c r="C27" t="n">
        <x:v>7047</x:v>
      </x:c>
      <x:c r="D27" t="inlineStr">
        <x:is>
          <x:t xml:space="preserve">Cemol 500 mg bottle 100s ฟ้า-ขาว</x:t>
        </x:is>
      </x:c>
      <x:c r="E27" t="inlineStr">
        <x:is>
          <x:t xml:space="preserve">กระปุก 100 เม็ด</x:t>
        </x:is>
      </x:c>
      <x:c r="F27" t="inlineStr">
        <x:is>
          <x:t xml:space="preserve">Paracetamol 500 mg.</x:t>
        </x:is>
      </x:c>
      <x:c r="G27" t="inlineStr">
        <x:is>
          <x:t xml:space="preserve">BDS007047</x:t>
        </x:is>
      </x:c>
      <x:c r="H27" t="inlineStr">
        <x:is>
          <x:t xml:space="preserve">Cemol 500 mg bottle 100s ฟ้า-ขาว (100 tabs)</x:t>
        </x:is>
      </x:c>
      <x:c r="I27" t="inlineStr">
        <x:is>
          <x:t xml:space="preserve">รับประทานครั้งละ 1-2 เม็ด ทุก 4 ชั่วโมง หรือเมื่อมีอาการ</x:t>
        </x:is>
      </x:c>
      <x:c r="P27" t="inlineStr">
        <x:is>
          <x:t xml:space="preserve">General analgesics/antipyretics</x:t>
        </x:is>
      </x:c>
    </x:row>
    <x:row r="28">
      <x:c r="A28" t="n">
        <x:v>26</x:v>
      </x:c>
      <x:c r="B28" t="inlineStr">
        <x:is>
          <x:t xml:space="preserve">ยาแก้ปวด, ลดไข้</x:t>
        </x:is>
      </x:c>
      <x:c r="C28" t="n">
        <x:v>7041</x:v>
      </x:c>
      <x:c r="D28" t="inlineStr">
        <x:is>
          <x:t xml:space="preserve">Cemol 500 mg bottle 100s เม็ดกลม</x:t>
        </x:is>
      </x:c>
      <x:c r="E28" t="inlineStr">
        <x:is>
          <x:t xml:space="preserve">กระปุก 100 เม็ด</x:t>
        </x:is>
      </x:c>
      <x:c r="F28" t="inlineStr">
        <x:is>
          <x:t xml:space="preserve">Paracetamol 500 mg.</x:t>
        </x:is>
      </x:c>
      <x:c r="G28" t="inlineStr">
        <x:is>
          <x:t xml:space="preserve">BDS007041</x:t>
        </x:is>
      </x:c>
      <x:c r="H28" t="inlineStr">
        <x:is>
          <x:t xml:space="preserve">Cemol 500 mg bottle 100s เม็ดกลม (100 tabs)</x:t>
        </x:is>
      </x:c>
      <x:c r="I28" t="inlineStr">
        <x:is>
          <x:t xml:space="preserve">รับประทานครั้งละ 1-2 เม็ด ทุก 4 ชั่วโมง หรือเมื่อมีอาการ</x:t>
        </x:is>
      </x:c>
      <x:c r="P28" t="inlineStr">
        <x:is>
          <x:t xml:space="preserve">General analgesics/antipyretics</x:t>
        </x:is>
      </x:c>
    </x:row>
    <x:row r="29">
      <x:c r="A29" t="n">
        <x:v>27</x:v>
      </x:c>
      <x:c r="B29" t="inlineStr">
        <x:is>
          <x:t xml:space="preserve">ยาแก้ปวด, ลดไข้</x:t>
        </x:is>
      </x:c>
      <x:c r="C29" t="n">
        <x:v>46505</x:v>
      </x:c>
      <x:c r="D29" t="inlineStr">
        <x:is>
          <x:t xml:space="preserve">Panadol Actifast </x:t>
        </x:is>
      </x:c>
      <x:c r="E29" t="inlineStr">
        <x:is>
          <x:t xml:space="preserve">กล่อง 10 เม็ด</x:t>
        </x:is>
      </x:c>
      <x:c r="F29" t="inlineStr">
        <x:is>
          <x:t xml:space="preserve">Paracetamol 500 mg.</x:t>
        </x:is>
      </x:c>
      <x:c r="G29" t="inlineStr">
        <x:is>
          <x:t xml:space="preserve">BDS046505</x:t>
        </x:is>
      </x:c>
      <x:c r="H29" t="inlineStr">
        <x:is>
          <x:t xml:space="preserve">Panadol Actifast  (10 tabs)</x:t>
        </x:is>
      </x:c>
      <x:c r="I29" t="inlineStr">
        <x:is>
          <x:t xml:space="preserve">รับประทานครั้งละ 1-2  เม็ด ทุก 4-6 ชั่วโมง เมื่อมีอาการ</x:t>
        </x:is>
      </x:c>
      <x:c r="P29" t="inlineStr">
        <x:is>
          <x:t xml:space="preserve">General analgesics/antipyretics</x:t>
        </x:is>
      </x:c>
    </x:row>
    <x:row r="30">
      <x:c r="A30" t="n">
        <x:v>28</x:v>
      </x:c>
      <x:c r="B30" t="inlineStr">
        <x:is>
          <x:t xml:space="preserve">ยาแก้ปวด, ลดไข้</x:t>
        </x:is>
      </x:c>
      <x:c r="C30" t="n">
        <x:v>3109</x:v>
      </x:c>
      <x:c r="D30" t="inlineStr">
        <x:is>
          <x:t xml:space="preserve">Para Cap bottle 100s</x:t>
        </x:is>
      </x:c>
      <x:c r="E30" t="inlineStr">
        <x:is>
          <x:t xml:space="preserve">กระปุก 100 เม็ด</x:t>
        </x:is>
      </x:c>
      <x:c r="F30" t="inlineStr">
        <x:is>
          <x:t xml:space="preserve">Paracetamol 500 mg.</x:t>
        </x:is>
      </x:c>
      <x:c r="G30" t="inlineStr">
        <x:is>
          <x:t xml:space="preserve">BDS003109</x:t>
        </x:is>
      </x:c>
      <x:c r="H30" t="inlineStr">
        <x:is>
          <x:t xml:space="preserve">Para Cap bottle 100s (100 tabs)</x:t>
        </x:is>
      </x:c>
      <x:c r="I30" t="inlineStr">
        <x:is>
          <x:t xml:space="preserve">รับประทานครั้งละ 1-2 เม็ด ทุก 4-6 ชั่วโมง</x:t>
        </x:is>
      </x:c>
      <x:c r="P30" t="inlineStr">
        <x:is>
          <x:t xml:space="preserve">General analgesics/antipyretics</x:t>
        </x:is>
      </x:c>
    </x:row>
    <x:row r="31">
      <x:c r="A31" t="n">
        <x:v>29</x:v>
      </x:c>
      <x:c r="B31" t="inlineStr">
        <x:is>
          <x:t xml:space="preserve">ยาแก้ปวด, ลดไข้</x:t>
        </x:is>
      </x:c>
      <x:c r="C31" t="n">
        <x:v>3595</x:v>
      </x:c>
      <x:c r="D31" t="inlineStr">
        <x:is>
          <x:t xml:space="preserve">Sara เม็ดรี กระปุก 100s</x:t>
        </x:is>
      </x:c>
      <x:c r="E31" t="inlineStr">
        <x:is>
          <x:t xml:space="preserve">กระปุก 100 เม็ด</x:t>
        </x:is>
      </x:c>
      <x:c r="F31" t="inlineStr">
        <x:is>
          <x:t xml:space="preserve">Paracetamol 500 mg.</x:t>
        </x:is>
      </x:c>
      <x:c r="G31" t="inlineStr">
        <x:is>
          <x:t xml:space="preserve">BDS003595</x:t>
        </x:is>
      </x:c>
      <x:c r="H31" t="inlineStr">
        <x:is>
          <x:t xml:space="preserve">Sara เม็ดรี กระปุก 100s (100 tabs)</x:t>
        </x:is>
      </x:c>
      <x:c r="I31" t="inlineStr">
        <x:is>
          <x:t xml:space="preserve">รับประทานครั้งละ 1-2 เม็ด ทุก 4-6 ชั่วโมง</x:t>
        </x:is>
      </x:c>
      <x:c r="P31" t="inlineStr">
        <x:is>
          <x:t xml:space="preserve">General analgesics/antipyretics</x:t>
        </x:is>
      </x:c>
    </x:row>
    <x:row r="32">
      <x:c r="A32" t="n">
        <x:v>30</x:v>
      </x:c>
      <x:c r="B32" t="inlineStr">
        <x:is>
          <x:t xml:space="preserve">ยาแก้ปวด, ลดไข้</x:t>
        </x:is>
      </x:c>
      <x:c r="C32" t="n">
        <x:v>3764</x:v>
      </x:c>
      <x:c r="D32" t="inlineStr">
        <x:is>
          <x:t xml:space="preserve">Tylenol 500 mg bottle 100s</x:t>
        </x:is>
      </x:c>
      <x:c r="E32" t="inlineStr">
        <x:is>
          <x:t xml:space="preserve">กระปุก 100 เม็ด</x:t>
        </x:is>
      </x:c>
      <x:c r="F32" t="inlineStr">
        <x:is>
          <x:t xml:space="preserve">Paracetamol 500 mg.</x:t>
        </x:is>
      </x:c>
      <x:c r="G32" t="inlineStr">
        <x:is>
          <x:t xml:space="preserve">BDS003764</x:t>
        </x:is>
      </x:c>
      <x:c r="H32" t="inlineStr">
        <x:is>
          <x:t xml:space="preserve">Tylenol 500 mg bottle 100s (100 tabs)</x:t>
        </x:is>
      </x:c>
      <x:c r="I32" t="inlineStr">
        <x:is>
          <x:t xml:space="preserve">รับประทานครั้งละ 1-2 เม็ด ทุก 4-6 ชั่วโมง</x:t>
        </x:is>
      </x:c>
      <x:c r="P32" t="inlineStr">
        <x:is>
          <x:t xml:space="preserve">General analgesics/antipyretics</x:t>
        </x:is>
      </x:c>
    </x:row>
    <x:row r="33">
      <x:c r="A33" t="n">
        <x:v>31</x:v>
      </x:c>
      <x:c r="B33" t="inlineStr">
        <x:is>
          <x:t xml:space="preserve">ยาแก้ปวด, ลดไข้</x:t>
        </x:is>
      </x:c>
      <x:c r="C33" t="n">
        <x:v>3748</x:v>
      </x:c>
      <x:c r="D33" t="inlineStr">
        <x:is>
          <x:t xml:space="preserve">Tylenol 8 Hour</x:t>
        </x:is>
      </x:c>
      <x:c r="E33" t="inlineStr">
        <x:is>
          <x:t xml:space="preserve">กล่อง 10 เม็ด</x:t>
        </x:is>
      </x:c>
      <x:c r="F33" t="inlineStr">
        <x:is>
          <x:t xml:space="preserve">Paracetamol 650 mg.</x:t>
        </x:is>
      </x:c>
      <x:c r="G33" t="inlineStr">
        <x:is>
          <x:t xml:space="preserve">BDS003748</x:t>
        </x:is>
      </x:c>
      <x:c r="H33" t="inlineStr">
        <x:is>
          <x:t xml:space="preserve">Tylenol 8 Hour (10 tabs)</x:t>
        </x:is>
      </x:c>
      <x:c r="I33" t="inlineStr">
        <x:is>
          <x:t xml:space="preserve">รับประทานครั้งละ 2 เม็ด ทุก 8 ชั่วโมง หรือเมื่อมีอาการ</x:t>
        </x:is>
      </x:c>
      <x:c r="P33" t="inlineStr">
        <x:is>
          <x:t xml:space="preserve">General analgesics/antipyretics</x:t>
        </x:is>
      </x:c>
    </x:row>
    <x:row r="34">
      <x:c r="A34" t="n">
        <x:v>32</x:v>
      </x:c>
      <x:c r="B34" t="inlineStr">
        <x:is>
          <x:t xml:space="preserve">ยาแก้แพ้, ลดน้ำมูก (D)</x:t>
        </x:is>
      </x:c>
      <x:c r="C34" t="n">
        <x:v>1010</x:v>
      </x:c>
      <x:c r="D34" t="inlineStr">
        <x:is>
          <x:t xml:space="preserve">Aerius tabslet</x:t>
        </x:is>
      </x:c>
      <x:c r="E34" t="inlineStr">
        <x:is>
          <x:t xml:space="preserve">กล่อง 10 เม็ด</x:t>
        </x:is>
      </x:c>
      <x:c r="F34" t="inlineStr">
        <x:is>
          <x:t xml:space="preserve">Desloratadine 5 mg.</x:t>
        </x:is>
      </x:c>
      <x:c r="G34" t="inlineStr">
        <x:is>
          <x:t xml:space="preserve">BDS001010</x:t>
        </x:is>
      </x:c>
      <x:c r="H34" t="inlineStr">
        <x:is>
          <x:t xml:space="preserve">Aerius tabslet (10 tabs)</x:t>
        </x:is>
      </x:c>
      <x:c r="I34" t="inlineStr">
        <x:is>
          <x:t xml:space="preserve">ผู้ใหญ่รับประทานครั้งละ 1 เม็ด วันละ 1 ครั้ง</x:t>
        </x:is>
      </x:c>
      <x:c r="K34" t="n">
        <x:v>620</x:v>
      </x:c>
      <x:c r="L34" t="n">
        <x:v>62</x:v>
      </x:c>
      <x:c r="M34" t="inlineStr">
        <x:is>
          <x:t xml:space="preserve">USER</x:t>
        </x:is>
      </x:c>
      <x:c r="N34" t="inlineStr">
        <x:is>
          <x:t xml:space="preserve">2026-02-07</x:t>
        </x:is>
      </x:c>
      <x:c r="O34" t="inlineStr">
        <x:is>
          <x:t xml:space="preserve">User provided price (Aerius tabslet 10 tabs).</x:t>
        </x:is>
      </x:c>
    </x:row>
    <x:row r="35">
      <x:c r="A35" t="n">
        <x:v>33</x:v>
      </x:c>
      <x:c r="B35" t="inlineStr">
        <x:is>
          <x:t xml:space="preserve">ยาแก้แพ้, ลดน้ำมูก (D)</x:t>
        </x:is>
      </x:c>
      <x:c r="C35" t="n">
        <x:v>40029</x:v>
      </x:c>
      <x:c r="D35" t="inlineStr">
        <x:is>
          <x:t xml:space="preserve">Alerest</x:t>
        </x:is>
      </x:c>
      <x:c r="E35" t="inlineStr">
        <x:is>
          <x:t xml:space="preserve">แผง 10 เม็ด</x:t>
        </x:is>
      </x:c>
      <x:c r="F35" t="inlineStr">
        <x:is>
          <x:t xml:space="preserve">Cetirizine dihydrochloride 10 mg.</x:t>
        </x:is>
      </x:c>
      <x:c r="G35" t="inlineStr">
        <x:is>
          <x:t xml:space="preserve">BDS040029</x:t>
        </x:is>
      </x:c>
      <x:c r="H35" t="inlineStr">
        <x:is>
          <x:t xml:space="preserve">Alerest (10 tabs)</x:t>
        </x:is>
      </x:c>
      <x:c r="I35" t="inlineStr">
        <x:is>
          <x:t xml:space="preserve">รับประทานครั้งละ 1 เม็ด วันละ 1 ครั้ง</x:t>
        </x:is>
      </x:c>
    </x:row>
    <x:row r="36">
      <x:c r="A36" t="n">
        <x:v>34</x:v>
      </x:c>
      <x:c r="B36" t="inlineStr">
        <x:is>
          <x:t xml:space="preserve">ยาแก้แพ้, ลดน้ำมูก (D)</x:t>
        </x:is>
      </x:c>
      <x:c r="C36" t="n">
        <x:v>7702</x:v>
      </x:c>
      <x:c r="D36" t="inlineStr">
        <x:is>
          <x:t xml:space="preserve">Allerax-FC</x:t>
        </x:is>
      </x:c>
      <x:c r="E36" t="inlineStr">
        <x:is>
          <x:t xml:space="preserve">แผง 10 เม็ด</x:t>
        </x:is>
      </x:c>
      <x:c r="F36" t="inlineStr">
        <x:is>
          <x:t xml:space="preserve">Hydroxyzine HCl 10 mg.</x:t>
        </x:is>
      </x:c>
      <x:c r="G36" t="inlineStr">
        <x:is>
          <x:t xml:space="preserve">BDS007702</x:t>
        </x:is>
      </x:c>
      <x:c r="H36" t="inlineStr">
        <x:is>
          <x:t xml:space="preserve">Allerax-FC (10 tabs)</x:t>
        </x:is>
      </x:c>
      <x:c r="I36" t="inlineStr">
        <x:is>
          <x:t xml:space="preserve">รับประทานครั้งละ 1-2 เม็ด วันละ 3 ครั้ง หรือเมื่อมีอาการ</x:t>
        </x:is>
      </x:c>
    </x:row>
    <x:row r="37">
      <x:c r="A37" t="n">
        <x:v>35</x:v>
      </x:c>
      <x:c r="B37" t="inlineStr">
        <x:is>
          <x:t xml:space="preserve">ยาแก้แพ้, ลดน้ำมูก (D)</x:t>
        </x:is>
      </x:c>
      <x:c r="C37" t="n">
        <x:v>40033</x:v>
      </x:c>
      <x:c r="D37" t="inlineStr">
        <x:is>
          <x:t xml:space="preserve">Allernix</x:t>
        </x:is>
      </x:c>
      <x:c r="E37" t="inlineStr">
        <x:is>
          <x:t xml:space="preserve">กล่อง 10 เม็ด</x:t>
        </x:is>
      </x:c>
      <x:c r="F37" t="inlineStr">
        <x:is>
          <x:t xml:space="preserve">Loratadine 10 mg.</x:t>
        </x:is>
      </x:c>
      <x:c r="G37" t="inlineStr">
        <x:is>
          <x:t xml:space="preserve">BDS040033</x:t>
        </x:is>
      </x:c>
      <x:c r="H37" t="inlineStr">
        <x:is>
          <x:t xml:space="preserve">Allernix (10 tabs)</x:t>
        </x:is>
      </x:c>
      <x:c r="I37" t="inlineStr">
        <x:is>
          <x:t xml:space="preserve">รับประทานครั้งละ 1 เม็ด วันละ 1 ครั้ง</x:t>
        </x:is>
      </x:c>
    </x:row>
    <x:row r="38">
      <x:c r="A38" t="n">
        <x:v>36</x:v>
      </x:c>
      <x:c r="B38" t="inlineStr">
        <x:is>
          <x:t xml:space="preserve">ยาแก้แพ้, ลดน้ำมูก (D)</x:t>
        </x:is>
      </x:c>
      <x:c r="C38" t="n">
        <x:v>40028</x:v>
      </x:c>
      <x:c r="D38" t="inlineStr">
        <x:is>
          <x:t xml:space="preserve">Allora 5 mg</x:t>
        </x:is>
      </x:c>
      <x:c r="E38" t="inlineStr">
        <x:is>
          <x:t xml:space="preserve">กล่อง 10 เม็ด</x:t>
        </x:is>
      </x:c>
      <x:c r="F38" t="inlineStr">
        <x:is>
          <x:t xml:space="preserve">Desloratadine 5 mg.</x:t>
        </x:is>
      </x:c>
      <x:c r="G38" t="inlineStr">
        <x:is>
          <x:t xml:space="preserve">BDS040028</x:t>
        </x:is>
      </x:c>
      <x:c r="H38" t="inlineStr">
        <x:is>
          <x:t xml:space="preserve">Allora 5 mg (10 tabs)</x:t>
        </x:is>
      </x:c>
      <x:c r="I38" t="inlineStr">
        <x:is>
          <x:t xml:space="preserve">ผู้ใหญ่รับประทานครั้งละ 1 เม็ด วันละ 1 ครั้ง</x:t>
        </x:is>
      </x:c>
    </x:row>
    <x:row r="39">
      <x:c r="A39" t="n">
        <x:v>37</x:v>
      </x:c>
      <x:c r="B39" t="inlineStr">
        <x:is>
          <x:t xml:space="preserve">ยาแก้แพ้, ลดน้ำมูก (D)</x:t>
        </x:is>
      </x:c>
      <x:c r="C39" t="n">
        <x:v>40630</x:v>
      </x:c>
      <x:c r="D39" t="inlineStr">
        <x:is>
          <x:t xml:space="preserve">Bilaxten</x:t>
        </x:is>
      </x:c>
      <x:c r="E39" t="inlineStr">
        <x:is>
          <x:t xml:space="preserve">กล่อง 10 เม็ด</x:t>
        </x:is>
      </x:c>
      <x:c r="F39" t="inlineStr">
        <x:is>
          <x:t xml:space="preserve">Bilastine 20 mg.</x:t>
        </x:is>
      </x:c>
      <x:c r="G39" t="inlineStr">
        <x:is>
          <x:t xml:space="preserve">BDS040630</x:t>
        </x:is>
      </x:c>
      <x:c r="H39" t="inlineStr">
        <x:is>
          <x:t xml:space="preserve">Bilaxten (10 tabs)</x:t>
        </x:is>
      </x:c>
      <x:c r="I39" t="inlineStr">
        <x:is>
          <x:t xml:space="preserve">รับประทานครั้งละ 1 เม็ด วันละ 1 ครั้ง ก่อนอาหาร</x:t>
        </x:is>
      </x:c>
    </x:row>
    <x:row r="40">
      <x:c r="A40" t="n">
        <x:v>38</x:v>
      </x:c>
      <x:c r="B40" t="inlineStr">
        <x:is>
          <x:t xml:space="preserve">ยาแก้แพ้, ลดน้ำมูก (D)</x:t>
        </x:is>
      </x:c>
      <x:c r="C40" t="n">
        <x:v>41454</x:v>
      </x:c>
      <x:c r="D40" t="inlineStr">
        <x:is>
          <x:t xml:space="preserve">Carinose</x:t>
        </x:is>
      </x:c>
      <x:c r="E40" t="inlineStr">
        <x:is>
          <x:t xml:space="preserve">แผง 10 เม็ด</x:t>
        </x:is>
      </x:c>
      <x:c r="F40" t="inlineStr">
        <x:is>
          <x:t xml:space="preserve">Micronized Loratadine 10 mg.</x:t>
        </x:is>
      </x:c>
      <x:c r="G40" t="inlineStr">
        <x:is>
          <x:t xml:space="preserve">BDS041454</x:t>
        </x:is>
      </x:c>
      <x:c r="H40" t="inlineStr">
        <x:is>
          <x:t xml:space="preserve">Carinose (10 tabs)</x:t>
        </x:is>
      </x:c>
      <x:c r="I40" t="inlineStr">
        <x:is>
          <x:t xml:space="preserve">รับประทานครั้งละ 1 เม็ด วันละ 1 ครั้ง</x:t>
        </x:is>
      </x:c>
    </x:row>
    <x:row r="41">
      <x:c r="A41" t="n">
        <x:v>39</x:v>
      </x:c>
      <x:c r="B41" t="inlineStr">
        <x:is>
          <x:t xml:space="preserve">ยาแก้แพ้, ลดน้ำมูก (D)</x:t>
        </x:is>
      </x:c>
      <x:c r="C41" t="n">
        <x:v>41510</x:v>
      </x:c>
      <x:c r="D41" t="inlineStr">
        <x:is>
          <x:t xml:space="preserve">Clarid</x:t>
        </x:is>
      </x:c>
      <x:c r="E41" t="inlineStr">
        <x:is>
          <x:t xml:space="preserve">แผง 10 เม็ด</x:t>
        </x:is>
      </x:c>
      <x:c r="F41" t="inlineStr">
        <x:is>
          <x:t xml:space="preserve">Loratadine (Micronized) 10 mg</x:t>
        </x:is>
      </x:c>
      <x:c r="G41" t="inlineStr">
        <x:is>
          <x:t xml:space="preserve">BDS041510</x:t>
        </x:is>
      </x:c>
      <x:c r="H41" t="inlineStr">
        <x:is>
          <x:t xml:space="preserve">Clarid (10 tabs)</x:t>
        </x:is>
      </x:c>
      <x:c r="I41" t="inlineStr">
        <x:is>
          <x:t xml:space="preserve">รับประทานครั้งละ 1 เม็ด วันละ 1 ครั้ง </x:t>
        </x:is>
      </x:c>
    </x:row>
    <x:row r="42">
      <x:c r="A42" t="n">
        <x:v>40</x:v>
      </x:c>
      <x:c r="B42" t="inlineStr">
        <x:is>
          <x:t xml:space="preserve">ยาแก้แพ้, ลดน้ำมูก (D)</x:t>
        </x:is>
      </x:c>
      <x:c r="C42" t="n">
        <x:v>41499</x:v>
      </x:c>
      <x:c r="D42" t="inlineStr">
        <x:is>
          <x:t xml:space="preserve">Clarityne </x:t>
        </x:is>
      </x:c>
      <x:c r="E42" t="inlineStr">
        <x:is>
          <x:t xml:space="preserve">กล่อง 5 เม็ด</x:t>
        </x:is>
      </x:c>
      <x:c r="F42" t="inlineStr">
        <x:is>
          <x:t xml:space="preserve">Micronized loratadine 10 mg.</x:t>
        </x:is>
      </x:c>
      <x:c r="G42" t="inlineStr">
        <x:is>
          <x:t xml:space="preserve">BDS041499</x:t>
        </x:is>
      </x:c>
      <x:c r="H42" t="inlineStr">
        <x:is>
          <x:t xml:space="preserve">Clarityne  (5 tabs)</x:t>
        </x:is>
      </x:c>
      <x:c r="I42" t="inlineStr">
        <x:is>
          <x:t xml:space="preserve">รับประทานครั้งละ 1 เม็ด วันละ 1 ครั้ง </x:t>
        </x:is>
      </x:c>
    </x:row>
    <x:row r="43">
      <x:c r="A43" t="n">
        <x:v>41</x:v>
      </x:c>
      <x:c r="B43" t="inlineStr">
        <x:is>
          <x:t xml:space="preserve">ยาแก้แพ้, ลดน้ำมูก (D)</x:t>
        </x:is>
      </x:c>
      <x:c r="C43" t="n">
        <x:v>1978</x:v>
      </x:c>
      <x:c r="D43" t="inlineStr">
        <x:is>
          <x:t xml:space="preserve">Fenafex 180 mg</x:t>
        </x:is>
      </x:c>
      <x:c r="E43" t="inlineStr">
        <x:is>
          <x:t xml:space="preserve">กล่อง 10 เม็ด</x:t>
        </x:is>
      </x:c>
      <x:c r="F43" t="inlineStr">
        <x:is>
          <x:t xml:space="preserve">Fexofenadine HCl 180 mg.</x:t>
        </x:is>
      </x:c>
      <x:c r="G43" t="inlineStr">
        <x:is>
          <x:t xml:space="preserve">BDS001978</x:t>
        </x:is>
      </x:c>
      <x:c r="H43" t="inlineStr">
        <x:is>
          <x:t xml:space="preserve">Fenafex 180 mg (10 tabs)</x:t>
        </x:is>
      </x:c>
      <x:c r="I43" t="inlineStr">
        <x:is>
          <x:t xml:space="preserve">รับประทานครั้งละ 1 เม็ด วันละ 1 ครั้ง</x:t>
        </x:is>
      </x:c>
    </x:row>
    <x:row r="44">
      <x:c r="A44" t="n">
        <x:v>42</x:v>
      </x:c>
      <x:c r="B44" t="inlineStr">
        <x:is>
          <x:t xml:space="preserve">ยาแก้แพ้, ลดน้ำมูก (D)</x:t>
        </x:is>
      </x:c>
      <x:c r="C44" t="n">
        <x:v>1953</x:v>
      </x:c>
      <x:c r="D44" t="inlineStr">
        <x:is>
          <x:t xml:space="preserve">Fenafex 60 mg</x:t>
        </x:is>
      </x:c>
      <x:c r="E44" t="inlineStr">
        <x:is>
          <x:t xml:space="preserve">กล่อง 10 เม็ด</x:t>
        </x:is>
      </x:c>
      <x:c r="F44" t="inlineStr">
        <x:is>
          <x:t xml:space="preserve">Fexofenadine HCl 60 mg.</x:t>
        </x:is>
      </x:c>
      <x:c r="G44" t="inlineStr">
        <x:is>
          <x:t xml:space="preserve">BDS001953</x:t>
        </x:is>
      </x:c>
      <x:c r="H44" t="inlineStr">
        <x:is>
          <x:t xml:space="preserve">Fenafex 60 mg (10 tabs)</x:t>
        </x:is>
      </x:c>
      <x:c r="I44" t="inlineStr">
        <x:is>
          <x:t xml:space="preserve">รับประทานครั้งละ 1 เม็ด  วันละ 2 ครั้ง </x:t>
        </x:is>
      </x:c>
    </x:row>
    <x:row r="45">
      <x:c r="A45" t="n">
        <x:v>43</x:v>
      </x:c>
      <x:c r="B45" t="inlineStr">
        <x:is>
          <x:t xml:space="preserve">ยาแก้แพ้, ลดน้ำมูก (D)</x:t>
        </x:is>
      </x:c>
      <x:c r="C45" t="n">
        <x:v>7975</x:v>
      </x:c>
      <x:c r="D45" t="inlineStr">
        <x:is>
          <x:t xml:space="preserve">Fexotine</x:t>
        </x:is>
      </x:c>
      <x:c r="E45" t="inlineStr">
        <x:is>
          <x:t xml:space="preserve">กล่อง 10 เม็ด</x:t>
        </x:is>
      </x:c>
      <x:c r="F45" t="inlineStr">
        <x:is>
          <x:t xml:space="preserve">Fexofenadine HCl 60 mg.</x:t>
        </x:is>
      </x:c>
      <x:c r="G45" t="inlineStr">
        <x:is>
          <x:t xml:space="preserve">BDS007975</x:t>
        </x:is>
      </x:c>
      <x:c r="H45" t="inlineStr">
        <x:is>
          <x:t xml:space="preserve">Fexotine (10 tabs)</x:t>
        </x:is>
      </x:c>
      <x:c r="I45" t="inlineStr">
        <x:is>
          <x:t xml:space="preserve">รับประทานครั้งละ 1 เม็ด วันละ 2 ครั้ง</x:t>
        </x:is>
      </x:c>
    </x:row>
    <x:row r="46">
      <x:c r="A46" t="n">
        <x:v>44</x:v>
      </x:c>
      <x:c r="B46" t="inlineStr">
        <x:is>
          <x:t xml:space="preserve">ยาแก้แพ้, ลดน้ำมูก (D)</x:t>
        </x:is>
      </x:c>
      <x:c r="C46" t="n">
        <x:v>7145</x:v>
      </x:c>
      <x:c r="D46" t="inlineStr">
        <x:is>
          <x:t xml:space="preserve">Histatabs</x:t>
        </x:is>
      </x:c>
      <x:c r="E46" t="inlineStr">
        <x:is>
          <x:t xml:space="preserve">กระปุก 100 เม็ด</x:t>
        </x:is>
      </x:c>
      <x:c r="F46" t="inlineStr">
        <x:is>
          <x:t xml:space="preserve">Chlorpheniramine Maleate 4 mg.</x:t>
        </x:is>
      </x:c>
      <x:c r="G46" t="inlineStr">
        <x:is>
          <x:t xml:space="preserve">BDS007145</x:t>
        </x:is>
      </x:c>
      <x:c r="H46" t="inlineStr">
        <x:is>
          <x:t xml:space="preserve">Histatabs (100 tabs)</x:t>
        </x:is>
      </x:c>
      <x:c r="I46" t="inlineStr">
        <x:is>
          <x:t xml:space="preserve">รับประทานครั้งละ 1 เม็ด วันละ 3 ครั้ง หรือเมื่อมีอาการ</x:t>
        </x:is>
      </x:c>
    </x:row>
    <x:row r="47">
      <x:c r="A47" t="n">
        <x:v>45</x:v>
      </x:c>
      <x:c r="B47" t="inlineStr">
        <x:is>
          <x:t xml:space="preserve">ยาแก้แพ้, ลดน้ำมูก (D)</x:t>
        </x:is>
      </x:c>
      <x:c r="C47" t="n">
        <x:v>8701</x:v>
      </x:c>
      <x:c r="D47" t="inlineStr">
        <x:is>
          <x:t xml:space="preserve">Hydrox-25</x:t>
        </x:is>
      </x:c>
      <x:c r="E47" t="inlineStr">
        <x:is>
          <x:t xml:space="preserve">แผง 10 เม็ด</x:t>
        </x:is>
      </x:c>
      <x:c r="F47" t="inlineStr">
        <x:is>
          <x:t xml:space="preserve">Hydroxyzine HCl 25 mg.</x:t>
        </x:is>
      </x:c>
      <x:c r="G47" t="inlineStr">
        <x:is>
          <x:t xml:space="preserve">BDS008701</x:t>
        </x:is>
      </x:c>
      <x:c r="H47" t="inlineStr">
        <x:is>
          <x:t xml:space="preserve">Hydrox-25 (10 tabs)</x:t>
        </x:is>
      </x:c>
      <x:c r="I47" t="inlineStr">
        <x:is>
          <x:t xml:space="preserve">รับประทานครั้งละ 1-2 เม็ด วันละ 1 ครั้ง ก่อนนอน</x:t>
        </x:is>
      </x:c>
    </x:row>
    <x:row r="48">
      <x:c r="A48" t="n">
        <x:v>46</x:v>
      </x:c>
      <x:c r="B48" t="inlineStr">
        <x:is>
          <x:t xml:space="preserve">ยาแก้แพ้, ลดน้ำมูก (D)</x:t>
        </x:is>
      </x:c>
      <x:c r="C48" t="n">
        <x:v>44553</x:v>
      </x:c>
      <x:c r="D48" t="inlineStr">
        <x:is>
          <x:t xml:space="preserve">Levocet</x:t>
        </x:is>
      </x:c>
      <x:c r="E48" t="inlineStr">
        <x:is>
          <x:t xml:space="preserve">กล่อง 10 เม็ด</x:t>
        </x:is>
      </x:c>
      <x:c r="F48" t="inlineStr">
        <x:is>
          <x:t xml:space="preserve">Levocetirizine dihydrochloride 5 mg.</x:t>
        </x:is>
      </x:c>
      <x:c r="G48" t="inlineStr">
        <x:is>
          <x:t xml:space="preserve">BDS044553</x:t>
        </x:is>
      </x:c>
      <x:c r="H48" t="inlineStr">
        <x:is>
          <x:t xml:space="preserve">Levocet (10 tabs)</x:t>
        </x:is>
      </x:c>
      <x:c r="I48" t="inlineStr">
        <x:is>
          <x:t xml:space="preserve">ผู้ใหญ่และเด็กอายุ 12 ปีขึ้นไป รับประทานครั้งละ 1 เม็ด วันละ 1 ครั้ง โดยไม่ต้องคำนึงถึงมื้ออาหาร</x:t>
        </x:is>
      </x:c>
    </x:row>
    <x:row r="49">
      <x:c r="A49" t="n">
        <x:v>47</x:v>
      </x:c>
      <x:c r="B49" t="inlineStr">
        <x:is>
          <x:t xml:space="preserve">ยาแก้แพ้, ลดน้ำมูก (D)</x:t>
        </x:is>
      </x:c>
      <x:c r="C49" t="n">
        <x:v>6046</x:v>
      </x:c>
      <x:c r="D49" t="inlineStr">
        <x:is>
          <x:t xml:space="preserve">Loreze</x:t>
        </x:is>
      </x:c>
      <x:c r="E49" t="inlineStr">
        <x:is>
          <x:t xml:space="preserve">กล่อง 10 แคปซูล</x:t>
        </x:is>
      </x:c>
      <x:c r="F49" t="inlineStr">
        <x:is>
          <x:t xml:space="preserve">Loratadine 10 mg.</x:t>
        </x:is>
      </x:c>
      <x:c r="G49" t="inlineStr">
        <x:is>
          <x:t xml:space="preserve">BDS006046</x:t>
        </x:is>
      </x:c>
      <x:c r="H49" t="inlineStr">
        <x:is>
          <x:t xml:space="preserve">Loreze (10 cap)</x:t>
        </x:is>
      </x:c>
      <x:c r="I49" t="inlineStr">
        <x:is>
          <x:t xml:space="preserve">รับประทานครั้งละ 1 แคปซูล วันละ 1 ครั้ง หรือตามแพทย์สั่ง</x:t>
        </x:is>
      </x:c>
    </x:row>
    <x:row r="50">
      <x:c r="A50" t="n">
        <x:v>48</x:v>
      </x:c>
      <x:c r="B50" t="inlineStr">
        <x:is>
          <x:t xml:space="preserve">ยาแก้แพ้, ลดน้ำมูก (D)</x:t>
        </x:is>
      </x:c>
      <x:c r="C50" t="n">
        <x:v>8241</x:v>
      </x:c>
      <x:c r="D50" t="inlineStr">
        <x:is>
          <x:t xml:space="preserve">Manotabs</x:t>
        </x:is>
      </x:c>
      <x:c r="E50" t="inlineStr">
        <x:is>
          <x:t xml:space="preserve">แผง 10 เม็ด</x:t>
        </x:is>
      </x:c>
      <x:c r="F50" t="inlineStr">
        <x:is>
          <x:t xml:space="preserve">Cyproheptadine HCI 4 mg.</x:t>
        </x:is>
      </x:c>
      <x:c r="G50" t="inlineStr">
        <x:is>
          <x:t xml:space="preserve">BDS008241</x:t>
        </x:is>
      </x:c>
      <x:c r="H50" t="inlineStr">
        <x:is>
          <x:t xml:space="preserve">Manotabs (10 tabs)</x:t>
        </x:is>
      </x:c>
      <x:c r="I50" t="inlineStr">
        <x:is>
          <x:t xml:space="preserve">รับประทานครั้งละ 1 เม็ด วันละ 3 ครั้ง ก่อนอาหาร 30 นาที</x:t>
        </x:is>
      </x:c>
    </x:row>
    <x:row r="51">
      <x:c r="A51" t="n">
        <x:v>49</x:v>
      </x:c>
      <x:c r="B51" t="inlineStr">
        <x:is>
          <x:t xml:space="preserve">ยาแก้แพ้, ลดน้ำมูก (D)</x:t>
        </x:is>
      </x:c>
      <x:c r="C51" t="n">
        <x:v>3427</x:v>
      </x:c>
      <x:c r="D51" t="inlineStr">
        <x:is>
          <x:t xml:space="preserve">Montek 10 mg</x:t>
        </x:is>
      </x:c>
      <x:c r="E51" t="inlineStr">
        <x:is>
          <x:t xml:space="preserve">แผง 7 เม็ด</x:t>
        </x:is>
      </x:c>
      <x:c r="F51" t="inlineStr">
        <x:is>
          <x:t xml:space="preserve">Montelukast Sodium 10.4 mg.</x:t>
        </x:is>
      </x:c>
      <x:c r="G51" t="inlineStr">
        <x:is>
          <x:t xml:space="preserve">BDS003427</x:t>
        </x:is>
      </x:c>
      <x:c r="H51" t="inlineStr">
        <x:is>
          <x:t xml:space="preserve">Montek 10 mg (7 tabs)</x:t>
        </x:is>
      </x:c>
      <x:c r="I51" t="inlineStr">
        <x:is>
          <x:t xml:space="preserve">รับประทานครั้งละ 1 เม็ด วันละ 1 ครั้ง ก่อนนอน</x:t>
        </x:is>
      </x:c>
    </x:row>
    <x:row r="52">
      <x:c r="A52" t="n">
        <x:v>50</x:v>
      </x:c>
      <x:c r="B52" t="inlineStr">
        <x:is>
          <x:t xml:space="preserve">ยาแก้แพ้, ลดน้ำมูก (D)</x:t>
        </x:is>
      </x:c>
      <x:c r="C52" t="n">
        <x:v>44924</x:v>
      </x:c>
      <x:c r="D52" t="inlineStr">
        <x:is>
          <x:t xml:space="preserve">Montulair 10 mg </x:t>
        </x:is>
      </x:c>
      <x:c r="E52" t="inlineStr">
        <x:is>
          <x:t xml:space="preserve">แผง 10 เม็ด</x:t>
        </x:is>
      </x:c>
      <x:c r="F52" t="inlineStr">
        <x:is>
          <x:t xml:space="preserve">Montelukast 10 mg.</x:t>
        </x:is>
      </x:c>
      <x:c r="G52" t="inlineStr">
        <x:is>
          <x:t xml:space="preserve">BDS044924</x:t>
        </x:is>
      </x:c>
      <x:c r="H52" t="inlineStr">
        <x:is>
          <x:t xml:space="preserve">Montulair 10 mg  (10 tabs)</x:t>
        </x:is>
      </x:c>
      <x:c r="I52" t="inlineStr">
        <x:is>
          <x:t xml:space="preserve">รับประทานครั้งละ 1 เม็ด วันละ 1 ครั้ง ก่อนนอน</x:t>
        </x:is>
      </x:c>
    </x:row>
    <x:row r="53">
      <x:c r="A53" t="n">
        <x:v>51</x:v>
      </x:c>
      <x:c r="B53" t="inlineStr">
        <x:is>
          <x:t xml:space="preserve">ยาแก้แพ้, ลดน้ำมูก (D)</x:t>
        </x:is>
      </x:c>
      <x:c r="C53" t="n">
        <x:v>45630</x:v>
      </x:c>
      <x:c r="D53" t="inlineStr">
        <x:is>
          <x:t xml:space="preserve">Nasotapp</x:t>
        </x:is>
      </x:c>
      <x:c r="E53" t="inlineStr">
        <x:is>
          <x:t xml:space="preserve">แผง 10 เม็ด</x:t>
        </x:is>
      </x:c>
      <x:c r="F53" t="inlineStr">
        <x:is>
          <x:t xml:space="preserve">Brompheniramine Maleate 4 mg.+Phenylephrine HCl 10 mg.</x:t>
        </x:is>
      </x:c>
      <x:c r="G53" t="inlineStr">
        <x:is>
          <x:t xml:space="preserve">BDS045630</x:t>
        </x:is>
      </x:c>
      <x:c r="H53" t="inlineStr">
        <x:is>
          <x:t xml:space="preserve">Nasotapp (10 tabs)</x:t>
        </x:is>
      </x:c>
      <x:c r="I53" t="inlineStr">
        <x:is>
          <x:t xml:space="preserve">ผู้ใหญ่รับประทานครั้งละ 1 เม็ด ทุก 4-6 ชั่วโมง</x:t>
        </x:is>
      </x:c>
      <x:c r="K53" t="n">
        <x:v>116</x:v>
      </x:c>
      <x:c r="L53" t="n">
        <x:v>11.6</x:v>
      </x:c>
      <x:c r="M53" t="inlineStr">
        <x:is>
          <x:t xml:space="preserve">USER</x:t>
        </x:is>
      </x:c>
      <x:c r="N53" t="inlineStr">
        <x:is>
          <x:t xml:space="preserve">2026-02-07</x:t>
        </x:is>
      </x:c>
      <x:c r="O53" t="inlineStr">
        <x:is>
          <x:t xml:space="preserve">User provided price (Nasotapp 10 tabs).</x:t>
        </x:is>
      </x:c>
    </x:row>
    <x:row r="54">
      <x:c r="A54" t="n">
        <x:v>52</x:v>
      </x:c>
      <x:c r="B54" t="inlineStr">
        <x:is>
          <x:t xml:space="preserve">ยาแก้แพ้, ลดน้ำมูก (D)</x:t>
        </x:is>
      </x:c>
      <x:c r="C54" t="n">
        <x:v>47430</x:v>
      </x:c>
      <x:c r="D54" t="inlineStr">
        <x:is>
          <x:t xml:space="preserve">Rhinotapp</x:t>
        </x:is>
      </x:c>
      <x:c r="E54" t="inlineStr">
        <x:is>
          <x:t xml:space="preserve">แผง 10 เม็ด</x:t>
        </x:is>
      </x:c>
      <x:c r="F54" t="inlineStr">
        <x:is>
          <x:t xml:space="preserve">Brompheniramine Maleate 4 mg.+Phenylephrine HCl 10 mg.</x:t>
        </x:is>
      </x:c>
      <x:c r="G54" t="inlineStr">
        <x:is>
          <x:t xml:space="preserve">BDS047430</x:t>
        </x:is>
      </x:c>
      <x:c r="H54" t="inlineStr">
        <x:is>
          <x:t xml:space="preserve">Rhinotapp (10 tabs)</x:t>
        </x:is>
      </x:c>
      <x:c r="I54" t="inlineStr">
        <x:is>
          <x:t xml:space="preserve">รับประทานครั้งละ 1 เม็ด ทุก 4-6 ชั่วโมง</x:t>
        </x:is>
      </x:c>
    </x:row>
    <x:row r="55">
      <x:c r="A55" t="n">
        <x:v>53</x:v>
      </x:c>
      <x:c r="B55" t="inlineStr">
        <x:is>
          <x:t xml:space="preserve">ยาแก้แพ้, ลดน้ำมูก (D)</x:t>
        </x:is>
      </x:c>
      <x:c r="C55" t="n">
        <x:v>3511</x:v>
      </x:c>
      <x:c r="D55" t="inlineStr">
        <x:is>
          <x:t xml:space="preserve">Singulair 10 mg 7s</x:t>
        </x:is>
      </x:c>
      <x:c r="E55" t="inlineStr">
        <x:is>
          <x:t xml:space="preserve">แผง 7 เม็ด</x:t>
        </x:is>
      </x:c>
      <x:c r="F55" t="inlineStr">
        <x:is>
          <x:t xml:space="preserve">Montelukast Sodium 10.4 mg.</x:t>
        </x:is>
      </x:c>
      <x:c r="G55" t="inlineStr">
        <x:is>
          <x:t xml:space="preserve">BDS003511</x:t>
        </x:is>
      </x:c>
      <x:c r="H55" t="inlineStr">
        <x:is>
          <x:t xml:space="preserve">Singulair 10 mg 7s (7 tabs)</x:t>
        </x:is>
      </x:c>
      <x:c r="I55" t="inlineStr">
        <x:is>
          <x:t xml:space="preserve">รับประทานครั้งละ 1 เม็ด วันละ 1 ครั้ง ก่อนนอน</x:t>
        </x:is>
      </x:c>
    </x:row>
    <x:row r="56">
      <x:c r="A56" t="n">
        <x:v>54</x:v>
      </x:c>
      <x:c r="B56" t="inlineStr">
        <x:is>
          <x:t xml:space="preserve">ยาแก้แพ้, ลดน้ำมูก (D)</x:t>
        </x:is>
      </x:c>
      <x:c r="C56" t="n">
        <x:v>47722</x:v>
      </x:c>
      <x:c r="D56" t="inlineStr">
        <x:is>
          <x:t xml:space="preserve">Singulair 5 mg Box 28s</x:t>
        </x:is>
      </x:c>
      <x:c r="E56" t="inlineStr">
        <x:is>
          <x:t xml:space="preserve">กล่อง 4 แผง</x:t>
        </x:is>
      </x:c>
      <x:c r="F56" t="inlineStr">
        <x:is>
          <x:t xml:space="preserve">Montelukast Sodium 5.2 mg.</x:t>
        </x:is>
      </x:c>
      <x:c r="G56" t="inlineStr">
        <x:is>
          <x:t xml:space="preserve">BDS047722</x:t>
        </x:is>
      </x:c>
      <x:c r="H56" t="inlineStr">
        <x:is>
          <x:t xml:space="preserve">Singulair 5 mg Box 28s (4 blister)</x:t>
        </x:is>
      </x:c>
      <x:c r="I56" t="inlineStr">
        <x:is>
          <x:t xml:space="preserve">รับประทาน (เคี้ยว) ครั้งละ 1 เม็ดวันละ 1 ครั้ง ก่อนนอน</x:t>
        </x:is>
      </x:c>
    </x:row>
    <x:row r="57">
      <x:c r="A57" t="n">
        <x:v>55</x:v>
      </x:c>
      <x:c r="B57" t="inlineStr">
        <x:is>
          <x:t xml:space="preserve">ยาแก้แพ้, ลดน้ำมูก (D)</x:t>
        </x:is>
      </x:c>
      <x:c r="C57" t="n">
        <x:v>47643</x:v>
      </x:c>
      <x:c r="D57" t="inlineStr">
        <x:is>
          <x:t xml:space="preserve">Singulair Granules 4 mg</x:t>
        </x:is>
      </x:c>
      <x:c r="E57" t="inlineStr">
        <x:is>
          <x:t xml:space="preserve">กล่อง 28 ซอง</x:t>
        </x:is>
      </x:c>
      <x:c r="F57" t="inlineStr">
        <x:is>
          <x:t xml:space="preserve">Montelukast Sodium 4.2 mg.</x:t>
        </x:is>
      </x:c>
      <x:c r="G57" t="inlineStr">
        <x:is>
          <x:t xml:space="preserve">BDS047643</x:t>
        </x:is>
      </x:c>
      <x:c r="H57" t="inlineStr">
        <x:is>
          <x:t xml:space="preserve">Singulair Granules 4 mg (28 sachets)</x:t>
        </x:is>
      </x:c>
      <x:c r="I57" t="inlineStr">
        <x:is>
          <x:t xml:space="preserve">รับประทานครั้งละ 1 ซองวันละ 1 ครั้ง</x:t>
        </x:is>
      </x:c>
    </x:row>
    <x:row r="58">
      <x:c r="A58" t="n">
        <x:v>56</x:v>
      </x:c>
      <x:c r="B58" t="inlineStr">
        <x:is>
          <x:t xml:space="preserve">ยาแก้แพ้, ลดน้ำมูก (D)</x:t>
        </x:is>
      </x:c>
      <x:c r="C58" t="n">
        <x:v>3575</x:v>
      </x:c>
      <x:c r="D58" t="inlineStr">
        <x:is>
          <x:t xml:space="preserve">Sinufen</x:t>
        </x:is>
      </x:c>
      <x:c r="E58" t="inlineStr">
        <x:is>
          <x:t xml:space="preserve">แผง 10 เม็ด</x:t>
        </x:is>
      </x:c>
      <x:c r="F58" t="inlineStr">
        <x:is>
          <x:t xml:space="preserve">Brompheniramine Maleate 4 mg.+Phenylephrine HCl 10 mg.</x:t>
        </x:is>
      </x:c>
      <x:c r="G58" t="inlineStr">
        <x:is>
          <x:t xml:space="preserve">BDS003575</x:t>
        </x:is>
      </x:c>
      <x:c r="H58" t="inlineStr">
        <x:is>
          <x:t xml:space="preserve">Sinufen (10 tabs)</x:t>
        </x:is>
      </x:c>
      <x:c r="I58" t="inlineStr">
        <x:is>
          <x:t xml:space="preserve">ผู้ใหญ่รับประทานครั้งละ 1 เม็ด ทุก 4-6 ชั่วโมง</x:t>
        </x:is>
      </x:c>
    </x:row>
    <x:row r="59">
      <x:c r="A59" t="n">
        <x:v>57</x:v>
      </x:c>
      <x:c r="B59" t="inlineStr">
        <x:is>
          <x:t xml:space="preserve">ยาแก้แพ้, ลดน้ำมูก (D)</x:t>
        </x:is>
      </x:c>
      <x:c r="C59" t="n">
        <x:v>8481</x:v>
      </x:c>
      <x:c r="D59" t="inlineStr">
        <x:is>
          <x:t xml:space="preserve">Sominar</x:t>
        </x:is>
      </x:c>
      <x:c r="E59" t="inlineStr">
        <x:is>
          <x:t xml:space="preserve">แผง 10 เม็ด</x:t>
        </x:is>
      </x:c>
      <x:c r="F59" t="inlineStr">
        <x:is>
          <x:t xml:space="preserve">Doxylamine Succinate 25 mg.</x:t>
        </x:is>
      </x:c>
      <x:c r="G59" t="inlineStr">
        <x:is>
          <x:t xml:space="preserve">BDS008481</x:t>
        </x:is>
      </x:c>
      <x:c r="H59" t="inlineStr">
        <x:is>
          <x:t xml:space="preserve">Sominar (10 tabs)</x:t>
        </x:is>
      </x:c>
      <x:c r="I59" t="inlineStr">
        <x:is>
          <x:t xml:space="preserve">รับประทานครั้งละ 1-2 เม็ด วันละ 1 ครั้ง ก่อนนอน 1 ชั่วโมง</x:t>
        </x:is>
      </x:c>
    </x:row>
    <x:row r="60">
      <x:c r="A60" t="n">
        <x:v>58</x:v>
      </x:c>
      <x:c r="B60" t="inlineStr">
        <x:is>
          <x:t xml:space="preserve">ยาแก้แพ้, ลดน้ำมูก (D)</x:t>
        </x:is>
      </x:c>
      <x:c r="C60" t="n">
        <x:v>3562</x:v>
      </x:c>
      <x:c r="D60" t="inlineStr">
        <x:is>
          <x:t xml:space="preserve">Sulidine CP</x:t>
        </x:is>
      </x:c>
      <x:c r="E60" t="inlineStr">
        <x:is>
          <x:t xml:space="preserve">แผง 10 เม็ด</x:t>
        </x:is>
      </x:c>
      <x:c r="F60" t="inlineStr">
        <x:is>
          <x:t xml:space="preserve">Chlorpheniramine maleate 4.0 mg.+Phenylephrine hydrochloride 10.0 mg.</x:t>
        </x:is>
      </x:c>
      <x:c r="G60" t="inlineStr">
        <x:is>
          <x:t xml:space="preserve">BDS003562</x:t>
        </x:is>
      </x:c>
      <x:c r="H60" t="inlineStr">
        <x:is>
          <x:t xml:space="preserve">Sulidine CP (10 tabs)</x:t>
        </x:is>
      </x:c>
      <x:c r="I60" t="inlineStr">
        <x:is>
          <x:t xml:space="preserve">รับประทานครั้งละ 1 เม็ด วันละ 4 ครั้ง</x:t>
        </x:is>
      </x:c>
    </x:row>
    <x:row r="61">
      <x:c r="A61" t="n">
        <x:v>59</x:v>
      </x:c>
      <x:c r="B61" t="inlineStr">
        <x:is>
          <x:t xml:space="preserve">ยาแก้แพ้, ลดน้ำมูก (D)</x:t>
        </x:is>
      </x:c>
      <x:c r="C61" t="n">
        <x:v>3747</x:v>
      </x:c>
      <x:c r="D61" t="inlineStr">
        <x:is>
          <x:t xml:space="preserve">Telfast 180 mg</x:t>
        </x:is>
      </x:c>
      <x:c r="E61" t="inlineStr">
        <x:is>
          <x:t xml:space="preserve">กล่อง 10 เม็ด</x:t>
        </x:is>
      </x:c>
      <x:c r="F61" t="inlineStr">
        <x:is>
          <x:t xml:space="preserve">Fexofenadine HCl 180 mg.</x:t>
        </x:is>
      </x:c>
      <x:c r="G61" t="inlineStr">
        <x:is>
          <x:t xml:space="preserve">BDS003747</x:t>
        </x:is>
      </x:c>
      <x:c r="H61" t="inlineStr">
        <x:is>
          <x:t xml:space="preserve">Telfast 180 mg (10 tabs)</x:t>
        </x:is>
      </x:c>
      <x:c r="I61" t="inlineStr">
        <x:is>
          <x:t xml:space="preserve">รับประทานครั้งละ 1 เม็ด วันละ 1 ครั้ง </x:t>
        </x:is>
      </x:c>
      <x:c r="K61" t="n">
        <x:v>500</x:v>
      </x:c>
      <x:c r="L61" t="n">
        <x:v>50</x:v>
      </x:c>
      <x:c r="M61" t="inlineStr">
        <x:is>
          <x:t xml:space="preserve">USER</x:t>
        </x:is>
      </x:c>
      <x:c r="N61" t="inlineStr">
        <x:is>
          <x:t xml:space="preserve">2026-02-07</x:t>
        </x:is>
      </x:c>
      <x:c r="O61" t="inlineStr">
        <x:is>
          <x:t xml:space="preserve">User provided price (online). Unit price per tablet (10 tabs pack).</x:t>
        </x:is>
      </x:c>
    </x:row>
    <x:row r="62">
      <x:c r="A62" t="n">
        <x:v>60</x:v>
      </x:c>
      <x:c r="B62" t="inlineStr">
        <x:is>
          <x:t xml:space="preserve">ยาแก้แพ้, ลดน้ำมูก (D)</x:t>
        </x:is>
      </x:c>
      <x:c r="C62" t="n">
        <x:v>3769</x:v>
      </x:c>
      <x:c r="D62" t="inlineStr">
        <x:is>
          <x:t xml:space="preserve">Telfast 60 mg</x:t>
        </x:is>
      </x:c>
      <x:c r="E62" t="inlineStr">
        <x:is>
          <x:t xml:space="preserve">กล่อง 10 เม็ด</x:t>
        </x:is>
      </x:c>
      <x:c r="F62" t="inlineStr">
        <x:is>
          <x:t xml:space="preserve">Fexofenadine HCl 60 mg.</x:t>
        </x:is>
      </x:c>
      <x:c r="G62" t="inlineStr">
        <x:is>
          <x:t xml:space="preserve">BDS003769</x:t>
        </x:is>
      </x:c>
      <x:c r="H62" t="inlineStr">
        <x:is>
          <x:t xml:space="preserve">Telfast 60 mg (10 tabs)</x:t>
        </x:is>
      </x:c>
      <x:c r="I62" t="inlineStr">
        <x:is>
          <x:t xml:space="preserve">รับประทานครั้งละ 1 เม็ด วันละ 2 ครั้ง</x:t>
        </x:is>
      </x:c>
    </x:row>
    <x:row r="63">
      <x:c r="A63" t="n">
        <x:v>61</x:v>
      </x:c>
      <x:c r="B63" t="inlineStr">
        <x:is>
          <x:t xml:space="preserve">ยาแก้แพ้, ลดน้ำมูก (D)</x:t>
        </x:is>
      </x:c>
      <x:c r="C63" t="n">
        <x:v>49255</x:v>
      </x:c>
      <x:c r="D63" t="inlineStr">
        <x:is>
          <x:t xml:space="preserve">Vifas 180 mg.</x:t>
        </x:is>
      </x:c>
      <x:c r="E63" t="inlineStr">
        <x:is>
          <x:t xml:space="preserve">กล่อง 10 เม็ด</x:t>
        </x:is>
      </x:c>
      <x:c r="F63" t="inlineStr">
        <x:is>
          <x:t xml:space="preserve">Fexofenadine HCl 180 mg.</x:t>
        </x:is>
      </x:c>
      <x:c r="G63" t="inlineStr">
        <x:is>
          <x:t xml:space="preserve">BDS049255</x:t>
        </x:is>
      </x:c>
      <x:c r="H63" t="inlineStr">
        <x:is>
          <x:t xml:space="preserve">Vifas 180 mg. (10 tabs)</x:t>
        </x:is>
      </x:c>
      <x:c r="I63" t="inlineStr">
        <x:is>
          <x:t xml:space="preserve">รับประทานครั้งละ 1 เม็ดวันละ 1 ครั้ง</x:t>
        </x:is>
      </x:c>
    </x:row>
    <x:row r="64">
      <x:c r="A64" t="n">
        <x:v>62</x:v>
      </x:c>
      <x:c r="B64" t="inlineStr">
        <x:is>
          <x:t xml:space="preserve">ยาแก้แพ้, ลดน้ำมูก (D)</x:t>
        </x:is>
      </x:c>
      <x:c r="C64" t="n">
        <x:v>49254</x:v>
      </x:c>
      <x:c r="D64" t="inlineStr">
        <x:is>
          <x:t xml:space="preserve">Vifas 60 mg.</x:t>
        </x:is>
      </x:c>
      <x:c r="E64" t="inlineStr">
        <x:is>
          <x:t xml:space="preserve">กล่อง 10 เม็ด</x:t>
        </x:is>
      </x:c>
      <x:c r="F64" t="inlineStr">
        <x:is>
          <x:t xml:space="preserve">Fexofenadine HCl 60 mg.</x:t>
        </x:is>
      </x:c>
      <x:c r="G64" t="inlineStr">
        <x:is>
          <x:t xml:space="preserve">BDS049254</x:t>
        </x:is>
      </x:c>
      <x:c r="H64" t="inlineStr">
        <x:is>
          <x:t xml:space="preserve">Vifas 60 mg. (10 tabs)</x:t>
        </x:is>
      </x:c>
      <x:c r="I64" t="inlineStr">
        <x:is>
          <x:t xml:space="preserve">รับประทานครั้งละ 1 เม็ด วันละ 2 ครั้ง</x:t>
        </x:is>
      </x:c>
    </x:row>
    <x:row r="65">
      <x:c r="A65" t="n">
        <x:v>63</x:v>
      </x:c>
      <x:c r="B65" t="inlineStr">
        <x:is>
          <x:t xml:space="preserve">ยาแก้แพ้, ลดน้ำมูก (D)</x:t>
        </x:is>
      </x:c>
      <x:c r="C65" t="n">
        <x:v>4130</x:v>
      </x:c>
      <x:c r="D65" t="inlineStr">
        <x:is>
          <x:t xml:space="preserve">Xyzal 5 mg</x:t>
        </x:is>
      </x:c>
      <x:c r="E65" t="inlineStr">
        <x:is>
          <x:t xml:space="preserve">กล่อง 10 เม็ด</x:t>
        </x:is>
      </x:c>
      <x:c r="F65" t="inlineStr">
        <x:is>
          <x:t xml:space="preserve">Levocetirizine dihydrochloride 5 mg.</x:t>
        </x:is>
      </x:c>
      <x:c r="G65" t="inlineStr">
        <x:is>
          <x:t xml:space="preserve">BDS004130</x:t>
        </x:is>
      </x:c>
      <x:c r="H65" t="inlineStr">
        <x:is>
          <x:t xml:space="preserve">Xyzal 5 mg (10 tabs)</x:t>
        </x:is>
      </x:c>
      <x:c r="I65" t="inlineStr">
        <x:is>
          <x:t xml:space="preserve">ผู้ใหญ่และเด็กโตรับประทานครั้งละ 1 เม็ด วันละ 1 ครั้ง</x:t>
        </x:is>
      </x:c>
    </x:row>
    <x:row r="66">
      <x:c r="A66" t="n">
        <x:v>64</x:v>
      </x:c>
      <x:c r="B66" t="inlineStr">
        <x:is>
          <x:t xml:space="preserve">ยาแก้แพ้, ลดน้ำมูก (D)</x:t>
        </x:is>
      </x:c>
      <x:c r="C66" t="n">
        <x:v>7691</x:v>
      </x:c>
      <x:c r="D66" t="inlineStr">
        <x:is>
          <x:t xml:space="preserve">Zatifen</x:t>
        </x:is>
      </x:c>
      <x:c r="E66" t="inlineStr">
        <x:is>
          <x:t xml:space="preserve">แผง 10 เม็ด</x:t>
        </x:is>
      </x:c>
      <x:c r="F66" t="inlineStr">
        <x:is>
          <x:t xml:space="preserve">Ketotifen 1 mg.</x:t>
        </x:is>
      </x:c>
      <x:c r="G66" t="inlineStr">
        <x:is>
          <x:t xml:space="preserve">BDS007691</x:t>
        </x:is>
      </x:c>
      <x:c r="H66" t="inlineStr">
        <x:is>
          <x:t xml:space="preserve">Zatifen (10 tabs)</x:t>
        </x:is>
      </x:c>
      <x:c r="I66" t="inlineStr">
        <x:is>
          <x:t xml:space="preserve">รับประทานครั้งละ 1 เม็ด วันละ 2 ครั้ง</x:t>
        </x:is>
      </x:c>
    </x:row>
    <x:row r="67">
      <x:c r="A67" t="n">
        <x:v>65</x:v>
      </x:c>
      <x:c r="B67" t="inlineStr">
        <x:is>
          <x:t xml:space="preserve">ยาแก้แพ้, ลดน้ำมูก (D)</x:t>
        </x:is>
      </x:c>
      <x:c r="C67" t="n">
        <x:v>4224</x:v>
      </x:c>
      <x:c r="D67" t="inlineStr">
        <x:is>
          <x:t xml:space="preserve">Zensil</x:t>
        </x:is>
      </x:c>
      <x:c r="E67" t="inlineStr">
        <x:is>
          <x:t xml:space="preserve">กล่อง 10 เม็ด</x:t>
        </x:is>
      </x:c>
      <x:c r="F67" t="inlineStr">
        <x:is>
          <x:t xml:space="preserve">Cetirizine dihydrochloride 10 mg.</x:t>
        </x:is>
      </x:c>
      <x:c r="G67" t="inlineStr">
        <x:is>
          <x:t xml:space="preserve">BDS004224</x:t>
        </x:is>
      </x:c>
      <x:c r="H67" t="inlineStr">
        <x:is>
          <x:t xml:space="preserve">Zensil (10 tabs)</x:t>
        </x:is>
      </x:c>
      <x:c r="I67" t="inlineStr">
        <x:is>
          <x:t xml:space="preserve">รับประทานครั้งละ 1 เม็ด วันละ 1 ครั้ง</x:t>
        </x:is>
      </x:c>
    </x:row>
    <x:row r="68">
      <x:c r="A68" t="n">
        <x:v>66</x:v>
      </x:c>
      <x:c r="B68" t="inlineStr">
        <x:is>
          <x:t xml:space="preserve">ยาแก้แพ้, ลดน้ำมูก (D)</x:t>
        </x:is>
      </x:c>
      <x:c r="C68" t="n">
        <x:v>49778</x:v>
      </x:c>
      <x:c r="D68" t="inlineStr">
        <x:is>
          <x:t xml:space="preserve">Zirin</x:t>
        </x:is>
      </x:c>
      <x:c r="E68" t="inlineStr">
        <x:is>
          <x:t xml:space="preserve">กล่อง 10 แคปซูล</x:t>
        </x:is>
      </x:c>
      <x:c r="F68" t="inlineStr">
        <x:is>
          <x:t xml:space="preserve">Cetirizine dihydrochloride 10 mg.</x:t>
        </x:is>
      </x:c>
      <x:c r="G68" t="inlineStr">
        <x:is>
          <x:t xml:space="preserve">BDS049778</x:t>
        </x:is>
      </x:c>
      <x:c r="H68" t="inlineStr">
        <x:is>
          <x:t xml:space="preserve">Zirin (10 cap)</x:t>
        </x:is>
      </x:c>
      <x:c r="I68" t="inlineStr">
        <x:is>
          <x:t xml:space="preserve">รับประทานครั้งละ 1 แคปซูล วันละ 1 ครั้ง หรือตามแพทย์สั่ง</x:t>
        </x:is>
      </x:c>
    </x:row>
    <x:row r="69">
      <x:c r="A69" t="n">
        <x:v>67</x:v>
      </x:c>
      <x:c r="B69" t="inlineStr">
        <x:is>
          <x:t xml:space="preserve">ยาแก้แพ้, ลดน้ำมูก (D)</x:t>
        </x:is>
      </x:c>
      <x:c r="C69" t="n">
        <x:v>4213</x:v>
      </x:c>
      <x:c r="D69" t="inlineStr">
        <x:is>
          <x:t xml:space="preserve">Zyrtec</x:t>
        </x:is>
      </x:c>
      <x:c r="E69" t="inlineStr">
        <x:is>
          <x:t xml:space="preserve">กล่อง 10 เม็ด</x:t>
        </x:is>
      </x:c>
      <x:c r="F69" t="inlineStr">
        <x:is>
          <x:t xml:space="preserve">Cetirizine dihydrochloride 10 mg.</x:t>
        </x:is>
      </x:c>
      <x:c r="G69" t="inlineStr">
        <x:is>
          <x:t xml:space="preserve">BDS004213</x:t>
        </x:is>
      </x:c>
      <x:c r="H69" t="inlineStr">
        <x:is>
          <x:t xml:space="preserve">Zyrtec (10 tabs)</x:t>
        </x:is>
      </x:c>
      <x:c r="I69" t="inlineStr">
        <x:is>
          <x:t xml:space="preserve">รับประทานครั้งละ 1 เม็ด วันละ 1 ครั้ง</x:t>
        </x:is>
      </x:c>
      <x:c r="K69" t="n">
        <x:v>216</x:v>
      </x:c>
      <x:c r="L69" t="n">
        <x:v>21.6</x:v>
      </x:c>
      <x:c r="M69" t="inlineStr">
        <x:is>
          <x:t xml:space="preserve">USER</x:t>
        </x:is>
      </x:c>
      <x:c r="N69" t="inlineStr">
        <x:is>
          <x:t xml:space="preserve">2026-02-07</x:t>
        </x:is>
      </x:c>
      <x:c r="O69" t="inlineStr">
        <x:is>
          <x:t xml:space="preserve">User provided price (online). Unit price is per tablet (10-tab box).</x:t>
        </x:is>
      </x:c>
    </x:row>
    <x:row r="70">
      <x:c r="A70" t="n">
        <x:v>68</x:v>
      </x:c>
      <x:c r="B70" t="inlineStr">
        <x:is>
          <x:t xml:space="preserve">ยาแก้แพ้, ลดน้ำมูก (D)</x:t>
        </x:is>
      </x:c>
      <x:c r="C70" t="n">
        <x:v>8754</x:v>
      </x:c>
      <x:c r="D70" t="inlineStr">
        <x:is>
          <x:t xml:space="preserve">Zytizine F/C tabslet</x:t>
        </x:is>
      </x:c>
      <x:c r="E70" t="inlineStr">
        <x:is>
          <x:t xml:space="preserve">แผง 10 เม็ด</x:t>
        </x:is>
      </x:c>
      <x:c r="F70" t="inlineStr">
        <x:is>
          <x:t xml:space="preserve">Cetirizine dihydrochloride 10 mg.</x:t>
        </x:is>
      </x:c>
      <x:c r="G70" t="inlineStr">
        <x:is>
          <x:t xml:space="preserve">BDS008754</x:t>
        </x:is>
      </x:c>
      <x:c r="H70" t="inlineStr">
        <x:is>
          <x:t xml:space="preserve">Zytizine F/C tabslet (10 tabs)</x:t>
        </x:is>
      </x:c>
      <x:c r="I70" t="inlineStr">
        <x:is>
          <x:t xml:space="preserve">รับประทานครั้งละ 1 เม็ด วันละ 1 ครั้ง</x:t>
        </x:is>
      </x:c>
    </x:row>
    <x:row r="71">
      <x:c r="A71" t="n">
        <x:v>69</x:v>
      </x:c>
      <x:c r="B71" t="inlineStr">
        <x:is>
          <x:t xml:space="preserve">ยาแก้แพ้, ลดน้ำมูก</x:t>
        </x:is>
      </x:c>
      <x:c r="C71" t="n">
        <x:v>1008</x:v>
      </x:c>
      <x:c r="D71" t="inlineStr">
        <x:is>
          <x:t xml:space="preserve">Chlophe</x:t>
        </x:is>
      </x:c>
      <x:c r="E71" t="inlineStr">
        <x:is>
          <x:t xml:space="preserve">แผง 10 เม็ด</x:t>
        </x:is>
      </x:c>
      <x:c r="F71" t="inlineStr">
        <x:is>
          <x:t xml:space="preserve">Chlorpheniramine Maleate 2 mg.</x:t>
        </x:is>
      </x:c>
      <x:c r="G71" t="inlineStr">
        <x:is>
          <x:t xml:space="preserve">BDS001008</x:t>
        </x:is>
      </x:c>
      <x:c r="H71" t="inlineStr">
        <x:is>
          <x:t xml:space="preserve">Chlophe (10 tabs)</x:t>
        </x:is>
      </x:c>
      <x:c r="I71" t="inlineStr">
        <x:is>
          <x:t xml:space="preserve">รับประทานครั้งละ 1-2 เม็ด ทุก 4-6 ชั่วโมง หรือเมื่อมีอาการ</x:t>
        </x:is>
      </x:c>
    </x:row>
    <x:row r="72">
      <x:c r="A72" t="n">
        <x:v>70</x:v>
      </x:c>
      <x:c r="B72" t="inlineStr">
        <x:is>
          <x:t xml:space="preserve">ยาแก้แพ้, ลดน้ำมูก</x:t>
        </x:is>
      </x:c>
      <x:c r="C72" t="n">
        <x:v>41504</x:v>
      </x:c>
      <x:c r="D72" t="inlineStr">
        <x:is>
          <x:t xml:space="preserve">Chlorpheniramine 2 mg.</x:t>
        </x:is>
      </x:c>
      <x:c r="E72" t="inlineStr">
        <x:is>
          <x:t xml:space="preserve">ซอง 10 เม็ด</x:t>
        </x:is>
      </x:c>
      <x:c r="F72" t="inlineStr">
        <x:is>
          <x:t xml:space="preserve">Chlorpheniramine Maleate 2 mg.</x:t>
        </x:is>
      </x:c>
      <x:c r="G72" t="inlineStr">
        <x:is>
          <x:t xml:space="preserve">BDS041504</x:t>
        </x:is>
      </x:c>
      <x:c r="H72" t="inlineStr">
        <x:is>
          <x:t xml:space="preserve">Chlorpheniramine 2 mg. (10 tabs)</x:t>
        </x:is>
      </x:c>
      <x:c r="I72" t="inlineStr">
        <x:is>
          <x:t xml:space="preserve">รับประทานครั้งละ 1-2 เม็ด ทุก 4-6 ชั่วโมงเมื่อมีอาการ  </x:t>
        </x:is>
      </x:c>
    </x:row>
    <x:row r="73">
      <x:c r="A73" t="n">
        <x:v>71</x:v>
      </x:c>
      <x:c r="B73" t="inlineStr">
        <x:is>
          <x:t xml:space="preserve">ยาละลายเสมหะ</x:t>
        </x:is>
      </x:c>
      <x:c r="C73" t="n">
        <x:v>1255</x:v>
      </x:c>
      <x:c r="D73" t="inlineStr">
        <x:is>
          <x:t xml:space="preserve">Bisolvon</x:t>
        </x:is>
      </x:c>
      <x:c r="E73" t="inlineStr">
        <x:is>
          <x:t xml:space="preserve">แผง 10 เม็ด</x:t>
        </x:is>
      </x:c>
      <x:c r="F73" t="inlineStr">
        <x:is>
          <x:t xml:space="preserve">Bromhexine HCl 8 mg.</x:t>
        </x:is>
      </x:c>
      <x:c r="G73" t="inlineStr">
        <x:is>
          <x:t xml:space="preserve">BDS001255</x:t>
        </x:is>
      </x:c>
      <x:c r="H73" t="inlineStr">
        <x:is>
          <x:t xml:space="preserve">Bisolvon (10 tabs)</x:t>
        </x:is>
      </x:c>
      <x:c r="I73" t="inlineStr">
        <x:is>
          <x:t xml:space="preserve">รับประทานครั้งละ 1 เม็ด วันละ 3 ครั้ง</x:t>
        </x:is>
      </x:c>
      <x:c r="P73" t="inlineStr">
        <x:is>
          <x:t xml:space="preserve">Cough medicines / mucolytics / expectorants</x:t>
        </x:is>
      </x:c>
    </x:row>
    <x:row r="74">
      <x:c r="A74" t="n">
        <x:v>72</x:v>
      </x:c>
      <x:c r="B74" t="inlineStr">
        <x:is>
          <x:t xml:space="preserve">ยาละลายเสมหะ</x:t>
        </x:is>
      </x:c>
      <x:c r="C74" t="n">
        <x:v>8141</x:v>
      </x:c>
      <x:c r="D74" t="inlineStr">
        <x:is>
          <x:t xml:space="preserve">Bocytin Capsule</x:t>
        </x:is>
      </x:c>
      <x:c r="E74" t="inlineStr">
        <x:is>
          <x:t xml:space="preserve">กล่อง 10 แคปซูล</x:t>
        </x:is>
      </x:c>
      <x:c r="F74" t="inlineStr">
        <x:is>
          <x:t xml:space="preserve">Carbocysteine 375 mg.</x:t>
        </x:is>
      </x:c>
      <x:c r="G74" t="inlineStr">
        <x:is>
          <x:t xml:space="preserve">BDS008141</x:t>
        </x:is>
      </x:c>
      <x:c r="H74" t="inlineStr">
        <x:is>
          <x:t xml:space="preserve">Bocytin Capsule (10 cap)</x:t>
        </x:is>
      </x:c>
      <x:c r="I74" t="inlineStr">
        <x:is>
          <x:t xml:space="preserve">รับประทานครั้งละ 2 แคปซูล วันละ 3 ครั้ง</x:t>
        </x:is>
      </x:c>
      <x:c r="P74" t="inlineStr">
        <x:is>
          <x:t xml:space="preserve">Cough medicines / mucolytics / expectorants</x:t>
        </x:is>
      </x:c>
    </x:row>
    <x:row r="75">
      <x:c r="A75" t="n">
        <x:v>73</x:v>
      </x:c>
      <x:c r="B75" t="inlineStr">
        <x:is>
          <x:t xml:space="preserve">ยาละลายเสมหะ</x:t>
        </x:is>
      </x:c>
      <x:c r="C75" t="n">
        <x:v>1531</x:v>
      </x:c>
      <x:c r="D75" t="inlineStr">
        <x:is>
          <x:t xml:space="preserve">Cystaline</x:t>
        </x:is>
      </x:c>
      <x:c r="E75" t="inlineStr">
        <x:is>
          <x:t xml:space="preserve">หลอด 10 เม็ด</x:t>
        </x:is>
      </x:c>
      <x:c r="F75" t="inlineStr">
        <x:is>
          <x:t xml:space="preserve">Acetylcysteine 600 mg.</x:t>
        </x:is>
      </x:c>
      <x:c r="G75" t="inlineStr">
        <x:is>
          <x:t xml:space="preserve">BDS001531</x:t>
        </x:is>
      </x:c>
      <x:c r="H75" t="inlineStr">
        <x:is>
          <x:t xml:space="preserve">Cystaline (10 tabs)</x:t>
        </x:is>
      </x:c>
      <x:c r="I75" t="inlineStr">
        <x:is>
          <x:t xml:space="preserve">รับประทาน (ละลายยาในน้ำครึ่งแก้ว) ครั้งละ 1 เม็ดฟู่ วันละ 1 ครั้ง ก่อนอาหารเย็น</x:t>
        </x:is>
      </x:c>
      <x:c r="P75" t="inlineStr">
        <x:is>
          <x:t xml:space="preserve">Cough medicines / mucolytics / expectorants</x:t>
        </x:is>
      </x:c>
    </x:row>
    <x:row r="76">
      <x:c r="A76" t="n">
        <x:v>74</x:v>
      </x:c>
      <x:c r="B76" t="inlineStr">
        <x:is>
          <x:t xml:space="preserve">ยาละลายเสมหะ</x:t>
        </x:is>
      </x:c>
      <x:c r="C76" t="n">
        <x:v>43123</x:v>
      </x:c>
      <x:c r="D76" t="inlineStr">
        <x:is>
          <x:t xml:space="preserve">Facil 100</x:t>
        </x:is>
      </x:c>
      <x:c r="E76" t="inlineStr">
        <x:is>
          <x:t xml:space="preserve">ซอง 5 g.</x:t>
        </x:is>
      </x:c>
      <x:c r="F76" t="inlineStr">
        <x:is>
          <x:t xml:space="preserve">Acetylcysteine 100 mg./5 g.</x:t>
        </x:is>
      </x:c>
      <x:c r="G76" t="inlineStr">
        <x:is>
          <x:t xml:space="preserve">BDS043123</x:t>
        </x:is>
      </x:c>
      <x:c r="H76" t="inlineStr">
        <x:is>
          <x:t xml:space="preserve">Facil 100 (5 g.)</x:t>
        </x:is>
      </x:c>
      <x:c r="I76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76" t="inlineStr">
        <x:is>
          <x:t xml:space="preserve">Cough medicines / mucolytics / expectorants</x:t>
        </x:is>
      </x:c>
    </x:row>
    <x:row r="77">
      <x:c r="A77" t="n">
        <x:v>75</x:v>
      </x:c>
      <x:c r="B77" t="inlineStr">
        <x:is>
          <x:t xml:space="preserve">ยาละลายเสมหะ</x:t>
        </x:is>
      </x:c>
      <x:c r="C77" t="n">
        <x:v>43124</x:v>
      </x:c>
      <x:c r="D77" t="inlineStr">
        <x:is>
          <x:t xml:space="preserve">Facil 200</x:t>
        </x:is>
      </x:c>
      <x:c r="E77" t="inlineStr">
        <x:is>
          <x:t xml:space="preserve">ซอง 3 g.</x:t>
        </x:is>
      </x:c>
      <x:c r="F77" t="inlineStr">
        <x:is>
          <x:t xml:space="preserve">Acetylcysteine 200 mg./3 g.</x:t>
        </x:is>
      </x:c>
      <x:c r="G77" t="inlineStr">
        <x:is>
          <x:t xml:space="preserve">BDS043124</x:t>
        </x:is>
      </x:c>
      <x:c r="H77" t="inlineStr">
        <x:is>
          <x:t xml:space="preserve">Facil 200 (3 g.)</x:t>
        </x:is>
      </x:c>
      <x:c r="I77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77" t="inlineStr">
        <x:is>
          <x:t xml:space="preserve">Cough medicines / mucolytics / expectorants</x:t>
        </x:is>
      </x:c>
    </x:row>
    <x:row r="78">
      <x:c r="A78" t="n">
        <x:v>76</x:v>
      </x:c>
      <x:c r="B78" t="inlineStr">
        <x:is>
          <x:t xml:space="preserve">ยาละลายเสมหะ</x:t>
        </x:is>
      </x:c>
      <x:c r="C78" t="n">
        <x:v>1937</x:v>
      </x:c>
      <x:c r="D78" t="inlineStr">
        <x:is>
          <x:t xml:space="preserve">Flemex Foil</x:t>
        </x:is>
      </x:c>
      <x:c r="E78" t="inlineStr">
        <x:is>
          <x:t xml:space="preserve">แผง 10 เม็ด</x:t>
        </x:is>
      </x:c>
      <x:c r="F78" t="inlineStr">
        <x:is>
          <x:t xml:space="preserve">Carbocysteine 375 mg.</x:t>
        </x:is>
      </x:c>
      <x:c r="G78" t="inlineStr">
        <x:is>
          <x:t xml:space="preserve">BDS001937</x:t>
        </x:is>
      </x:c>
      <x:c r="H78" t="inlineStr">
        <x:is>
          <x:t xml:space="preserve">Flemex Foil (10 tabs)</x:t>
        </x:is>
      </x:c>
      <x:c r="I78" t="inlineStr">
        <x:is>
          <x:t xml:space="preserve">รับประทานครั้งละ 2 เม็ด วันละ 3 ครั้ง</x:t>
        </x:is>
      </x:c>
      <x:c r="P78" t="inlineStr">
        <x:is>
          <x:t xml:space="preserve">Cough medicines / mucolytics / expectorants</x:t>
        </x:is>
      </x:c>
    </x:row>
    <x:row r="79">
      <x:c r="A79" t="n">
        <x:v>77</x:v>
      </x:c>
      <x:c r="B79" t="inlineStr">
        <x:is>
          <x:t xml:space="preserve">ยาละลายเสมหะ</x:t>
        </x:is>
      </x:c>
      <x:c r="C79" t="n">
        <x:v>43121</x:v>
      </x:c>
      <x:c r="D79" t="inlineStr">
        <x:is>
          <x:t xml:space="preserve">Flemex-AC OD</x:t>
        </x:is>
      </x:c>
      <x:c r="E79" t="inlineStr">
        <x:is>
          <x:t xml:space="preserve">แผง 2 เม็ด</x:t>
        </x:is>
      </x:c>
      <x:c r="F79" t="inlineStr">
        <x:is>
          <x:t xml:space="preserve">Acetylcysteine 600 mg.</x:t>
        </x:is>
      </x:c>
      <x:c r="G79" t="inlineStr">
        <x:is>
          <x:t xml:space="preserve">BDS043121</x:t>
        </x:is>
      </x:c>
      <x:c r="H79" t="inlineStr">
        <x:is>
          <x:t xml:space="preserve">Flemex-AC OD (2 tabs)</x:t>
        </x:is>
      </x:c>
      <x:c r="I79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79" t="inlineStr">
        <x:is>
          <x:t xml:space="preserve">Cough medicines / mucolytics / expectorants</x:t>
        </x:is>
      </x:c>
    </x:row>
    <x:row r="80">
      <x:c r="A80" t="n">
        <x:v>78</x:v>
      </x:c>
      <x:c r="B80" t="inlineStr">
        <x:is>
          <x:t xml:space="preserve">ยาละลายเสมหะ</x:t>
        </x:is>
      </x:c>
      <x:c r="C80" t="n">
        <x:v>1936</x:v>
      </x:c>
      <x:c r="D80" t="inlineStr">
        <x:is>
          <x:t xml:space="preserve">Fluimucil A 200 mg</x:t>
        </x:is>
      </x:c>
      <x:c r="E80" t="inlineStr">
        <x:is>
          <x:t xml:space="preserve">ซอง 3 g.</x:t>
        </x:is>
      </x:c>
      <x:c r="F80" t="inlineStr">
        <x:is>
          <x:t xml:space="preserve">Acetylcysteine 200 mg./3 g.</x:t>
        </x:is>
      </x:c>
      <x:c r="G80" t="inlineStr">
        <x:is>
          <x:t xml:space="preserve">BDS001936</x:t>
        </x:is>
      </x:c>
      <x:c r="H80" t="inlineStr">
        <x:is>
          <x:t xml:space="preserve">Fluimucil A 200 mg (3 g.)</x:t>
        </x:is>
      </x:c>
      <x:c r="I80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80" t="inlineStr">
        <x:is>
          <x:t xml:space="preserve">Cough medicines / mucolytics / expectorants</x:t>
        </x:is>
      </x:c>
    </x:row>
    <x:row r="81">
      <x:c r="A81" t="n">
        <x:v>79</x:v>
      </x:c>
      <x:c r="B81" t="inlineStr">
        <x:is>
          <x:t xml:space="preserve">ยาละลายเสมหะ</x:t>
        </x:is>
      </x:c>
      <x:c r="C81" t="n">
        <x:v>1909</x:v>
      </x:c>
      <x:c r="D81" t="inlineStr">
        <x:is>
          <x:t xml:space="preserve">Fluimucil A 600 mg</x:t>
        </x:is>
      </x:c>
      <x:c r="E81" t="inlineStr">
        <x:is>
          <x:t xml:space="preserve">แผง 2 เม็ด</x:t>
        </x:is>
      </x:c>
      <x:c r="F81" t="inlineStr">
        <x:is>
          <x:t xml:space="preserve">Acetylcysteine 600 mg.</x:t>
        </x:is>
      </x:c>
      <x:c r="G81" t="inlineStr">
        <x:is>
          <x:t xml:space="preserve">BDS001909</x:t>
        </x:is>
      </x:c>
      <x:c r="H81" t="inlineStr">
        <x:is>
          <x:t xml:space="preserve">Fluimucil A 600 mg (2 tabs)</x:t>
        </x:is>
      </x:c>
      <x:c r="I81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81" t="inlineStr">
        <x:is>
          <x:t xml:space="preserve">Cough medicines / mucolytics / expectorants</x:t>
        </x:is>
      </x:c>
    </x:row>
    <x:row r="82">
      <x:c r="A82" t="n">
        <x:v>80</x:v>
      </x:c>
      <x:c r="B82" t="inlineStr">
        <x:is>
          <x:t xml:space="preserve">ยาละลายเสมหะ</x:t>
        </x:is>
      </x:c>
      <x:c r="C82" t="n">
        <x:v>2574</x:v>
      </x:c>
      <x:c r="D82" t="inlineStr">
        <x:is>
          <x:t xml:space="preserve">Muclear tabslet</x:t>
        </x:is>
      </x:c>
      <x:c r="E82" t="inlineStr">
        <x:is>
          <x:t xml:space="preserve">หลอด 10 เม็ด</x:t>
        </x:is>
      </x:c>
      <x:c r="F82" t="inlineStr">
        <x:is>
          <x:t xml:space="preserve">Acetylcysteine 600 mg.</x:t>
        </x:is>
      </x:c>
      <x:c r="G82" t="inlineStr">
        <x:is>
          <x:t xml:space="preserve">BDS002574</x:t>
        </x:is>
      </x:c>
      <x:c r="H82" t="inlineStr">
        <x:is>
          <x:t xml:space="preserve">Muclear tabslet (10 tabs)</x:t>
        </x:is>
      </x:c>
      <x:c r="I82" t="inlineStr">
        <x:is>
          <x:t xml:space="preserve">ละลายยาครั้งละ 1 เม็ด ลงในน้ำครึ่งแก้ว ดื่มวันละ 1 ครั้ง หลังอาหารเย็น </x:t>
        </x:is>
      </x:c>
      <x:c r="P82" t="inlineStr">
        <x:is>
          <x:t xml:space="preserve">Cough medicines / mucolytics / expectorants</x:t>
        </x:is>
      </x:c>
    </x:row>
    <x:row r="83">
      <x:c r="A83" t="n">
        <x:v>81</x:v>
      </x:c>
      <x:c r="B83" t="inlineStr">
        <x:is>
          <x:t xml:space="preserve">ยาละลายเสมหะ</x:t>
        </x:is>
      </x:c>
      <x:c r="C83" t="n">
        <x:v>2655</x:v>
      </x:c>
      <x:c r="D83" t="inlineStr">
        <x:is>
          <x:t xml:space="preserve">Mucolid</x:t>
        </x:is>
      </x:c>
      <x:c r="E83" t="inlineStr">
        <x:is>
          <x:t xml:space="preserve">แผง 10 เม็ด</x:t>
        </x:is>
      </x:c>
      <x:c r="F83" t="inlineStr">
        <x:is>
          <x:t xml:space="preserve">Ambroxol HCl 30 mg.</x:t>
        </x:is>
      </x:c>
      <x:c r="G83" t="inlineStr">
        <x:is>
          <x:t xml:space="preserve">BDS002655</x:t>
        </x:is>
      </x:c>
      <x:c r="H83" t="inlineStr">
        <x:is>
          <x:t xml:space="preserve">Mucolid (10 tabs)</x:t>
        </x:is>
      </x:c>
      <x:c r="I83" t="inlineStr">
        <x:is>
          <x:t xml:space="preserve">รับประทานครั้งละ 1 เม็ด วันละ 3-4 ครั้ง </x:t>
        </x:is>
      </x:c>
      <x:c r="K83" t="n">
        <x:v>90</x:v>
      </x:c>
      <x:c r="L83" t="n">
        <x:v>9</x:v>
      </x:c>
      <x:c r="M83" t="inlineStr">
        <x:is>
          <x:t xml:space="preserve">USER</x:t>
        </x:is>
      </x:c>
      <x:c r="N83" t="inlineStr">
        <x:is>
          <x:t xml:space="preserve">2026-02-07</x:t>
        </x:is>
      </x:c>
      <x:c r="O83" t="inlineStr">
        <x:is>
          <x:t xml:space="preserve">User provided price (Mucolid 10 tabs).</x:t>
        </x:is>
      </x:c>
      <x:c r="P83" t="inlineStr">
        <x:is>
          <x:t xml:space="preserve">Cough medicines / mucolytics / expectorants</x:t>
        </x:is>
      </x:c>
    </x:row>
    <x:row r="84">
      <x:c r="A84" t="n">
        <x:v>82</x:v>
      </x:c>
      <x:c r="B84" t="inlineStr">
        <x:is>
          <x:t xml:space="preserve">ยาละลายเสมหะ</x:t>
        </x:is>
      </x:c>
      <x:c r="C84" t="n">
        <x:v>2640</x:v>
      </x:c>
      <x:c r="D84" t="inlineStr">
        <x:is>
          <x:t xml:space="preserve">Mucolid SF 600</x:t>
        </x:is>
      </x:c>
      <x:c r="E84" t="inlineStr">
        <x:is>
          <x:t xml:space="preserve">ซอง 7 g.</x:t>
        </x:is>
      </x:c>
      <x:c r="F84" t="inlineStr">
        <x:is>
          <x:t xml:space="preserve">Acetylcysteine 600 mg./7 g.</x:t>
        </x:is>
      </x:c>
      <x:c r="G84" t="inlineStr">
        <x:is>
          <x:t xml:space="preserve">BDS002640</x:t>
        </x:is>
      </x:c>
      <x:c r="H84" t="inlineStr">
        <x:is>
          <x:t xml:space="preserve">Mucolid SF 600 (7 g.)</x:t>
        </x:is>
      </x:c>
      <x:c r="I84" t="inlineStr">
        <x:is>
          <x:t xml:space="preserve">ผู้ใหญ่รับประทาน (ละลาย) ครั้งละ 1 ซอง ต่อน้ำครึ่งถ้วย วันละ 1 ครั้ง หรือตามแพทย์สั่ง</x:t>
        </x:is>
      </x:c>
      <x:c r="P84" t="inlineStr">
        <x:is>
          <x:t xml:space="preserve">Cough medicines / mucolytics / expectorants</x:t>
        </x:is>
      </x:c>
    </x:row>
    <x:row r="85">
      <x:c r="A85" t="n">
        <x:v>83</x:v>
      </x:c>
      <x:c r="B85" t="inlineStr">
        <x:is>
          <x:t xml:space="preserve">ยาละลายเสมหะ</x:t>
        </x:is>
      </x:c>
      <x:c r="C85" t="n">
        <x:v>8135</x:v>
      </x:c>
      <x:c r="D85" t="inlineStr">
        <x:is>
          <x:t xml:space="preserve">Muco-Sea 200</x:t>
        </x:is>
      </x:c>
      <x:c r="E85" t="inlineStr">
        <x:is>
          <x:t xml:space="preserve">ซอง 3 g.</x:t>
        </x:is>
      </x:c>
      <x:c r="F85" t="inlineStr">
        <x:is>
          <x:t xml:space="preserve">Acetylcysteine 200 mg./3 g.</x:t>
        </x:is>
      </x:c>
      <x:c r="G85" t="inlineStr">
        <x:is>
          <x:t xml:space="preserve">BDS008135</x:t>
        </x:is>
      </x:c>
      <x:c r="H85" t="inlineStr">
        <x:is>
          <x:t xml:space="preserve">Muco-Sea 200 (3 g.)</x:t>
        </x:is>
      </x:c>
      <x:c r="I85" t="inlineStr">
        <x:is>
          <x:t xml:space="preserve">ละลายยา 1 ซองต่อน้ำ ครึ่ง แก้ว รับประทานวันละ 3-4  ครั้ง </x:t>
        </x:is>
      </x:c>
      <x:c r="P85" t="inlineStr">
        <x:is>
          <x:t xml:space="preserve">Cough medicines / mucolytics / expectorants</x:t>
        </x:is>
      </x:c>
    </x:row>
    <x:row r="86">
      <x:c r="A86" t="n">
        <x:v>84</x:v>
      </x:c>
      <x:c r="B86" t="inlineStr">
        <x:is>
          <x:t xml:space="preserve">ยาละลายเสมหะ</x:t>
        </x:is>
      </x:c>
      <x:c r="C86" t="n">
        <x:v>2643</x:v>
      </x:c>
      <x:c r="D86" t="inlineStr">
        <x:is>
          <x:t xml:space="preserve">Mucosolvan</x:t>
        </x:is>
      </x:c>
      <x:c r="E86" t="inlineStr">
        <x:is>
          <x:t xml:space="preserve">แผง 10 เม็ด</x:t>
        </x:is>
      </x:c>
      <x:c r="F86" t="inlineStr">
        <x:is>
          <x:t xml:space="preserve">Ambroxol HCl 30 mg.</x:t>
        </x:is>
      </x:c>
      <x:c r="G86" t="inlineStr">
        <x:is>
          <x:t xml:space="preserve">BDS002643</x:t>
        </x:is>
      </x:c>
      <x:c r="H86" t="inlineStr">
        <x:is>
          <x:t xml:space="preserve">Mucosolvan (10 tabs)</x:t>
        </x:is>
      </x:c>
      <x:c r="I86" t="inlineStr">
        <x:is>
          <x:t xml:space="preserve">รับประทานครั้งละ 1 เม็ด วันละ 3-4 ครั้ง</x:t>
        </x:is>
      </x:c>
      <x:c r="P86" t="inlineStr">
        <x:is>
          <x:t xml:space="preserve">Cough medicines / mucolytics / expectorants</x:t>
        </x:is>
      </x:c>
    </x:row>
    <x:row r="87">
      <x:c r="A87" t="n">
        <x:v>85</x:v>
      </x:c>
      <x:c r="B87" t="inlineStr">
        <x:is>
          <x:t xml:space="preserve">ยาละลายเสมหะ</x:t>
        </x:is>
      </x:c>
      <x:c r="C87" t="n">
        <x:v>2639</x:v>
      </x:c>
      <x:c r="D87" t="inlineStr">
        <x:is>
          <x:t xml:space="preserve">Mucosolvan PL</x:t>
        </x:is>
      </x:c>
      <x:c r="E87" t="inlineStr">
        <x:is>
          <x:t xml:space="preserve">แผง 10 แคปซูล</x:t>
        </x:is>
      </x:c>
      <x:c r="F87" t="inlineStr">
        <x:is>
          <x:t xml:space="preserve">Ambroxol HCl 75 mg.</x:t>
        </x:is>
      </x:c>
      <x:c r="G87" t="inlineStr">
        <x:is>
          <x:t xml:space="preserve">BDS002639</x:t>
        </x:is>
      </x:c>
      <x:c r="H87" t="inlineStr">
        <x:is>
          <x:t xml:space="preserve">Mucosolvan PL (10 cap)</x:t>
        </x:is>
      </x:c>
      <x:c r="I87" t="inlineStr">
        <x:is>
          <x:t xml:space="preserve">N/A</x:t>
        </x:is>
      </x:c>
      <x:c r="P87" t="inlineStr">
        <x:is>
          <x:t xml:space="preserve">Cough medicines / mucolytics / expectorants</x:t>
        </x:is>
      </x:c>
    </x:row>
    <x:row r="88">
      <x:c r="A88" t="n">
        <x:v>86</x:v>
      </x:c>
      <x:c r="B88" t="inlineStr">
        <x:is>
          <x:t xml:space="preserve">ยาละลายเสมหะ</x:t>
        </x:is>
      </x:c>
      <x:c r="C88" t="n">
        <x:v>2901</x:v>
      </x:c>
      <x:c r="D88" t="inlineStr">
        <x:is>
          <x:t xml:space="preserve">Nac Long</x:t>
        </x:is>
      </x:c>
      <x:c r="E88" t="inlineStr">
        <x:is>
          <x:t xml:space="preserve">หลอด 10 เม็ด</x:t>
        </x:is>
      </x:c>
      <x:c r="F88" t="inlineStr">
        <x:is>
          <x:t xml:space="preserve">Acetylcysteine 600 mg.</x:t>
        </x:is>
      </x:c>
      <x:c r="G88" t="inlineStr">
        <x:is>
          <x:t xml:space="preserve">BDS002901</x:t>
        </x:is>
      </x:c>
      <x:c r="H88" t="inlineStr">
        <x:is>
          <x:t xml:space="preserve">Nac Long (10 tabs)</x:t>
        </x:is>
      </x:c>
      <x:c r="I88" t="inlineStr">
        <x:is>
          <x:t xml:space="preserve"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x:t>
        </x:is>
      </x:c>
      <x:c r="J88" t="inlineStr">
        <x:is>
          <x:t xml:space="preserve">orally (dissolve the drug in half a glass of water), Take 2-4 tablets once a day before bedtime. 1 time a day before dinner</x:t>
        </x:is>
      </x:c>
      <x:c r="K88" t="n">
        <x:v>270</x:v>
      </x:c>
      <x:c r="L88" t="n">
        <x:v>27</x:v>
      </x:c>
      <x:c r="M88" t="inlineStr">
        <x:is>
          <x:t xml:space="preserve">USER</x:t>
        </x:is>
      </x:c>
      <x:c r="N88" t="inlineStr">
        <x:is>
          <x:t xml:space="preserve">2026-02-07</x:t>
        </x:is>
      </x:c>
      <x:c r="O88" t="inlineStr">
        <x:is>
          <x:t xml:space="preserve">User provided price (online). Unit price is per tablet (10-tab tube).</x:t>
        </x:is>
      </x:c>
      <x:c r="P88" t="inlineStr">
        <x:is>
          <x:t xml:space="preserve">Cough medicines / mucolytics / expectorants</x:t>
        </x:is>
      </x:c>
    </x:row>
    <x:row r="89">
      <x:c r="A89" t="n">
        <x:v>87</x:v>
      </x:c>
      <x:c r="B89" t="inlineStr">
        <x:is>
          <x:t xml:space="preserve">ยาละลายเสมหะ</x:t>
        </x:is>
      </x:c>
      <x:c r="C89" t="n">
        <x:v>3694</x:v>
      </x:c>
      <x:c r="D89" t="inlineStr">
        <x:is>
          <x:t xml:space="preserve">Solmax</x:t>
        </x:is>
      </x:c>
      <x:c r="E89" t="inlineStr">
        <x:is>
          <x:t xml:space="preserve">แผง 10 แคปซูล</x:t>
        </x:is>
      </x:c>
      <x:c r="F89" t="inlineStr">
        <x:is>
          <x:t xml:space="preserve">Carbocysteine 500 mg.</x:t>
        </x:is>
      </x:c>
      <x:c r="G89" t="inlineStr">
        <x:is>
          <x:t xml:space="preserve">BDS003694</x:t>
        </x:is>
      </x:c>
      <x:c r="H89" t="inlineStr">
        <x:is>
          <x:t xml:space="preserve">Solmax (10 cap)</x:t>
        </x:is>
      </x:c>
      <x:c r="I89" t="inlineStr">
        <x:is>
          <x:t xml:space="preserve">รับประทานครั้งละ 1 แคปซูล วันละ 3 ครั้ง</x:t>
        </x:is>
      </x:c>
      <x:c r="P89" t="inlineStr">
        <x:is>
          <x:t xml:space="preserve">Cough medicines / mucolytics / expectorants</x:t>
        </x:is>
      </x:c>
    </x:row>
    <x:row r="90">
      <x:c r="A90" t="n">
        <x:v>88</x:v>
      </x:c>
      <x:c r="B90" t="inlineStr">
        <x:is>
          <x:t xml:space="preserve">ยาระบาย</x:t>
        </x:is>
      </x:c>
      <x:c r="C90" t="n">
        <x:v>1664</x:v>
      </x:c>
      <x:c r="D90" t="inlineStr">
        <x:is>
          <x:t xml:space="preserve">Dulcolax</x:t>
        </x:is>
      </x:c>
      <x:c r="E90" t="inlineStr">
        <x:is>
          <x:t xml:space="preserve">แผง 10 เม็ด</x:t>
        </x:is>
      </x:c>
      <x:c r="F90" t="inlineStr">
        <x:is>
          <x:t xml:space="preserve">Bisacodyl 5 mg.</x:t>
        </x:is>
      </x:c>
      <x:c r="G90" t="inlineStr">
        <x:is>
          <x:t xml:space="preserve">BDS001664</x:t>
        </x:is>
      </x:c>
      <x:c r="H90" t="inlineStr">
        <x:is>
          <x:t xml:space="preserve">Dulcolax (10 tabs)</x:t>
        </x:is>
      </x:c>
      <x:c r="I90" t="inlineStr">
        <x:is>
          <x:t xml:space="preserve">รับประทานครั้งละ 2-4 เม็ด วันละ 1 ครั้ง ก่อนนอน</x:t>
        </x:is>
      </x:c>
    </x:row>
    <x:row r="91">
      <x:c r="A91" t="n">
        <x:v>89</x:v>
      </x:c>
      <x:c r="B91" t="inlineStr">
        <x:is>
          <x:t xml:space="preserve">ยาระบาย</x:t>
        </x:is>
      </x:c>
      <x:c r="C91" t="n">
        <x:v>1715</x:v>
      </x:c>
      <x:c r="D91" t="inlineStr">
        <x:is>
          <x:t xml:space="preserve">Duphalac 100</x:t>
        </x:is>
      </x:c>
      <x:c r="E91" t="inlineStr">
        <x:is>
          <x:t xml:space="preserve">ขวด 100 ml.</x:t>
        </x:is>
      </x:c>
      <x:c r="F91" t="inlineStr">
        <x:is>
          <x:t xml:space="preserve">Lactulose 66.7 g/100 ml</x:t>
        </x:is>
      </x:c>
      <x:c r="G91" t="inlineStr">
        <x:is>
          <x:t xml:space="preserve">BDS001715</x:t>
        </x:is>
      </x:c>
      <x:c r="H91" t="inlineStr">
        <x:is>
          <x:t xml:space="preserve">Duphalac 100 (100 ml.)</x:t>
        </x:is>
      </x:c>
      <x:c r="I91" t="inlineStr">
        <x:is>
          <x:t xml:space="preserve">เด็กเล็กรับประทานครั้งละ 1-2 ช้อนชา วันละ 1 ครั้ง</x:t>
        </x:is>
      </x:c>
    </x:row>
    <x:row r="92">
      <x:c r="A92" t="n">
        <x:v>90</x:v>
      </x:c>
      <x:c r="B92" t="inlineStr">
        <x:is>
          <x:t xml:space="preserve">ยาระบาย</x:t>
        </x:is>
      </x:c>
      <x:c r="C92" t="n">
        <x:v>1837</x:v>
      </x:c>
      <x:c r="D92" t="inlineStr">
        <x:is>
          <x:t xml:space="preserve">Emulax</x:t>
        </x:is>
      </x:c>
      <x:c r="E92" t="inlineStr">
        <x:is>
          <x:t xml:space="preserve">กระปุก 100 เม็ด</x:t>
        </x:is>
      </x:c>
      <x:c r="F92" t="inlineStr">
        <x:is>
          <x:t xml:space="preserve">Bisacodyl 5 mg.</x:t>
        </x:is>
      </x:c>
      <x:c r="G92" t="inlineStr">
        <x:is>
          <x:t xml:space="preserve">BDS001837</x:t>
        </x:is>
      </x:c>
      <x:c r="H92" t="inlineStr">
        <x:is>
          <x:t xml:space="preserve">Emulax (100 tabs)</x:t>
        </x:is>
      </x:c>
      <x:c r="I92" t="inlineStr">
        <x:is>
          <x:t xml:space="preserve">รับประทานครั้งละ 2 เม็ด วันละ 1 ครั้ง ก่อนนอน</x:t>
        </x:is>
      </x:c>
    </x:row>
    <x:row r="93">
      <x:c r="A93" t="n">
        <x:v>91</x:v>
      </x:c>
      <x:c r="B93" t="inlineStr">
        <x:is>
          <x:t xml:space="preserve">ยาระบาย</x:t>
        </x:is>
      </x:c>
      <x:c r="C93" t="n">
        <x:v>1842</x:v>
      </x:c>
      <x:c r="D93" t="inlineStr">
        <x:is>
          <x:t xml:space="preserve">Forlax</x:t>
        </x:is>
      </x:c>
      <x:c r="E93" t="inlineStr">
        <x:is>
          <x:t xml:space="preserve">ซอง 10 g.</x:t>
        </x:is>
      </x:c>
      <x:c r="F93" t="inlineStr">
        <x:is>
          <x:t xml:space="preserve">Macrogol 4000 10 g.+ Saccharin sodium 0.017 g.+ Orange-grapefruit flavour 0.15 g.</x:t>
        </x:is>
      </x:c>
      <x:c r="G93" t="inlineStr">
        <x:is>
          <x:t xml:space="preserve">BDS001842</x:t>
        </x:is>
      </x:c>
      <x:c r="H93" t="inlineStr">
        <x:is>
          <x:t xml:space="preserve">Forlax (10 g.)</x:t>
        </x:is>
      </x:c>
      <x:c r="I93" t="inlineStr">
        <x:is>
          <x:t xml:space="preserve">ผสม 1 ซอง กับน้ำ 1 แก้ว (200 ml) วันละ 2 ครั้ง</x:t>
        </x:is>
      </x:c>
    </x:row>
    <x:row r="94">
      <x:c r="A94" t="n">
        <x:v>92</x:v>
      </x:c>
      <x:c r="B94" t="inlineStr">
        <x:is>
          <x:t xml:space="preserve">ยาระบาย</x:t>
        </x:is>
      </x:c>
      <x:c r="C94" t="n">
        <x:v>3505</x:v>
      </x:c>
      <x:c r="D94" t="inlineStr">
        <x:is>
          <x:t xml:space="preserve">Fybogel Orange</x:t>
        </x:is>
      </x:c>
      <x:c r="E94" t="inlineStr">
        <x:is>
          <x:t xml:space="preserve">ซอง 3.5 g.</x:t>
        </x:is>
      </x:c>
      <x:c r="F94" t="inlineStr">
        <x:is>
          <x:t xml:space="preserve">Ispaghula Husk 3.5 g.</x:t>
        </x:is>
      </x:c>
      <x:c r="G94" t="inlineStr">
        <x:is>
          <x:t xml:space="preserve">BDS003505</x:t>
        </x:is>
      </x:c>
      <x:c r="H94" t="inlineStr">
        <x:is>
          <x:t xml:space="preserve">Fybogel Orange (3.5 g.)</x:t>
        </x:is>
      </x:c>
      <x:c r="I94" t="inlineStr">
        <x:is>
          <x:t xml:space="preserve">ผสม 1 ซอง กับน้ำเย็น 1 แก้ว (150 ml.) คนให้เข้ากันแล้วดื่มทันที วันละ 2 ครั้ง เช้า-เย็น</x:t>
        </x:is>
      </x:c>
    </x:row>
    <x:row r="95">
      <x:c r="A95" t="n">
        <x:v>93</x:v>
      </x:c>
      <x:c r="B95" t="inlineStr">
        <x:is>
          <x:t xml:space="preserve">ยาระบาย</x:t>
        </x:is>
      </x:c>
      <x:c r="C95" t="n">
        <x:v>2128</x:v>
      </x:c>
      <x:c r="D95" t="inlineStr">
        <x:is>
          <x:t xml:space="preserve">Hepalac</x:t>
        </x:is>
      </x:c>
      <x:c r="E95" t="inlineStr">
        <x:is>
          <x:t xml:space="preserve">ขวด 100 ml.</x:t>
        </x:is>
      </x:c>
      <x:c r="F95" t="inlineStr">
        <x:is>
          <x:t xml:space="preserve">Lactulose 66.7 g+Galactose 11 g+Lactose 6 g/100 ml</x:t>
        </x:is>
      </x:c>
      <x:c r="G95" t="inlineStr">
        <x:is>
          <x:t xml:space="preserve">BDS002128</x:t>
        </x:is>
      </x:c>
      <x:c r="H95" t="inlineStr">
        <x:is>
          <x:t xml:space="preserve">Hepalac (100 ml.)</x:t>
        </x:is>
      </x:c>
      <x:c r="I95" t="inlineStr">
        <x:is>
          <x:t xml:space="preserve">เด็กเล็กรับประทานครั้งละ 1-2 ช้อนชา วันละ 1 ครั้ง</x:t>
        </x:is>
      </x:c>
    </x:row>
    <x:row r="96">
      <x:c r="A96" t="n">
        <x:v>94</x:v>
      </x:c>
      <x:c r="B96" t="inlineStr">
        <x:is>
          <x:t xml:space="preserve">ยาระบาย</x:t>
        </x:is>
      </x:c>
      <x:c r="C96" t="n">
        <x:v>8461</x:v>
      </x:c>
      <x:c r="D96" t="inlineStr">
        <x:is>
          <x:t xml:space="preserve">Milk of Magnesia C.B.</x:t>
        </x:is>
      </x:c>
      <x:c r="E96" t="inlineStr">
        <x:is>
          <x:t xml:space="preserve">ขวด 240 ml.</x:t>
        </x:is>
      </x:c>
      <x:c r="F96" t="inlineStr">
        <x:is>
          <x:t xml:space="preserve">Magnesium Hydroxide 400 mg./5 ml.</x:t>
        </x:is>
      </x:c>
      <x:c r="G96" t="inlineStr">
        <x:is>
          <x:t xml:space="preserve">BDS008461</x:t>
        </x:is>
      </x:c>
      <x:c r="H96" t="inlineStr">
        <x:is>
          <x:t xml:space="preserve">Milk of Magnesia C.B. (240 ml.)</x:t>
        </x:is>
      </x:c>
      <x:c r="I96" t="inlineStr">
        <x:is>
          <x:t xml:space="preserve">รับประทานครั้งละ 2-3 ช้อนโต๊ะ วันละ 1 ครั้ง ก่อนนอนหรือตอนเช้า</x:t>
        </x:is>
      </x:c>
    </x:row>
    <x:row r="97">
      <x:c r="A97" t="n">
        <x:v>95</x:v>
      </x:c>
      <x:c r="B97" t="inlineStr">
        <x:is>
          <x:t xml:space="preserve">ยาระบาย</x:t>
        </x:is>
      </x:c>
      <x:c r="C97" t="n">
        <x:v>2697</x:v>
      </x:c>
      <x:c r="D97" t="inlineStr">
        <x:is>
          <x:t xml:space="preserve">Mucilin Orange Flavour</x:t>
        </x:is>
      </x:c>
      <x:c r="E97" t="inlineStr">
        <x:is>
          <x:t xml:space="preserve">ซอง 5 g.</x:t>
        </x:is>
      </x:c>
      <x:c r="F97" t="inlineStr">
        <x:is>
          <x:t xml:space="preserve">Ispaghula Husk 49.0 g./100 g.</x:t>
        </x:is>
      </x:c>
      <x:c r="G97" t="inlineStr">
        <x:is>
          <x:t xml:space="preserve">BDS002697</x:t>
        </x:is>
      </x:c>
      <x:c r="H97" t="inlineStr">
        <x:is>
          <x:t xml:space="preserve">Mucilin Orange Flavour (5 g.)</x:t>
        </x:is>
      </x:c>
      <x:c r="I97" t="inlineStr">
        <x:is>
          <x:t xml:space="preserve">ผสมมิวซิลิน 1 ซอง ต่อน้ำเย็น 1 แก้ว (150 ml.)คนให้เข้ากันแล้วดื่มทันที ดื่มน้ำตามอีก 1 แก้ว วันละ 1-3 ครั้ง</x:t>
        </x:is>
      </x:c>
    </x:row>
    <x:row r="98">
      <x:c r="A98" t="n">
        <x:v>96</x:v>
      </x:c>
      <x:c r="B98" t="inlineStr">
        <x:is>
          <x:t xml:space="preserve">ยาระบาย</x:t>
        </x:is>
      </x:c>
      <x:c r="C98" t="n">
        <x:v>2699</x:v>
      </x:c>
      <x:c r="D98" t="inlineStr">
        <x:is>
          <x:t xml:space="preserve">Mucilin Orange SF</x:t>
        </x:is>
      </x:c>
      <x:c r="E98" t="inlineStr">
        <x:is>
          <x:t xml:space="preserve">ซอง 5 g.</x:t>
        </x:is>
      </x:c>
      <x:c r="F98" t="inlineStr">
        <x:is>
          <x:t xml:space="preserve">Ispaghula Husk 3.5 g./5 g.</x:t>
        </x:is>
      </x:c>
      <x:c r="G98" t="inlineStr">
        <x:is>
          <x:t xml:space="preserve">BDS002699</x:t>
        </x:is>
      </x:c>
      <x:c r="H98" t="inlineStr">
        <x:is>
          <x:t xml:space="preserve">Mucilin Orange SF (5 g.)</x:t>
        </x:is>
      </x:c>
      <x:c r="I98" t="inlineStr">
        <x:is>
          <x:t xml:space="preserve">ผสมมิวซิลิน 1 ซอง ต่อน้ำเย็น 1 แก้ว (150 ml.)คนให้เข้ากันแล้วดื่มทันที ดื่มน้ำตามอีก 1 แก้ว วันละ 1-3 ครั้ง</x:t>
        </x:is>
      </x:c>
    </x:row>
    <x:row r="99">
      <x:c r="A99" t="n">
        <x:v>97</x:v>
      </x:c>
      <x:c r="B99" t="inlineStr">
        <x:is>
          <x:t xml:space="preserve">ยาระบาย</x:t>
        </x:is>
      </x:c>
      <x:c r="C99" t="n">
        <x:v>3611</x:v>
      </x:c>
      <x:c r="D99" t="inlineStr">
        <x:is>
          <x:t xml:space="preserve">Senokot</x:t>
        </x:is>
      </x:c>
      <x:c r="E99" t="inlineStr">
        <x:is>
          <x:t xml:space="preserve">กล่อง 60 เม็ด</x:t>
        </x:is>
      </x:c>
      <x:c r="F99" t="inlineStr">
        <x:is>
          <x:t xml:space="preserve">Sennoside 7.5 mg.</x:t>
        </x:is>
      </x:c>
      <x:c r="G99" t="inlineStr">
        <x:is>
          <x:t xml:space="preserve">BDS003611</x:t>
        </x:is>
      </x:c>
      <x:c r="H99" t="inlineStr">
        <x:is>
          <x:t xml:space="preserve">Senokot (60 tabs)</x:t>
        </x:is>
      </x:c>
      <x:c r="I99" t="inlineStr">
        <x:is>
          <x:t xml:space="preserve">รับประทานครั้งละ 2-4 เม็ดวันละ 1 ครั้ง ก่อนนอน</x:t>
        </x:is>
      </x:c>
    </x:row>
    <x:row r="100">
      <x:c r="A100" t="n">
        <x:v>98</x:v>
      </x:c>
      <x:c r="B100" t="inlineStr">
        <x:is>
          <x:t xml:space="preserve">ยาระบาย</x:t>
        </x:is>
      </x:c>
      <x:c r="C100" t="n">
        <x:v>3613</x:v>
      </x:c>
      <x:c r="D100" t="inlineStr">
        <x:is>
          <x:t xml:space="preserve">Senolax</x:t>
        </x:is>
      </x:c>
      <x:c r="E100" t="inlineStr">
        <x:is>
          <x:t xml:space="preserve">กล่อง 60 เม็ด</x:t>
        </x:is>
      </x:c>
      <x:c r="F100" t="inlineStr">
        <x:is>
          <x:t xml:space="preserve">Sennoside B 7.5 mg.</x:t>
        </x:is>
      </x:c>
      <x:c r="G100" t="inlineStr">
        <x:is>
          <x:t xml:space="preserve">BDS003613</x:t>
        </x:is>
      </x:c>
      <x:c r="H100" t="inlineStr">
        <x:is>
          <x:t xml:space="preserve">Senolax (60 tabs)</x:t>
        </x:is>
      </x:c>
      <x:c r="I100" t="inlineStr">
        <x:is>
          <x:t xml:space="preserve">รับประทานครั้งละ 2-4 เม็ด วันละ 1 ครั้ง ก่อนนอน</x:t>
        </x:is>
      </x:c>
    </x:row>
    <x:row r="101">
      <x:c r="A101" t="n">
        <x:v>99</x:v>
      </x:c>
      <x:c r="B101" t="inlineStr">
        <x:is>
          <x:t xml:space="preserve">ยาระบาย</x:t>
        </x:is>
      </x:c>
      <x:c r="C101" t="n">
        <x:v>4866</x:v>
      </x:c>
      <x:c r="D101" t="inlineStr">
        <x:is>
          <x:t xml:space="preserve">น้ำมันละหุ่งหวาน</x:t>
        </x:is>
      </x:c>
      <x:c r="E101" t="inlineStr">
        <x:is>
          <x:t xml:space="preserve">ขวด 60 ml.</x:t>
        </x:is>
      </x:c>
      <x:c r="F101" t="inlineStr">
        <x:is>
          <x:t xml:space="preserve">Saccharin 0.006 g+Amyl Acetate 0.037 g+Alcohol 0.45 ml+Castor Oil/15 ml.</x:t>
        </x:is>
      </x:c>
      <x:c r="G101" t="inlineStr">
        <x:is>
          <x:t xml:space="preserve">BDS004866</x:t>
        </x:is>
      </x:c>
      <x:c r="H101" t="inlineStr">
        <x:is>
          <x:t xml:space="preserve">น้ำมันละหุ่งหวาน (60 ml.)</x:t>
        </x:is>
      </x:c>
      <x:c r="I101" t="inlineStr">
        <x:is>
          <x:t xml:space="preserve">รับประทานครั้งละ 1-2 ช้อนโต๊ะ วันละ 1 ครั้ง ก่อนนอนหรือตื่นตอนเช้า</x:t>
        </x:is>
      </x:c>
    </x:row>
    <x:row r="102">
      <x:c r="A102" t="n">
        <x:v>100</x:v>
      </x:c>
      <x:c r="B102" t="inlineStr">
        <x:is>
          <x:t xml:space="preserve">ยาหยุดถ่าย (D)</x:t>
        </x:is>
      </x:c>
      <x:c r="C102" t="n">
        <x:v>2214</x:v>
      </x:c>
      <x:c r="D102" t="inlineStr">
        <x:is>
          <x:t xml:space="preserve">Imodium</x:t>
        </x:is>
      </x:c>
      <x:c r="E102" t="inlineStr">
        <x:is>
          <x:t xml:space="preserve">แผง 6 แคปซูล</x:t>
        </x:is>
      </x:c>
      <x:c r="F102" t="inlineStr">
        <x:is>
          <x:t xml:space="preserve">Loperamide HCl 2 mg.</x:t>
        </x:is>
      </x:c>
      <x:c r="G102" t="inlineStr">
        <x:is>
          <x:t xml:space="preserve">BDS002214</x:t>
        </x:is>
      </x:c>
      <x:c r="H102" t="inlineStr">
        <x:is>
          <x:t xml:space="preserve">Imodium (6 cap)</x:t>
        </x:is>
      </x:c>
      <x:c r="I102" t="inlineStr">
        <x:is>
          <x:t xml:space="preserve">รับประทาน 2 แคปซูล ครั้งต่อไป 1 แคปซูล ทุก 6 ชั่วโมง ถ้ายังถ่ายอีก </x:t>
        </x:is>
      </x:c>
    </x:row>
    <x:row r="103">
      <x:c r="A103" t="n">
        <x:v>101</x:v>
      </x:c>
      <x:c r="B103" t="inlineStr">
        <x:is>
          <x:t xml:space="preserve">ยาหยุดถ่าย (D)</x:t>
        </x:is>
      </x:c>
      <x:c r="C103" t="n">
        <x:v>8703</x:v>
      </x:c>
      <x:c r="D103" t="inlineStr">
        <x:is>
          <x:t xml:space="preserve">Tedium</x:t>
        </x:is>
      </x:c>
      <x:c r="E103" t="inlineStr">
        <x:is>
          <x:t xml:space="preserve">แผง 10 แคปซูล</x:t>
        </x:is>
      </x:c>
      <x:c r="F103" t="inlineStr">
        <x:is>
          <x:t xml:space="preserve">Loperamide 2 mg.</x:t>
        </x:is>
      </x:c>
      <x:c r="G103" t="inlineStr">
        <x:is>
          <x:t xml:space="preserve">BDS008703</x:t>
        </x:is>
      </x:c>
      <x:c r="H103" t="inlineStr">
        <x:is>
          <x:t xml:space="preserve">Tedium (10 cap)</x:t>
        </x:is>
      </x:c>
      <x:c r="I103" t="inlineStr">
        <x:is>
          <x:t xml:space="preserve">รับประทาน 2 แคปซูล ครั้งต่อไป 1 แคปซูล ทุก 6 ชั่วโมง </x:t>
        </x:is>
      </x:c>
    </x:row>
    <x:row r="104">
      <x:c r="A104" t="n">
        <x:v>102</x:v>
      </x:c>
      <x:c r="B104" t="inlineStr">
        <x:is>
          <x:t xml:space="preserve">ยาลดกรด, เคลือบกระเพาะ</x:t>
        </x:is>
      </x:c>
      <x:c r="C104" t="n">
        <x:v>1036</x:v>
      </x:c>
      <x:c r="D104" t="inlineStr">
        <x:is>
          <x:t xml:space="preserve">Algycon</x:t>
        </x:is>
      </x:c>
      <x:c r="E104" t="inlineStr">
        <x:is>
          <x:t xml:space="preserve">แผง 12 เม็ด</x:t>
        </x:is>
      </x:c>
      <x:c r="F104" t="inlineStr">
        <x:is>
          <x:t xml:space="preserve">Alginic acid 200 mg.+Aluminium hydroxide gel 30 mg.+Magnesium carbonate 40 mg.</x:t>
        </x:is>
      </x:c>
      <x:c r="G104" t="inlineStr">
        <x:is>
          <x:t xml:space="preserve">BDS001036</x:t>
        </x:is>
      </x:c>
      <x:c r="H104" t="inlineStr">
        <x:is>
          <x:t xml:space="preserve">Algycon (12 tabs)</x:t>
        </x:is>
      </x:c>
      <x:c r="I104" t="inlineStr">
        <x:is>
          <x:t xml:space="preserve">เคี้ยวครั้งละ 1-3 เม็ด วันละ 4 ครั้ง หลังอาหารและก่อนนอน</x:t>
        </x:is>
      </x:c>
    </x:row>
    <x:row r="105">
      <x:c r="A105" t="n">
        <x:v>103</x:v>
      </x:c>
      <x:c r="B105" t="inlineStr">
        <x:is>
          <x:t xml:space="preserve">ยาลดกรด, เคลือบกระเพาะ</x:t>
        </x:is>
      </x:c>
      <x:c r="C105" t="n">
        <x:v>1051</x:v>
      </x:c>
      <x:c r="D105" t="inlineStr">
        <x:is>
          <x:t xml:space="preserve">Antacil</x:t>
        </x:is>
      </x:c>
      <x:c r="E105" t="inlineStr">
        <x:is>
          <x:t xml:space="preserve">แผง 10 เม็ด</x:t>
        </x:is>
      </x:c>
      <x:c r="F105" t="inlineStr">
        <x:is>
          <x:t xml:space="preserve">Aluminium Hydroxide (Dried Aluminium Hydroxide 250 mg.)+Magnesium Trisilicate 350 mg.+Kaolin 50 mg.</x:t>
        </x:is>
      </x:c>
      <x:c r="G105" t="inlineStr">
        <x:is>
          <x:t xml:space="preserve">BDS001051</x:t>
        </x:is>
      </x:c>
      <x:c r="H105" t="inlineStr">
        <x:is>
          <x:t xml:space="preserve">Antacil (10 tabs)</x:t>
        </x:is>
      </x:c>
      <x:c r="I105" t="inlineStr">
        <x:is>
          <x:t xml:space="preserve">รับประทาน (เคี้ยว) ครั้งละ 1-2 เม็ด วันละ 3-4 ครั้ง หลังอาหารและก่อนนอน</x:t>
        </x:is>
      </x:c>
    </x:row>
    <x:row r="106">
      <x:c r="A106" t="n">
        <x:v>104</x:v>
      </x:c>
      <x:c r="B106" t="inlineStr">
        <x:is>
          <x:t xml:space="preserve">ยาลดกรด, เคลือบกระเพาะ</x:t>
        </x:is>
      </x:c>
      <x:c r="C106" t="n">
        <x:v>2030</x:v>
      </x:c>
      <x:c r="D106" t="inlineStr">
        <x:is>
          <x:t xml:space="preserve">Gastro Bismol 524</x:t>
        </x:is>
      </x:c>
      <x:c r="E106" t="inlineStr">
        <x:is>
          <x:t xml:space="preserve">แผง 10 เม็ด</x:t>
        </x:is>
      </x:c>
      <x:c r="F106" t="inlineStr">
        <x:is>
          <x:t xml:space="preserve">Bismuth Subsalicylate 524 mg.</x:t>
        </x:is>
      </x:c>
      <x:c r="G106" t="inlineStr">
        <x:is>
          <x:t xml:space="preserve">BDS002030</x:t>
        </x:is>
      </x:c>
      <x:c r="H106" t="inlineStr">
        <x:is>
          <x:t xml:space="preserve">Gastro Bismol 524 (10 tabs)</x:t>
        </x:is>
      </x:c>
      <x:c r="I106" t="inlineStr">
        <x:is>
          <x:t xml:space="preserve">รับประทานครั้งละ 1 เม็ด วันละ 4 ครั้ง ก่อนอาหารและก่อนนอน</x:t>
        </x:is>
      </x:c>
    </x:row>
    <x:row r="107">
      <x:c r="A107" t="n">
        <x:v>105</x:v>
      </x:c>
      <x:c r="B107" t="inlineStr">
        <x:is>
          <x:t xml:space="preserve">ยาลดกรด, เคลือบกระเพาะ</x:t>
        </x:is>
      </x:c>
      <x:c r="C107" t="n">
        <x:v>2011</x:v>
      </x:c>
      <x:c r="D107" t="inlineStr">
        <x:is>
          <x:t xml:space="preserve">Gaviscon Dual Action tabslet 16s</x:t>
        </x:is>
      </x:c>
      <x:c r="E107" t="inlineStr">
        <x:is>
          <x:t xml:space="preserve">กล่อง 16 เม็ด</x:t>
        </x:is>
      </x:c>
      <x:c r="F107" t="inlineStr">
        <x:is>
          <x:t xml:space="preserve">Sodium alginate 250 mg.+Sodium bicarbonate 106.5 mg.+Calcium carbonate 187.5 mg.</x:t>
        </x:is>
      </x:c>
      <x:c r="G107" t="inlineStr">
        <x:is>
          <x:t xml:space="preserve">BDS002011</x:t>
        </x:is>
      </x:c>
      <x:c r="H107" t="inlineStr">
        <x:is>
          <x:t xml:space="preserve">Gaviscon Dual Action tabslet 16s (16 tabs)</x:t>
        </x:is>
      </x:c>
      <x:c r="I107" t="inlineStr">
        <x:is>
          <x:t xml:space="preserve">ผู้ใหญ่รับประทาน (เคี้ยว) ครั้งละ 2-4 เม็ด วันละ 4 ครั้ง หลังอาหารและก่อนนอน</x:t>
        </x:is>
      </x:c>
    </x:row>
    <x:row r="108">
      <x:c r="A108" t="n">
        <x:v>106</x:v>
      </x:c>
      <x:c r="B108" t="inlineStr">
        <x:is>
          <x:t xml:space="preserve">ยาลดกรด, เคลือบกระเพาะ</x:t>
        </x:is>
      </x:c>
      <x:c r="C108" t="n">
        <x:v>2015</x:v>
      </x:c>
      <x:c r="D108" t="inlineStr">
        <x:is>
          <x:t xml:space="preserve">Gaviscon Peppermint tabslet 16s</x:t>
        </x:is>
      </x:c>
      <x:c r="E108" t="inlineStr">
        <x:is>
          <x:t xml:space="preserve">กล่อง 16 เม็ด</x:t>
        </x:is>
      </x:c>
      <x:c r="F108" t="inlineStr">
        <x:is>
          <x:t xml:space="preserve">Sodium alginate 250 mg.+Sodium bicarbonate 133.5 mg.+Calcium Carbonate 80 mg.</x:t>
        </x:is>
      </x:c>
      <x:c r="G108" t="inlineStr">
        <x:is>
          <x:t xml:space="preserve">BDS002015</x:t>
        </x:is>
      </x:c>
      <x:c r="H108" t="inlineStr">
        <x:is>
          <x:t xml:space="preserve">Gaviscon Peppermint tabslet 16s (16 tabs)</x:t>
        </x:is>
      </x:c>
      <x:c r="I108" t="inlineStr">
        <x:is>
          <x:t xml:space="preserve">ผู้ใหญ่รับประทาน (เคี้ยว) ครั้งละ 2-4 เม็ด วันละ 4 ครั้ง หลังอาหารและก่อนนอน</x:t>
        </x:is>
      </x:c>
    </x:row>
    <x:row r="109">
      <x:c r="A109" t="n">
        <x:v>107</x:v>
      </x:c>
      <x:c r="B109" t="inlineStr">
        <x:is>
          <x:t xml:space="preserve">ยาลดกรด, เคลือบกระเพาะ</x:t>
        </x:is>
      </x:c>
      <x:c r="C109" t="n">
        <x:v>44334</x:v>
      </x:c>
      <x:c r="D109" t="inlineStr">
        <x:is>
          <x:t xml:space="preserve">Kremil tabslet</x:t>
        </x:is>
      </x:c>
      <x:c r="E109" t="inlineStr">
        <x:is>
          <x:t xml:space="preserve">แผง 10 เม็ด</x:t>
        </x:is>
      </x:c>
      <x:c r="F109" t="inlineStr">
        <x:is>
          <x:t xml:space="preserve">AHMC Type F-MA II 325 mg ( Aluminum Hydroxide 188.8 mg + Magnesium Carbonate 136.2 mg ) + Simethicone 60 mg</x:t>
        </x:is>
      </x:c>
      <x:c r="G109" t="inlineStr">
        <x:is>
          <x:t xml:space="preserve">BDS044334</x:t>
        </x:is>
      </x:c>
      <x:c r="H109" t="inlineStr">
        <x:is>
          <x:t xml:space="preserve">Kremil tabslet (10 tabs)</x:t>
        </x:is>
      </x:c>
      <x:c r="I109" t="inlineStr">
        <x:is>
          <x:t xml:space="preserve">รับประทานครั้งละ 2-4 เม็ด หลังอาหารเช้า กลางวัน เย็น หรือเมื่อมีอาการ </x:t>
        </x:is>
      </x:c>
    </x:row>
    <x:row r="110">
      <x:c r="A110" t="n">
        <x:v>108</x:v>
      </x:c>
      <x:c r="B110" t="inlineStr">
        <x:is>
          <x:t xml:space="preserve">ยาลดกรด, เคลือบกระเพาะ</x:t>
        </x:is>
      </x:c>
      <x:c r="C110" t="n">
        <x:v>44908</x:v>
      </x:c>
      <x:c r="D110" t="inlineStr">
        <x:is>
          <x:t xml:space="preserve">Malugel tabslets</x:t>
        </x:is>
      </x:c>
      <x:c r="E110" t="inlineStr">
        <x:is>
          <x:t xml:space="preserve">แผง 10 เม็ด</x:t>
        </x:is>
      </x:c>
      <x:c r="F110" t="inlineStr">
        <x:is>
          <x:t xml:space="preserve">Calcium Carbonate 500 mg+Simethicone 60 mg</x:t>
        </x:is>
      </x:c>
      <x:c r="G110" t="inlineStr">
        <x:is>
          <x:t xml:space="preserve">BDS044908</x:t>
        </x:is>
      </x:c>
      <x:c r="H110" t="inlineStr">
        <x:is>
          <x:t xml:space="preserve">Malugel tabslets (10 tabs)</x:t>
        </x:is>
      </x:c>
      <x:c r="I110" t="inlineStr">
        <x:is>
          <x:t xml:space="preserve">รับประทาน (เคี้ยว) ครั้งละ 1-2 เม็ด เมื่อมีอาการ  </x:t>
        </x:is>
      </x:c>
    </x:row>
    <x:row r="111">
      <x:c r="A111" t="n">
        <x:v>109</x:v>
      </x:c>
      <x:c r="B111" t="inlineStr">
        <x:is>
          <x:t xml:space="preserve">ยาลดกรด, เคลือบกระเพาะ</x:t>
        </x:is>
      </x:c>
      <x:c r="C111" t="n">
        <x:v>3903</x:v>
      </x:c>
      <x:c r="D111" t="inlineStr">
        <x:is>
          <x:t xml:space="preserve">Ulcefate tabslet strip 10s</x:t>
        </x:is>
      </x:c>
      <x:c r="E111" t="inlineStr">
        <x:is>
          <x:t xml:space="preserve">แผง 10 เม็ด</x:t>
        </x:is>
      </x:c>
      <x:c r="F111" t="inlineStr">
        <x:is>
          <x:t xml:space="preserve">Sucralfate 1 g.</x:t>
        </x:is>
      </x:c>
      <x:c r="G111" t="inlineStr">
        <x:is>
          <x:t xml:space="preserve">BDS003903</x:t>
        </x:is>
      </x:c>
      <x:c r="H111" t="inlineStr">
        <x:is>
          <x:t xml:space="preserve">Ulcefate tabslet strip 10s (10 tabs)</x:t>
        </x:is>
      </x:c>
      <x:c r="I111" t="inlineStr">
        <x:is>
          <x:t xml:space="preserve">รับประทานครั้งละ 1-2 เม็ด วันละ 2-4 ครั้ง ก่อนอาหารและก่อนนอน</x:t>
        </x:is>
      </x:c>
    </x:row>
    <x:row r="112">
      <x:c r="A112" t="n">
        <x:v>110</x:v>
      </x:c>
      <x:c r="B112" t="inlineStr">
        <x:is>
          <x:t xml:space="preserve">ยาลดการหลั่งกรด (D)</x:t>
        </x:is>
      </x:c>
      <x:c r="C112" t="n">
        <x:v>1466</x:v>
      </x:c>
      <x:c r="D112" t="inlineStr">
        <x:is>
          <x:t xml:space="preserve">Controloc 40 mg</x:t>
        </x:is>
      </x:c>
      <x:c r="E112" t="inlineStr">
        <x:is>
          <x:t xml:space="preserve">แผง 14 เม็ด</x:t>
        </x:is>
      </x:c>
      <x:c r="F112" t="inlineStr">
        <x:is>
          <x:t xml:space="preserve">Pantoprazole 40 mg.</x:t>
        </x:is>
      </x:c>
      <x:c r="G112" t="inlineStr">
        <x:is>
          <x:t xml:space="preserve">BDS001466</x:t>
        </x:is>
      </x:c>
      <x:c r="H112" t="inlineStr">
        <x:is>
          <x:t xml:space="preserve">Controloc 40 mg (14 tabs)</x:t>
        </x:is>
      </x:c>
      <x:c r="I112" t="inlineStr">
        <x:is>
          <x:t xml:space="preserve">รับประทานครั้งละ 1 เม็ด วันละ 1 ครั้ง หรือตามแพทย์สั่ง</x:t>
        </x:is>
      </x:c>
    </x:row>
    <x:row r="113">
      <x:c r="A113" t="n">
        <x:v>111</x:v>
      </x:c>
      <x:c r="B113" t="inlineStr">
        <x:is>
          <x:t xml:space="preserve">ยาลดการหลั่งกรด (D)</x:t>
        </x:is>
      </x:c>
      <x:c r="C113" t="n">
        <x:v>7108</x:v>
      </x:c>
      <x:c r="D113" t="inlineStr">
        <x:is>
          <x:t xml:space="preserve">Dosate 20 mg</x:t>
        </x:is>
      </x:c>
      <x:c r="E113" t="inlineStr">
        <x:is>
          <x:t xml:space="preserve">แผง 10 แคปซูล</x:t>
        </x:is>
      </x:c>
      <x:c r="F113" t="inlineStr">
        <x:is>
          <x:t xml:space="preserve">Omeprazole 20 mg.</x:t>
        </x:is>
      </x:c>
      <x:c r="G113" t="inlineStr">
        <x:is>
          <x:t xml:space="preserve">BDS007108</x:t>
        </x:is>
      </x:c>
      <x:c r="H113" t="inlineStr">
        <x:is>
          <x:t xml:space="preserve">Dosate 20 mg (10 cap)</x:t>
        </x:is>
      </x:c>
      <x:c r="I113" t="inlineStr">
        <x:is>
          <x:t xml:space="preserve">รับประทานครั้งละ 1 แคปซูล วันละ 1 ครั้ง ก่อนอาหาร</x:t>
        </x:is>
      </x:c>
    </x:row>
    <x:row r="114">
      <x:c r="A114" t="n">
        <x:v>112</x:v>
      </x:c>
      <x:c r="B114" t="inlineStr">
        <x:is>
          <x:t xml:space="preserve">ยาลดการหลั่งกรด (D)</x:t>
        </x:is>
      </x:c>
      <x:c r="C114" t="n">
        <x:v>2629</x:v>
      </x:c>
      <x:c r="D114" t="inlineStr">
        <x:is>
          <x:t xml:space="preserve">Miracid</x:t>
        </x:is>
      </x:c>
      <x:c r="E114" t="inlineStr">
        <x:is>
          <x:t xml:space="preserve">กล่อง 14 แคปซูล</x:t>
        </x:is>
      </x:c>
      <x:c r="F114" t="inlineStr">
        <x:is>
          <x:t xml:space="preserve">Omeprazole 20 mg.</x:t>
        </x:is>
      </x:c>
      <x:c r="G114" t="inlineStr">
        <x:is>
          <x:t xml:space="preserve">BDS002629</x:t>
        </x:is>
      </x:c>
      <x:c r="H114" t="inlineStr">
        <x:is>
          <x:t xml:space="preserve">Miracid (14 cap)</x:t>
        </x:is>
      </x:c>
      <x:c r="I114" t="inlineStr">
        <x:is>
          <x:t xml:space="preserve">รับประทานครั้งละ 1 แคปซูล วันละ 1 ครั้ง ก่อนอาหาร</x:t>
        </x:is>
      </x:c>
      <x:c r="J114" t="inlineStr">
        <x:is>
          <x:t xml:space="preserve">Take 1 capsule once daily before meals</x:t>
        </x:is>
      </x:c>
    </x:row>
    <x:row r="115">
      <x:c r="A115" t="n">
        <x:v>113</x:v>
      </x:c>
      <x:c r="B115" t="inlineStr">
        <x:is>
          <x:t xml:space="preserve">ยาลดการหลั่งกรด (D)</x:t>
        </x:is>
      </x:c>
      <x:c r="C115" t="n">
        <x:v>3417</x:v>
      </x:c>
      <x:c r="D115" t="inlineStr">
        <x:is>
          <x:t xml:space="preserve">Mucosta tabs</x:t>
        </x:is>
      </x:c>
      <x:c r="E115" t="inlineStr">
        <x:is>
          <x:t xml:space="preserve">แผง 10 เม็ด</x:t>
        </x:is>
      </x:c>
      <x:c r="F115" t="inlineStr">
        <x:is>
          <x:t xml:space="preserve">Rebamipide 100 mg.</x:t>
        </x:is>
      </x:c>
      <x:c r="G115" t="inlineStr">
        <x:is>
          <x:t xml:space="preserve">BDS003417</x:t>
        </x:is>
      </x:c>
      <x:c r="H115" t="inlineStr">
        <x:is>
          <x:t xml:space="preserve">Mucosta tabs (10 tabs)</x:t>
        </x:is>
      </x:c>
      <x:c r="I115" t="inlineStr">
        <x:is>
          <x:t xml:space="preserve">รับประทานครั้งละ 1 เม็ด วันละ 3 ครั้ง</x:t>
        </x:is>
      </x:c>
    </x:row>
    <x:row r="116">
      <x:c r="A116" t="n">
        <x:v>114</x:v>
      </x:c>
      <x:c r="B116" t="inlineStr">
        <x:is>
          <x:t xml:space="preserve">ยาลดการหลั่งกรด (D)</x:t>
        </x:is>
      </x:c>
      <x:c r="C116" t="n">
        <x:v>2898</x:v>
      </x:c>
      <x:c r="D116" t="inlineStr">
        <x:is>
          <x:t xml:space="preserve">Nexium 20 mg</x:t>
        </x:is>
      </x:c>
      <x:c r="E116" t="inlineStr">
        <x:is>
          <x:t xml:space="preserve">กล่อง 14 เม็ด</x:t>
        </x:is>
      </x:c>
      <x:c r="F116" t="inlineStr">
        <x:is>
          <x:t xml:space="preserve">Esomeprazole 20 mg.</x:t>
        </x:is>
      </x:c>
      <x:c r="G116" t="inlineStr">
        <x:is>
          <x:t xml:space="preserve">BDS002898</x:t>
        </x:is>
      </x:c>
      <x:c r="H116" t="inlineStr">
        <x:is>
          <x:t xml:space="preserve">Nexium 20 mg (14 tabs)</x:t>
        </x:is>
      </x:c>
      <x:c r="I116" t="inlineStr">
        <x:is>
          <x:t xml:space="preserve">รับประทานครั้งละ 1 เม็ด วันละ 1 ครั้ง หรือตามแพทย์สั่ง</x:t>
        </x:is>
      </x:c>
    </x:row>
    <x:row r="117">
      <x:c r="A117" t="n">
        <x:v>115</x:v>
      </x:c>
      <x:c r="B117" t="inlineStr">
        <x:is>
          <x:t xml:space="preserve">ยาลดการหลั่งกรด (D)</x:t>
        </x:is>
      </x:c>
      <x:c r="C117" t="n">
        <x:v>2903</x:v>
      </x:c>
      <x:c r="D117" t="inlineStr">
        <x:is>
          <x:t xml:space="preserve">Nexium 40 mg</x:t>
        </x:is>
      </x:c>
      <x:c r="E117" t="inlineStr">
        <x:is>
          <x:t xml:space="preserve">กล่อง 14 เม็ด</x:t>
        </x:is>
      </x:c>
      <x:c r="F117" t="inlineStr">
        <x:is>
          <x:t xml:space="preserve">Esomeprazole 40 mg.</x:t>
        </x:is>
      </x:c>
      <x:c r="G117" t="inlineStr">
        <x:is>
          <x:t xml:space="preserve">BDS002903</x:t>
        </x:is>
      </x:c>
      <x:c r="H117" t="inlineStr">
        <x:is>
          <x:t xml:space="preserve">Nexium 40 mg (14 tabs)</x:t>
        </x:is>
      </x:c>
      <x:c r="I117" t="inlineStr">
        <x:is>
          <x:t xml:space="preserve">รับประทานครั้งละ 1 เม็ด วันละ 1 ครั้ง หรือตามแพทย์สั่ง</x:t>
        </x:is>
      </x:c>
    </x:row>
    <x:row r="118">
      <x:c r="A118" t="n">
        <x:v>116</x:v>
      </x:c>
      <x:c r="B118" t="inlineStr">
        <x:is>
          <x:t xml:space="preserve">ยาลดการหลั่งกรด (D)</x:t>
        </x:is>
      </x:c>
      <x:c r="C118" t="n">
        <x:v>45613</x:v>
      </x:c>
      <x:c r="D118" t="inlineStr">
        <x:is>
          <x:t xml:space="preserve">Nycacid</x:t>
        </x:is>
      </x:c>
      <x:c r="E118" t="inlineStr">
        <x:is>
          <x:t xml:space="preserve">กล่อง 10 แคปซูล</x:t>
        </x:is>
      </x:c>
      <x:c r="F118" t="inlineStr">
        <x:is>
          <x:t xml:space="preserve">Omeprazole 20 mg.</x:t>
        </x:is>
      </x:c>
      <x:c r="G118" t="inlineStr">
        <x:is>
          <x:t xml:space="preserve">BDS045613</x:t>
        </x:is>
      </x:c>
      <x:c r="H118" t="inlineStr">
        <x:is>
          <x:t xml:space="preserve">Nycacid (10 cap)</x:t>
        </x:is>
      </x:c>
      <x:c r="I118" t="inlineStr">
        <x:is>
          <x:t xml:space="preserve">รับประทานครั้งละ 1 แคปซูล วันละ 1 ครั้ง ก่อนอาหาร หรือตามแพทย์สั่ง</x:t>
        </x:is>
      </x:c>
    </x:row>
    <x:row r="119">
      <x:c r="A119" t="n">
        <x:v>117</x:v>
      </x:c>
      <x:c r="B119" t="inlineStr">
        <x:is>
          <x:t xml:space="preserve">ยาลดการหลั่งกรด (D)</x:t>
        </x:is>
      </x:c>
      <x:c r="C119" t="n">
        <x:v>3065</x:v>
      </x:c>
      <x:c r="D119" t="inlineStr">
        <x:is>
          <x:t xml:space="preserve">Ocid</x:t>
        </x:is>
      </x:c>
      <x:c r="E119" t="inlineStr">
        <x:is>
          <x:t xml:space="preserve">กล่อง 10 แคปซูล</x:t>
        </x:is>
      </x:c>
      <x:c r="F119" t="inlineStr">
        <x:is>
          <x:t xml:space="preserve">Omeprazole 20 mg.</x:t>
        </x:is>
      </x:c>
      <x:c r="G119" t="inlineStr">
        <x:is>
          <x:t xml:space="preserve">BDS003065</x:t>
        </x:is>
      </x:c>
      <x:c r="H119" t="inlineStr">
        <x:is>
          <x:t xml:space="preserve">Ocid (10 cap)</x:t>
        </x:is>
      </x:c>
      <x:c r="I119" t="inlineStr">
        <x:is>
          <x:t xml:space="preserve">รับประทานครั้งละ 1 แคปซูล วันละ 1 ครั้ง ก่อนอาหาร</x:t>
        </x:is>
      </x:c>
    </x:row>
    <x:row r="120">
      <x:c r="A120" t="n">
        <x:v>118</x:v>
      </x:c>
      <x:c r="B120" t="inlineStr">
        <x:is>
          <x:t xml:space="preserve">ยาลดการหลั่งกรด (D)</x:t>
        </x:is>
      </x:c>
      <x:c r="C120" t="n">
        <x:v>6714</x:v>
      </x:c>
      <x:c r="D120" t="inlineStr">
        <x:is>
          <x:t xml:space="preserve">Omeprazole 20 mg (GPO)</x:t>
        </x:is>
      </x:c>
      <x:c r="E120" t="inlineStr">
        <x:is>
          <x:t xml:space="preserve">แผง 10 แคปซูล</x:t>
        </x:is>
      </x:c>
      <x:c r="F120" t="inlineStr">
        <x:is>
          <x:t xml:space="preserve">Omeprazole 20 mg.</x:t>
        </x:is>
      </x:c>
      <x:c r="G120" t="inlineStr">
        <x:is>
          <x:t xml:space="preserve">BDS006714</x:t>
        </x:is>
      </x:c>
      <x:c r="H120" t="inlineStr">
        <x:is>
          <x:t xml:space="preserve">Omeprazole 20 mg (GPO) (10 cap)</x:t>
        </x:is>
      </x:c>
      <x:c r="I120" t="inlineStr">
        <x:is>
          <x:t xml:space="preserve">รับประทานครั้งละ 1 แคปซูล วันละ 1 ครั้ง ก่อนอาหาร</x:t>
        </x:is>
      </x:c>
    </x:row>
    <x:row r="121">
      <x:c r="A121" t="n">
        <x:v>119</x:v>
      </x:c>
      <x:c r="B121" t="inlineStr">
        <x:is>
          <x:t xml:space="preserve">ยาลดการหลั่งกรด (D)</x:t>
        </x:is>
      </x:c>
      <x:c r="C121" t="n">
        <x:v>3138</x:v>
      </x:c>
      <x:c r="D121" t="inlineStr">
        <x:is>
          <x:t xml:space="preserve">Pariet 20 mg</x:t>
        </x:is>
      </x:c>
      <x:c r="E121" t="inlineStr">
        <x:is>
          <x:t xml:space="preserve">กล่อง 14 เม็ด</x:t>
        </x:is>
      </x:c>
      <x:c r="F121" t="inlineStr">
        <x:is>
          <x:t xml:space="preserve">Rabeprazole 20 mg.</x:t>
        </x:is>
      </x:c>
      <x:c r="G121" t="inlineStr">
        <x:is>
          <x:t xml:space="preserve">BDS003138</x:t>
        </x:is>
      </x:c>
      <x:c r="H121" t="inlineStr">
        <x:is>
          <x:t xml:space="preserve">Pariet 20 mg (14 tabs)</x:t>
        </x:is>
      </x:c>
      <x:c r="I121" t="inlineStr">
        <x:is>
          <x:t xml:space="preserve">รับประทานครั้งละ 1 เม็ด วันละ 1 ครั้ง หรือตามแพทย์สั่ง</x:t>
        </x:is>
      </x:c>
    </x:row>
    <x:row r="122">
      <x:c r="A122" t="n">
        <x:v>120</x:v>
      </x:c>
      <x:c r="B122" t="inlineStr">
        <x:is>
          <x:t xml:space="preserve">ยาลดการหลั่งกรด (D)</x:t>
        </x:is>
      </x:c>
      <x:c r="C122" t="n">
        <x:v>3110</x:v>
      </x:c>
      <x:c r="D122" t="inlineStr">
        <x:is>
          <x:t xml:space="preserve">Prevacid FDT 30</x:t>
        </x:is>
      </x:c>
      <x:c r="E122" t="inlineStr">
        <x:is>
          <x:t xml:space="preserve">กล่อง 14 เม็ด</x:t>
        </x:is>
      </x:c>
      <x:c r="F122" t="inlineStr">
        <x:is>
          <x:t xml:space="preserve">Lansoprazole 30 mg.</x:t>
        </x:is>
      </x:c>
      <x:c r="G122" t="inlineStr">
        <x:is>
          <x:t xml:space="preserve">BDS003110</x:t>
        </x:is>
      </x:c>
      <x:c r="H122" t="inlineStr">
        <x:is>
          <x:t xml:space="preserve">Prevacid FDT 30 (14 tabs)</x:t>
        </x:is>
      </x:c>
      <x:c r="I122" t="inlineStr">
        <x:is>
          <x:t xml:space="preserve">รับประทานครั้งละ 1 เม็ดวันละ 1 ครั้ง หรือตามแพทย์สั่ง</x:t>
        </x:is>
      </x:c>
    </x:row>
    <x:row r="123">
      <x:c r="A123" t="n">
        <x:v>121</x:v>
      </x:c>
      <x:c r="B123" t="inlineStr">
        <x:is>
          <x:t xml:space="preserve">ยาลดการหลั่งกรด (D)</x:t>
        </x:is>
      </x:c>
      <x:c r="C123" t="n">
        <x:v>47441</x:v>
      </x:c>
      <x:c r="D123" t="inlineStr">
        <x:is>
          <x:t xml:space="preserve">Rabeprazole Sandoz 20 mg </x:t>
        </x:is>
      </x:c>
      <x:c r="E123" t="inlineStr">
        <x:is>
          <x:t xml:space="preserve">กล่อง 14 เม็ด</x:t>
        </x:is>
      </x:c>
      <x:c r="F123" t="inlineStr">
        <x:is>
          <x:t xml:space="preserve">Rabeprazole Sandoz 20 mg.</x:t>
        </x:is>
      </x:c>
      <x:c r="G123" t="inlineStr">
        <x:is>
          <x:t xml:space="preserve">BDS047441</x:t>
        </x:is>
      </x:c>
      <x:c r="H123" t="inlineStr">
        <x:is>
          <x:t xml:space="preserve">Rabeprazole Sandoz 20 mg  (14 tabs)</x:t>
        </x:is>
      </x:c>
      <x:c r="I123" t="inlineStr">
        <x:is>
          <x:t xml:space="preserve">รับประทานครั้งละ 1 เม็ด วันละ 1 ครั้ง ก่อนอาหารเช้า </x:t>
        </x:is>
      </x:c>
    </x:row>
    <x:row r="124">
      <x:c r="A124" t="n">
        <x:v>122</x:v>
      </x:c>
      <x:c r="B124" t="inlineStr">
        <x:is>
          <x:t xml:space="preserve">ยาลดการหลั่งกรด (D)</x:t>
        </x:is>
      </x:c>
      <x:c r="C124" t="n">
        <x:v>3527</x:v>
      </x:c>
      <x:c r="D124" t="inlineStr">
        <x:is>
          <x:t xml:space="preserve">Siamidine 400 mg</x:t>
        </x:is>
      </x:c>
      <x:c r="E124" t="inlineStr">
        <x:is>
          <x:t xml:space="preserve">แผง 10 เม็ด</x:t>
        </x:is>
      </x:c>
      <x:c r="F124" t="inlineStr">
        <x:is>
          <x:t xml:space="preserve">Cimetidine 400 mg.</x:t>
        </x:is>
      </x:c>
      <x:c r="G124" t="inlineStr">
        <x:is>
          <x:t xml:space="preserve">BDS003527</x:t>
        </x:is>
      </x:c>
      <x:c r="H124" t="inlineStr">
        <x:is>
          <x:t xml:space="preserve">Siamidine 400 mg (10 tabs)</x:t>
        </x:is>
      </x:c>
      <x:c r="I124" t="inlineStr">
        <x:is>
          <x:t xml:space="preserve">รับประทานครั้งละ 1 เม็ด วันละ 2 ครั้ง</x:t>
        </x:is>
      </x:c>
    </x:row>
    <x:row r="125">
      <x:c r="A125" t="n">
        <x:v>123</x:v>
      </x:c>
      <x:c r="B125" t="inlineStr">
        <x:is>
          <x:t xml:space="preserve">ยาลดบวม (D)</x:t>
        </x:is>
      </x:c>
      <x:c r="C125" t="n">
        <x:v>7181</x:v>
      </x:c>
      <x:c r="D125" t="inlineStr">
        <x:is>
          <x:t xml:space="preserve">Leftose</x:t>
        </x:is>
      </x:c>
      <x:c r="E125" t="inlineStr">
        <x:is>
          <x:t xml:space="preserve">แผง 10 เม็ด</x:t>
        </x:is>
      </x:c>
      <x:c r="F125" t="inlineStr">
        <x:is>
          <x:t xml:space="preserve">Lysozyme chloride 30 mg.</x:t>
        </x:is>
      </x:c>
      <x:c r="G125" t="inlineStr">
        <x:is>
          <x:t xml:space="preserve">BDS007181</x:t>
        </x:is>
      </x:c>
      <x:c r="H125" t="inlineStr">
        <x:is>
          <x:t xml:space="preserve">Leftose (10 tabs)</x:t>
        </x:is>
      </x:c>
      <x:c r="I125" t="inlineStr">
        <x:is>
          <x:t xml:space="preserve">รับประทานครั้งละ 1 เม็ด วันละ 3 ครั้ง</x:t>
        </x:is>
      </x:c>
    </x:row>
    <x:row r="126">
      <x:c r="A126" t="n">
        <x:v>124</x:v>
      </x:c>
      <x:c r="B126" t="inlineStr">
        <x:is>
          <x:t xml:space="preserve">ยาลดบวม (D)</x:t>
        </x:is>
      </x:c>
      <x:c r="C126" t="n">
        <x:v>46509</x:v>
      </x:c>
      <x:c r="D126" t="inlineStr">
        <x:is>
          <x:t xml:space="preserve">Proctase-P</x:t>
        </x:is>
      </x:c>
      <x:c r="E126" t="inlineStr">
        <x:is>
          <x:t xml:space="preserve">แผง 10 แคปซูล</x:t>
        </x:is>
      </x:c>
      <x:c r="F126" t="inlineStr">
        <x:is>
          <x:t xml:space="preserve">Proctase 10 mg+Pancreatin 50 mg</x:t>
        </x:is>
      </x:c>
      <x:c r="G126" t="inlineStr">
        <x:is>
          <x:t xml:space="preserve">BDS046509</x:t>
        </x:is>
      </x:c>
      <x:c r="H126" t="inlineStr">
        <x:is>
          <x:t xml:space="preserve">Proctase-P (10 cap)</x:t>
        </x:is>
      </x:c>
      <x:c r="I126" t="inlineStr">
        <x:is>
          <x:t xml:space="preserve">รับประทานครั้งละ 1-2 แคปซูล วันละ 3 ครั้ง หลังอาหาร</x:t>
        </x:is>
      </x:c>
    </x:row>
    <x:row r="127">
      <x:c r="A127" t="n">
        <x:v>125</x:v>
      </x:c>
      <x:c r="B127" t="inlineStr">
        <x:is>
          <x:t xml:space="preserve">ยาขยายหลอดลม (D)</x:t>
        </x:is>
      </x:c>
      <x:c r="C127" t="n">
        <x:v>8607</x:v>
      </x:c>
      <x:c r="D127" t="inlineStr">
        <x:is>
          <x:t xml:space="preserve">Durasal-CR 4 mg</x:t>
        </x:is>
      </x:c>
      <x:c r="E127" t="inlineStr">
        <x:is>
          <x:t xml:space="preserve">แผง 10 แคปซูล</x:t>
        </x:is>
      </x:c>
      <x:c r="F127" t="inlineStr">
        <x:is>
          <x:t xml:space="preserve">Salbutamol 4 mg.</x:t>
        </x:is>
      </x:c>
      <x:c r="G127" t="inlineStr">
        <x:is>
          <x:t xml:space="preserve">BDS008607</x:t>
        </x:is>
      </x:c>
      <x:c r="H127" t="inlineStr">
        <x:is>
          <x:t xml:space="preserve">Durasal-CR 4 mg (10 cap)</x:t>
        </x:is>
      </x:c>
      <x:c r="I127" t="inlineStr">
        <x:is>
          <x:t xml:space="preserve">รับประทานครั้งละ 1 แคปซูล วันละ 2 ครั้ง เช้า-เย็น</x:t>
        </x:is>
      </x:c>
      <x:c r="P127" t="inlineStr">
        <x:is>
          <x:t xml:space="preserve">Bronchodilators (inhalers/oral)</x:t>
        </x:is>
      </x:c>
    </x:row>
    <x:row r="128">
      <x:c r="A128" t="n">
        <x:v>126</x:v>
      </x:c>
      <x:c r="B128" t="inlineStr">
        <x:is>
          <x:t xml:space="preserve">ยาขยายหลอดลม (D)</x:t>
        </x:is>
      </x:c>
      <x:c r="C128" t="n">
        <x:v>2616</x:v>
      </x:c>
      <x:c r="D128" t="inlineStr">
        <x:is>
          <x:t xml:space="preserve">Meptin 50</x:t>
        </x:is>
      </x:c>
      <x:c r="E128" t="inlineStr">
        <x:is>
          <x:t xml:space="preserve">แผง 10 เม็ด</x:t>
        </x:is>
      </x:c>
      <x:c r="F128" t="inlineStr">
        <x:is>
          <x:t xml:space="preserve">Procaterol HCl 50 mcg.</x:t>
        </x:is>
      </x:c>
      <x:c r="G128" t="inlineStr">
        <x:is>
          <x:t xml:space="preserve">BDS002616</x:t>
        </x:is>
      </x:c>
      <x:c r="H128" t="inlineStr">
        <x:is>
          <x:t xml:space="preserve">Meptin 50 (10 tabs)</x:t>
        </x:is>
      </x:c>
      <x:c r="I128" t="inlineStr">
        <x:is>
          <x:t xml:space="preserve">รับประทานครั้งละ 1 เม็ด วันละ 2   ครั้ง เช้าและก่อนนอน</x:t>
        </x:is>
      </x:c>
      <x:c r="P128" t="inlineStr">
        <x:is>
          <x:t xml:space="preserve">Bronchodilators (inhalers/oral)</x:t>
        </x:is>
      </x:c>
    </x:row>
    <x:row r="129">
      <x:c r="A129" t="n">
        <x:v>127</x:v>
      </x:c>
      <x:c r="B129" t="inlineStr">
        <x:is>
          <x:t xml:space="preserve">ยาขยายหลอดลม (D)</x:t>
        </x:is>
      </x:c>
      <x:c r="C129" t="n">
        <x:v>2617</x:v>
      </x:c>
      <x:c r="D129" t="inlineStr">
        <x:is>
          <x:t xml:space="preserve">Meptin Mini 25</x:t>
        </x:is>
      </x:c>
      <x:c r="E129" t="inlineStr">
        <x:is>
          <x:t xml:space="preserve">แผง 10 เม็ด</x:t>
        </x:is>
      </x:c>
      <x:c r="F129" t="inlineStr">
        <x:is>
          <x:t xml:space="preserve">Procaterol HCl 25 mcg.</x:t>
        </x:is>
      </x:c>
      <x:c r="G129" t="inlineStr">
        <x:is>
          <x:t xml:space="preserve">BDS002617</x:t>
        </x:is>
      </x:c>
      <x:c r="H129" t="inlineStr">
        <x:is>
          <x:t xml:space="preserve">Meptin Mini 25 (10 tabs)</x:t>
        </x:is>
      </x:c>
      <x:c r="I129" t="inlineStr">
        <x:is>
          <x:t xml:space="preserve">รับประทานครั้งละ 1 เม็ด วันละ 2 ครั้ง เช้าและก่อนนอน</x:t>
        </x:is>
      </x:c>
      <x:c r="P129" t="inlineStr">
        <x:is>
          <x:t xml:space="preserve">Bronchodilators (inhalers/oral)</x:t>
        </x:is>
      </x:c>
    </x:row>
    <x:row r="130">
      <x:c r="A130" t="n">
        <x:v>128</x:v>
      </x:c>
      <x:c r="B130" t="inlineStr">
        <x:is>
          <x:t xml:space="preserve">ยาขยายหลอดลม (D)</x:t>
        </x:is>
      </x:c>
      <x:c r="C130" t="n">
        <x:v>2844</x:v>
      </x:c>
      <x:c r="D130" t="inlineStr">
        <x:is>
          <x:t xml:space="preserve">Nuelin SR</x:t>
        </x:is>
      </x:c>
      <x:c r="E130" t="inlineStr">
        <x:is>
          <x:t xml:space="preserve">แผง 20 เม็ด</x:t>
        </x:is>
      </x:c>
      <x:c r="F130" t="inlineStr">
        <x:is>
          <x:t xml:space="preserve">Theophylline 200 mg.</x:t>
        </x:is>
      </x:c>
      <x:c r="G130" t="inlineStr">
        <x:is>
          <x:t xml:space="preserve">BDS002844</x:t>
        </x:is>
      </x:c>
      <x:c r="H130" t="inlineStr">
        <x:is>
          <x:t xml:space="preserve">Nuelin SR (20 tabs)</x:t>
        </x:is>
      </x:c>
      <x:c r="I130" t="inlineStr">
        <x:is>
          <x:t xml:space="preserve">รับประทานครั้งละ 1 เม็ด วันละ 2 ครั้ง หลังอาหาร หรือตามแพทย์สั่ง</x:t>
        </x:is>
      </x:c>
      <x:c r="P130" t="inlineStr">
        <x:is>
          <x:t xml:space="preserve">Bronchodilators (inhalers/oral)</x:t>
        </x:is>
      </x:c>
    </x:row>
    <x:row r="131">
      <x:c r="A131" t="n">
        <x:v>129</x:v>
      </x:c>
      <x:c r="B131" t="inlineStr">
        <x:is>
          <x:t xml:space="preserve">ยาขยายหลอดลม (D)</x:t>
        </x:is>
      </x:c>
      <x:c r="C131" t="n">
        <x:v>3708</x:v>
      </x:c>
      <x:c r="D131" t="inlineStr">
        <x:is>
          <x:t xml:space="preserve">Terbuhim</x:t>
        </x:is>
      </x:c>
      <x:c r="E131" t="inlineStr">
        <x:is>
          <x:t xml:space="preserve">แผง 10 เม็ด</x:t>
        </x:is>
      </x:c>
      <x:c r="F131" t="inlineStr">
        <x:is>
          <x:t xml:space="preserve">Terbutaline sulfate 2.5 mg</x:t>
        </x:is>
      </x:c>
      <x:c r="G131" t="inlineStr">
        <x:is>
          <x:t xml:space="preserve">BDS003708</x:t>
        </x:is>
      </x:c>
      <x:c r="H131" t="inlineStr">
        <x:is>
          <x:t xml:space="preserve">Terbuhim (10 tabs)</x:t>
        </x:is>
      </x:c>
      <x:c r="I131" t="inlineStr">
        <x:is>
          <x:t xml:space="preserve">รับประทานครั้งละ 1 เม็ด วันละ 3 ครั้ง หลังอาหาร</x:t>
        </x:is>
      </x:c>
      <x:c r="P131" t="inlineStr">
        <x:is>
          <x:t xml:space="preserve">Bronchodilators (inhalers/oral)</x:t>
        </x:is>
      </x:c>
    </x:row>
    <x:row r="132">
      <x:c r="A132" t="n">
        <x:v>130</x:v>
      </x:c>
      <x:c r="B132" t="inlineStr">
        <x:is>
          <x:t xml:space="preserve">ยาแก้อาเจียน (D)</x:t>
        </x:is>
      </x:c>
      <x:c r="C132" t="n">
        <x:v>42329</x:v>
      </x:c>
      <x:c r="D132" t="inlineStr">
        <x:is>
          <x:t xml:space="preserve">Doiz 50 mg</x:t>
        </x:is>
      </x:c>
      <x:c r="E132" t="inlineStr">
        <x:is>
          <x:t xml:space="preserve">กล่อง 10 เม็ด</x:t>
        </x:is>
      </x:c>
      <x:c r="F132" t="inlineStr">
        <x:is>
          <x:t xml:space="preserve">Itopride hydrochloride 50 mg.</x:t>
        </x:is>
      </x:c>
      <x:c r="G132" t="inlineStr">
        <x:is>
          <x:t xml:space="preserve">BDS042329</x:t>
        </x:is>
      </x:c>
      <x:c r="H132" t="inlineStr">
        <x:is>
          <x:t xml:space="preserve">Doiz 50 mg (10 tabs)</x:t>
        </x:is>
      </x:c>
      <x:c r="I132" t="inlineStr">
        <x:is>
          <x:t xml:space="preserve">รับประทานครั้งละ 1 เม็ด วันละ 3 ครั้ง </x:t>
        </x:is>
      </x:c>
    </x:row>
    <x:row r="133">
      <x:c r="A133" t="n">
        <x:v>131</x:v>
      </x:c>
      <x:c r="B133" t="inlineStr">
        <x:is>
          <x:t xml:space="preserve">ยาแก้อาเจียน (D)</x:t>
        </x:is>
      </x:c>
      <x:c r="C133" t="n">
        <x:v>7106</x:v>
      </x:c>
      <x:c r="D133" t="inlineStr">
        <x:is>
          <x:t xml:space="preserve">Domperdone</x:t>
        </x:is>
      </x:c>
      <x:c r="E133" t="inlineStr">
        <x:is>
          <x:t xml:space="preserve">แผง 10 เม็ด</x:t>
        </x:is>
      </x:c>
      <x:c r="F133" t="inlineStr">
        <x:is>
          <x:t xml:space="preserve">Domperidone 10 mg.</x:t>
        </x:is>
      </x:c>
      <x:c r="G133" t="inlineStr">
        <x:is>
          <x:t xml:space="preserve">BDS007106</x:t>
        </x:is>
      </x:c>
      <x:c r="H133" t="inlineStr">
        <x:is>
          <x:t xml:space="preserve">Domperdone (10 tabs)</x:t>
        </x:is>
      </x:c>
      <x:c r="I133" t="inlineStr">
        <x:is>
          <x:t xml:space="preserve">รับประทานครั้งละ 1 เม็ด วันละ 3 ครั้ง ก่อนอาหาร 30 นาที</x:t>
        </x:is>
      </x:c>
    </x:row>
    <x:row r="134">
      <x:c r="A134" t="n">
        <x:v>132</x:v>
      </x:c>
      <x:c r="B134" t="inlineStr">
        <x:is>
          <x:t xml:space="preserve">ยาแก้อาเจียน (D)</x:t>
        </x:is>
      </x:c>
      <x:c r="C134" t="n">
        <x:v>2048</x:v>
      </x:c>
      <x:c r="D134" t="inlineStr">
        <x:is>
          <x:t xml:space="preserve">Ganaton</x:t>
        </x:is>
      </x:c>
      <x:c r="E134" t="inlineStr">
        <x:is>
          <x:t xml:space="preserve">กล่อง 10 เม็ด</x:t>
        </x:is>
      </x:c>
      <x:c r="F134" t="inlineStr">
        <x:is>
          <x:t xml:space="preserve">Itopride Hydrochloride 50 mg.</x:t>
        </x:is>
      </x:c>
      <x:c r="G134" t="inlineStr">
        <x:is>
          <x:t xml:space="preserve">BDS002048</x:t>
        </x:is>
      </x:c>
      <x:c r="H134" t="inlineStr">
        <x:is>
          <x:t xml:space="preserve">Ganaton (10 tabs)</x:t>
        </x:is>
      </x:c>
      <x:c r="I134" t="inlineStr">
        <x:is>
          <x:t xml:space="preserve">รับประทานครั้งละ 1 เม็ด  วันละ 3 ครั้ง ก่อนอาหาร</x:t>
        </x:is>
      </x:c>
    </x:row>
    <x:row r="135">
      <x:c r="A135" t="n">
        <x:v>133</x:v>
      </x:c>
      <x:c r="B135" t="inlineStr">
        <x:is>
          <x:t xml:space="preserve">ยาแก้อาเจียน (D)</x:t>
        </x:is>
      </x:c>
      <x:c r="C135" t="n">
        <x:v>6250</x:v>
      </x:c>
      <x:c r="D135" t="inlineStr">
        <x:is>
          <x:t xml:space="preserve">Gasmotin tabslets</x:t>
        </x:is>
      </x:c>
      <x:c r="E135" t="inlineStr">
        <x:is>
          <x:t xml:space="preserve">แผง 10 เม็ด</x:t>
        </x:is>
      </x:c>
      <x:c r="F135" t="inlineStr">
        <x:is>
          <x:t xml:space="preserve">Mosapride citrate 5 mg.</x:t>
        </x:is>
      </x:c>
      <x:c r="G135" t="inlineStr">
        <x:is>
          <x:t xml:space="preserve">BDS006250</x:t>
        </x:is>
      </x:c>
      <x:c r="H135" t="inlineStr">
        <x:is>
          <x:t xml:space="preserve">Gasmotin tabslets (10 tabs)</x:t>
        </x:is>
      </x:c>
      <x:c r="I135" t="inlineStr">
        <x:is>
          <x:t xml:space="preserve">รับประทานครั้งละ 1 เม็ด วันละ 3  ครั้ง</x:t>
        </x:is>
      </x:c>
    </x:row>
    <x:row r="136">
      <x:c r="A136" t="n">
        <x:v>134</x:v>
      </x:c>
      <x:c r="B136" t="inlineStr">
        <x:is>
          <x:t xml:space="preserve">ยาแก้อาเจียน (D)</x:t>
        </x:is>
      </x:c>
      <x:c r="C136" t="n">
        <x:v>44921</x:v>
      </x:c>
      <x:c r="D136" t="inlineStr">
        <x:is>
          <x:t xml:space="preserve">Mirax-M</x:t>
        </x:is>
      </x:c>
      <x:c r="E136" t="inlineStr">
        <x:is>
          <x:t xml:space="preserve">แผง 10 เม็ด</x:t>
        </x:is>
      </x:c>
      <x:c r="F136" t="inlineStr">
        <x:is>
          <x:t xml:space="preserve">Domperidone 10 mg.</x:t>
        </x:is>
      </x:c>
      <x:c r="G136" t="inlineStr">
        <x:is>
          <x:t xml:space="preserve">BDS044921</x:t>
        </x:is>
      </x:c>
      <x:c r="H136" t="inlineStr">
        <x:is>
          <x:t xml:space="preserve">Mirax-M (10 tabs)</x:t>
        </x:is>
      </x:c>
      <x:c r="I136" t="inlineStr">
        <x:is>
          <x:t xml:space="preserve">รับประทานครั้งละ 1 เม็ด วันละ 3 ครั้ง ก่อนอาหาร 1 ชั่วโมง หรือตามแพทย์สั่ง</x:t>
        </x:is>
      </x:c>
    </x:row>
    <x:row r="137">
      <x:c r="A137" t="n">
        <x:v>135</x:v>
      </x:c>
      <x:c r="B137" t="inlineStr">
        <x:is>
          <x:t xml:space="preserve">ยาแก้อาเจียน (D)</x:t>
        </x:is>
      </x:c>
      <x:c r="C137" t="n">
        <x:v>6639</x:v>
      </x:c>
      <x:c r="D137" t="inlineStr">
        <x:is>
          <x:t xml:space="preserve">Molax-M</x:t>
        </x:is>
      </x:c>
      <x:c r="E137" t="inlineStr">
        <x:is>
          <x:t xml:space="preserve">แผง 10 เม็ด</x:t>
        </x:is>
      </x:c>
      <x:c r="F137" t="inlineStr">
        <x:is>
          <x:t xml:space="preserve">Domperidone 10 mg.</x:t>
        </x:is>
      </x:c>
      <x:c r="G137" t="inlineStr">
        <x:is>
          <x:t xml:space="preserve">BDS006639</x:t>
        </x:is>
      </x:c>
      <x:c r="H137" t="inlineStr">
        <x:is>
          <x:t xml:space="preserve">Molax-M (10 tabs)</x:t>
        </x:is>
      </x:c>
      <x:c r="I137" t="inlineStr">
        <x:is>
          <x:t xml:space="preserve">รับประทานครั้งละ 1 เม็ด วันละ 3 ครั้ง ก่อนอาหาร 30 นาที</x:t>
        </x:is>
      </x:c>
    </x:row>
    <x:row r="138">
      <x:c r="A138" t="n">
        <x:v>136</x:v>
      </x:c>
      <x:c r="B138" t="inlineStr">
        <x:is>
          <x:t xml:space="preserve">ยาแก้อาเจียน (D)</x:t>
        </x:is>
      </x:c>
      <x:c r="C138" t="n">
        <x:v>2636</x:v>
      </x:c>
      <x:c r="D138" t="inlineStr">
        <x:is>
          <x:t xml:space="preserve">Motilium-M</x:t>
        </x:is>
      </x:c>
      <x:c r="E138" t="inlineStr">
        <x:is>
          <x:t xml:space="preserve">แผง 10 เม็ด</x:t>
        </x:is>
      </x:c>
      <x:c r="F138" t="inlineStr">
        <x:is>
          <x:t xml:space="preserve">Domperidone 10 mg.</x:t>
        </x:is>
      </x:c>
      <x:c r="G138" t="inlineStr">
        <x:is>
          <x:t xml:space="preserve">BDS002636</x:t>
        </x:is>
      </x:c>
      <x:c r="H138" t="inlineStr">
        <x:is>
          <x:t xml:space="preserve">Motilium-M (10 tabs)</x:t>
        </x:is>
      </x:c>
      <x:c r="I138" t="inlineStr">
        <x:is>
          <x:t xml:space="preserve">รับประทานครั้งละ 1 เม็ด วันละ 3 ครั้ง ก่อนอาหาร 1 ชั่วโมง หรือตามแพทย์สั่ง</x:t>
        </x:is>
      </x:c>
    </x:row>
    <x:row r="139">
      <x:c r="A139" t="n">
        <x:v>137</x:v>
      </x:c>
      <x:c r="B139" t="inlineStr">
        <x:is>
          <x:t xml:space="preserve">ยาแก้อาเจียน (D)</x:t>
        </x:is>
      </x:c>
      <x:c r="C139" t="n">
        <x:v>46502</x:v>
      </x:c>
      <x:c r="D139" t="inlineStr">
        <x:is>
          <x:t xml:space="preserve">Patilum</x:t>
        </x:is>
      </x:c>
      <x:c r="E139" t="inlineStr">
        <x:is>
          <x:t xml:space="preserve">แผง 10 เม็ด</x:t>
        </x:is>
      </x:c>
      <x:c r="F139" t="inlineStr">
        <x:is>
          <x:t xml:space="preserve">Domperidone 10 mg.</x:t>
        </x:is>
      </x:c>
      <x:c r="G139" t="inlineStr">
        <x:is>
          <x:t xml:space="preserve">BDS046502</x:t>
        </x:is>
      </x:c>
      <x:c r="H139" t="inlineStr">
        <x:is>
          <x:t xml:space="preserve">Patilum (10 tabs)</x:t>
        </x:is>
      </x:c>
      <x:c r="I139" t="inlineStr">
        <x:is>
          <x:t xml:space="preserve">รับประทานครั้งละ 1 เม็ด วันละ 3 ครั้ง ก่อนอาหาร 30 นาที หรือตามแพทย์สั่ง</x:t>
        </x:is>
      </x:c>
    </x:row>
    <x:row r="140">
      <x:c r="A140" t="n">
        <x:v>138</x:v>
      </x:c>
      <x:c r="B140" t="inlineStr">
        <x:is>
          <x:t xml:space="preserve">ยาขับลม</x:t>
        </x:is>
      </x:c>
      <x:c r="C140" t="n">
        <x:v>1079</x:v>
      </x:c>
      <x:c r="D140" t="inlineStr">
        <x:is>
          <x:t xml:space="preserve">Air-X 120</x:t>
        </x:is>
      </x:c>
      <x:c r="E140" t="inlineStr">
        <x:is>
          <x:t xml:space="preserve">แผง 10 เม็ด</x:t>
        </x:is>
      </x:c>
      <x:c r="F140" t="inlineStr">
        <x:is>
          <x:t xml:space="preserve">Simethicone 120 mg.</x:t>
        </x:is>
      </x:c>
      <x:c r="G140" t="inlineStr">
        <x:is>
          <x:t xml:space="preserve">BDS001079</x:t>
        </x:is>
      </x:c>
      <x:c r="H140" t="inlineStr">
        <x:is>
          <x:t xml:space="preserve">Air-X 120 (10 tabs)</x:t>
        </x:is>
      </x:c>
      <x:c r="I140" t="inlineStr">
        <x:is>
          <x:t xml:space="preserve">รับประทาน (เคี้ยว) ครั้งละ 1 เม็ด วันละ 3-4 ครั้ง</x:t>
        </x:is>
      </x:c>
      <x:c r="P140" t="inlineStr">
        <x:is>
          <x:t xml:space="preserve">Carminatives (gas relief)</x:t>
        </x:is>
      </x:c>
    </x:row>
    <x:row r="141">
      <x:c r="A141" t="n">
        <x:v>139</x:v>
      </x:c>
      <x:c r="B141" t="inlineStr">
        <x:is>
          <x:t xml:space="preserve">ยาขับลม</x:t>
        </x:is>
      </x:c>
      <x:c r="C141" t="n">
        <x:v>6054</x:v>
      </x:c>
      <x:c r="D141" t="inlineStr">
        <x:is>
          <x:t xml:space="preserve">Gogaz</x:t>
        </x:is>
      </x:c>
      <x:c r="E141" t="inlineStr">
        <x:is>
          <x:t xml:space="preserve">กล่อง 10 แคปซูล</x:t>
        </x:is>
      </x:c>
      <x:c r="F141" t="inlineStr">
        <x:is>
          <x:t xml:space="preserve">Simethicone 200 mg.</x:t>
        </x:is>
      </x:c>
      <x:c r="G141" t="inlineStr">
        <x:is>
          <x:t xml:space="preserve">BDS006054</x:t>
        </x:is>
      </x:c>
      <x:c r="H141" t="inlineStr">
        <x:is>
          <x:t xml:space="preserve">Gogaz (10 cap)</x:t>
        </x:is>
      </x:c>
      <x:c r="I141" t="inlineStr">
        <x:is>
          <x:t xml:space="preserve">รับประทานครั้งละ 1 แคปซูล วันละ 1-2 ครั้ง หลังอาหาร หรือก่อนนอน หรือตามแพทย์สั่ง</x:t>
        </x:is>
      </x:c>
      <x:c r="P141" t="inlineStr">
        <x:is>
          <x:t xml:space="preserve">Carminatives (gas relief)</x:t>
        </x:is>
      </x:c>
    </x:row>
    <x:row r="142">
      <x:c r="A142" t="n">
        <x:v>140</x:v>
      </x:c>
      <x:c r="B142" t="inlineStr">
        <x:is>
          <x:t xml:space="preserve">ยาขับลม</x:t>
        </x:is>
      </x:c>
      <x:c r="C142" t="n">
        <x:v>8682</x:v>
      </x:c>
      <x:c r="D142" t="inlineStr">
        <x:is>
          <x:t xml:space="preserve">Pudin Hara</x:t>
        </x:is>
      </x:c>
      <x:c r="E142" t="inlineStr">
        <x:is>
          <x:t xml:space="preserve">แผง 10 แคปซูล</x:t>
        </x:is>
      </x:c>
      <x:c r="F142" t="inlineStr">
        <x:is>
          <x:t xml:space="preserve">Peppermint Oil 150 mg.+Spearmint Oil 30 mg.</x:t>
        </x:is>
      </x:c>
      <x:c r="G142" t="inlineStr">
        <x:is>
          <x:t xml:space="preserve">BDS008682</x:t>
        </x:is>
      </x:c>
      <x:c r="H142" t="inlineStr">
        <x:is>
          <x:t xml:space="preserve">Pudin Hara (10 cap)</x:t>
        </x:is>
      </x:c>
      <x:c r="I142" t="inlineStr">
        <x:is>
          <x:t xml:space="preserve">รับประทานครั้งละ 2 แคปซูล หลังอาหาร พร้อมน้ำ 1 แก้ว </x:t>
        </x:is>
      </x:c>
      <x:c r="P142" t="inlineStr">
        <x:is>
          <x:t xml:space="preserve">Carminatives (gas relief)</x:t>
        </x:is>
      </x:c>
    </x:row>
    <x:row r="143">
      <x:c r="A143" t="n">
        <x:v>141</x:v>
      </x:c>
      <x:c r="B143" t="inlineStr">
        <x:is>
          <x:t xml:space="preserve">ยาขับลม</x:t>
        </x:is>
      </x:c>
      <x:c r="C143" t="n">
        <x:v>47683</x:v>
      </x:c>
      <x:c r="D143" t="inlineStr">
        <x:is>
          <x:t xml:space="preserve">Soda Mint</x:t>
        </x:is>
      </x:c>
      <x:c r="E143" t="inlineStr">
        <x:is>
          <x:t xml:space="preserve">แผง 10 เม็ด</x:t>
        </x:is>
      </x:c>
      <x:c r="F143" t="inlineStr">
        <x:is>
          <x:t xml:space="preserve">Sodium bicarbonate 300 mg+Peppermint Oil 0.003 ml</x:t>
        </x:is>
      </x:c>
      <x:c r="G143" t="inlineStr">
        <x:is>
          <x:t xml:space="preserve">BDS047683</x:t>
        </x:is>
      </x:c>
      <x:c r="H143" t="inlineStr">
        <x:is>
          <x:t xml:space="preserve">Soda Mint (10 tabs)</x:t>
        </x:is>
      </x:c>
      <x:c r="I143" t="inlineStr">
        <x:is>
          <x:t xml:space="preserve">รับประทานครั้งละ 2 เม็ด วันละ 2-4 ครั้ง ก่อนอาหาร หรือตามแพทย์สั่ง</x:t>
        </x:is>
      </x:c>
      <x:c r="P143" t="inlineStr">
        <x:is>
          <x:t xml:space="preserve">Carminatives (gas relief)</x:t>
        </x:is>
      </x:c>
    </x:row>
    <x:row r="144">
      <x:c r="A144" t="n">
        <x:v>142</x:v>
      </x:c>
      <x:c r="B144" t="inlineStr">
        <x:is>
          <x:t xml:space="preserve">ยาขับลม</x:t>
        </x:is>
      </x:c>
      <x:c r="C144" t="n">
        <x:v>3910</x:v>
      </x:c>
      <x:c r="D144" t="inlineStr">
        <x:is>
          <x:t xml:space="preserve">V-Cap</x:t>
        </x:is>
      </x:c>
      <x:c r="E144" t="inlineStr">
        <x:is>
          <x:t xml:space="preserve">แผง 10 แคปซูล</x:t>
        </x:is>
      </x:c>
      <x:c r="F144" t="inlineStr">
        <x:is>
          <x:t xml:space="preserve">Simethicone 150 mg.</x:t>
        </x:is>
      </x:c>
      <x:c r="G144" t="inlineStr">
        <x:is>
          <x:t xml:space="preserve">BDS003910</x:t>
        </x:is>
      </x:c>
      <x:c r="H144" t="inlineStr">
        <x:is>
          <x:t xml:space="preserve">V-Cap (10 cap)</x:t>
        </x:is>
      </x:c>
      <x:c r="I144" t="inlineStr">
        <x:is>
          <x:t xml:space="preserve">รับประทานครั้งละ 1 แคปซูล วันละ 3 ครั้ง</x:t>
        </x:is>
      </x:c>
      <x:c r="P144" t="inlineStr">
        <x:is>
          <x:t xml:space="preserve">Carminatives (gas relief)</x:t>
        </x:is>
      </x:c>
    </x:row>
    <x:row r="145">
      <x:c r="A145" t="n">
        <x:v>143</x:v>
      </x:c>
      <x:c r="B145" t="inlineStr">
        <x:is>
          <x:t xml:space="preserve">ยาต้านเชื้อรา (D)</x:t>
        </x:is>
      </x:c>
      <x:c r="C145" t="n">
        <x:v>40602</x:v>
      </x:c>
      <x:c r="D145" t="inlineStr">
        <x:is>
          <x:t xml:space="preserve">Biozole 150 mg</x:t>
        </x:is>
      </x:c>
      <x:c r="E145" t="inlineStr">
        <x:is>
          <x:t xml:space="preserve">กล่อง 1 แคปซูล</x:t>
        </x:is>
      </x:c>
      <x:c r="F145" t="inlineStr">
        <x:is>
          <x:t xml:space="preserve">Fluconazole 150 mg.</x:t>
        </x:is>
      </x:c>
      <x:c r="G145" t="inlineStr">
        <x:is>
          <x:t xml:space="preserve">BDS040602</x:t>
        </x:is>
      </x:c>
      <x:c r="H145" t="inlineStr">
        <x:is>
          <x:t xml:space="preserve">Biozole 150 mg (1 cap)</x:t>
        </x:is>
      </x:c>
      <x:c r="I145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145" t="inlineStr">
        <x:is>
          <x:t xml:space="preserve">Antifungals (oral/topical)</x:t>
        </x:is>
      </x:c>
    </x:row>
    <x:row r="146">
      <x:c r="A146" t="n">
        <x:v>144</x:v>
      </x:c>
      <x:c r="B146" t="inlineStr">
        <x:is>
          <x:t xml:space="preserve">ยาต้านเชื้อรา (D)</x:t>
        </x:is>
      </x:c>
      <x:c r="C146" t="n">
        <x:v>7128</x:v>
      </x:c>
      <x:c r="D146" t="inlineStr">
        <x:is>
          <x:t xml:space="preserve">Funa 200 mg</x:t>
        </x:is>
      </x:c>
      <x:c r="E146" t="inlineStr">
        <x:is>
          <x:t xml:space="preserve">กล่อง 1 แคปซูล</x:t>
        </x:is>
      </x:c>
      <x:c r="F146" t="inlineStr">
        <x:is>
          <x:t xml:space="preserve">Fluconazole 200 mg.</x:t>
        </x:is>
      </x:c>
      <x:c r="G146" t="inlineStr">
        <x:is>
          <x:t xml:space="preserve">BDS007128</x:t>
        </x:is>
      </x:c>
      <x:c r="H146" t="inlineStr">
        <x:is>
          <x:t xml:space="preserve">Funa 200 mg (1 cap)</x:t>
        </x:is>
      </x:c>
      <x:c r="I146" t="inlineStr">
        <x:is>
          <x:t xml:space="preserve">รับประทานครั้งละ 1 แคปซูล วันละ 1 ครั้ง หลังอาหาร</x:t>
        </x:is>
      </x:c>
      <x:c r="P146" t="inlineStr">
        <x:is>
          <x:t xml:space="preserve">Antifungals (oral/topical)</x:t>
        </x:is>
      </x:c>
    </x:row>
    <x:row r="147">
      <x:c r="A147" t="n">
        <x:v>145</x:v>
      </x:c>
      <x:c r="B147" t="inlineStr">
        <x:is>
          <x:t xml:space="preserve">ยาต้านเชื้อรา (D)</x:t>
        </x:is>
      </x:c>
      <x:c r="C147" t="n">
        <x:v>7572</x:v>
      </x:c>
      <x:c r="D147" t="inlineStr">
        <x:is>
          <x:t xml:space="preserve">J.V.Nazole</x:t>
        </x:is>
      </x:c>
      <x:c r="E147" t="inlineStr">
        <x:is>
          <x:t xml:space="preserve">แผง 10 เม็ด</x:t>
        </x:is>
      </x:c>
      <x:c r="F147" t="inlineStr">
        <x:is>
          <x:t xml:space="preserve">Ketoconazole 200 mg.</x:t>
        </x:is>
      </x:c>
      <x:c r="G147" t="inlineStr">
        <x:is>
          <x:t xml:space="preserve">BDS007572</x:t>
        </x:is>
      </x:c>
      <x:c r="H147" t="inlineStr">
        <x:is>
          <x:t xml:space="preserve">J.V.Nazole (10 tabs)</x:t>
        </x:is>
      </x:c>
      <x:c r="I147" t="inlineStr">
        <x:is>
          <x:t xml:space="preserve">N/A</x:t>
        </x:is>
      </x:c>
      <x:c r="P147" t="inlineStr">
        <x:is>
          <x:t xml:space="preserve">Antifungals (oral/topical)</x:t>
        </x:is>
      </x:c>
    </x:row>
    <x:row r="148">
      <x:c r="A148" t="n">
        <x:v>146</x:v>
      </x:c>
      <x:c r="B148" t="inlineStr">
        <x:is>
          <x:t xml:space="preserve">ยาต้านเชื้อรา (D)</x:t>
        </x:is>
      </x:c>
      <x:c r="C148" t="n">
        <x:v>2826</x:v>
      </x:c>
      <x:c r="D148" t="inlineStr">
        <x:is>
          <x:t xml:space="preserve">Ninazol T.O.</x:t>
        </x:is>
      </x:c>
      <x:c r="E148" t="inlineStr">
        <x:is>
          <x:t xml:space="preserve">แผง 10 เม็ด</x:t>
        </x:is>
      </x:c>
      <x:c r="F148" t="inlineStr">
        <x:is>
          <x:t xml:space="preserve">Ketoconazole 200 mg.</x:t>
        </x:is>
      </x:c>
      <x:c r="G148" t="inlineStr">
        <x:is>
          <x:t xml:space="preserve">BDS002826</x:t>
        </x:is>
      </x:c>
      <x:c r="H148" t="inlineStr">
        <x:is>
          <x:t xml:space="preserve">Ninazol T.O. (10 tabs)</x:t>
        </x:is>
      </x:c>
      <x:c r="I148" t="inlineStr">
        <x:is>
          <x:t xml:space="preserve">รับประทานครั้งละ 1 เม็ด วันละ 1 ครั้ง หลังอาหาร</x:t>
        </x:is>
      </x:c>
      <x:c r="P148" t="inlineStr">
        <x:is>
          <x:t xml:space="preserve">Antifungals (oral/topical)</x:t>
        </x:is>
      </x:c>
    </x:row>
    <x:row r="149">
      <x:c r="A149" t="n">
        <x:v>147</x:v>
      </x:c>
      <x:c r="B149" t="inlineStr">
        <x:is>
          <x:t xml:space="preserve">ยาต้านเชื้อรา (D)</x:t>
        </x:is>
      </x:c>
      <x:c r="C149" t="n">
        <x:v>45631</x:v>
      </x:c>
      <x:c r="D149" t="inlineStr">
        <x:is>
          <x:t xml:space="preserve">Nyst Oral</x:t>
        </x:is>
      </x:c>
      <x:c r="E149" t="inlineStr">
        <x:is>
          <x:t xml:space="preserve">ขวด 12 ml.</x:t>
        </x:is>
      </x:c>
      <x:c r="F149" t="inlineStr">
        <x:is>
          <x:t xml:space="preserve">Nystatin 100,000 Unit/1 ml.</x:t>
        </x:is>
      </x:c>
      <x:c r="G149" t="inlineStr">
        <x:is>
          <x:t xml:space="preserve">BDS045631</x:t>
        </x:is>
      </x:c>
      <x:c r="H149" t="inlineStr">
        <x:is>
          <x:t xml:space="preserve">Nyst Oral (12 ml.)</x:t>
        </x:is>
      </x:c>
      <x:c r="I149" t="inlineStr">
        <x:is>
          <x:t xml:space="preserve">รับประทานครั้งละ 1 หลอดหยด วันละ 4 ครั้ง หลังอาหารและก่อนนอน</x:t>
        </x:is>
      </x:c>
      <x:c r="P149" t="inlineStr">
        <x:is>
          <x:t xml:space="preserve">Antifungals (oral/topical)</x:t>
        </x:is>
      </x:c>
    </x:row>
    <x:row r="150">
      <x:c r="A150" t="n">
        <x:v>148</x:v>
      </x:c>
      <x:c r="B150" t="inlineStr">
        <x:is>
          <x:t xml:space="preserve">ยาต้านเชื้อรา (D)</x:t>
        </x:is>
      </x:c>
      <x:c r="C150" t="n">
        <x:v>3653</x:v>
      </x:c>
      <x:c r="D150" t="inlineStr">
        <x:is>
          <x:t xml:space="preserve">Spornar</x:t>
        </x:is>
      </x:c>
      <x:c r="E150" t="inlineStr">
        <x:is>
          <x:t xml:space="preserve">กล่อง 10 แคปซูล</x:t>
        </x:is>
      </x:c>
      <x:c r="F150" t="inlineStr">
        <x:is>
          <x:t xml:space="preserve">Itraconazole 100 mg.</x:t>
        </x:is>
      </x:c>
      <x:c r="G150" t="inlineStr">
        <x:is>
          <x:t xml:space="preserve">BDS003653</x:t>
        </x:is>
      </x:c>
      <x:c r="H150" t="inlineStr">
        <x:is>
          <x:t xml:space="preserve">Spornar (10 cap)</x:t>
        </x:is>
      </x:c>
      <x:c r="I150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150" t="inlineStr">
        <x:is>
          <x:t xml:space="preserve">Antifungals (oral/topical)</x:t>
        </x:is>
      </x:c>
    </x:row>
    <x:row r="151">
      <x:c r="A151" t="n">
        <x:v>149</x:v>
      </x:c>
      <x:c r="B151" t="inlineStr">
        <x:is>
          <x:t xml:space="preserve">ยาต้านเชื้อไวรัส (D)</x:t>
        </x:is>
      </x:c>
      <x:c r="C151" t="n">
        <x:v>8064</x:v>
      </x:c>
      <x:c r="D151" t="inlineStr">
        <x:is>
          <x:t xml:space="preserve">Acyvir 400 mg</x:t>
        </x:is>
      </x:c>
      <x:c r="E151" t="inlineStr">
        <x:is>
          <x:t xml:space="preserve">แผง 5 เม็ด</x:t>
        </x:is>
      </x:c>
      <x:c r="F151" t="inlineStr">
        <x:is>
          <x:t xml:space="preserve">Acyclovir 400 mg.</x:t>
        </x:is>
      </x:c>
      <x:c r="G151" t="inlineStr">
        <x:is>
          <x:t xml:space="preserve">BDS008064</x:t>
        </x:is>
      </x:c>
      <x:c r="H151" t="inlineStr">
        <x:is>
          <x:t xml:space="preserve">Acyvir 400 mg (5 tabs)</x:t>
        </x:is>
      </x:c>
      <x:c r="I151" t="inlineStr">
        <x:is>
          <x:t xml:space="preserve">กรณีเริม รับประทานครั้งละ 1 เม็ด ทุก 6 ชั่วโมง (วันละ 3 ครั้ง)</x:t>
        </x:is>
      </x:c>
      <x:c r="P151" t="inlineStr">
        <x:is>
          <x:t xml:space="preserve">Antivirals (oral/topical)</x:t>
        </x:is>
      </x:c>
    </x:row>
    <x:row r="152">
      <x:c r="A152" t="n">
        <x:v>150</x:v>
      </x:c>
      <x:c r="B152" t="inlineStr">
        <x:is>
          <x:t xml:space="preserve">ยาต้านเชื้อไวรัส (D)</x:t>
        </x:is>
      </x:c>
      <x:c r="C152" t="n">
        <x:v>8065</x:v>
      </x:c>
      <x:c r="D152" t="inlineStr">
        <x:is>
          <x:t xml:space="preserve">Acyvir 800 mg</x:t>
        </x:is>
      </x:c>
      <x:c r="E152" t="inlineStr">
        <x:is>
          <x:t xml:space="preserve">แผง 5 เม็ด</x:t>
        </x:is>
      </x:c>
      <x:c r="F152" t="inlineStr">
        <x:is>
          <x:t xml:space="preserve">Acyclovir 800 mg.</x:t>
        </x:is>
      </x:c>
      <x:c r="G152" t="inlineStr">
        <x:is>
          <x:t xml:space="preserve">BDS008065</x:t>
        </x:is>
      </x:c>
      <x:c r="H152" t="inlineStr">
        <x:is>
          <x:t xml:space="preserve">Acyvir 800 mg (5 tabs)</x:t>
        </x:is>
      </x:c>
      <x:c r="I152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152" t="inlineStr">
        <x:is>
          <x:t xml:space="preserve">Antivirals (oral/topical)</x:t>
        </x:is>
      </x:c>
    </x:row>
    <x:row r="153">
      <x:c r="A153" t="n">
        <x:v>151</x:v>
      </x:c>
      <x:c r="B153" t="inlineStr">
        <x:is>
          <x:t xml:space="preserve">ยาต้านเชื้อไวรัส (D)</x:t>
        </x:is>
      </x:c>
      <x:c r="C153" t="n">
        <x:v>7782</x:v>
      </x:c>
      <x:c r="D153" t="inlineStr">
        <x:is>
          <x:t xml:space="preserve">Clinovir 200 mg</x:t>
        </x:is>
      </x:c>
      <x:c r="E153" t="inlineStr">
        <x:is>
          <x:t xml:space="preserve">แผง 5 เม็ด</x:t>
        </x:is>
      </x:c>
      <x:c r="F153" t="inlineStr">
        <x:is>
          <x:t xml:space="preserve">Acyclovir 200 mg.</x:t>
        </x:is>
      </x:c>
      <x:c r="G153" t="inlineStr">
        <x:is>
          <x:t xml:space="preserve">BDS007782</x:t>
        </x:is>
      </x:c>
      <x:c r="H153" t="inlineStr">
        <x:is>
          <x:t xml:space="preserve">Clinovir 200 mg (5 tabs)</x:t>
        </x:is>
      </x:c>
      <x:c r="I153" t="inlineStr">
        <x:is>
          <x:t xml:space="preserve">รับประทานครั้งละ 1 เม็ด ทุก 4 ชั่วโมง (วันละ 5 ครั้ง)</x:t>
        </x:is>
      </x:c>
      <x:c r="P153" t="inlineStr">
        <x:is>
          <x:t xml:space="preserve">Antivirals (oral/topical)</x:t>
        </x:is>
      </x:c>
    </x:row>
    <x:row r="154">
      <x:c r="A154" t="n">
        <x:v>152</x:v>
      </x:c>
      <x:c r="B154" t="inlineStr">
        <x:is>
          <x:t xml:space="preserve">ยาต้านเชื้อไวรัส (D)</x:t>
        </x:is>
      </x:c>
      <x:c r="C154" t="n">
        <x:v>7783</x:v>
      </x:c>
      <x:c r="D154" t="inlineStr">
        <x:is>
          <x:t xml:space="preserve">Clinovir 400 mg</x:t>
        </x:is>
      </x:c>
      <x:c r="E154" t="inlineStr">
        <x:is>
          <x:t xml:space="preserve">แผง 5 เม็ด</x:t>
        </x:is>
      </x:c>
      <x:c r="F154" t="inlineStr">
        <x:is>
          <x:t xml:space="preserve">Acyclovir 400 mg.</x:t>
        </x:is>
      </x:c>
      <x:c r="G154" t="inlineStr">
        <x:is>
          <x:t xml:space="preserve">BDS007783</x:t>
        </x:is>
      </x:c>
      <x:c r="H154" t="inlineStr">
        <x:is>
          <x:t xml:space="preserve">Clinovir 400 mg (5 tabs)</x:t>
        </x:is>
      </x:c>
      <x:c r="I154" t="inlineStr">
        <x:is>
          <x:t xml:space="preserve">กรณีเริม รับประทานครั้งละ 1 เม็ด ทุก 6 ชั่วโมง (วันละ 3 ครั้ง)</x:t>
        </x:is>
      </x:c>
      <x:c r="P154" t="inlineStr">
        <x:is>
          <x:t xml:space="preserve">Antivirals (oral/topical)</x:t>
        </x:is>
      </x:c>
    </x:row>
    <x:row r="155">
      <x:c r="A155" t="n">
        <x:v>153</x:v>
      </x:c>
      <x:c r="B155" t="inlineStr">
        <x:is>
          <x:t xml:space="preserve">ยาต้านเชื้อไวรัส (D)</x:t>
        </x:is>
      </x:c>
      <x:c r="C155" t="n">
        <x:v>7781</x:v>
      </x:c>
      <x:c r="D155" t="inlineStr">
        <x:is>
          <x:t xml:space="preserve">Clinovir 800 mg</x:t>
        </x:is>
      </x:c>
      <x:c r="E155" t="inlineStr">
        <x:is>
          <x:t xml:space="preserve">แผง 5 เม็ด</x:t>
        </x:is>
      </x:c>
      <x:c r="F155" t="inlineStr">
        <x:is>
          <x:t xml:space="preserve">Acyclovir 800 mg.</x:t>
        </x:is>
      </x:c>
      <x:c r="G155" t="inlineStr">
        <x:is>
          <x:t xml:space="preserve">BDS007781</x:t>
        </x:is>
      </x:c>
      <x:c r="H155" t="inlineStr">
        <x:is>
          <x:t xml:space="preserve">Clinovir 800 mg (5 tabs)</x:t>
        </x:is>
      </x:c>
      <x:c r="I155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155" t="inlineStr">
        <x:is>
          <x:t xml:space="preserve">Antivirals (oral/topical)</x:t>
        </x:is>
      </x:c>
    </x:row>
    <x:row r="156">
      <x:c r="A156" t="n">
        <x:v>154</x:v>
      </x:c>
      <x:c r="B156" t="inlineStr">
        <x:is>
          <x:t xml:space="preserve">ยาต้านเชื้อไวรัส (D)</x:t>
        </x:is>
      </x:c>
      <x:c r="C156" t="n">
        <x:v>4019</x:v>
      </x:c>
      <x:c r="D156" t="inlineStr">
        <x:is>
          <x:t xml:space="preserve">Vilerm 200 mg 5s</x:t>
        </x:is>
      </x:c>
      <x:c r="E156" t="inlineStr">
        <x:is>
          <x:t xml:space="preserve">แผง 5 เม็ด</x:t>
        </x:is>
      </x:c>
      <x:c r="F156" t="inlineStr">
        <x:is>
          <x:t xml:space="preserve">Acyclovir 200 mg.</x:t>
        </x:is>
      </x:c>
      <x:c r="G156" t="inlineStr">
        <x:is>
          <x:t xml:space="preserve">BDS004019</x:t>
        </x:is>
      </x:c>
      <x:c r="H156" t="inlineStr">
        <x:is>
          <x:t xml:space="preserve">Vilerm 200 mg 5s (5 tabs)</x:t>
        </x:is>
      </x:c>
      <x:c r="I156" t="inlineStr">
        <x:is>
          <x:t xml:space="preserve">รับประทานครั้งละ 1 เม็ด วันละ 5 ครั้ง นาน 5 วัน</x:t>
        </x:is>
      </x:c>
      <x:c r="P156" t="inlineStr">
        <x:is>
          <x:t xml:space="preserve">Antivirals (oral/topical)</x:t>
        </x:is>
      </x:c>
    </x:row>
    <x:row r="157">
      <x:c r="A157" t="n">
        <x:v>155</x:v>
      </x:c>
      <x:c r="B157" t="inlineStr">
        <x:is>
          <x:t xml:space="preserve">ยาต้านเชื้อไวรัส (D)</x:t>
        </x:is>
      </x:c>
      <x:c r="C157" t="n">
        <x:v>4086</x:v>
      </x:c>
      <x:c r="D157" t="inlineStr">
        <x:is>
          <x:t xml:space="preserve">Vilerm 400 mg 5s</x:t>
        </x:is>
      </x:c>
      <x:c r="E157" t="inlineStr">
        <x:is>
          <x:t xml:space="preserve">แผง 5 เม็ด</x:t>
        </x:is>
      </x:c>
      <x:c r="F157" t="inlineStr">
        <x:is>
          <x:t xml:space="preserve">Acyclovir 400 mg.</x:t>
        </x:is>
      </x:c>
      <x:c r="G157" t="inlineStr">
        <x:is>
          <x:t xml:space="preserve">BDS004086</x:t>
        </x:is>
      </x:c>
      <x:c r="H157" t="inlineStr">
        <x:is>
          <x:t xml:space="preserve">Vilerm 400 mg 5s (5 tabs)</x:t>
        </x:is>
      </x:c>
      <x:c r="I157" t="inlineStr">
        <x:is>
          <x:t xml:space="preserve">รับประทานครั้งละ 1 เม็ด วันละ 5 ครั้ง นาน 5 วัน</x:t>
        </x:is>
      </x:c>
      <x:c r="P157" t="inlineStr">
        <x:is>
          <x:t xml:space="preserve">Antivirals (oral/topical)</x:t>
        </x:is>
      </x:c>
    </x:row>
    <x:row r="158">
      <x:c r="A158" t="n">
        <x:v>156</x:v>
      </x:c>
      <x:c r="B158" t="inlineStr">
        <x:is>
          <x:t xml:space="preserve">ยาต้านเชื้อไวรัส (D)</x:t>
        </x:is>
      </x:c>
      <x:c r="C158" t="n">
        <x:v>4011</x:v>
      </x:c>
      <x:c r="D158" t="inlineStr">
        <x:is>
          <x:t xml:space="preserve">Vilerm 800 mg 5s</x:t>
        </x:is>
      </x:c>
      <x:c r="E158" t="inlineStr">
        <x:is>
          <x:t xml:space="preserve">แผง 5 เม็ด</x:t>
        </x:is>
      </x:c>
      <x:c r="F158" t="inlineStr">
        <x:is>
          <x:t xml:space="preserve">Acyclovir 800 mg.</x:t>
        </x:is>
      </x:c>
      <x:c r="G158" t="inlineStr">
        <x:is>
          <x:t xml:space="preserve">BDS004011</x:t>
        </x:is>
      </x:c>
      <x:c r="H158" t="inlineStr">
        <x:is>
          <x:t xml:space="preserve">Vilerm 800 mg 5s (5 tabs)</x:t>
        </x:is>
      </x:c>
      <x:c r="I158" t="inlineStr">
        <x:is>
          <x:t xml:space="preserve">รับประทานครั้งละ 1 เม็ด ทุก 4 ชั่วโมง (วันละ 5 ครั้ง)</x:t>
        </x:is>
      </x:c>
      <x:c r="P158" t="inlineStr">
        <x:is>
          <x:t xml:space="preserve">Antivirals (oral/topical)</x:t>
        </x:is>
      </x:c>
    </x:row>
    <x:row r="159">
      <x:c r="A159" t="n">
        <x:v>157</x:v>
      </x:c>
      <x:c r="B159" t="inlineStr">
        <x:is>
          <x:t xml:space="preserve">ยาฆ่าพยาธิ</x:t>
        </x:is>
      </x:c>
      <x:c r="C159" t="n">
        <x:v>1230</x:v>
      </x:c>
      <x:c r="D159" t="inlineStr">
        <x:is>
          <x:t xml:space="preserve">Benda 500</x:t>
        </x:is>
      </x:c>
      <x:c r="E159" t="inlineStr">
        <x:is>
          <x:t xml:space="preserve">กล่อง 1 เม็ด</x:t>
        </x:is>
      </x:c>
      <x:c r="F159" t="inlineStr">
        <x:is>
          <x:t xml:space="preserve">Mebendazole 500 mg.</x:t>
        </x:is>
      </x:c>
      <x:c r="G159" t="inlineStr">
        <x:is>
          <x:t xml:space="preserve">BDS001230</x:t>
        </x:is>
      </x:c>
      <x:c r="H159" t="inlineStr">
        <x:is>
          <x:t xml:space="preserve">Benda 500 (1 tab)</x:t>
        </x:is>
      </x:c>
      <x:c r="I159" t="inlineStr">
        <x:is>
          <x:t xml:space="preserve">รับประทาน (เคี้ยว) ครั้งละ 1 เม็ด วันละ 1 ครั้ง ก่อนนอน</x:t>
        </x:is>
      </x:c>
      <x:c r="P159" t="inlineStr">
        <x:is>
          <x:t xml:space="preserve">Antiparasitics / deworming</x:t>
        </x:is>
      </x:c>
    </x:row>
    <x:row r="160">
      <x:c r="A160" t="n">
        <x:v>158</x:v>
      </x:c>
      <x:c r="B160" t="inlineStr">
        <x:is>
          <x:t xml:space="preserve">ยาฆ่าพยาธิ</x:t>
        </x:is>
      </x:c>
      <x:c r="C160" t="n">
        <x:v>1227</x:v>
      </x:c>
      <x:c r="D160" t="inlineStr">
        <x:is>
          <x:t xml:space="preserve">Benda 500 กลิ่นเลมอน</x:t>
        </x:is>
      </x:c>
      <x:c r="E160" t="inlineStr">
        <x:is>
          <x:t xml:space="preserve">กล่อง 1 เม็ด</x:t>
        </x:is>
      </x:c>
      <x:c r="F160" t="inlineStr">
        <x:is>
          <x:t xml:space="preserve">Mebendazole 500 mg.</x:t>
        </x:is>
      </x:c>
      <x:c r="G160" t="inlineStr">
        <x:is>
          <x:t xml:space="preserve">BDS001227</x:t>
        </x:is>
      </x:c>
      <x:c r="H160" t="inlineStr">
        <x:is>
          <x:t xml:space="preserve">Benda 500 กลิ่นเลมอน (1 tab)</x:t>
        </x:is>
      </x:c>
      <x:c r="I160" t="inlineStr">
        <x:is>
          <x:t xml:space="preserve">รับประทาน (เคี้ยว) ครั้งละ 1 เม็ด วันละ 1 ครั้ง ก่อนนอน</x:t>
        </x:is>
      </x:c>
      <x:c r="P160" t="inlineStr">
        <x:is>
          <x:t xml:space="preserve">Antiparasitics / deworming</x:t>
        </x:is>
      </x:c>
    </x:row>
    <x:row r="161">
      <x:c r="A161" t="n">
        <x:v>159</x:v>
      </x:c>
      <x:c r="B161" t="inlineStr">
        <x:is>
          <x:t xml:space="preserve">ยาฆ่าพยาธิ</x:t>
        </x:is>
      </x:c>
      <x:c r="C161" t="n">
        <x:v>1927</x:v>
      </x:c>
      <x:c r="D161" t="inlineStr">
        <x:is>
          <x:t xml:space="preserve">Fugacar 500 รสผลไม้</x:t>
        </x:is>
      </x:c>
      <x:c r="E161" t="inlineStr">
        <x:is>
          <x:t xml:space="preserve">กล่อง 1 เม็ด</x:t>
        </x:is>
      </x:c>
      <x:c r="F161" t="inlineStr">
        <x:is>
          <x:t xml:space="preserve">Mebendazole 500 mg.</x:t>
        </x:is>
      </x:c>
      <x:c r="G161" t="inlineStr">
        <x:is>
          <x:t xml:space="preserve">BDS001927</x:t>
        </x:is>
      </x:c>
      <x:c r="H161" t="inlineStr">
        <x:is>
          <x:t xml:space="preserve">Fugacar 500 รสผลไม้ (1 tab)</x:t>
        </x:is>
      </x:c>
      <x:c r="I161" t="inlineStr">
        <x:is>
          <x:t xml:space="preserve">รับประทาน (เคี้ยว) ครั้งละ 1  เม็ด วันละ 1 ครั้ง ก่อนนอน</x:t>
        </x:is>
      </x:c>
      <x:c r="P161" t="inlineStr">
        <x:is>
          <x:t xml:space="preserve">Antiparasitics / deworming</x:t>
        </x:is>
      </x:c>
    </x:row>
    <x:row r="162">
      <x:c r="A162" t="n">
        <x:v>160</x:v>
      </x:c>
      <x:c r="B162" t="inlineStr">
        <x:is>
          <x:t xml:space="preserve">ยาดูดซับสารพิษ</x:t>
        </x:is>
      </x:c>
      <x:c r="C162" t="n">
        <x:v>42304</x:v>
      </x:c>
      <x:c r="D162" t="inlineStr">
        <x:is>
          <x:t xml:space="preserve">Dehecta</x:t>
        </x:is>
      </x:c>
      <x:c r="E162" t="inlineStr">
        <x:is>
          <x:t xml:space="preserve">ซอง 20 ml.</x:t>
        </x:is>
      </x:c>
      <x:c r="F162" t="inlineStr">
        <x:is>
          <x:t xml:space="preserve">Dioctahedral Smectite 3 g./20 ml.</x:t>
        </x:is>
      </x:c>
      <x:c r="G162" t="inlineStr">
        <x:is>
          <x:t xml:space="preserve">BDS042304</x:t>
        </x:is>
      </x:c>
      <x:c r="H162" t="inlineStr">
        <x:is>
          <x:t xml:space="preserve">Dehecta (20 ml.)</x:t>
        </x:is>
      </x:c>
      <x:c r="I162" t="inlineStr">
        <x:is>
          <x:t xml:space="preserve">รับประทานครั้งละ 1 ซอง วันละ 3-4 ครั้ง </x:t>
        </x:is>
      </x:c>
      <x:c r="P162" t="inlineStr">
        <x:is>
          <x:t xml:space="preserve">Adsorbents / toxin binders</x:t>
        </x:is>
      </x:c>
    </x:row>
    <x:row r="163">
      <x:c r="A163" t="n">
        <x:v>161</x:v>
      </x:c>
      <x:c r="B163" t="inlineStr">
        <x:is>
          <x:t xml:space="preserve">ยาดูดซับสารพิษ</x:t>
        </x:is>
      </x:c>
      <x:c r="C163" t="n">
        <x:v>7122</x:v>
      </x:c>
      <x:c r="D163" t="inlineStr">
        <x:is>
          <x:t xml:space="preserve">Deltacarbon</x:t>
        </x:is>
      </x:c>
      <x:c r="E163" t="inlineStr">
        <x:is>
          <x:t xml:space="preserve">กล่อง 10 เม็ด</x:t>
        </x:is>
      </x:c>
      <x:c r="F163" t="inlineStr">
        <x:is>
          <x:t xml:space="preserve">Medicinal Charcoal 250 mg.</x:t>
        </x:is>
      </x:c>
      <x:c r="G163" t="inlineStr">
        <x:is>
          <x:t xml:space="preserve">BDS007122</x:t>
        </x:is>
      </x:c>
      <x:c r="H163" t="inlineStr">
        <x:is>
          <x:t xml:space="preserve">Deltacarbon (10 tabs)</x:t>
        </x:is>
      </x:c>
      <x:c r="I163" t="inlineStr">
        <x:is>
          <x:t xml:space="preserve">รับประทานครั้งละ 3 เม็ด วันละ 3-4 ครั้ง</x:t>
        </x:is>
      </x:c>
      <x:c r="P163" t="inlineStr">
        <x:is>
          <x:t xml:space="preserve">Adsorbents / toxin binders</x:t>
        </x:is>
      </x:c>
    </x:row>
    <x:row r="164">
      <x:c r="A164" t="n">
        <x:v>162</x:v>
      </x:c>
      <x:c r="B164" t="inlineStr">
        <x:is>
          <x:t xml:space="preserve">ยาดูดซับสารพิษ</x:t>
        </x:is>
      </x:c>
      <x:c r="C164" t="n">
        <x:v>45666</x:v>
      </x:c>
      <x:c r="D164" t="inlineStr">
        <x:is>
          <x:t xml:space="preserve">Ny-C-Bon</x:t>
        </x:is>
      </x:c>
      <x:c r="E164" t="inlineStr">
        <x:is>
          <x:t xml:space="preserve">กล่อง 10 แคปซูล</x:t>
        </x:is>
      </x:c>
      <x:c r="F164" t="inlineStr">
        <x:is>
          <x:t xml:space="preserve">Activated Charcoal 260 mg.</x:t>
        </x:is>
      </x:c>
      <x:c r="G164" t="inlineStr">
        <x:is>
          <x:t xml:space="preserve">BDS045666</x:t>
        </x:is>
      </x:c>
      <x:c r="H164" t="inlineStr">
        <x:is>
          <x:t xml:space="preserve">Ny-C-Bon (10 cap)</x:t>
        </x:is>
      </x:c>
      <x:c r="I164" t="inlineStr">
        <x:is>
          <x:t xml:space="preserve">รับประทานครั้งละ 3 เม็ด วันละ 3-4 ครั้ง </x:t>
        </x:is>
      </x:c>
      <x:c r="P164" t="inlineStr">
        <x:is>
          <x:t xml:space="preserve">Adsorbents / toxin binders</x:t>
        </x:is>
      </x:c>
    </x:row>
    <x:row r="165">
      <x:c r="A165" t="n">
        <x:v>163</x:v>
      </x:c>
      <x:c r="B165" t="inlineStr">
        <x:is>
          <x:t xml:space="preserve">ยาดูดซับสารพิษ</x:t>
        </x:is>
      </x:c>
      <x:c r="C165" t="n">
        <x:v>3546</x:v>
      </x:c>
      <x:c r="D165" t="inlineStr">
        <x:is>
          <x:t xml:space="preserve">Smecta</x:t>
        </x:is>
      </x:c>
      <x:c r="E165" t="inlineStr">
        <x:is>
          <x:t xml:space="preserve">ซอง 3 g.</x:t>
        </x:is>
      </x:c>
      <x:c r="F165" t="inlineStr">
        <x:is>
          <x:t xml:space="preserve">Dioctahedral Smectite 3 g.</x:t>
        </x:is>
      </x:c>
      <x:c r="G165" t="inlineStr">
        <x:is>
          <x:t xml:space="preserve">BDS003546</x:t>
        </x:is>
      </x:c>
      <x:c r="H165" t="inlineStr">
        <x:is>
          <x:t xml:space="preserve">Smecta (3 g.)</x:t>
        </x:is>
      </x:c>
      <x:c r="I165" t="inlineStr">
        <x:is>
          <x:t xml:space="preserve">ผสมสเมคต้าในน้ำประมาณ 30-50 ml. วันละ 3 ซอง</x:t>
        </x:is>
      </x:c>
      <x:c r="P165" t="inlineStr">
        <x:is>
          <x:t xml:space="preserve">Adsorbents / toxin binders</x:t>
        </x:is>
      </x:c>
    </x:row>
    <x:row r="166">
      <x:c r="A166" t="n">
        <x:v>164</x:v>
      </x:c>
      <x:c r="B166" t="inlineStr">
        <x:is>
          <x:t xml:space="preserve">ยาฆ่าเชื้อแบคทีเรียอื่นๆ (D)</x:t>
        </x:is>
      </x:c>
      <x:c r="C166" t="n">
        <x:v>3912</x:v>
      </x:c>
      <x:c r="D166" t="inlineStr">
        <x:is>
          <x:t xml:space="preserve">Dacin-F 300</x:t>
        </x:is>
      </x:c>
      <x:c r="E166" t="inlineStr">
        <x:is>
          <x:t xml:space="preserve">แผง 10 แคปซูล</x:t>
        </x:is>
      </x:c>
      <x:c r="F166" t="inlineStr">
        <x:is>
          <x:t xml:space="preserve">Clindamycin 300 mg.</x:t>
        </x:is>
      </x:c>
      <x:c r="G166" t="inlineStr">
        <x:is>
          <x:t xml:space="preserve">BDS003912</x:t>
        </x:is>
      </x:c>
      <x:c r="H166" t="inlineStr">
        <x:is>
          <x:t xml:space="preserve">Dacin-F 300 (10 cap)</x:t>
        </x:is>
      </x:c>
      <x:c r="I166" t="inlineStr">
        <x:is>
          <x:t xml:space="preserve">รับประทานครั้งละ 1 แคปซูล วันละ 3  ครั้ง หลังอาหาร</x:t>
        </x:is>
      </x:c>
      <x:c r="P166" t="inlineStr">
        <x:is>
          <x:t xml:space="preserve">Other antibiotics</x:t>
        </x:is>
      </x:c>
    </x:row>
    <x:row r="167">
      <x:c r="A167" t="n">
        <x:v>165</x:v>
      </x:c>
      <x:c r="B167" t="inlineStr">
        <x:is>
          <x:t xml:space="preserve">ยาฆ่าเชื้อแบคทีเรียอื่นๆ (D)</x:t>
        </x:is>
      </x:c>
      <x:c r="C167" t="n">
        <x:v>7723</x:v>
      </x:c>
      <x:c r="D167" t="inlineStr">
        <x:is>
          <x:t xml:space="preserve">Doxylcap</x:t>
        </x:is>
      </x:c>
      <x:c r="E167" t="inlineStr">
        <x:is>
          <x:t xml:space="preserve">แผง 10 แคปซูล</x:t>
        </x:is>
      </x:c>
      <x:c r="F167" t="inlineStr">
        <x:is>
          <x:t xml:space="preserve">Doxycycline Hyclate (eq. to Doxycycline 100 mg.)</x:t>
        </x:is>
      </x:c>
      <x:c r="G167" t="inlineStr">
        <x:is>
          <x:t xml:space="preserve">BDS007723</x:t>
        </x:is>
      </x:c>
      <x:c r="H167" t="inlineStr">
        <x:is>
          <x:t xml:space="preserve">Doxylcap (10 cap)</x:t>
        </x:is>
      </x:c>
      <x:c r="I167" t="inlineStr">
        <x:is>
          <x:t xml:space="preserve">รับประทานครั้งละ 1 แคปซูล วันละ 2 ครั้ง หลังอาหาร</x:t>
        </x:is>
      </x:c>
      <x:c r="P167" t="inlineStr">
        <x:is>
          <x:t xml:space="preserve">Other antibiotics</x:t>
        </x:is>
      </x:c>
    </x:row>
    <x:row r="168">
      <x:c r="A168" t="n">
        <x:v>166</x:v>
      </x:c>
      <x:c r="B168" t="inlineStr">
        <x:is>
          <x:t xml:space="preserve">ยาฆ่าเชื้อแบคทีเรียอื่นๆ (D)</x:t>
        </x:is>
      </x:c>
      <x:c r="C168" t="n">
        <x:v>44901</x:v>
      </x:c>
      <x:c r="D168" t="inlineStr">
        <x:is>
          <x:t xml:space="preserve">Metrolex 400 mg</x:t>
        </x:is>
      </x:c>
      <x:c r="E168" t="inlineStr">
        <x:is>
          <x:t xml:space="preserve">แผง 10 เม็ด</x:t>
        </x:is>
      </x:c>
      <x:c r="F168" t="inlineStr">
        <x:is>
          <x:t xml:space="preserve">Metronidazole 400 mg.</x:t>
        </x:is>
      </x:c>
      <x:c r="G168" t="inlineStr">
        <x:is>
          <x:t xml:space="preserve">BDS044901</x:t>
        </x:is>
      </x:c>
      <x:c r="H168" t="inlineStr">
        <x:is>
          <x:t xml:space="preserve">Metrolex 400 mg (10 tabs)</x:t>
        </x:is>
      </x:c>
      <x:c r="I168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168" t="inlineStr">
        <x:is>
          <x:t xml:space="preserve">Other antibiotics</x:t>
        </x:is>
      </x:c>
    </x:row>
    <x:row r="169">
      <x:c r="A169" t="n">
        <x:v>167</x:v>
      </x:c>
      <x:c r="B169" t="inlineStr">
        <x:is>
          <x:t xml:space="preserve">ยาฆ่าเชื้อแบคทีเรียอื่นๆ (D)</x:t>
        </x:is>
      </x:c>
      <x:c r="C169" t="n">
        <x:v>7193</x:v>
      </x:c>
      <x:c r="D169" t="inlineStr">
        <x:is>
          <x:t xml:space="preserve">Metronidazole 400</x:t>
        </x:is>
      </x:c>
      <x:c r="E169" t="inlineStr">
        <x:is>
          <x:t xml:space="preserve">แผง 10 เม็ด</x:t>
        </x:is>
      </x:c>
      <x:c r="F169" t="inlineStr">
        <x:is>
          <x:t xml:space="preserve">Metronidazole 400 mg.</x:t>
        </x:is>
      </x:c>
      <x:c r="G169" t="inlineStr">
        <x:is>
          <x:t xml:space="preserve">BDS007193</x:t>
        </x:is>
      </x:c>
      <x:c r="H169" t="inlineStr">
        <x:is>
          <x:t xml:space="preserve">Metronidazole 400 (10 tabs)</x:t>
        </x:is>
      </x:c>
      <x:c r="I169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169" t="inlineStr">
        <x:is>
          <x:t xml:space="preserve">Other antibiotics</x:t>
        </x:is>
      </x:c>
    </x:row>
    <x:row r="170">
      <x:c r="A170" t="n">
        <x:v>168</x:v>
      </x:c>
      <x:c r="B170" t="inlineStr">
        <x:is>
          <x:t xml:space="preserve">ยาแก้ไอแห้ง, คันคอ (D)</x:t>
        </x:is>
      </x:c>
      <x:c r="C170" t="n">
        <x:v>7911</x:v>
      </x:c>
      <x:c r="D170" t="inlineStr">
        <x:is>
          <x:t xml:space="preserve">Dibendryl</x:t>
        </x:is>
      </x:c>
      <x:c r="E170" t="inlineStr">
        <x:is>
          <x:t xml:space="preserve">แผง 10 เม็ด</x:t>
        </x:is>
      </x:c>
      <x:c r="F170" t="inlineStr">
        <x:is>
          <x:t xml:space="preserve">Diphenhydramine 25 mg.</x:t>
        </x:is>
      </x:c>
      <x:c r="G170" t="inlineStr">
        <x:is>
          <x:t xml:space="preserve">BDS007911</x:t>
        </x:is>
      </x:c>
      <x:c r="H170" t="inlineStr">
        <x:is>
          <x:t xml:space="preserve">Dibendryl (10 tabs)</x:t>
        </x:is>
      </x:c>
      <x:c r="I170" t="inlineStr">
        <x:is>
          <x:t xml:space="preserve">รับประทานครั้งละ 1-2 เม็ด วันละ 3-4 ครั้ง</x:t>
        </x:is>
      </x:c>
      <x:c r="P170" t="inlineStr">
        <x:is>
          <x:t xml:space="preserve">Cough medicines / mucolytics / expectorants</x:t>
        </x:is>
      </x:c>
    </x:row>
    <x:row r="171">
      <x:c r="A171" t="n">
        <x:v>169</x:v>
      </x:c>
      <x:c r="B171" t="inlineStr">
        <x:is>
          <x:t xml:space="preserve">ยาแก้ไอแห้ง, คันคอ (D)</x:t>
        </x:is>
      </x:c>
      <x:c r="C171" t="n">
        <x:v>2211</x:v>
      </x:c>
      <x:c r="D171" t="inlineStr">
        <x:is>
          <x:t xml:space="preserve">Icolid (ควบคุมจำนวน)</x:t>
        </x:is>
      </x:c>
      <x:c r="E171" t="inlineStr">
        <x:is>
          <x:t xml:space="preserve">แผง 10 เม็ด</x:t>
        </x:is>
      </x:c>
      <x:c r="F171" t="inlineStr">
        <x:is>
          <x:t xml:space="preserve">Dextromethorphan HBr 15 mg.</x:t>
        </x:is>
      </x:c>
      <x:c r="G171" t="inlineStr">
        <x:is>
          <x:t xml:space="preserve">BDS002211</x:t>
        </x:is>
      </x:c>
      <x:c r="H171" t="inlineStr">
        <x:is>
          <x:t xml:space="preserve">Icolid (ควบคุมจำนวน) (10 tabs)</x:t>
        </x:is>
      </x:c>
      <x:c r="I171" t="inlineStr">
        <x:is>
          <x:t xml:space="preserve">รับประทานครั้งละ 1-2 เม็ด วันละ 3 ครั้ง</x:t>
        </x:is>
      </x:c>
      <x:c r="K171" t="n">
        <x:v>50</x:v>
      </x:c>
      <x:c r="L171" t="n">
        <x:v>5</x:v>
      </x:c>
      <x:c r="M171" t="inlineStr">
        <x:is>
          <x:t xml:space="preserve">USER</x:t>
        </x:is>
      </x:c>
      <x:c r="N171" t="inlineStr">
        <x:is>
          <x:t xml:space="preserve">2026-02-07</x:t>
        </x:is>
      </x:c>
      <x:c r="O171" t="inlineStr">
        <x:is>
          <x:t xml:space="preserve">User provided price (online). Unit price per tablet (10 tabs pack).</x:t>
        </x:is>
      </x:c>
      <x:c r="P171" t="inlineStr">
        <x:is>
          <x:t xml:space="preserve">Cough medicines / mucolytics / expectorants</x:t>
        </x:is>
      </x:c>
    </x:row>
    <x:row r="172">
      <x:c r="A172" t="n">
        <x:v>170</x:v>
      </x:c>
      <x:c r="B172" t="inlineStr">
        <x:is>
          <x:t xml:space="preserve">ยาฆ่าเชื้อแบคทีเรีย ชนิดน้ำ (D)</x:t>
        </x:is>
      </x:c>
      <x:c r="C172" t="n">
        <x:v>1046</x:v>
      </x:c>
      <x:c r="D172" t="inlineStr">
        <x:is>
          <x:t xml:space="preserve">AMK 228</x:t>
        </x:is>
      </x:c>
      <x:c r="E172" t="inlineStr">
        <x:is>
          <x:t xml:space="preserve">ขวด 70 ml.</x:t>
        </x:is>
      </x:c>
      <x:c r="F172" t="inlineStr">
        <x:is>
          <x:t xml:space="preserve">Amoxicillin 200 mg.+Clavulanic Acid 28 mg./5 ml.</x:t>
        </x:is>
      </x:c>
      <x:c r="G172" t="inlineStr">
        <x:is>
          <x:t xml:space="preserve">BDS001046</x:t>
        </x:is>
      </x:c>
      <x:c r="H172" t="inlineStr">
        <x:is>
          <x:t xml:space="preserve">AMK 228 (70 ml.)</x:t>
        </x:is>
      </x:c>
      <x:c r="I172" t="inlineStr">
        <x:is>
          <x:t xml:space="preserve">รับประทานครั้งละ 1 ช้อนชา (5 ml.) วันละ 2 ครั้ง</x:t>
        </x:is>
      </x:c>
      <x:c r="P172" t="inlineStr">
        <x:is>
          <x:t xml:space="preserve">Other antibiotics</x:t>
        </x:is>
      </x:c>
    </x:row>
    <x:row r="173">
      <x:c r="A173" t="n">
        <x:v>171</x:v>
      </x:c>
      <x:c r="B173" t="inlineStr">
        <x:is>
          <x:t xml:space="preserve">ยาฆ่าเชื้อแบคทีเรีย ชนิดน้ำ (D)</x:t>
        </x:is>
      </x:c>
      <x:c r="C173" t="n">
        <x:v>1047</x:v>
      </x:c>
      <x:c r="D173" t="inlineStr">
        <x:is>
          <x:t xml:space="preserve">AMK 457</x:t>
        </x:is>
      </x:c>
      <x:c r="E173" t="inlineStr">
        <x:is>
          <x:t xml:space="preserve">ขวด 70 ml.</x:t>
        </x:is>
      </x:c>
      <x:c r="F173" t="inlineStr">
        <x:is>
          <x:t xml:space="preserve">Amoxicillin 400 mg.+Clavulanic Acid 57 mg./5 ml.</x:t>
        </x:is>
      </x:c>
      <x:c r="G173" t="inlineStr">
        <x:is>
          <x:t xml:space="preserve">BDS001047</x:t>
        </x:is>
      </x:c>
      <x:c r="H173" t="inlineStr">
        <x:is>
          <x:t xml:space="preserve">AMK 457 (70 ml.)</x:t>
        </x:is>
      </x:c>
      <x:c r="I173" t="inlineStr">
        <x:is>
          <x:t xml:space="preserve">เด็กเล็กรับประทานครั้งละ ครึ่ง ช้อนชา (2.5 ml.) วันละ 2 ครั้ง</x:t>
        </x:is>
      </x:c>
      <x:c r="P173" t="inlineStr">
        <x:is>
          <x:t xml:space="preserve">Other antibiotics</x:t>
        </x:is>
      </x:c>
    </x:row>
    <x:row r="174">
      <x:c r="A174" t="n">
        <x:v>172</x:v>
      </x:c>
      <x:c r="B174" t="inlineStr">
        <x:is>
          <x:t xml:space="preserve">ยาฆ่าเชื้อแบคทีเรีย ชนิดน้ำ (D)</x:t>
        </x:is>
      </x:c>
      <x:c r="C174" t="n">
        <x:v>1056</x:v>
      </x:c>
      <x:c r="D174" t="inlineStr">
        <x:is>
          <x:t xml:space="preserve">Augmentin 457 mg</x:t>
        </x:is>
      </x:c>
      <x:c r="E174" t="inlineStr">
        <x:is>
          <x:t xml:space="preserve">ขวด 70 ml.</x:t>
        </x:is>
      </x:c>
      <x:c r="F174" t="inlineStr">
        <x:is>
          <x:t xml:space="preserve">Amoxicillin 400 mg.+Clavulanic Acid 57 mg./5 ml.</x:t>
        </x:is>
      </x:c>
      <x:c r="G174" t="inlineStr">
        <x:is>
          <x:t xml:space="preserve">BDS001056</x:t>
        </x:is>
      </x:c>
      <x:c r="H174" t="inlineStr">
        <x:is>
          <x:t xml:space="preserve">Augmentin 457 mg (70 ml.)</x:t>
        </x:is>
      </x:c>
      <x:c r="I174" t="inlineStr">
        <x:is>
          <x:t xml:space="preserve">เด็กเล็กรับประทานครั้งละ 1/2 ช้อนชา (2.5 ml.) วันละ 2 ครั้ง</x:t>
        </x:is>
      </x:c>
      <x:c r="P174" t="inlineStr">
        <x:is>
          <x:t xml:space="preserve">Other antibiotics</x:t>
        </x:is>
      </x:c>
    </x:row>
    <x:row r="175">
      <x:c r="A175" t="n">
        <x:v>173</x:v>
      </x:c>
      <x:c r="B175" t="inlineStr">
        <x:is>
          <x:t xml:space="preserve">ยาฆ่าเชื้อแบคทีเรีย ชนิดน้ำ (D)</x:t>
        </x:is>
      </x:c>
      <x:c r="C175" t="n">
        <x:v>1054</x:v>
      </x:c>
      <x:c r="D175" t="inlineStr">
        <x:is>
          <x:t xml:space="preserve">Augmentin ES</x:t>
        </x:is>
      </x:c>
      <x:c r="E175" t="inlineStr">
        <x:is>
          <x:t xml:space="preserve">ขวด 50 ml.</x:t>
        </x:is>
      </x:c>
      <x:c r="F175" t="inlineStr">
        <x:is>
          <x:t xml:space="preserve">Amoxicillin 600 mg.+Clavulanic Acid 42.9 mg./5 ml.</x:t>
        </x:is>
      </x:c>
      <x:c r="G175" t="inlineStr">
        <x:is>
          <x:t xml:space="preserve">BDS001054</x:t>
        </x:is>
      </x:c>
      <x:c r="H175" t="inlineStr">
        <x:is>
          <x:t xml:space="preserve">Augmentin ES (50 ml.)</x:t>
        </x:is>
      </x:c>
      <x:c r="I175" t="inlineStr">
        <x:is>
          <x:t xml:space="preserve">รับประทานตามแพทย์สั่ง </x:t>
        </x:is>
      </x:c>
      <x:c r="P175" t="inlineStr">
        <x:is>
          <x:t xml:space="preserve">Other antibiotics</x:t>
        </x:is>
      </x:c>
    </x:row>
    <x:row r="176">
      <x:c r="A176" t="n">
        <x:v>174</x:v>
      </x:c>
      <x:c r="B176" t="inlineStr">
        <x:is>
          <x:t xml:space="preserve">ยาฆ่าเชื้อแบคทีเรีย ชนิดน้ำ (D)</x:t>
        </x:is>
      </x:c>
      <x:c r="C176" t="n">
        <x:v>1084</x:v>
      </x:c>
      <x:c r="D176" t="inlineStr">
        <x:is>
          <x:t xml:space="preserve">Azith Oral Suspension</x:t>
        </x:is>
      </x:c>
      <x:c r="E176" t="inlineStr">
        <x:is>
          <x:t xml:space="preserve">ขวด 15 ml.</x:t>
        </x:is>
      </x:c>
      <x:c r="F176" t="inlineStr">
        <x:is>
          <x:t xml:space="preserve">Azithromycin 200 mg./5 ml.</x:t>
        </x:is>
      </x:c>
      <x:c r="G176" t="inlineStr">
        <x:is>
          <x:t xml:space="preserve">BDS001084</x:t>
        </x:is>
      </x:c>
      <x:c r="H176" t="inlineStr">
        <x:is>
          <x:t xml:space="preserve">Azith Oral Suspension (15 ml.)</x:t>
        </x:is>
      </x:c>
      <x:c r="I176" t="inlineStr">
        <x:is>
          <x:t xml:space="preserve">รับประทานครั้งละ 1 ช้อนชา วันละ 1 ครั้ง ก่อนอาหาร </x:t>
        </x:is>
      </x:c>
      <x:c r="P176" t="inlineStr">
        <x:is>
          <x:t xml:space="preserve">Other antibiotics</x:t>
        </x:is>
      </x:c>
    </x:row>
    <x:row r="177">
      <x:c r="A177" t="n">
        <x:v>175</x:v>
      </x:c>
      <x:c r="B177" t="inlineStr">
        <x:is>
          <x:t xml:space="preserve">ยาฆ่าเชื้อแบคทีเรีย ชนิดน้ำ (D)</x:t>
        </x:is>
      </x:c>
      <x:c r="C177" t="n">
        <x:v>1441</x:v>
      </x:c>
      <x:c r="D177" t="inlineStr">
        <x:is>
          <x:t xml:space="preserve">Cefspan Suspension</x:t>
        </x:is>
      </x:c>
      <x:c r="E177" t="inlineStr">
        <x:is>
          <x:t xml:space="preserve">ขวด 30 ml.</x:t>
        </x:is>
      </x:c>
      <x:c r="F177" t="inlineStr">
        <x:is>
          <x:t xml:space="preserve">Cefixime 100 mg./5 ml.</x:t>
        </x:is>
      </x:c>
      <x:c r="G177" t="inlineStr">
        <x:is>
          <x:t xml:space="preserve">BDS001441</x:t>
        </x:is>
      </x:c>
      <x:c r="H177" t="inlineStr">
        <x:is>
          <x:t xml:space="preserve">Cefspan Suspension (30 ml.)</x:t>
        </x:is>
      </x:c>
      <x:c r="I177" t="inlineStr">
        <x:is>
          <x:t xml:space="preserve">เด็กโตรับประทานครั้งละ 1 ช้อนชาวันละ 2 ครั้ง หรือตามแพทย์สั่ง</x:t>
        </x:is>
      </x:c>
      <x:c r="P177" t="inlineStr">
        <x:is>
          <x:t xml:space="preserve">Other antibiotics</x:t>
        </x:is>
      </x:c>
    </x:row>
    <x:row r="178">
      <x:c r="A178" t="n">
        <x:v>176</x:v>
      </x:c>
      <x:c r="B178" t="inlineStr">
        <x:is>
          <x:t xml:space="preserve">ยาฆ่าเชื้อแบคทีเรีย ชนิดน้ำ (D)</x:t>
        </x:is>
      </x:c>
      <x:c r="C178" t="n">
        <x:v>2206</x:v>
      </x:c>
      <x:c r="D178" t="inlineStr">
        <x:is>
          <x:t xml:space="preserve">Ibilex Syrup</x:t>
        </x:is>
      </x:c>
      <x:c r="E178" t="inlineStr">
        <x:is>
          <x:t xml:space="preserve">ขวด 60 ml.</x:t>
        </x:is>
      </x:c>
      <x:c r="F178" t="inlineStr">
        <x:is>
          <x:t xml:space="preserve">Cephalexin 125 mg./5 ml.</x:t>
        </x:is>
      </x:c>
      <x:c r="G178" t="inlineStr">
        <x:is>
          <x:t xml:space="preserve">BDS002206</x:t>
        </x:is>
      </x:c>
      <x:c r="H178" t="inlineStr">
        <x:is>
          <x:t xml:space="preserve">Ibilex Syrup (60 ml.)</x:t>
        </x:is>
      </x:c>
      <x:c r="I178" t="inlineStr">
        <x:is>
          <x:t xml:space="preserve">รับประทานครั้งละ 1 ช้อนชา วันละ 3 ครั้ง</x:t>
        </x:is>
      </x:c>
      <x:c r="P178" t="inlineStr">
        <x:is>
          <x:t xml:space="preserve">Other antibiotics</x:t>
        </x:is>
      </x:c>
    </x:row>
    <x:row r="179">
      <x:c r="A179" t="n">
        <x:v>177</x:v>
      </x:c>
      <x:c r="B179" t="inlineStr">
        <x:is>
          <x:t xml:space="preserve">ยาฆ่าเชื้อแบคทีเรีย ชนิดน้ำ (D)</x:t>
        </x:is>
      </x:c>
      <x:c r="C179" t="n">
        <x:v>2693</x:v>
      </x:c>
      <x:c r="D179" t="inlineStr">
        <x:is>
          <x:t xml:space="preserve">Meiact Fine Granules</x:t>
        </x:is>
      </x:c>
      <x:c r="E179" t="inlineStr">
        <x:is>
          <x:t xml:space="preserve">ซอง 0.5 g.</x:t>
        </x:is>
      </x:c>
      <x:c r="F179" t="inlineStr">
        <x:is>
          <x:t xml:space="preserve">Cefditoren 50 mg.</x:t>
        </x:is>
      </x:c>
      <x:c r="G179" t="inlineStr">
        <x:is>
          <x:t xml:space="preserve">BDS002693</x:t>
        </x:is>
      </x:c>
      <x:c r="H179" t="inlineStr">
        <x:is>
          <x:t xml:space="preserve">Meiact Fine Granules (0.5 g.)</x:t>
        </x:is>
      </x:c>
      <x:c r="I179" t="inlineStr">
        <x:is>
          <x:t xml:space="preserve">รับประทานตามแพทย์สั่ง </x:t>
        </x:is>
      </x:c>
      <x:c r="P179" t="inlineStr">
        <x:is>
          <x:t xml:space="preserve">Other antibiotics</x:t>
        </x:is>
      </x:c>
    </x:row>
    <x:row r="180">
      <x:c r="A180" t="n">
        <x:v>178</x:v>
      </x:c>
      <x:c r="B180" t="inlineStr">
        <x:is>
          <x:t xml:space="preserve">ยาฆ่าเชื้อแบคทีเรีย ชนิดน้ำ (D)</x:t>
        </x:is>
      </x:c>
      <x:c r="C180" t="n">
        <x:v>7586</x:v>
      </x:c>
      <x:c r="D180" t="inlineStr">
        <x:is>
          <x:t xml:space="preserve">Newtamox For Oral Suspension</x:t>
        </x:is>
      </x:c>
      <x:c r="E180" t="inlineStr">
        <x:is>
          <x:t xml:space="preserve">ขวด 60 ml.</x:t>
        </x:is>
      </x:c>
      <x:c r="F180" t="inlineStr">
        <x:is>
          <x:t xml:space="preserve">Amoxicillin 125 mg./5 ml.</x:t>
        </x:is>
      </x:c>
      <x:c r="G180" t="inlineStr">
        <x:is>
          <x:t xml:space="preserve">BDS007586</x:t>
        </x:is>
      </x:c>
      <x:c r="H180" t="inlineStr">
        <x:is>
          <x:t xml:space="preserve">Newtamox For Oral Suspension (60 ml.)</x:t>
        </x:is>
      </x:c>
      <x:c r="I180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 ครั้ง</x:t>
        </x:is>
      </x:c>
      <x:c r="P180" t="inlineStr">
        <x:is>
          <x:t xml:space="preserve">Other antibiotics</x:t>
        </x:is>
      </x:c>
    </x:row>
    <x:row r="181">
      <x:c r="A181" t="n">
        <x:v>179</x:v>
      </x:c>
      <x:c r="B181" t="inlineStr">
        <x:is>
          <x:t xml:space="preserve">ยาฆ่าเชื้อแบคทีเรีย ชนิดน้ำ (D)</x:t>
        </x:is>
      </x:c>
      <x:c r="C181" t="n">
        <x:v>7589</x:v>
      </x:c>
      <x:c r="D181" t="inlineStr">
        <x:is>
          <x:t xml:space="preserve">Newthrocin</x:t>
        </x:is>
      </x:c>
      <x:c r="E181" t="inlineStr">
        <x:is>
          <x:t xml:space="preserve">ขวด 60 ml.</x:t>
        </x:is>
      </x:c>
      <x:c r="F181" t="inlineStr">
        <x:is>
          <x:t xml:space="preserve">Erythromycin 125 mg./5 ml.</x:t>
        </x:is>
      </x:c>
      <x:c r="G181" t="inlineStr">
        <x:is>
          <x:t xml:space="preserve">BDS007589</x:t>
        </x:is>
      </x:c>
      <x:c r="H181" t="inlineStr">
        <x:is>
          <x:t xml:space="preserve">Newthrocin (60 ml.)</x:t>
        </x:is>
      </x:c>
      <x:c r="I181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3-4 ครั้ง</x:t>
        </x:is>
      </x:c>
      <x:c r="P181" t="inlineStr">
        <x:is>
          <x:t xml:space="preserve">Other antibiotics</x:t>
        </x:is>
      </x:c>
    </x:row>
    <x:row r="182">
      <x:c r="A182" t="n">
        <x:v>180</x:v>
      </x:c>
      <x:c r="B182" t="inlineStr">
        <x:is>
          <x:t xml:space="preserve">ยาฆ่าเชื้อแบคทีเรีย ชนิดน้ำ (D)</x:t>
        </x:is>
      </x:c>
      <x:c r="C182" t="n">
        <x:v>46209</x:v>
      </x:c>
      <x:c r="D182" t="inlineStr">
        <x:is>
          <x:t xml:space="preserve">Onzet Oral Suspension</x:t>
        </x:is>
      </x:c>
      <x:c r="E182" t="inlineStr">
        <x:is>
          <x:t xml:space="preserve">ขวด 15 ml.</x:t>
        </x:is>
      </x:c>
      <x:c r="F182" t="inlineStr">
        <x:is>
          <x:t xml:space="preserve">Azithromycin 200 mg./5 ml.</x:t>
        </x:is>
      </x:c>
      <x:c r="G182" t="inlineStr">
        <x:is>
          <x:t xml:space="preserve">BDS046209</x:t>
        </x:is>
      </x:c>
      <x:c r="H182" t="inlineStr">
        <x:is>
          <x:t xml:space="preserve">Onzet Oral Suspension (15 ml.)</x:t>
        </x:is>
      </x:c>
      <x:c r="I182" t="inlineStr">
        <x:is>
          <x:t xml:space="preserve">รับประทานครั้งละ 1 ช้อนชา วันละ 1 ครั้ง ก่อนอาหาร </x:t>
        </x:is>
      </x:c>
      <x:c r="P182" t="inlineStr">
        <x:is>
          <x:t xml:space="preserve">Other antibiotics</x:t>
        </x:is>
      </x:c>
    </x:row>
    <x:row r="183">
      <x:c r="A183" t="n">
        <x:v>181</x:v>
      </x:c>
      <x:c r="B183" t="inlineStr">
        <x:is>
          <x:t xml:space="preserve">ยาฆ่าเชื้อแบคทีเรีย ชนิดน้ำ (D)</x:t>
        </x:is>
      </x:c>
      <x:c r="C183" t="n">
        <x:v>3549</x:v>
      </x:c>
      <x:c r="D183" t="inlineStr">
        <x:is>
          <x:t xml:space="preserve">Sia-Mox Syrup 125 mg</x:t>
        </x:is>
      </x:c>
      <x:c r="E183" t="inlineStr">
        <x:is>
          <x:t xml:space="preserve">ขวด 60 ml.</x:t>
        </x:is>
      </x:c>
      <x:c r="F183" t="inlineStr">
        <x:is>
          <x:t xml:space="preserve">Amoxicillin 125 mg./5 ml.</x:t>
        </x:is>
      </x:c>
      <x:c r="G183" t="inlineStr">
        <x:is>
          <x:t xml:space="preserve">BDS003549</x:t>
        </x:is>
      </x:c>
      <x:c r="H183" t="inlineStr">
        <x:is>
          <x:t xml:space="preserve">Sia-Mox Syrup 125 mg (60 ml.)</x:t>
        </x:is>
      </x:c>
      <x:c r="I183" t="inlineStr">
        <x:is>
          <x:t xml:space="preserve">รับประทานครั้งละ 1 ช้อนชา วันละ 3 ครั้ง</x:t>
        </x:is>
      </x:c>
      <x:c r="P183" t="inlineStr">
        <x:is>
          <x:t xml:space="preserve">Other antibiotics</x:t>
        </x:is>
      </x:c>
    </x:row>
    <x:row r="184">
      <x:c r="A184" t="n">
        <x:v>182</x:v>
      </x:c>
      <x:c r="B184" t="inlineStr">
        <x:is>
          <x:t xml:space="preserve">ยาฆ่าเชื้อแบคทีเรีย ชนิดน้ำ (D)</x:t>
        </x:is>
      </x:c>
      <x:c r="C184" t="n">
        <x:v>3550</x:v>
      </x:c>
      <x:c r="D184" t="inlineStr">
        <x:is>
          <x:t xml:space="preserve">Sia-Mox Syrup 250 mg</x:t>
        </x:is>
      </x:c>
      <x:c r="E184" t="inlineStr">
        <x:is>
          <x:t xml:space="preserve">ขวด 60 ml.</x:t>
        </x:is>
      </x:c>
      <x:c r="F184" t="inlineStr">
        <x:is>
          <x:t xml:space="preserve">Amoxicillin 250 mg./5 ml.</x:t>
        </x:is>
      </x:c>
      <x:c r="G184" t="inlineStr">
        <x:is>
          <x:t xml:space="preserve">BDS003550</x:t>
        </x:is>
      </x:c>
      <x:c r="H184" t="inlineStr">
        <x:is>
          <x:t xml:space="preserve">Sia-Mox Syrup 250 mg (60 ml.)</x:t>
        </x:is>
      </x:c>
      <x:c r="I184" t="inlineStr">
        <x:is>
          <x:t xml:space="preserve">เด็กโตรับประทานครั้งละ 1 ช้อนชา วันละ 3 ครั้ง</x:t>
        </x:is>
      </x:c>
      <x:c r="P184" t="inlineStr">
        <x:is>
          <x:t xml:space="preserve">Other antibiotics</x:t>
        </x:is>
      </x:c>
    </x:row>
    <x:row r="185">
      <x:c r="A185" t="n">
        <x:v>183</x:v>
      </x:c>
      <x:c r="B185" t="inlineStr">
        <x:is>
          <x:t xml:space="preserve">ยาฆ่าเชื้อแบคทีเรีย ชนิดน้ำ (D)</x:t>
        </x:is>
      </x:c>
      <x:c r="C185" t="n">
        <x:v>7682</x:v>
      </x:c>
      <x:c r="D185" t="inlineStr">
        <x:is>
          <x:t xml:space="preserve">Xalin Dry Syrup 125 mg</x:t>
        </x:is>
      </x:c>
      <x:c r="E185" t="inlineStr">
        <x:is>
          <x:t xml:space="preserve">ขวด 60 ml.</x:t>
        </x:is>
      </x:c>
      <x:c r="F185" t="inlineStr">
        <x:is>
          <x:t xml:space="preserve">Cloxacillin 125 mg./5 ml.</x:t>
        </x:is>
      </x:c>
      <x:c r="G185" t="inlineStr">
        <x:is>
          <x:t xml:space="preserve">BDS007682</x:t>
        </x:is>
      </x:c>
      <x:c r="H185" t="inlineStr">
        <x:is>
          <x:t xml:space="preserve">Xalin Dry Syrup 125 mg (60 ml.)</x:t>
        </x:is>
      </x:c>
      <x:c r="I185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1-2 ช้อนชา วันละ 3-4 ครั้ง ก่อนอาหาร</x:t>
        </x:is>
      </x:c>
      <x:c r="P185" t="inlineStr">
        <x:is>
          <x:t xml:space="preserve">Other antibiotics</x:t>
        </x:is>
      </x:c>
    </x:row>
    <x:row r="186">
      <x:c r="A186" t="n">
        <x:v>184</x:v>
      </x:c>
      <x:c r="B186" t="inlineStr">
        <x:is>
          <x:t xml:space="preserve">ยาฆ่าเชื้อแบคทีเรีย ชนิดน้ำ (D)</x:t>
        </x:is>
      </x:c>
      <x:c r="C186" t="n">
        <x:v>4225</x:v>
      </x:c>
      <x:c r="D186" t="inlineStr">
        <x:is>
          <x:t xml:space="preserve">Zithromax Dry 200 mg</x:t>
        </x:is>
      </x:c>
      <x:c r="E186" t="inlineStr">
        <x:is>
          <x:t xml:space="preserve">ขวด 15 ml.</x:t>
        </x:is>
      </x:c>
      <x:c r="F186" t="inlineStr">
        <x:is>
          <x:t xml:space="preserve">Azithromycin 200 mg./5 ml.</x:t>
        </x:is>
      </x:c>
      <x:c r="G186" t="inlineStr">
        <x:is>
          <x:t xml:space="preserve">BDS004225</x:t>
        </x:is>
      </x:c>
      <x:c r="H186" t="inlineStr">
        <x:is>
          <x:t xml:space="preserve">Zithromax Dry 200 mg (15 ml.)</x:t>
        </x:is>
      </x:c>
      <x:c r="I186" t="inlineStr">
        <x:is>
          <x:t xml:space="preserve">รับประทานครั้งละ 1 ช้อนชา วันละ 1 ครั้ง ก่อนอาหาร </x:t>
        </x:is>
      </x:c>
      <x:c r="P186" t="inlineStr">
        <x:is>
          <x:t xml:space="preserve">Other antibiotics</x:t>
        </x:is>
      </x:c>
    </x:row>
    <x:row r="187">
      <x:c r="A187" t="n">
        <x:v>185</x:v>
      </x:c>
      <x:c r="B187" t="inlineStr">
        <x:is>
          <x:t xml:space="preserve">ยาแก้ปวด, ลดไข้ ชนิดน้ำ</x:t>
        </x:is>
      </x:c>
      <x:c r="C187" t="n">
        <x:v>8609</x:v>
      </x:c>
      <x:c r="D187" t="inlineStr">
        <x:is>
          <x:t xml:space="preserve">Ampol Suspension</x:t>
        </x:is>
      </x:c>
      <x:c r="E187" t="inlineStr">
        <x:is>
          <x:t xml:space="preserve">ขวด 60 ml.</x:t>
        </x:is>
      </x:c>
      <x:c r="F187" t="inlineStr">
        <x:is>
          <x:t xml:space="preserve">Paracetamol 120 mg./5 ml.</x:t>
        </x:is>
      </x:c>
      <x:c r="G187" t="inlineStr">
        <x:is>
          <x:t xml:space="preserve">BDS008609</x:t>
        </x:is>
      </x:c>
      <x:c r="H187" t="inlineStr">
        <x:is>
          <x:t xml:space="preserve">Ampol Suspension (60 ml.)</x:t>
        </x:is>
      </x:c>
      <x:c r="I187" t="inlineStr">
        <x:is>
          <x:t xml:space="preserve">เด็กเล็กรับประทานครั้งละ 1-2 ช้อนชา ทุก 4-6 ชั่วโมง</x:t>
        </x:is>
      </x:c>
      <x:c r="P187" t="inlineStr">
        <x:is>
          <x:t xml:space="preserve">General analgesics/antipyretics</x:t>
        </x:is>
      </x:c>
    </x:row>
    <x:row r="188">
      <x:c r="A188" t="n">
        <x:v>186</x:v>
      </x:c>
      <x:c r="B188" t="inlineStr">
        <x:is>
          <x:t xml:space="preserve">ยาแก้ปวด, ลดไข้ ชนิดน้ำ</x:t>
        </x:is>
      </x:c>
      <x:c r="C188" t="n">
        <x:v>2407</x:v>
      </x:c>
      <x:c r="D188" t="inlineStr">
        <x:is>
          <x:t xml:space="preserve">Kit-F Drops</x:t>
        </x:is>
      </x:c>
      <x:c r="E188" t="inlineStr">
        <x:is>
          <x:t xml:space="preserve">ขวด 15 ml.</x:t>
        </x:is>
      </x:c>
      <x:c r="F188" t="inlineStr">
        <x:is>
          <x:t xml:space="preserve">Paracetamol 60 mg./0.6 ml.</x:t>
        </x:is>
      </x:c>
      <x:c r="G188" t="inlineStr">
        <x:is>
          <x:t xml:space="preserve">BDS002407</x:t>
        </x:is>
      </x:c>
      <x:c r="H188" t="inlineStr">
        <x:is>
          <x:t xml:space="preserve">Kit-F Drops (15 ml.)</x:t>
        </x:is>
      </x:c>
      <x:c r="I188" t="inlineStr">
        <x:is>
          <x:t xml:space="preserve">รับประทานครั้งละ 1-2 หลอดหยด วันละ 3-4 ครั้ง</x:t>
        </x:is>
      </x:c>
      <x:c r="P188" t="inlineStr">
        <x:is>
          <x:t xml:space="preserve">General analgesics/antipyretics</x:t>
        </x:is>
      </x:c>
    </x:row>
    <x:row r="189">
      <x:c r="A189" t="n">
        <x:v>187</x:v>
      </x:c>
      <x:c r="B189" t="inlineStr">
        <x:is>
          <x:t xml:space="preserve">ยาแก้ปวด, ลดไข้ ชนิดน้ำ</x:t>
        </x:is>
      </x:c>
      <x:c r="C189" t="n">
        <x:v>7583</x:v>
      </x:c>
      <x:c r="D189" t="inlineStr">
        <x:is>
          <x:t xml:space="preserve">Newtamol Syrup</x:t>
        </x:is>
      </x:c>
      <x:c r="E189" t="inlineStr">
        <x:is>
          <x:t xml:space="preserve">ขวด 60 ml.</x:t>
        </x:is>
      </x:c>
      <x:c r="F189" t="inlineStr">
        <x:is>
          <x:t xml:space="preserve">Paracetamol 150 mg./5 ml.</x:t>
        </x:is>
      </x:c>
      <x:c r="G189" t="inlineStr">
        <x:is>
          <x:t xml:space="preserve">BDS007583</x:t>
        </x:is>
      </x:c>
      <x:c r="H189" t="inlineStr">
        <x:is>
          <x:t xml:space="preserve">Newtamol Syrup (60 ml.)</x:t>
        </x:is>
      </x:c>
      <x:c r="I189" t="inlineStr">
        <x:is>
          <x:t xml:space="preserve">เด็กโตรับประทานครั้งละ 2 ช้อนชา วันละ 3 ครั้ง หรือทุก 4 ชั่วโมง</x:t>
        </x:is>
      </x:c>
      <x:c r="P189" t="inlineStr">
        <x:is>
          <x:t xml:space="preserve">General analgesics/antipyretics</x:t>
        </x:is>
      </x:c>
    </x:row>
    <x:row r="190">
      <x:c r="A190" t="n">
        <x:v>188</x:v>
      </x:c>
      <x:c r="B190" t="inlineStr">
        <x:is>
          <x:t xml:space="preserve">ยาแก้ปวด, ลดไข้ ชนิดน้ำ</x:t>
        </x:is>
      </x:c>
      <x:c r="C190" t="n">
        <x:v>2861</x:v>
      </x:c>
      <x:c r="D190" t="inlineStr">
        <x:is>
          <x:t xml:space="preserve">Panadol Orange Suspension</x:t>
        </x:is>
      </x:c>
      <x:c r="E190" t="inlineStr">
        <x:is>
          <x:t xml:space="preserve">ขวด 60 ml.</x:t>
        </x:is>
      </x:c>
      <x:c r="F190" t="inlineStr">
        <x:is>
          <x:t xml:space="preserve">Paracetamol 250 mg./5 ml.</x:t>
        </x:is>
      </x:c>
      <x:c r="G190" t="inlineStr">
        <x:is>
          <x:t xml:space="preserve">BDS002861</x:t>
        </x:is>
      </x:c>
      <x:c r="H190" t="inlineStr">
        <x:is>
          <x:t xml:space="preserve">Panadol Orange Suspension (60 ml.)</x:t>
        </x:is>
      </x:c>
      <x:c r="I190" t="inlineStr">
        <x:is>
          <x:t xml:space="preserve">รับประทานครั้งละ 1-2 ช้อนชาทุก 4-6 ชั่วโมง เมื่อมีอาการ</x:t>
        </x:is>
      </x:c>
      <x:c r="P190" t="inlineStr">
        <x:is>
          <x:t xml:space="preserve">General analgesics/antipyretics</x:t>
        </x:is>
      </x:c>
    </x:row>
    <x:row r="191">
      <x:c r="A191" t="n">
        <x:v>189</x:v>
      </x:c>
      <x:c r="B191" t="inlineStr">
        <x:is>
          <x:t xml:space="preserve">ยาแก้ปวด, ลดไข้ ชนิดน้ำ</x:t>
        </x:is>
      </x:c>
      <x:c r="C191" t="n">
        <x:v>2847</x:v>
      </x:c>
      <x:c r="D191" t="inlineStr">
        <x:is>
          <x:t xml:space="preserve">Panadol Strawberry Suspension</x:t>
        </x:is>
      </x:c>
      <x:c r="E191" t="inlineStr">
        <x:is>
          <x:t xml:space="preserve">ขวด 60 ml.</x:t>
        </x:is>
      </x:c>
      <x:c r="F191" t="inlineStr">
        <x:is>
          <x:t xml:space="preserve">Paracetamol 120 mg./5 ml.</x:t>
        </x:is>
      </x:c>
      <x:c r="G191" t="inlineStr">
        <x:is>
          <x:t xml:space="preserve">BDS002847</x:t>
        </x:is>
      </x:c>
      <x:c r="H191" t="inlineStr">
        <x:is>
          <x:t xml:space="preserve">Panadol Strawberry Suspension (60 ml.)</x:t>
        </x:is>
      </x:c>
      <x:c r="I191" t="inlineStr">
        <x:is>
          <x:t xml:space="preserve">รับประทานครั้งละ 1/2-2 ช้อนชาทุก 4-6 ชั่วโมง เมื่อมีอาการ</x:t>
        </x:is>
      </x:c>
      <x:c r="P191" t="inlineStr">
        <x:is>
          <x:t xml:space="preserve">General analgesics/antipyretics</x:t>
        </x:is>
      </x:c>
    </x:row>
    <x:row r="192">
      <x:c r="A192" t="n">
        <x:v>190</x:v>
      </x:c>
      <x:c r="B192" t="inlineStr">
        <x:is>
          <x:t xml:space="preserve">ยาแก้ปวด, ลดไข้ ชนิดน้ำ</x:t>
        </x:is>
      </x:c>
      <x:c r="C192" t="n">
        <x:v>8137</x:v>
      </x:c>
      <x:c r="D192" t="inlineStr">
        <x:is>
          <x:t xml:space="preserve">Poro Suspension</x:t>
        </x:is>
      </x:c>
      <x:c r="E192" t="inlineStr">
        <x:is>
          <x:t xml:space="preserve">ขวด 60 ml.</x:t>
        </x:is>
      </x:c>
      <x:c r="F192" t="inlineStr">
        <x:is>
          <x:t xml:space="preserve">Paracetamol 250 mg./5 ml.</x:t>
        </x:is>
      </x:c>
      <x:c r="G192" t="inlineStr">
        <x:is>
          <x:t xml:space="preserve">BDS008137</x:t>
        </x:is>
      </x:c>
      <x:c r="H192" t="inlineStr">
        <x:is>
          <x:t xml:space="preserve">Poro Suspension (60 ml.)</x:t>
        </x:is>
      </x:c>
      <x:c r="I192" t="inlineStr">
        <x:is>
          <x:t xml:space="preserve">เด็กโตรับประทานครั้งละ 1-2 ช้อนชา ทุก 4-6 ชั่วโมง</x:t>
        </x:is>
      </x:c>
      <x:c r="P192" t="inlineStr">
        <x:is>
          <x:t xml:space="preserve">General analgesics/antipyretics</x:t>
        </x:is>
      </x:c>
    </x:row>
    <x:row r="193">
      <x:c r="A193" t="n">
        <x:v>191</x:v>
      </x:c>
      <x:c r="B193" t="inlineStr">
        <x:is>
          <x:t xml:space="preserve">ยาแก้ปวด, ลดไข้ ชนิดน้ำ</x:t>
        </x:is>
      </x:c>
      <x:c r="C193" t="n">
        <x:v>3597</x:v>
      </x:c>
      <x:c r="D193" t="inlineStr">
        <x:is>
          <x:t xml:space="preserve">Sara Infant Drops (รสองุ่น)</x:t>
        </x:is>
      </x:c>
      <x:c r="E193" t="inlineStr">
        <x:is>
          <x:t xml:space="preserve">ขวด 15 ml.</x:t>
        </x:is>
      </x:c>
      <x:c r="F193" t="inlineStr">
        <x:is>
          <x:t xml:space="preserve">Paracetamol 60 mg./0.6 ml.</x:t>
        </x:is>
      </x:c>
      <x:c r="G193" t="inlineStr">
        <x:is>
          <x:t xml:space="preserve">BDS003597</x:t>
        </x:is>
      </x:c>
      <x:c r="H193" t="inlineStr">
        <x:is>
          <x:t xml:space="preserve">Sara Infant Drops (รสองุ่น) (15 ml.)</x:t>
        </x:is>
      </x:c>
      <x:c r="I193" t="inlineStr">
        <x:is>
          <x:t xml:space="preserve">เด็กเล็กรับประทานครั้งละ 2-3 หลอดหยด วันละ 3-4 ครั้ง</x:t>
        </x:is>
      </x:c>
      <x:c r="P193" t="inlineStr">
        <x:is>
          <x:t xml:space="preserve">General analgesics/antipyretics</x:t>
        </x:is>
      </x:c>
    </x:row>
    <x:row r="194">
      <x:c r="A194" t="n">
        <x:v>192</x:v>
      </x:c>
      <x:c r="B194" t="inlineStr">
        <x:is>
          <x:t xml:space="preserve">ยาแก้ปวด, ลดไข้ ชนิดน้ำ</x:t>
        </x:is>
      </x:c>
      <x:c r="C194" t="n">
        <x:v>3596</x:v>
      </x:c>
      <x:c r="D194" t="inlineStr">
        <x:is>
          <x:t xml:space="preserve">Sara น้ำรสสตรอเบอร์รี่</x:t>
        </x:is>
      </x:c>
      <x:c r="E194" t="inlineStr">
        <x:is>
          <x:t xml:space="preserve">ขวด 60 ml.</x:t>
        </x:is>
      </x:c>
      <x:c r="F194" t="inlineStr">
        <x:is>
          <x:t xml:space="preserve">Paracetamol 120 mg./5 ml.</x:t>
        </x:is>
      </x:c>
      <x:c r="G194" t="inlineStr">
        <x:is>
          <x:t xml:space="preserve">BDS003596</x:t>
        </x:is>
      </x:c>
      <x:c r="H194" t="inlineStr">
        <x:is>
          <x:t xml:space="preserve">Sara น้ำรสสตรอเบอร์รี่ (60 ml.)</x:t>
        </x:is>
      </x:c>
      <x:c r="I194" t="inlineStr">
        <x:is>
          <x:t xml:space="preserve">รับประทานครั้งละ 1-2 ช้อนชา วันละ 3-4 ครั้ง</x:t>
        </x:is>
      </x:c>
      <x:c r="P194" t="inlineStr">
        <x:is>
          <x:t xml:space="preserve">General analgesics/antipyretics</x:t>
        </x:is>
      </x:c>
    </x:row>
    <x:row r="195">
      <x:c r="A195" t="n">
        <x:v>193</x:v>
      </x:c>
      <x:c r="B195" t="inlineStr">
        <x:is>
          <x:t xml:space="preserve">ยาแก้ปวด, ลดไข้ ชนิดน้ำ</x:t>
        </x:is>
      </x:c>
      <x:c r="C195" t="n">
        <x:v>3504</x:v>
      </x:c>
      <x:c r="D195" t="inlineStr">
        <x:is>
          <x:t xml:space="preserve">Sara น้ำรสส้ม</x:t>
        </x:is>
      </x:c>
      <x:c r="E195" t="inlineStr">
        <x:is>
          <x:t xml:space="preserve">ขวด 60 ml.</x:t>
        </x:is>
      </x:c>
      <x:c r="F195" t="inlineStr">
        <x:is>
          <x:t xml:space="preserve">Paracetamol 250 mg./5 ml.</x:t>
        </x:is>
      </x:c>
      <x:c r="G195" t="inlineStr">
        <x:is>
          <x:t xml:space="preserve">BDS003504</x:t>
        </x:is>
      </x:c>
      <x:c r="H195" t="inlineStr">
        <x:is>
          <x:t xml:space="preserve">Sara น้ำรสส้ม (60 ml.)</x:t>
        </x:is>
      </x:c>
      <x:c r="I195" t="inlineStr">
        <x:is>
          <x:t xml:space="preserve">รับประทานครั้งละ 1-2 ช้อนชา วันละ 3-4 ครั้ง </x:t>
        </x:is>
      </x:c>
      <x:c r="P195" t="inlineStr">
        <x:is>
          <x:t xml:space="preserve">General analgesics/antipyretics</x:t>
        </x:is>
      </x:c>
    </x:row>
    <x:row r="196">
      <x:c r="A196" t="n">
        <x:v>194</x:v>
      </x:c>
      <x:c r="B196" t="inlineStr">
        <x:is>
          <x:t xml:space="preserve">ยาแก้ปวด, ลดไข้ ชนิดน้ำ</x:t>
        </x:is>
      </x:c>
      <x:c r="C196" t="n">
        <x:v>3600</x:v>
      </x:c>
      <x:c r="D196" t="inlineStr">
        <x:is>
          <x:t xml:space="preserve">Sara น้ำรสองุ่น</x:t>
        </x:is>
      </x:c>
      <x:c r="E196" t="inlineStr">
        <x:is>
          <x:t xml:space="preserve">ขวด 60 ml.</x:t>
        </x:is>
      </x:c>
      <x:c r="F196" t="inlineStr">
        <x:is>
          <x:t xml:space="preserve">Paracetamol 160 mg./5 ml.</x:t>
        </x:is>
      </x:c>
      <x:c r="G196" t="inlineStr">
        <x:is>
          <x:t xml:space="preserve">BDS003600</x:t>
        </x:is>
      </x:c>
      <x:c r="H196" t="inlineStr">
        <x:is>
          <x:t xml:space="preserve">Sara น้ำรสองุ่น (60 ml.)</x:t>
        </x:is>
      </x:c>
      <x:c r="I196" t="inlineStr">
        <x:is>
          <x:t xml:space="preserve">รับประทานครั้งละ 1 ช้อนชา วันละ 3-4 ครั้ง</x:t>
        </x:is>
      </x:c>
      <x:c r="P196" t="inlineStr">
        <x:is>
          <x:t xml:space="preserve">General analgesics/antipyretics</x:t>
        </x:is>
      </x:c>
    </x:row>
    <x:row r="197">
      <x:c r="A197" t="n">
        <x:v>195</x:v>
      </x:c>
      <x:c r="B197" t="inlineStr">
        <x:is>
          <x:t xml:space="preserve">ยาแก้ปวด, ลดไข้ ชนิดน้ำ</x:t>
        </x:is>
      </x:c>
      <x:c r="C197" t="n">
        <x:v>3711</x:v>
      </x:c>
      <x:c r="D197" t="inlineStr">
        <x:is>
          <x:t xml:space="preserve">Tempra Drop</x:t>
        </x:is>
      </x:c>
      <x:c r="E197" t="inlineStr">
        <x:is>
          <x:t xml:space="preserve">ขวด 15 ml.</x:t>
        </x:is>
      </x:c>
      <x:c r="F197" t="inlineStr">
        <x:is>
          <x:t xml:space="preserve">Paracetamol 80 mg./0.8 ml.</x:t>
        </x:is>
      </x:c>
      <x:c r="G197" t="inlineStr">
        <x:is>
          <x:t xml:space="preserve">BDS003711</x:t>
        </x:is>
      </x:c>
      <x:c r="H197" t="inlineStr">
        <x:is>
          <x:t xml:space="preserve">Tempra Drop (15 ml.)</x:t>
        </x:is>
      </x:c>
      <x:c r="I197" t="inlineStr">
        <x:is>
          <x:t xml:space="preserve">รับประทานครั้งละ 1-2 หลอดหยด แต่ละครั้งห่างกันอย่างน้อย 4 ชม. วันละไม่เกิน 5 ครั้ง</x:t>
        </x:is>
      </x:c>
      <x:c r="P197" t="inlineStr">
        <x:is>
          <x:t xml:space="preserve">General analgesics/antipyretics</x:t>
        </x:is>
      </x:c>
    </x:row>
    <x:row r="198">
      <x:c r="A198" t="n">
        <x:v>196</x:v>
      </x:c>
      <x:c r="B198" t="inlineStr">
        <x:is>
          <x:t xml:space="preserve">ยาแก้ปวด, ลดไข้ ชนิดน้ำ</x:t>
        </x:is>
      </x:c>
      <x:c r="C198" t="n">
        <x:v>3712</x:v>
      </x:c>
      <x:c r="D198" t="inlineStr">
        <x:is>
          <x:t xml:space="preserve">Tempra Forte</x:t>
        </x:is>
      </x:c>
      <x:c r="E198" t="inlineStr">
        <x:is>
          <x:t xml:space="preserve">ขวด 60 ml.</x:t>
        </x:is>
      </x:c>
      <x:c r="F198" t="inlineStr">
        <x:is>
          <x:t xml:space="preserve">Paracetamol 250 mg./5 ml.</x:t>
        </x:is>
      </x:c>
      <x:c r="G198" t="inlineStr">
        <x:is>
          <x:t xml:space="preserve">BDS003712</x:t>
        </x:is>
      </x:c>
      <x:c r="H198" t="inlineStr">
        <x:is>
          <x:t xml:space="preserve">Tempra Forte (60 ml.)</x:t>
        </x:is>
      </x:c>
      <x:c r="I198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198" t="inlineStr">
        <x:is>
          <x:t xml:space="preserve">General analgesics/antipyretics</x:t>
        </x:is>
      </x:c>
    </x:row>
    <x:row r="199">
      <x:c r="A199" t="n">
        <x:v>197</x:v>
      </x:c>
      <x:c r="B199" t="inlineStr">
        <x:is>
          <x:t xml:space="preserve">ยาแก้ปวด, ลดไข้ ชนิดน้ำ</x:t>
        </x:is>
      </x:c>
      <x:c r="C199" t="n">
        <x:v>48670</x:v>
      </x:c>
      <x:c r="D199" t="inlineStr">
        <x:is>
          <x:t xml:space="preserve">Tempra Kids Orange</x:t>
        </x:is>
      </x:c>
      <x:c r="E199" t="inlineStr">
        <x:is>
          <x:t xml:space="preserve">ขวด 60 ml.</x:t>
        </x:is>
      </x:c>
      <x:c r="F199" t="inlineStr">
        <x:is>
          <x:t xml:space="preserve">Paracetamol 120 mg./5 ml.</x:t>
        </x:is>
      </x:c>
      <x:c r="G199" t="inlineStr">
        <x:is>
          <x:t xml:space="preserve">BDS048670</x:t>
        </x:is>
      </x:c>
      <x:c r="H199" t="inlineStr">
        <x:is>
          <x:t xml:space="preserve">Tempra Kids Orange (60 ml.)</x:t>
        </x:is>
      </x:c>
      <x:c r="I199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199" t="inlineStr">
        <x:is>
          <x:t xml:space="preserve">General analgesics/antipyretics</x:t>
        </x:is>
      </x:c>
    </x:row>
    <x:row r="200">
      <x:c r="A200" t="n">
        <x:v>198</x:v>
      </x:c>
      <x:c r="B200" t="inlineStr">
        <x:is>
          <x:t xml:space="preserve">ยาแก้ปวด, ลดไข้ ชนิดน้ำ</x:t>
        </x:is>
      </x:c>
      <x:c r="C200" t="n">
        <x:v>3713</x:v>
      </x:c>
      <x:c r="D200" t="inlineStr">
        <x:is>
          <x:t xml:space="preserve">Tempra Kids Strawberry</x:t>
        </x:is>
      </x:c>
      <x:c r="E200" t="inlineStr">
        <x:is>
          <x:t xml:space="preserve">ขวด 60 ml.</x:t>
        </x:is>
      </x:c>
      <x:c r="F200" t="inlineStr">
        <x:is>
          <x:t xml:space="preserve">Paracetamol 120 mg./5 ml.</x:t>
        </x:is>
      </x:c>
      <x:c r="G200" t="inlineStr">
        <x:is>
          <x:t xml:space="preserve">BDS003713</x:t>
        </x:is>
      </x:c>
      <x:c r="H200" t="inlineStr">
        <x:is>
          <x:t xml:space="preserve">Tempra Kids Strawberry (60 ml.)</x:t>
        </x:is>
      </x:c>
      <x:c r="I200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200" t="inlineStr">
        <x:is>
          <x:t xml:space="preserve">General analgesics/antipyretics</x:t>
        </x:is>
      </x:c>
    </x:row>
    <x:row r="201">
      <x:c r="A201" t="n">
        <x:v>199</x:v>
      </x:c>
      <x:c r="B201" t="inlineStr">
        <x:is>
          <x:t xml:space="preserve">ยาแก้ปวด, ลดไข้ ชนิดน้ำ</x:t>
        </x:is>
      </x:c>
      <x:c r="C201" t="n">
        <x:v>3737</x:v>
      </x:c>
      <x:c r="D201" t="inlineStr">
        <x:is>
          <x:t xml:space="preserve">Tylenol Drop</x:t>
        </x:is>
      </x:c>
      <x:c r="E201" t="inlineStr">
        <x:is>
          <x:t xml:space="preserve">ขวด 15 ml.</x:t>
        </x:is>
      </x:c>
      <x:c r="F201" t="inlineStr">
        <x:is>
          <x:t xml:space="preserve">Paracetamol 80 mg./0.8 ml.</x:t>
        </x:is>
      </x:c>
      <x:c r="G201" t="inlineStr">
        <x:is>
          <x:t xml:space="preserve">BDS003737</x:t>
        </x:is>
      </x:c>
      <x:c r="H201" t="inlineStr">
        <x:is>
          <x:t xml:space="preserve">Tylenol Drop (15 ml.)</x:t>
        </x:is>
      </x:c>
      <x:c r="I201" t="inlineStr">
        <x:is>
          <x:t xml:space="preserve">รับประทานครั้งละ 0.8 ml./5.5-7.9 kg. ทุก 4 ชั่วโมง</x:t>
        </x:is>
      </x:c>
      <x:c r="P201" t="inlineStr">
        <x:is>
          <x:t xml:space="preserve">General analgesics/antipyretics</x:t>
        </x:is>
      </x:c>
    </x:row>
    <x:row r="202">
      <x:c r="A202" t="n">
        <x:v>200</x:v>
      </x:c>
      <x:c r="B202" t="inlineStr">
        <x:is>
          <x:t xml:space="preserve">ยาแก้ปวด, ลดไข้ ชนิดน้ำ</x:t>
        </x:is>
      </x:c>
      <x:c r="C202" t="n">
        <x:v>3763</x:v>
      </x:c>
      <x:c r="D202" t="inlineStr">
        <x:is>
          <x:t xml:space="preserve">Tylenol Suspension</x:t>
        </x:is>
      </x:c>
      <x:c r="E202" t="inlineStr">
        <x:is>
          <x:t xml:space="preserve">ขวด 60 ml.</x:t>
        </x:is>
      </x:c>
      <x:c r="F202" t="inlineStr">
        <x:is>
          <x:t xml:space="preserve">Paracetamol 160 mg./5 ml.</x:t>
        </x:is>
      </x:c>
      <x:c r="G202" t="inlineStr">
        <x:is>
          <x:t xml:space="preserve">BDS003763</x:t>
        </x:is>
      </x:c>
      <x:c r="H202" t="inlineStr">
        <x:is>
          <x:t xml:space="preserve">Tylenol Suspension (60 ml.)</x:t>
        </x:is>
      </x:c>
      <x:c r="I202" t="inlineStr">
        <x:is>
          <x:t xml:space="preserve">รับประทานครั้งละ 5 ซีซี วันละ 3-4 ครั้ง</x:t>
        </x:is>
      </x:c>
      <x:c r="P202" t="inlineStr">
        <x:is>
          <x:t xml:space="preserve">General analgesics/antipyretics</x:t>
        </x:is>
      </x:c>
    </x:row>
    <x:row r="203">
      <x:c r="A203" t="n">
        <x:v>201</x:v>
      </x:c>
      <x:c r="B203" t="inlineStr">
        <x:is>
          <x:t xml:space="preserve">ยาแก้แพ้, ลดน้ำมูก ชนิดน้ำ (D)</x:t>
        </x:is>
      </x:c>
      <x:c r="C203" t="n">
        <x:v>1015</x:v>
      </x:c>
      <x:c r="D203" t="inlineStr">
        <x:is>
          <x:t xml:space="preserve">Aerius Syrup</x:t>
        </x:is>
      </x:c>
      <x:c r="E203" t="inlineStr">
        <x:is>
          <x:t xml:space="preserve">ขวด 60 ml.</x:t>
        </x:is>
      </x:c>
      <x:c r="F203" t="inlineStr">
        <x:is>
          <x:t xml:space="preserve">Desloratadine 0.5 mg./1 ml.</x:t>
        </x:is>
      </x:c>
      <x:c r="G203" t="inlineStr">
        <x:is>
          <x:t xml:space="preserve">BDS001015</x:t>
        </x:is>
      </x:c>
      <x:c r="H203" t="inlineStr">
        <x:is>
          <x:t xml:space="preserve">Aerius Syrup (60 ml.)</x:t>
        </x:is>
      </x:c>
      <x:c r="I203" t="inlineStr">
        <x:is>
          <x:t xml:space="preserve">เด็กโตรับประทานครั้งละ 1 ช้อนชาวันละ 1 ครั้ง</x:t>
        </x:is>
      </x:c>
    </x:row>
    <x:row r="204">
      <x:c r="A204" t="n">
        <x:v>202</x:v>
      </x:c>
      <x:c r="B204" t="inlineStr">
        <x:is>
          <x:t xml:space="preserve">ยาแก้แพ้, ลดน้ำมูก ชนิดน้ำ (D)</x:t>
        </x:is>
      </x:c>
      <x:c r="C204" t="n">
        <x:v>7003</x:v>
      </x:c>
      <x:c r="D204" t="inlineStr">
        <x:is>
          <x:t xml:space="preserve">Asiatapp Infant Drops (ควบคุมจำนวน)</x:t>
        </x:is>
      </x:c>
      <x:c r="E204" t="inlineStr">
        <x:is>
          <x:t xml:space="preserve">ขวด 15 ml.</x:t>
        </x:is>
      </x:c>
      <x:c r="F204" t="inlineStr">
        <x:is>
          <x:t xml:space="preserve">Brompheniramine Maleate 2.0 mg.+Phenylephrine HCl 2.5 mg./1 ml.</x:t>
        </x:is>
      </x:c>
      <x:c r="G204" t="inlineStr">
        <x:is>
          <x:t xml:space="preserve">BDS007003</x:t>
        </x:is>
      </x:c>
      <x:c r="H204" t="inlineStr">
        <x:is>
          <x:t xml:space="preserve">Asiatapp Infant Drops (ควบคุมจำนวน) (15 ml.)</x:t>
        </x:is>
      </x:c>
      <x:c r="I204" t="inlineStr">
        <x:is>
          <x:t xml:space="preserve">เด็กเล็กรับประทาน ครั้งละ 1-2 ml. วันละ 3-4 ครั้ง หรือรับประทานตามแพทย์สั่ง </x:t>
        </x:is>
      </x:c>
    </x:row>
    <x:row r="205">
      <x:c r="A205" t="n">
        <x:v>203</x:v>
      </x:c>
      <x:c r="B205" t="inlineStr">
        <x:is>
          <x:t xml:space="preserve">ยาแก้แพ้, ลดน้ำมูก ชนิดน้ำ (D)</x:t>
        </x:is>
      </x:c>
      <x:c r="C205" t="n">
        <x:v>8047</x:v>
      </x:c>
      <x:c r="D205" t="inlineStr">
        <x:is>
          <x:t xml:space="preserve">Asiatapp Syrup (ควบคุมจำนวน)</x:t>
        </x:is>
      </x:c>
      <x:c r="E205" t="inlineStr">
        <x:is>
          <x:t xml:space="preserve">ขวด 60 ml.</x:t>
        </x:is>
      </x:c>
      <x:c r="F205" t="inlineStr">
        <x:is>
          <x:t xml:space="preserve">Brompheniramine Maleate 4 mg.+Phenylephrine HCl 10 mg./5 ml.</x:t>
        </x:is>
      </x:c>
      <x:c r="G205" t="inlineStr">
        <x:is>
          <x:t xml:space="preserve">BDS008047</x:t>
        </x:is>
      </x:c>
      <x:c r="H205" t="inlineStr">
        <x:is>
          <x:t xml:space="preserve">Asiatapp Syrup (ควบคุมจำนวน) (60 ml.)</x:t>
        </x:is>
      </x:c>
      <x:c r="I205" t="inlineStr">
        <x:is>
          <x:t xml:space="preserve">เด็กเล็กรับประทาน ครั้งละ 1-2 ml. วันละ 3-4 ครั้ง หรือรับประทานตามแพทย์สั่ง </x:t>
        </x:is>
      </x:c>
    </x:row>
    <x:row r="206">
      <x:c r="A206" t="n">
        <x:v>204</x:v>
      </x:c>
      <x:c r="B206" t="inlineStr">
        <x:is>
          <x:t xml:space="preserve">ยาแก้แพ้, ลดน้ำมูก ชนิดน้ำ (D)</x:t>
        </x:is>
      </x:c>
      <x:c r="C206" t="n">
        <x:v>8033</x:v>
      </x:c>
      <x:c r="D206" t="inlineStr">
        <x:is>
          <x:t xml:space="preserve">Chlophen Syrup (ควบคุมจำนวน)</x:t>
        </x:is>
      </x:c>
      <x:c r="E206" t="inlineStr">
        <x:is>
          <x:t xml:space="preserve">ขวด 60 ml.</x:t>
        </x:is>
      </x:c>
      <x:c r="F206" t="inlineStr">
        <x:is>
          <x:t xml:space="preserve">Chlorpheniramine Maleate 2 mg./5 ml.</x:t>
        </x:is>
      </x:c>
      <x:c r="G206" t="inlineStr">
        <x:is>
          <x:t xml:space="preserve">BDS008033</x:t>
        </x:is>
      </x:c>
      <x:c r="H206" t="inlineStr">
        <x:is>
          <x:t xml:space="preserve">Chlophen Syrup (ควบคุมจำนวน) (60 ml.)</x:t>
        </x:is>
      </x:c>
      <x:c r="I206" t="inlineStr">
        <x:is>
          <x:t xml:space="preserve">เด็กโตรับประทานครั้งละ 1 ช้อนชา วันละ 3-4 ครั้ง</x:t>
        </x:is>
      </x:c>
    </x:row>
    <x:row r="207">
      <x:c r="A207" t="n">
        <x:v>205</x:v>
      </x:c>
      <x:c r="B207" t="inlineStr">
        <x:is>
          <x:t xml:space="preserve">ยาแก้แพ้, ลดน้ำมูก ชนิดน้ำ (D)</x:t>
        </x:is>
      </x:c>
      <x:c r="C207" t="n">
        <x:v>7038</x:v>
      </x:c>
      <x:c r="D207" t="inlineStr">
        <x:is>
          <x:t xml:space="preserve">Cistamine Syrup</x:t>
        </x:is>
      </x:c>
      <x:c r="E207" t="inlineStr">
        <x:is>
          <x:t xml:space="preserve">ขวด 60 ml.</x:t>
        </x:is>
      </x:c>
      <x:c r="F207" t="inlineStr">
        <x:is>
          <x:t xml:space="preserve">Cetirizine 2HCl 5 mg./5 ml.</x:t>
        </x:is>
      </x:c>
      <x:c r="G207" t="inlineStr">
        <x:is>
          <x:t xml:space="preserve">BDS007038</x:t>
        </x:is>
      </x:c>
      <x:c r="H207" t="inlineStr">
        <x:is>
          <x:t xml:space="preserve">Cistamine Syrup (60 ml.)</x:t>
        </x:is>
      </x:c>
      <x:c r="I207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08">
      <x:c r="A208" t="n">
        <x:v>206</x:v>
      </x:c>
      <x:c r="B208" t="inlineStr">
        <x:is>
          <x:t xml:space="preserve">ยาแก้แพ้, ลดน้ำมูก ชนิดน้ำ (D)</x:t>
        </x:is>
      </x:c>
      <x:c r="C208" t="n">
        <x:v>44519</x:v>
      </x:c>
      <x:c r="D208" t="inlineStr">
        <x:is>
          <x:t xml:space="preserve">Lorius Syrup</x:t>
        </x:is>
      </x:c>
      <x:c r="E208" t="inlineStr">
        <x:is>
          <x:t xml:space="preserve">ขวด 60 ml.</x:t>
        </x:is>
      </x:c>
      <x:c r="F208" t="inlineStr">
        <x:is>
          <x:t xml:space="preserve">Desloratadine 0.5 mg./1 ml.</x:t>
        </x:is>
      </x:c>
      <x:c r="G208" t="inlineStr">
        <x:is>
          <x:t xml:space="preserve">BDS044519</x:t>
        </x:is>
      </x:c>
      <x:c r="H208" t="inlineStr">
        <x:is>
          <x:t xml:space="preserve">Lorius Syrup (60 ml.)</x:t>
        </x:is>
      </x:c>
      <x:c r="I208" t="inlineStr">
        <x:is>
          <x:t xml:space="preserve">เด็กโตรับประทานครั้งละ 1 ช้อนชา วันละ 1  ครั้ง</x:t>
        </x:is>
      </x:c>
    </x:row>
    <x:row r="209">
      <x:c r="A209" t="n">
        <x:v>207</x:v>
      </x:c>
      <x:c r="B209" t="inlineStr">
        <x:is>
          <x:t xml:space="preserve">ยาแก้แพ้, ลดน้ำมูก ชนิดน้ำ (D)</x:t>
        </x:is>
      </x:c>
      <x:c r="C209" t="n">
        <x:v>7271</x:v>
      </x:c>
      <x:c r="D209" t="inlineStr">
        <x:is>
          <x:t xml:space="preserve">Sea Chlor Syrup (ควบคุมจำนวน)</x:t>
        </x:is>
      </x:c>
      <x:c r="E209" t="inlineStr">
        <x:is>
          <x:t xml:space="preserve">ขวด 60 ml.</x:t>
        </x:is>
      </x:c>
      <x:c r="F209" t="inlineStr">
        <x:is>
          <x:t xml:space="preserve">Chlorpheniramine Maleate 2 mg./5 ml.</x:t>
        </x:is>
      </x:c>
      <x:c r="G209" t="inlineStr">
        <x:is>
          <x:t xml:space="preserve">BDS007271</x:t>
        </x:is>
      </x:c>
      <x:c r="H209" t="inlineStr">
        <x:is>
          <x:t xml:space="preserve">Sea Chlor Syrup (ควบคุมจำนวน) (60 ml.)</x:t>
        </x:is>
      </x:c>
      <x:c r="I209" t="inlineStr">
        <x:is>
          <x:t xml:space="preserve">เด็กโตรับประทานครั้งละ 1 ช้อนชา วันละ 3-4 ครั้ง</x:t>
        </x:is>
      </x:c>
    </x:row>
    <x:row r="210">
      <x:c r="A210" t="n">
        <x:v>208</x:v>
      </x:c>
      <x:c r="B210" t="inlineStr">
        <x:is>
          <x:t xml:space="preserve">ยาแก้แพ้, ลดน้ำมูก ชนิดน้ำ (D)</x:t>
        </x:is>
      </x:c>
      <x:c r="C210" t="n">
        <x:v>3573</x:v>
      </x:c>
      <x:c r="D210" t="inlineStr">
        <x:is>
          <x:t xml:space="preserve">Sulidine CP Plus (ควบคุมจำนวน)</x:t>
        </x:is>
      </x:c>
      <x:c r="E210" t="inlineStr">
        <x:is>
          <x:t xml:space="preserve">ขวด 60 ml.</x:t>
        </x:is>
      </x:c>
      <x:c r="F210" t="inlineStr">
        <x:is>
          <x:t xml:space="preserve">Acetaminophen 120 mg+Chlorpheniramine maleate 1 mg+Phenylephrine HCl 5 mg/5 ml</x:t>
        </x:is>
      </x:c>
      <x:c r="G210" t="inlineStr">
        <x:is>
          <x:t xml:space="preserve">BDS003573</x:t>
        </x:is>
      </x:c>
      <x:c r="H210" t="inlineStr">
        <x:is>
          <x:t xml:space="preserve">Sulidine CP Plus (ควบคุมจำนวน) (60 ml.)</x:t>
        </x:is>
      </x:c>
      <x:c r="I210" t="inlineStr">
        <x:is>
          <x:t xml:space="preserve">เด็กโตรับประทานครั้งละ 1-2 ช้อนชา ทุก 4 ชั่วโมง</x:t>
        </x:is>
      </x:c>
    </x:row>
    <x:row r="211">
      <x:c r="A211" t="n">
        <x:v>209</x:v>
      </x:c>
      <x:c r="B211" t="inlineStr">
        <x:is>
          <x:t xml:space="preserve">ยาแก้แพ้, ลดน้ำมูก ชนิดน้ำ (D)</x:t>
        </x:is>
      </x:c>
      <x:c r="C211" t="n">
        <x:v>8301</x:v>
      </x:c>
      <x:c r="D211" t="inlineStr">
        <x:is>
          <x:t xml:space="preserve">Trandrozine Syrup (ควบคุมจำนวน)</x:t>
        </x:is>
      </x:c>
      <x:c r="E211" t="inlineStr">
        <x:is>
          <x:t xml:space="preserve">ขวด 60 ml.</x:t>
        </x:is>
      </x:c>
      <x:c r="F211" t="inlineStr">
        <x:is>
          <x:t xml:space="preserve">Hydroxyzine HCl 10 mg./5 ml.</x:t>
        </x:is>
      </x:c>
      <x:c r="G211" t="inlineStr">
        <x:is>
          <x:t xml:space="preserve">BDS008301</x:t>
        </x:is>
      </x:c>
      <x:c r="H211" t="inlineStr">
        <x:is>
          <x:t xml:space="preserve">Trandrozine Syrup (ควบคุมจำนวน) (60 ml.)</x:t>
        </x:is>
      </x:c>
      <x:c r="I211" t="inlineStr">
        <x:is>
          <x:t xml:space="preserve">เด็กเล็กรับประทานครั้งละ 1/2-1 ช้อนชา วันละ 3 ครั้ง หรือตามแพทย์สั่ง</x:t>
        </x:is>
      </x:c>
    </x:row>
    <x:row r="212">
      <x:c r="A212" t="n">
        <x:v>210</x:v>
      </x:c>
      <x:c r="B212" t="inlineStr">
        <x:is>
          <x:t xml:space="preserve">ยาแก้แพ้, ลดน้ำมูก ชนิดน้ำ (D)</x:t>
        </x:is>
      </x:c>
      <x:c r="C212" t="n">
        <x:v>8086</x:v>
      </x:c>
      <x:c r="D212" t="inlineStr">
        <x:is>
          <x:t xml:space="preserve">Zermed Syrup</x:t>
        </x:is>
      </x:c>
      <x:c r="E212" t="inlineStr">
        <x:is>
          <x:t xml:space="preserve">ขวด 60 ml.</x:t>
        </x:is>
      </x:c>
      <x:c r="F212" t="inlineStr">
        <x:is>
          <x:t xml:space="preserve">Cetirizine 2HCl 5 mg./5 ml.</x:t>
        </x:is>
      </x:c>
      <x:c r="G212" t="inlineStr">
        <x:is>
          <x:t xml:space="preserve">BDS008086</x:t>
        </x:is>
      </x:c>
      <x:c r="H212" t="inlineStr">
        <x:is>
          <x:t xml:space="preserve">Zermed Syrup (60 ml.)</x:t>
        </x:is>
      </x:c>
      <x:c r="I212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13">
      <x:c r="A213" t="n">
        <x:v>211</x:v>
      </x:c>
      <x:c r="B213" t="inlineStr">
        <x:is>
          <x:t xml:space="preserve">ยาแก้แพ้, ลดน้ำมูก ชนิดน้ำ (D)</x:t>
        </x:is>
      </x:c>
      <x:c r="C213" t="n">
        <x:v>4212</x:v>
      </x:c>
      <x:c r="D213" t="inlineStr">
        <x:is>
          <x:t xml:space="preserve">Zyrtec Syrup</x:t>
        </x:is>
      </x:c>
      <x:c r="E213" t="inlineStr">
        <x:is>
          <x:t xml:space="preserve">ขวด 75 ml.</x:t>
        </x:is>
      </x:c>
      <x:c r="F213" t="inlineStr">
        <x:is>
          <x:t xml:space="preserve">Cetirizine 2HCI 1 mg./1 ml.</x:t>
        </x:is>
      </x:c>
      <x:c r="G213" t="inlineStr">
        <x:is>
          <x:t xml:space="preserve">BDS004212</x:t>
        </x:is>
      </x:c>
      <x:c r="H213" t="inlineStr">
        <x:is>
          <x:t xml:space="preserve">Zyrtec Syrup (75 ml.)</x:t>
        </x:is>
      </x:c>
      <x:c r="I213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14">
      <x:c r="A214" t="n">
        <x:v>212</x:v>
      </x:c>
      <x:c r="B214" t="inlineStr">
        <x:is>
          <x:t xml:space="preserve">ยาแก้ไอแห้ง, คันคอ ชนิดน้ำ (D)</x:t>
        </x:is>
      </x:c>
      <x:c r="C214" t="n">
        <x:v>6036</x:v>
      </x:c>
      <x:c r="D214" t="inlineStr">
        <x:is>
          <x:t xml:space="preserve">Icorin Kids Syrup</x:t>
        </x:is>
      </x:c>
      <x:c r="E214" t="inlineStr">
        <x:is>
          <x:t xml:space="preserve">ขวด 60 ml.</x:t>
        </x:is>
      </x:c>
      <x:c r="F214" t="inlineStr">
        <x:is>
          <x:t xml:space="preserve">Butamirate Citrate 4 mg/5 ml</x:t>
        </x:is>
      </x:c>
      <x:c r="G214" t="inlineStr">
        <x:is>
          <x:t xml:space="preserve">BDS006036</x:t>
        </x:is>
      </x:c>
      <x:c r="H214" t="inlineStr">
        <x:is>
          <x:t xml:space="preserve">Icorin Kids Syrup (60 ml.)</x:t>
        </x:is>
      </x:c>
      <x:c r="I214" t="inlineStr">
        <x:is>
          <x:t xml:space="preserve">รับประทานครั้งละ 1-2 ช้อนชา วันละ 3 ครั้ง</x:t>
        </x:is>
      </x:c>
      <x:c r="P214" t="inlineStr">
        <x:is>
          <x:t xml:space="preserve">Cough medicines / mucolytics / expectorants</x:t>
        </x:is>
      </x:c>
    </x:row>
    <x:row r="215">
      <x:c r="A215" t="n">
        <x:v>213</x:v>
      </x:c>
      <x:c r="B215" t="inlineStr">
        <x:is>
          <x:t xml:space="preserve">ยาแก้ไอแห้ง, คันคอ ชนิดน้ำ (D)</x:t>
        </x:is>
      </x:c>
      <x:c r="C215" t="n">
        <x:v>2290</x:v>
      </x:c>
      <x:c r="D215" t="inlineStr">
        <x:is>
          <x:t xml:space="preserve">Ivorin Syrup</x:t>
        </x:is>
      </x:c>
      <x:c r="E215" t="inlineStr">
        <x:is>
          <x:t xml:space="preserve">ขวด 60 ml.</x:t>
        </x:is>
      </x:c>
      <x:c r="F215" t="inlineStr">
        <x:is>
          <x:t xml:space="preserve">Levodropropizine 30 mg./5 ml.</x:t>
        </x:is>
      </x:c>
      <x:c r="G215" t="inlineStr">
        <x:is>
          <x:t xml:space="preserve">BDS002290</x:t>
        </x:is>
      </x:c>
      <x:c r="H215" t="inlineStr">
        <x:is>
          <x:t xml:space="preserve">Ivorin Syrup (60 ml.)</x:t>
        </x:is>
      </x:c>
      <x:c r="I215" t="inlineStr">
        <x:is>
          <x:t xml:space="preserve">ผู้ใหญ่รับประทานครั้งละ 2 ช้อนชา (10 ml.) วันละ 3 ครั้ง</x:t>
        </x:is>
      </x:c>
      <x:c r="P215" t="inlineStr">
        <x:is>
          <x:t xml:space="preserve">Cough medicines / mucolytics / expectorants</x:t>
        </x:is>
      </x:c>
    </x:row>
    <x:row r="216">
      <x:c r="A216" t="n">
        <x:v>214</x:v>
      </x:c>
      <x:c r="B216" t="inlineStr">
        <x:is>
          <x:t xml:space="preserve">ยาละลายเสมหะ ชนิดน้ำ</x:t>
        </x:is>
      </x:c>
      <x:c r="C216" t="n">
        <x:v>1257</x:v>
      </x:c>
      <x:c r="D216" t="inlineStr">
        <x:is>
          <x:t xml:space="preserve">Bisolvon EX Syrup เล็ก</x:t>
        </x:is>
      </x:c>
      <x:c r="E216" t="inlineStr">
        <x:is>
          <x:t xml:space="preserve">ขวด 60 ml.</x:t>
        </x:is>
      </x:c>
      <x:c r="F216" t="inlineStr">
        <x:is>
          <x:t xml:space="preserve">Bromhexine HCl 4 mg.+K guaiacolsulphonate 100 mg./5 ml.</x:t>
        </x:is>
      </x:c>
      <x:c r="G216" t="inlineStr">
        <x:is>
          <x:t xml:space="preserve">BDS001257</x:t>
        </x:is>
      </x:c>
      <x:c r="H216" t="inlineStr">
        <x:is>
          <x:t xml:space="preserve">Bisolvon EX Syrup เล็ก (60 ml.)</x:t>
        </x:is>
      </x:c>
      <x:c r="I216" t="inlineStr">
        <x:is>
          <x:t xml:space="preserve">รับประทานครั้งละ 1-2 ช้อนชา วันละ 3-4 ครั้ง</x:t>
        </x:is>
      </x:c>
      <x:c r="P216" t="inlineStr">
        <x:is>
          <x:t xml:space="preserve">Cough medicines / mucolytics / expectorants</x:t>
        </x:is>
      </x:c>
    </x:row>
    <x:row r="217">
      <x:c r="A217" t="n">
        <x:v>215</x:v>
      </x:c>
      <x:c r="B217" t="inlineStr">
        <x:is>
          <x:t xml:space="preserve">ยาละลายเสมหะ ชนิดน้ำ</x:t>
        </x:is>
      </x:c>
      <x:c r="C217" t="n">
        <x:v>1296</x:v>
      </x:c>
      <x:c r="D217" t="inlineStr">
        <x:is>
          <x:t xml:space="preserve">Bisolvon EX Syrup ใหญ่</x:t>
        </x:is>
      </x:c>
      <x:c r="E217" t="inlineStr">
        <x:is>
          <x:t xml:space="preserve">ขวด 125 ml.</x:t>
        </x:is>
      </x:c>
      <x:c r="F217" t="inlineStr">
        <x:is>
          <x:t xml:space="preserve">Bromhexine HCl 4 mg.+K guaiacolsulphonate 100 mg./5 ml.</x:t>
        </x:is>
      </x:c>
      <x:c r="G217" t="inlineStr">
        <x:is>
          <x:t xml:space="preserve">BDS001296</x:t>
        </x:is>
      </x:c>
      <x:c r="H217" t="inlineStr">
        <x:is>
          <x:t xml:space="preserve">Bisolvon EX Syrup ใหญ่ (125 ml.)</x:t>
        </x:is>
      </x:c>
      <x:c r="I217" t="inlineStr">
        <x:is>
          <x:t xml:space="preserve">รับประทานครั้งละ 1-2 ช้อนชา วันละ 3 ครั้ง</x:t>
        </x:is>
      </x:c>
      <x:c r="P217" t="inlineStr">
        <x:is>
          <x:t xml:space="preserve">Cough medicines / mucolytics / expectorants</x:t>
        </x:is>
      </x:c>
    </x:row>
    <x:row r="218">
      <x:c r="A218" t="n">
        <x:v>216</x:v>
      </x:c>
      <x:c r="B218" t="inlineStr">
        <x:is>
          <x:t xml:space="preserve">ยาละลายเสมหะ ชนิดน้ำ</x:t>
        </x:is>
      </x:c>
      <x:c r="C218" t="n">
        <x:v>1253</x:v>
      </x:c>
      <x:c r="D218" t="inlineStr">
        <x:is>
          <x:t xml:space="preserve">Bisolvon Pediatric Syrup</x:t>
        </x:is>
      </x:c>
      <x:c r="E218" t="inlineStr">
        <x:is>
          <x:t xml:space="preserve">ขวด 60 ml.</x:t>
        </x:is>
      </x:c>
      <x:c r="F218" t="inlineStr">
        <x:is>
          <x:t xml:space="preserve">Bromhexine HCl 4 mg./5 ml.</x:t>
        </x:is>
      </x:c>
      <x:c r="G218" t="inlineStr">
        <x:is>
          <x:t xml:space="preserve">BDS001253</x:t>
        </x:is>
      </x:c>
      <x:c r="H218" t="inlineStr">
        <x:is>
          <x:t xml:space="preserve">Bisolvon Pediatric Syrup (60 ml.)</x:t>
        </x:is>
      </x:c>
      <x:c r="I218" t="inlineStr">
        <x:is>
          <x:t xml:space="preserve">รับประทานครั้งละ 1 ช้อนชา วันละ 3 ครั้ง</x:t>
        </x:is>
      </x:c>
      <x:c r="P218" t="inlineStr">
        <x:is>
          <x:t xml:space="preserve">Cough medicines / mucolytics / expectorants</x:t>
        </x:is>
      </x:c>
    </x:row>
    <x:row r="219">
      <x:c r="A219" t="n">
        <x:v>217</x:v>
      </x:c>
      <x:c r="B219" t="inlineStr">
        <x:is>
          <x:t xml:space="preserve">ยาละลายเสมหะ ชนิดน้ำ</x:t>
        </x:is>
      </x:c>
      <x:c r="C219" t="n">
        <x:v>7033</x:v>
      </x:c>
      <x:c r="D219" t="inlineStr">
        <x:is>
          <x:t xml:space="preserve">Bocytin Syrup</x:t>
        </x:is>
      </x:c>
      <x:c r="E219" t="inlineStr">
        <x:is>
          <x:t xml:space="preserve">ขวด 60 ml.</x:t>
        </x:is>
      </x:c>
      <x:c r="F219" t="inlineStr">
        <x:is>
          <x:t xml:space="preserve">Carbocysteine 250 mg./5 ml.</x:t>
        </x:is>
      </x:c>
      <x:c r="G219" t="inlineStr">
        <x:is>
          <x:t xml:space="preserve">BDS007033</x:t>
        </x:is>
      </x:c>
      <x:c r="H219" t="inlineStr">
        <x:is>
          <x:t xml:space="preserve">Bocytin Syrup (60 ml.)</x:t>
        </x:is>
      </x:c>
      <x:c r="I219" t="inlineStr">
        <x:is>
          <x:t xml:space="preserve">เด็กเล็กรับประทาน 1/2 ช้อนชา วันละ 2 ครั้ง</x:t>
        </x:is>
      </x:c>
      <x:c r="P219" t="inlineStr">
        <x:is>
          <x:t xml:space="preserve">Cough medicines / mucolytics / expectorants</x:t>
        </x:is>
      </x:c>
    </x:row>
    <x:row r="220">
      <x:c r="A220" t="n">
        <x:v>218</x:v>
      </x:c>
      <x:c r="B220" t="inlineStr">
        <x:is>
          <x:t xml:space="preserve">ยาละลายเสมหะ ชนิดน้ำ</x:t>
        </x:is>
      </x:c>
      <x:c r="C220" t="n">
        <x:v>41506</x:v>
      </x:c>
      <x:c r="D220" t="inlineStr">
        <x:is>
          <x:t xml:space="preserve">Carboflex Syrup</x:t>
        </x:is>
      </x:c>
      <x:c r="E220" t="inlineStr">
        <x:is>
          <x:t xml:space="preserve">ขวด 60 ml.</x:t>
        </x:is>
      </x:c>
      <x:c r="F220" t="inlineStr">
        <x:is>
          <x:t xml:space="preserve">Carbocysteine 250 mg./5 ml.</x:t>
        </x:is>
      </x:c>
      <x:c r="G220" t="inlineStr">
        <x:is>
          <x:t xml:space="preserve">BDS041506</x:t>
        </x:is>
      </x:c>
      <x:c r="H220" t="inlineStr">
        <x:is>
          <x:t xml:space="preserve">Carboflex Syrup (60 ml.)</x:t>
        </x:is>
      </x:c>
      <x:c r="I220" t="inlineStr">
        <x:is>
          <x:t xml:space="preserve">เด็กอายุ 6-12 ปี รับประทานครั้งละ 1 ช้อนชา วันละ 3 ครั้ง</x:t>
        </x:is>
      </x:c>
      <x:c r="P220" t="inlineStr">
        <x:is>
          <x:t xml:space="preserve">Cough medicines / mucolytics / expectorants</x:t>
        </x:is>
      </x:c>
    </x:row>
    <x:row r="221">
      <x:c r="A221" t="n">
        <x:v>219</x:v>
      </x:c>
      <x:c r="B221" t="inlineStr">
        <x:is>
          <x:t xml:space="preserve">ยาละลายเสมหะ ชนิดน้ำ</x:t>
        </x:is>
      </x:c>
      <x:c r="C221" t="n">
        <x:v>1495</x:v>
      </x:c>
      <x:c r="D221" t="inlineStr">
        <x:is>
          <x:t xml:space="preserve">Cisteine</x:t>
        </x:is>
      </x:c>
      <x:c r="E221" t="inlineStr">
        <x:is>
          <x:t xml:space="preserve">ขวด 60 ml.</x:t>
        </x:is>
      </x:c>
      <x:c r="F221" t="inlineStr">
        <x:is>
          <x:t xml:space="preserve">Carbocysteine 100 mg./5 ml.</x:t>
        </x:is>
      </x:c>
      <x:c r="G221" t="inlineStr">
        <x:is>
          <x:t xml:space="preserve">BDS001495</x:t>
        </x:is>
      </x:c>
      <x:c r="H221" t="inlineStr">
        <x:is>
          <x:t xml:space="preserve">Cisteine (60 ml.)</x:t>
        </x:is>
      </x:c>
      <x:c r="I221" t="inlineStr">
        <x:is>
          <x:t xml:space="preserve">รับประทานครั้งละ 1 ช้อนชา วันละ 3 ครั้ง</x:t>
        </x:is>
      </x:c>
      <x:c r="P221" t="inlineStr">
        <x:is>
          <x:t xml:space="preserve">Cough medicines / mucolytics / expectorants</x:t>
        </x:is>
      </x:c>
    </x:row>
    <x:row r="222">
      <x:c r="A222" t="n">
        <x:v>220</x:v>
      </x:c>
      <x:c r="B222" t="inlineStr">
        <x:is>
          <x:t xml:space="preserve">ยาละลายเสมหะ ชนิดน้ำ</x:t>
        </x:is>
      </x:c>
      <x:c r="C222" t="n">
        <x:v>1919</x:v>
      </x:c>
      <x:c r="D222" t="inlineStr">
        <x:is>
          <x:t xml:space="preserve">Flemex Kids</x:t>
        </x:is>
      </x:c>
      <x:c r="E222" t="inlineStr">
        <x:is>
          <x:t xml:space="preserve">ขวด 60 ml.</x:t>
        </x:is>
      </x:c>
      <x:c r="F222" t="inlineStr">
        <x:is>
          <x:t xml:space="preserve">Carbocysteine 100 mg./5 ml.</x:t>
        </x:is>
      </x:c>
      <x:c r="G222" t="inlineStr">
        <x:is>
          <x:t xml:space="preserve">BDS001919</x:t>
        </x:is>
      </x:c>
      <x:c r="H222" t="inlineStr">
        <x:is>
          <x:t xml:space="preserve">Flemex Kids (60 ml.)</x:t>
        </x:is>
      </x:c>
      <x:c r="I222" t="inlineStr">
        <x:is>
          <x:t xml:space="preserve">รับประทานครั้งละ 1 ช้อนชา วันละ 2 ครั้ง</x:t>
        </x:is>
      </x:c>
      <x:c r="P222" t="inlineStr">
        <x:is>
          <x:t xml:space="preserve">Cough medicines / mucolytics / expectorants</x:t>
        </x:is>
      </x:c>
    </x:row>
    <x:row r="223">
      <x:c r="A223" t="n">
        <x:v>221</x:v>
      </x:c>
      <x:c r="B223" t="inlineStr">
        <x:is>
          <x:t xml:space="preserve">ยาละลายเสมหะ ชนิดน้ำ</x:t>
        </x:is>
      </x:c>
      <x:c r="C223" t="n">
        <x:v>1920</x:v>
      </x:c>
      <x:c r="D223" t="inlineStr">
        <x:is>
          <x:t xml:space="preserve">Flemex Syrup</x:t>
        </x:is>
      </x:c>
      <x:c r="E223" t="inlineStr">
        <x:is>
          <x:t xml:space="preserve">ขวด 60 ml.</x:t>
        </x:is>
      </x:c>
      <x:c r="F223" t="inlineStr">
        <x:is>
          <x:t xml:space="preserve">Carbocysteine 250 mg./5 ml.</x:t>
        </x:is>
      </x:c>
      <x:c r="G223" t="inlineStr">
        <x:is>
          <x:t xml:space="preserve">BDS001920</x:t>
        </x:is>
      </x:c>
      <x:c r="H223" t="inlineStr">
        <x:is>
          <x:t xml:space="preserve">Flemex Syrup (60 ml.)</x:t>
        </x:is>
      </x:c>
      <x:c r="I223" t="inlineStr">
        <x:is>
          <x:t xml:space="preserve">รับประทานครั้งละ 1 ช้อนโต๊ะ วันละ 3 ครั้ง</x:t>
        </x:is>
      </x:c>
      <x:c r="P223" t="inlineStr">
        <x:is>
          <x:t xml:space="preserve">Cough medicines / mucolytics / expectorants</x:t>
        </x:is>
      </x:c>
    </x:row>
    <x:row r="224">
      <x:c r="A224" t="n">
        <x:v>222</x:v>
      </x:c>
      <x:c r="B224" t="inlineStr">
        <x:is>
          <x:t xml:space="preserve">ยาละลายเสมหะ ชนิดน้ำ</x:t>
        </x:is>
      </x:c>
      <x:c r="C224" t="n">
        <x:v>7742</x:v>
      </x:c>
      <x:c r="D224" t="inlineStr">
        <x:is>
          <x:t xml:space="preserve">Mucobrox</x:t>
        </x:is>
      </x:c>
      <x:c r="E224" t="inlineStr">
        <x:is>
          <x:t xml:space="preserve">ขวด 60 ml.</x:t>
        </x:is>
      </x:c>
      <x:c r="F224" t="inlineStr">
        <x:is>
          <x:t xml:space="preserve">Ambroxol HCl 30 mg./5 ml.</x:t>
        </x:is>
      </x:c>
      <x:c r="G224" t="inlineStr">
        <x:is>
          <x:t xml:space="preserve">BDS007742</x:t>
        </x:is>
      </x:c>
      <x:c r="H224" t="inlineStr">
        <x:is>
          <x:t xml:space="preserve">Mucobrox (60 ml.)</x:t>
        </x:is>
      </x:c>
      <x:c r="I224" t="inlineStr">
        <x:is>
          <x:t xml:space="preserve">ผู้ใหญ่และเด็กโตรับประทาน 1 ช้อนชา  วันละ 3 ครั้ง</x:t>
        </x:is>
      </x:c>
      <x:c r="P224" t="inlineStr">
        <x:is>
          <x:t xml:space="preserve">Cough medicines / mucolytics / expectorants</x:t>
        </x:is>
      </x:c>
    </x:row>
    <x:row r="225">
      <x:c r="A225" t="n">
        <x:v>223</x:v>
      </x:c>
      <x:c r="B225" t="inlineStr">
        <x:is>
          <x:t xml:space="preserve">ยาละลายเสมหะ ชนิดน้ำ</x:t>
        </x:is>
      </x:c>
      <x:c r="C225" t="n">
        <x:v>2659</x:v>
      </x:c>
      <x:c r="D225" t="inlineStr">
        <x:is>
          <x:t xml:space="preserve">Mucoflux Syrup</x:t>
        </x:is>
      </x:c>
      <x:c r="E225" t="inlineStr">
        <x:is>
          <x:t xml:space="preserve">ขวด 60 ml.</x:t>
        </x:is>
      </x:c>
      <x:c r="F225" t="inlineStr">
        <x:is>
          <x:t xml:space="preserve">Cyclidrol 80 mg./10 ml.</x:t>
        </x:is>
      </x:c>
      <x:c r="G225" t="inlineStr">
        <x:is>
          <x:t xml:space="preserve">BDS002659</x:t>
        </x:is>
      </x:c>
      <x:c r="H225" t="inlineStr">
        <x:is>
          <x:t xml:space="preserve">Mucoflux Syrup (60 ml.)</x:t>
        </x:is>
      </x:c>
      <x:c r="I225" t="inlineStr">
        <x:is>
          <x:t xml:space="preserve">รับประทานครั้งละ 2-4 ช้อนชาวันละ 2 ครั้ง</x:t>
        </x:is>
      </x:c>
      <x:c r="P225" t="inlineStr">
        <x:is>
          <x:t xml:space="preserve">Cough medicines / mucolytics / expectorants</x:t>
        </x:is>
      </x:c>
    </x:row>
    <x:row r="226">
      <x:c r="A226" t="n">
        <x:v>224</x:v>
      </x:c>
      <x:c r="B226" t="inlineStr">
        <x:is>
          <x:t xml:space="preserve">ยาละลายเสมหะ ชนิดน้ำ</x:t>
        </x:is>
      </x:c>
      <x:c r="C226" t="n">
        <x:v>2691</x:v>
      </x:c>
      <x:c r="D226" t="inlineStr">
        <x:is>
          <x:t xml:space="preserve">Mucolid Junior บลูเบอร์รี่</x:t>
        </x:is>
      </x:c>
      <x:c r="E226" t="inlineStr">
        <x:is>
          <x:t xml:space="preserve">ขวด 60 ml.</x:t>
        </x:is>
      </x:c>
      <x:c r="F226" t="inlineStr">
        <x:is>
          <x:t xml:space="preserve">Ambroxol HCl 15 mg./5 ml.</x:t>
        </x:is>
      </x:c>
      <x:c r="G226" t="inlineStr">
        <x:is>
          <x:t xml:space="preserve">BDS002691</x:t>
        </x:is>
      </x:c>
      <x:c r="H226" t="inlineStr">
        <x:is>
          <x:t xml:space="preserve">Mucolid Junior บลูเบอร์รี่ (60 ml.)</x:t>
        </x:is>
      </x:c>
      <x:c r="I226" t="inlineStr">
        <x:is>
          <x:t xml:space="preserve">รับประทานครั้งละ 2 ช้อนชา วันละ 3 ครั้ง</x:t>
        </x:is>
      </x:c>
      <x:c r="P226" t="inlineStr">
        <x:is>
          <x:t xml:space="preserve">Cough medicines / mucolytics / expectorants</x:t>
        </x:is>
      </x:c>
    </x:row>
    <x:row r="227">
      <x:c r="A227" t="n">
        <x:v>225</x:v>
      </x:c>
      <x:c r="B227" t="inlineStr">
        <x:is>
          <x:t xml:space="preserve">ยาละลายเสมหะ ชนิดน้ำ</x:t>
        </x:is>
      </x:c>
      <x:c r="C227" t="n">
        <x:v>2654</x:v>
      </x:c>
      <x:c r="D227" t="inlineStr">
        <x:is>
          <x:t xml:space="preserve">Mucolid Syrup</x:t>
        </x:is>
      </x:c>
      <x:c r="E227" t="inlineStr">
        <x:is>
          <x:t xml:space="preserve">ขวด 60 ml.</x:t>
        </x:is>
      </x:c>
      <x:c r="F227" t="inlineStr">
        <x:is>
          <x:t xml:space="preserve">Ambroxol HCl 30 mg./5 ml.</x:t>
        </x:is>
      </x:c>
      <x:c r="G227" t="inlineStr">
        <x:is>
          <x:t xml:space="preserve">BDS002654</x:t>
        </x:is>
      </x:c>
      <x:c r="H227" t="inlineStr">
        <x:is>
          <x:t xml:space="preserve">Mucolid Syrup (60 ml.)</x:t>
        </x:is>
      </x:c>
      <x:c r="I227" t="inlineStr">
        <x:is>
          <x:t xml:space="preserve">รับประทานครั้งละ 1 ช้อนชา วันละ 4 ครั้ง</x:t>
        </x:is>
      </x:c>
      <x:c r="P227" t="inlineStr">
        <x:is>
          <x:t xml:space="preserve">Cough medicines / mucolytics / expectorants</x:t>
        </x:is>
      </x:c>
    </x:row>
    <x:row r="228">
      <x:c r="A228" t="n">
        <x:v>226</x:v>
      </x:c>
      <x:c r="B228" t="inlineStr">
        <x:is>
          <x:t xml:space="preserve">ยาละลายเสมหะ ชนิดน้ำ</x:t>
        </x:is>
      </x:c>
      <x:c r="C228" t="n">
        <x:v>3697</x:v>
      </x:c>
      <x:c r="D228" t="inlineStr">
        <x:is>
          <x:t xml:space="preserve">Solmax Forte Suspension</x:t>
        </x:is>
      </x:c>
      <x:c r="E228" t="inlineStr">
        <x:is>
          <x:t xml:space="preserve">ขวด 60 ml.</x:t>
        </x:is>
      </x:c>
      <x:c r="F228" t="inlineStr">
        <x:is>
          <x:t xml:space="preserve">Carbocysteine 500 mg./5 ml.</x:t>
        </x:is>
      </x:c>
      <x:c r="G228" t="inlineStr">
        <x:is>
          <x:t xml:space="preserve">BDS003697</x:t>
        </x:is>
      </x:c>
      <x:c r="H228" t="inlineStr">
        <x:is>
          <x:t xml:space="preserve">Solmax Forte Suspension (60 ml.)</x:t>
        </x:is>
      </x:c>
      <x:c r="I228" t="inlineStr">
        <x:is>
          <x:t xml:space="preserve">เด็กโตรับประทานครั้งละ ครึ่ง ช้อนชา วันละ 3 ครั้ง</x:t>
        </x:is>
      </x:c>
      <x:c r="P228" t="inlineStr">
        <x:is>
          <x:t xml:space="preserve">Cough medicines / mucolytics / expectorants</x:t>
        </x:is>
      </x:c>
    </x:row>
    <x:row r="229">
      <x:c r="A229" t="n">
        <x:v>227</x:v>
      </x:c>
      <x:c r="B229" t="inlineStr">
        <x:is>
          <x:t xml:space="preserve">ยาละลายเสมหะ ชนิดน้ำ</x:t>
        </x:is>
      </x:c>
      <x:c r="C229" t="n">
        <x:v>3782</x:v>
      </x:c>
      <x:c r="D229" t="inlineStr">
        <x:is>
          <x:t xml:space="preserve">Solmax Kids Suspension</x:t>
        </x:is>
      </x:c>
      <x:c r="E229" t="inlineStr">
        <x:is>
          <x:t xml:space="preserve">ขวด 60 ml.</x:t>
        </x:is>
      </x:c>
      <x:c r="F229" t="inlineStr">
        <x:is>
          <x:t xml:space="preserve">Carbocysteine 200 mg./5 ml.</x:t>
        </x:is>
      </x:c>
      <x:c r="G229" t="inlineStr">
        <x:is>
          <x:t xml:space="preserve">BDS003782</x:t>
        </x:is>
      </x:c>
      <x:c r="H229" t="inlineStr">
        <x:is>
          <x:t xml:space="preserve">Solmax Kids Suspension (60 ml.)</x:t>
        </x:is>
      </x:c>
      <x:c r="I229" t="inlineStr">
        <x:is>
          <x:t xml:space="preserve">เด็กเล็กรับประทาน 1/2 ช้อนชา วันละ 3-4 ครั้ง</x:t>
        </x:is>
      </x:c>
      <x:c r="P229" t="inlineStr">
        <x:is>
          <x:t xml:space="preserve">Cough medicines / mucolytics / expectorants</x:t>
        </x:is>
      </x:c>
    </x:row>
    <x:row r="230">
      <x:c r="A230" t="n">
        <x:v>228</x:v>
      </x:c>
      <x:c r="B230" t="inlineStr">
        <x:is>
          <x:t xml:space="preserve">ยาแก้ปวดอักเสบกลุ่ม NSAIDs (D)</x:t>
        </x:is>
      </x:c>
      <x:c r="C230" t="n">
        <x:v>40009</x:v>
      </x:c>
      <x:c r="D230" t="inlineStr">
        <x:is>
          <x:t xml:space="preserve">Anpuzz 520 </x:t>
        </x:is>
      </x:c>
      <x:c r="E230" t="inlineStr">
        <x:is>
          <x:t xml:space="preserve">กล่อง 10 เม็ด</x:t>
        </x:is>
      </x:c>
      <x:c r="F230" t="inlineStr">
        <x:is>
          <x:t xml:space="preserve">Mefenamic acid 500 mg. + Dicyclomine HCl 20 mg.</x:t>
        </x:is>
      </x:c>
      <x:c r="G230" t="inlineStr">
        <x:is>
          <x:t xml:space="preserve">BDS040009</x:t>
        </x:is>
      </x:c>
      <x:c r="H230" t="inlineStr">
        <x:is>
          <x:t xml:space="preserve">Anpuzz 520  (10 tabs)</x:t>
        </x:is>
      </x:c>
      <x:c r="I230" t="inlineStr">
        <x:is>
          <x:t xml:space="preserve">รับประทานครั้งละ 1 เม็ด วันละ 3 ครั้ง หลังอาหารทันที </x:t>
        </x:is>
      </x:c>
      <x:c r="P230" t="inlineStr">
        <x:is>
          <x:t xml:space="preserve">NSAIDs (oral anti-inflammatory painkillers)</x:t>
        </x:is>
      </x:c>
    </x:row>
    <x:row r="231">
      <x:c r="A231" t="n">
        <x:v>229</x:v>
      </x:c>
      <x:c r="B231" t="inlineStr">
        <x:is>
          <x:t xml:space="preserve">ยาแก้ปวดอักเสบกลุ่ม NSAIDs (D)</x:t>
        </x:is>
      </x:c>
      <x:c r="C231" t="n">
        <x:v>1076</x:v>
      </x:c>
      <x:c r="D231" t="inlineStr">
        <x:is>
          <x:t xml:space="preserve">Arcoxia 120 mg</x:t>
        </x:is>
      </x:c>
      <x:c r="E231" t="inlineStr">
        <x:is>
          <x:t xml:space="preserve">แผง 5 เม็ด</x:t>
        </x:is>
      </x:c>
      <x:c r="F231" t="inlineStr">
        <x:is>
          <x:t xml:space="preserve">Etoricoxib 120 mg.</x:t>
        </x:is>
      </x:c>
      <x:c r="G231" t="inlineStr">
        <x:is>
          <x:t xml:space="preserve">BDS001076</x:t>
        </x:is>
      </x:c>
      <x:c r="H231" t="inlineStr">
        <x:is>
          <x:t xml:space="preserve">Arcoxia 120 mg (5 tabs)</x:t>
        </x:is>
      </x:c>
      <x:c r="I231" t="inlineStr">
        <x:is>
          <x:t xml:space="preserve">รับประทานครั้งละ 1 เม็ด วันละ 1 ครั้ง หลังอาหารทันที</x:t>
        </x:is>
      </x:c>
      <x:c r="P231" t="inlineStr">
        <x:is>
          <x:t xml:space="preserve">NSAIDs (oral anti-inflammatory painkillers)</x:t>
        </x:is>
      </x:c>
    </x:row>
    <x:row r="232">
      <x:c r="A232" t="n">
        <x:v>230</x:v>
      </x:c>
      <x:c r="B232" t="inlineStr">
        <x:is>
          <x:t xml:space="preserve">ยาแก้ปวดอักเสบกลุ่ม NSAIDs (D)</x:t>
        </x:is>
      </x:c>
      <x:c r="C232" t="n">
        <x:v>1078</x:v>
      </x:c>
      <x:c r="D232" t="inlineStr">
        <x:is>
          <x:t xml:space="preserve">Arcoxia 60 mg</x:t>
        </x:is>
      </x:c>
      <x:c r="E232" t="inlineStr">
        <x:is>
          <x:t xml:space="preserve">แผง 5 เม็ด</x:t>
        </x:is>
      </x:c>
      <x:c r="F232" t="inlineStr">
        <x:is>
          <x:t xml:space="preserve">Etoricoxib 60 mg.</x:t>
        </x:is>
      </x:c>
      <x:c r="G232" t="inlineStr">
        <x:is>
          <x:t xml:space="preserve">BDS001078</x:t>
        </x:is>
      </x:c>
      <x:c r="H232" t="inlineStr">
        <x:is>
          <x:t xml:space="preserve">Arcoxia 60 mg (5 tabs)</x:t>
        </x:is>
      </x:c>
      <x:c r="I232" t="inlineStr">
        <x:is>
          <x:t xml:space="preserve">รับประทานครั้งละ 1 เม็ด วันละ 1 ครั้ง หลังอาหารทันที</x:t>
        </x:is>
      </x:c>
      <x:c r="P232" t="inlineStr">
        <x:is>
          <x:t xml:space="preserve">NSAIDs (oral anti-inflammatory painkillers)</x:t>
        </x:is>
      </x:c>
    </x:row>
    <x:row r="233">
      <x:c r="A233" t="n">
        <x:v>231</x:v>
      </x:c>
      <x:c r="B233" t="inlineStr">
        <x:is>
          <x:t xml:space="preserve">ยาแก้ปวดอักเสบกลุ่ม NSAIDs (D)</x:t>
        </x:is>
      </x:c>
      <x:c r="C233" t="n">
        <x:v>1075</x:v>
      </x:c>
      <x:c r="D233" t="inlineStr">
        <x:is>
          <x:t xml:space="preserve">Arcoxia 90 mg</x:t>
        </x:is>
      </x:c>
      <x:c r="E233" t="inlineStr">
        <x:is>
          <x:t xml:space="preserve">แผง 5 เม็ด</x:t>
        </x:is>
      </x:c>
      <x:c r="F233" t="inlineStr">
        <x:is>
          <x:t xml:space="preserve">Etoricoxib 90 mg.</x:t>
        </x:is>
      </x:c>
      <x:c r="G233" t="inlineStr">
        <x:is>
          <x:t xml:space="preserve">BDS001075</x:t>
        </x:is>
      </x:c>
      <x:c r="H233" t="inlineStr">
        <x:is>
          <x:t xml:space="preserve">Arcoxia 90 mg (5 tabs)</x:t>
        </x:is>
      </x:c>
      <x:c r="I233" t="inlineStr">
        <x:is>
          <x:t xml:space="preserve">รับประทานครั้งละ 1 เม็ด  วันละ 1 ครั้ง หลังอาหารทันที</x:t>
        </x:is>
      </x:c>
      <x:c r="P233" t="inlineStr">
        <x:is>
          <x:t xml:space="preserve">NSAIDs (oral anti-inflammatory painkillers)</x:t>
        </x:is>
      </x:c>
    </x:row>
    <x:row r="234">
      <x:c r="A234" t="n">
        <x:v>232</x:v>
      </x:c>
      <x:c r="B234" t="inlineStr">
        <x:is>
          <x:t xml:space="preserve">ยาแก้ปวดอักเสบกลุ่ม NSAIDs (D)</x:t>
        </x:is>
      </x:c>
      <x:c r="C234" t="n">
        <x:v>40616</x:v>
      </x:c>
      <x:c r="D234" t="inlineStr">
        <x:is>
          <x:t xml:space="preserve">Biocoxib 90 mg.</x:t>
        </x:is>
      </x:c>
      <x:c r="E234" t="inlineStr">
        <x:is>
          <x:t xml:space="preserve">แผง 5 เม็ด</x:t>
        </x:is>
      </x:c>
      <x:c r="F234" t="inlineStr">
        <x:is>
          <x:t xml:space="preserve">Etoricoxib 90 mg.</x:t>
        </x:is>
      </x:c>
      <x:c r="G234" t="inlineStr">
        <x:is>
          <x:t xml:space="preserve">BDS040616</x:t>
        </x:is>
      </x:c>
      <x:c r="H234" t="inlineStr">
        <x:is>
          <x:t xml:space="preserve">Biocoxib 90 mg. (5 tabs)</x:t>
        </x:is>
      </x:c>
      <x:c r="I234" t="inlineStr">
        <x:is>
          <x:t xml:space="preserve">รับประทานครั้งละ 1 เม็ด  วันละ 1 ครั้ง หลังอาหารทันที</x:t>
        </x:is>
      </x:c>
      <x:c r="P234" t="inlineStr">
        <x:is>
          <x:t xml:space="preserve">NSAIDs (oral anti-inflammatory painkillers)</x:t>
        </x:is>
      </x:c>
    </x:row>
    <x:row r="235">
      <x:c r="A235" t="n">
        <x:v>233</x:v>
      </x:c>
      <x:c r="B235" t="inlineStr">
        <x:is>
          <x:t xml:space="preserve">ยาแก้ปวดอักเสบกลุ่ม NSAIDs (D)</x:t>
        </x:is>
      </x:c>
      <x:c r="C235" t="n">
        <x:v>8116</x:v>
      </x:c>
      <x:c r="D235" t="inlineStr">
        <x:is>
          <x:t xml:space="preserve">Cambic 15</x:t>
        </x:is>
      </x:c>
      <x:c r="E235" t="inlineStr">
        <x:is>
          <x:t xml:space="preserve">แผง 10 เม็ด</x:t>
        </x:is>
      </x:c>
      <x:c r="F235" t="inlineStr">
        <x:is>
          <x:t xml:space="preserve">Meloxicam 15 mg.</x:t>
        </x:is>
      </x:c>
      <x:c r="G235" t="inlineStr">
        <x:is>
          <x:t xml:space="preserve">BDS008116</x:t>
        </x:is>
      </x:c>
      <x:c r="H235" t="inlineStr">
        <x:is>
          <x:t xml:space="preserve">Cambic 15 (10 tabs)</x:t>
        </x:is>
      </x:c>
      <x:c r="I235" t="inlineStr">
        <x:is>
          <x:t xml:space="preserve">รับประทานครั้งละ 1 เม็ด วันละ 1 ครั้ง หลังอาหารทันที</x:t>
        </x:is>
      </x:c>
      <x:c r="P235" t="inlineStr">
        <x:is>
          <x:t xml:space="preserve">NSAIDs (oral anti-inflammatory painkillers)</x:t>
        </x:is>
      </x:c>
    </x:row>
    <x:row r="236">
      <x:c r="A236" t="n">
        <x:v>234</x:v>
      </x:c>
      <x:c r="B236" t="inlineStr">
        <x:is>
          <x:t xml:space="preserve">ยาแก้ปวดอักเสบกลุ่ม NSAIDs (D)</x:t>
        </x:is>
      </x:c>
      <x:c r="C236" t="n">
        <x:v>41402</x:v>
      </x:c>
      <x:c r="D236" t="inlineStr">
        <x:is>
          <x:t xml:space="preserve">Cataflam 50 mg</x:t>
        </x:is>
      </x:c>
      <x:c r="E236" t="inlineStr">
        <x:is>
          <x:t xml:space="preserve">แผง 10 เม็ด</x:t>
        </x:is>
      </x:c>
      <x:c r="F236" t="inlineStr">
        <x:is>
          <x:t xml:space="preserve">Diclofenac Potassium 50 mg</x:t>
        </x:is>
      </x:c>
      <x:c r="G236" t="inlineStr">
        <x:is>
          <x:t xml:space="preserve">BDS041402</x:t>
        </x:is>
      </x:c>
      <x:c r="H236" t="inlineStr">
        <x:is>
          <x:t xml:space="preserve">Cataflam 50 mg (10 tabs)</x:t>
        </x:is>
      </x:c>
      <x:c r="I236" t="inlineStr">
        <x:is>
          <x:t xml:space="preserve">รับประทานครั้งละ 1 เม็ด วันละ 1-2 ครั้ง หลังอาหารทันที หรือตามแพทย์สั่ง</x:t>
        </x:is>
      </x:c>
      <x:c r="P236" t="inlineStr">
        <x:is>
          <x:t xml:space="preserve">NSAIDs (oral anti-inflammatory painkillers)</x:t>
        </x:is>
      </x:c>
    </x:row>
    <x:row r="237">
      <x:c r="A237" t="n">
        <x:v>235</x:v>
      </x:c>
      <x:c r="B237" t="inlineStr">
        <x:is>
          <x:t xml:space="preserve">ยาแก้ปวดอักเสบกลุ่ม NSAIDs (D)</x:t>
        </x:is>
      </x:c>
      <x:c r="C237" t="n">
        <x:v>7035</x:v>
      </x:c>
      <x:c r="D237" t="inlineStr">
        <x:is>
          <x:t xml:space="preserve">Catanac 50 mg</x:t>
        </x:is>
      </x:c>
      <x:c r="E237" t="inlineStr">
        <x:is>
          <x:t xml:space="preserve">แผง 10 เม็ด</x:t>
        </x:is>
      </x:c>
      <x:c r="F237" t="inlineStr">
        <x:is>
          <x:t xml:space="preserve">Diclofenac Potassium 50 mg.</x:t>
        </x:is>
      </x:c>
      <x:c r="G237" t="inlineStr">
        <x:is>
          <x:t xml:space="preserve">BDS007035</x:t>
        </x:is>
      </x:c>
      <x:c r="H237" t="inlineStr">
        <x:is>
          <x:t xml:space="preserve">Catanac 50 mg (10 tabs)</x:t>
        </x:is>
      </x:c>
      <x:c r="I237" t="inlineStr">
        <x:is>
          <x:t xml:space="preserve">รับประทานครั้งละ 1 เม็ด วันละ 3 ครั้ง หลังอาหารทันที</x:t>
        </x:is>
      </x:c>
      <x:c r="P237" t="inlineStr">
        <x:is>
          <x:t xml:space="preserve">NSAIDs (oral anti-inflammatory painkillers)</x:t>
        </x:is>
      </x:c>
    </x:row>
    <x:row r="238">
      <x:c r="A238" t="n">
        <x:v>236</x:v>
      </x:c>
      <x:c r="B238" t="inlineStr">
        <x:is>
          <x:t xml:space="preserve">ยาแก้ปวดอักเสบกลุ่ม NSAIDs (D)</x:t>
        </x:is>
      </x:c>
      <x:c r="C238" t="n">
        <x:v>1509</x:v>
      </x:c>
      <x:c r="D238" t="inlineStr">
        <x:is>
          <x:t xml:space="preserve">Celebrex 200 mg</x:t>
        </x:is>
      </x:c>
      <x:c r="E238" t="inlineStr">
        <x:is>
          <x:t xml:space="preserve">กล่อง 10 แคปซูล</x:t>
        </x:is>
      </x:c>
      <x:c r="F238" t="inlineStr">
        <x:is>
          <x:t xml:space="preserve">Celecoxib 200 mg.</x:t>
        </x:is>
      </x:c>
      <x:c r="G238" t="inlineStr">
        <x:is>
          <x:t xml:space="preserve">BDS001509</x:t>
        </x:is>
      </x:c>
      <x:c r="H238" t="inlineStr">
        <x:is>
          <x:t xml:space="preserve">Celebrex 200 mg (10 cap)</x:t>
        </x:is>
      </x:c>
      <x:c r="I238" t="inlineStr">
        <x:is>
          <x:t xml:space="preserve">รับประทานครั้งละ 1 แคปซูล วันละ 2 ครั้ง หลังอาหารทันที</x:t>
        </x:is>
      </x:c>
      <x:c r="P238" t="inlineStr">
        <x:is>
          <x:t xml:space="preserve">NSAIDs (oral anti-inflammatory painkillers)</x:t>
        </x:is>
      </x:c>
    </x:row>
    <x:row r="239">
      <x:c r="A239" t="n">
        <x:v>237</x:v>
      </x:c>
      <x:c r="B239" t="inlineStr">
        <x:is>
          <x:t xml:space="preserve">ยาแก้ปวดอักเสบกลุ่ม NSAIDs (D)</x:t>
        </x:is>
      </x:c>
      <x:c r="C239" t="n">
        <x:v>1507</x:v>
      </x:c>
      <x:c r="D239" t="inlineStr">
        <x:is>
          <x:t xml:space="preserve">Celebrex 400 mg</x:t>
        </x:is>
      </x:c>
      <x:c r="E239" t="inlineStr">
        <x:is>
          <x:t xml:space="preserve">กล่อง 10 แคปซูล</x:t>
        </x:is>
      </x:c>
      <x:c r="F239" t="inlineStr">
        <x:is>
          <x:t xml:space="preserve">Celecoxib 400 mg.</x:t>
        </x:is>
      </x:c>
      <x:c r="G239" t="inlineStr">
        <x:is>
          <x:t xml:space="preserve">BDS001507</x:t>
        </x:is>
      </x:c>
      <x:c r="H239" t="inlineStr">
        <x:is>
          <x:t xml:space="preserve">Celebrex 400 mg (10 cap)</x:t>
        </x:is>
      </x:c>
      <x:c r="I239" t="inlineStr">
        <x:is>
          <x:t xml:space="preserve">รับประทานครั้งละ 1 แคปซูล วันละ 1 ครั้ง หลังอาหารทันที</x:t>
        </x:is>
      </x:c>
      <x:c r="P239" t="inlineStr">
        <x:is>
          <x:t xml:space="preserve">NSAIDs (oral anti-inflammatory painkillers)</x:t>
        </x:is>
      </x:c>
    </x:row>
    <x:row r="240">
      <x:c r="A240" t="n">
        <x:v>238</x:v>
      </x:c>
      <x:c r="B240" t="inlineStr">
        <x:is>
          <x:t xml:space="preserve">ยาแก้ปวดอักเสบกลุ่ม NSAIDs (D)</x:t>
        </x:is>
      </x:c>
      <x:c r="C240" t="n">
        <x:v>1822</x:v>
      </x:c>
      <x:c r="D240" t="inlineStr">
        <x:is>
          <x:t xml:space="preserve">Dosanac 25</x:t>
        </x:is>
      </x:c>
      <x:c r="E240" t="inlineStr">
        <x:is>
          <x:t xml:space="preserve">กล่อง 10 เม็ด</x:t>
        </x:is>
      </x:c>
      <x:c r="F240" t="inlineStr">
        <x:is>
          <x:t xml:space="preserve">Diclofenac Sodium 25 mg.</x:t>
        </x:is>
      </x:c>
      <x:c r="G240" t="inlineStr">
        <x:is>
          <x:t xml:space="preserve">BDS001822</x:t>
        </x:is>
      </x:c>
      <x:c r="H240" t="inlineStr">
        <x:is>
          <x:t xml:space="preserve">Dosanac 25 (10 tabs)</x:t>
        </x:is>
      </x:c>
      <x:c r="I240" t="inlineStr">
        <x:is>
          <x:t xml:space="preserve">รับประทานครั้งละ 1-2 เม็ด วันละ 3 ครั้ง หลังอาหารทันที หรือตามแพทย์สั่ง</x:t>
        </x:is>
      </x:c>
      <x:c r="P240" t="inlineStr">
        <x:is>
          <x:t xml:space="preserve">NSAIDs (oral anti-inflammatory painkillers)</x:t>
        </x:is>
      </x:c>
    </x:row>
    <x:row r="241">
      <x:c r="A241" t="n">
        <x:v>239</x:v>
      </x:c>
      <x:c r="B241" t="inlineStr">
        <x:is>
          <x:t xml:space="preserve">ยาแก้ปวดอักเสบกลุ่ม NSAIDs (D)</x:t>
        </x:is>
      </x:c>
      <x:c r="C241" t="n">
        <x:v>1824</x:v>
      </x:c>
      <x:c r="D241" t="inlineStr">
        <x:is>
          <x:t xml:space="preserve">Dosanac 50</x:t>
        </x:is>
      </x:c>
      <x:c r="E241" t="inlineStr">
        <x:is>
          <x:t xml:space="preserve">กล่อง 10 เม็ด</x:t>
        </x:is>
      </x:c>
      <x:c r="F241" t="inlineStr">
        <x:is>
          <x:t xml:space="preserve">Diclofenac Sodium 50 mg.</x:t>
        </x:is>
      </x:c>
      <x:c r="G241" t="inlineStr">
        <x:is>
          <x:t xml:space="preserve">BDS001824</x:t>
        </x:is>
      </x:c>
      <x:c r="H241" t="inlineStr">
        <x:is>
          <x:t xml:space="preserve">Dosanac 50 (10 tabs)</x:t>
        </x:is>
      </x:c>
      <x:c r="I241" t="inlineStr">
        <x:is>
          <x:t xml:space="preserve">รับประทานครั้งละ 1 เม็ดวันละ 3 ครั้ง หลังอาหารทันที หรือตามแพทย์สั่ง</x:t>
        </x:is>
      </x:c>
      <x:c r="P241" t="inlineStr">
        <x:is>
          <x:t xml:space="preserve">NSAIDs (oral anti-inflammatory painkillers)</x:t>
        </x:is>
      </x:c>
    </x:row>
    <x:row r="242">
      <x:c r="A242" t="n">
        <x:v>240</x:v>
      </x:c>
      <x:c r="B242" t="inlineStr">
        <x:is>
          <x:t xml:space="preserve">ยาแก้ปวดอักเสบกลุ่ม NSAIDs (D)</x:t>
        </x:is>
      </x:c>
      <x:c r="C242" t="n">
        <x:v>42806</x:v>
      </x:c>
      <x:c r="D242" t="inlineStr">
        <x:is>
          <x:t xml:space="preserve">Eberil 120</x:t>
        </x:is>
      </x:c>
      <x:c r="E242" t="inlineStr">
        <x:is>
          <x:t xml:space="preserve">กล่อง 5 เม็ด</x:t>
        </x:is>
      </x:c>
      <x:c r="F242" t="inlineStr">
        <x:is>
          <x:t xml:space="preserve">Etoricoxib 120 mg.</x:t>
        </x:is>
      </x:c>
      <x:c r="G242" t="inlineStr">
        <x:is>
          <x:t xml:space="preserve">BDS042806</x:t>
        </x:is>
      </x:c>
      <x:c r="H242" t="inlineStr">
        <x:is>
          <x:t xml:space="preserve">Eberil 120 (5 tabs)</x:t>
        </x:is>
      </x:c>
      <x:c r="I242" t="inlineStr">
        <x:is>
          <x:t xml:space="preserve">รับประทานครั้งละ 1 เม็ด วันละ 1 ครั้ง หลังอาหารทันที</x:t>
        </x:is>
      </x:c>
      <x:c r="P242" t="inlineStr">
        <x:is>
          <x:t xml:space="preserve">NSAIDs (oral anti-inflammatory painkillers)</x:t>
        </x:is>
      </x:c>
    </x:row>
    <x:row r="243">
      <x:c r="A243" t="n">
        <x:v>241</x:v>
      </x:c>
      <x:c r="B243" t="inlineStr">
        <x:is>
          <x:t xml:space="preserve">ยาแก้ปวดอักเสบกลุ่ม NSAIDs (D)</x:t>
        </x:is>
      </x:c>
      <x:c r="C243" t="n">
        <x:v>8061</x:v>
      </x:c>
      <x:c r="D243" t="inlineStr">
        <x:is>
          <x:t xml:space="preserve">Felcam</x:t>
        </x:is>
      </x:c>
      <x:c r="E243" t="inlineStr">
        <x:is>
          <x:t xml:space="preserve">แผง 10 เม็ด</x:t>
        </x:is>
      </x:c>
      <x:c r="F243" t="inlineStr">
        <x:is>
          <x:t xml:space="preserve">Piroxicam 20 mg.</x:t>
        </x:is>
      </x:c>
      <x:c r="G243" t="inlineStr">
        <x:is>
          <x:t xml:space="preserve">BDS008061</x:t>
        </x:is>
      </x:c>
      <x:c r="H243" t="inlineStr">
        <x:is>
          <x:t xml:space="preserve">Felcam (10 tabs)</x:t>
        </x:is>
      </x:c>
      <x:c r="I243" t="inlineStr">
        <x:is>
          <x:t xml:space="preserve">รับประทานครั้งละ 1 เม็ด วันละ 1-2 ครั้ง หลังอาหารทันที</x:t>
        </x:is>
      </x:c>
      <x:c r="P243" t="inlineStr">
        <x:is>
          <x:t xml:space="preserve">NSAIDs (oral anti-inflammatory painkillers)</x:t>
        </x:is>
      </x:c>
    </x:row>
    <x:row r="244">
      <x:c r="A244" t="n">
        <x:v>242</x:v>
      </x:c>
      <x:c r="B244" t="inlineStr">
        <x:is>
          <x:t xml:space="preserve">ยาแก้ปวดอักเสบกลุ่ม NSAIDs (D)</x:t>
        </x:is>
      </x:c>
      <x:c r="C244" t="n">
        <x:v>7602</x:v>
      </x:c>
      <x:c r="D244" t="inlineStr">
        <x:is>
          <x:t xml:space="preserve">Felcam Capsule</x:t>
        </x:is>
      </x:c>
      <x:c r="E244" t="inlineStr">
        <x:is>
          <x:t xml:space="preserve">แผง 10 แคปซูล</x:t>
        </x:is>
      </x:c>
      <x:c r="F244" t="inlineStr">
        <x:is>
          <x:t xml:space="preserve">Piroxicam 10 mg.</x:t>
        </x:is>
      </x:c>
      <x:c r="G244" t="inlineStr">
        <x:is>
          <x:t xml:space="preserve">BDS007602</x:t>
        </x:is>
      </x:c>
      <x:c r="H244" t="inlineStr">
        <x:is>
          <x:t xml:space="preserve">Felcam Capsule (10 cap)</x:t>
        </x:is>
      </x:c>
      <x:c r="I244" t="inlineStr">
        <x:is>
          <x:t xml:space="preserve">รับประทานครั้งละ 1-2 แคปซูล วันละ 2 ครั้ง หลังอาหารทันที</x:t>
        </x:is>
      </x:c>
      <x:c r="P244" t="inlineStr">
        <x:is>
          <x:t xml:space="preserve">NSAIDs (oral anti-inflammatory painkillers)</x:t>
        </x:is>
      </x:c>
    </x:row>
    <x:row r="245">
      <x:c r="A245" t="n">
        <x:v>243</x:v>
      </x:c>
      <x:c r="B245" t="inlineStr">
        <x:is>
          <x:t xml:space="preserve">ยาแก้ปวดอักเสบกลุ่ม NSAIDs (D)</x:t>
        </x:is>
      </x:c>
      <x:c r="C245" t="n">
        <x:v>44250</x:v>
      </x:c>
      <x:c r="D245" t="inlineStr">
        <x:is>
          <x:t xml:space="preserve">Japrolox tabslets</x:t>
        </x:is>
      </x:c>
      <x:c r="E245" t="inlineStr">
        <x:is>
          <x:t xml:space="preserve">กล่อง 20 เม็ด</x:t>
        </x:is>
      </x:c>
      <x:c r="F245" t="inlineStr">
        <x:is>
          <x:t xml:space="preserve">Loxoprofen sodium 60 mg.</x:t>
        </x:is>
      </x:c>
      <x:c r="G245" t="inlineStr">
        <x:is>
          <x:t xml:space="preserve">BDS044250</x:t>
        </x:is>
      </x:c>
      <x:c r="H245" t="inlineStr">
        <x:is>
          <x:t xml:space="preserve">Japrolox tabslets (20 tabs)</x:t>
        </x:is>
      </x:c>
      <x:c r="I245" t="inlineStr">
        <x:is>
          <x:t xml:space="preserve">รับประทานครั้งละ 1 เม็ด วันละ 3 ครั้ง หลังอาหารทันที</x:t>
        </x:is>
      </x:c>
      <x:c r="P245" t="inlineStr">
        <x:is>
          <x:t xml:space="preserve">NSAIDs (oral anti-inflammatory painkillers)</x:t>
        </x:is>
      </x:c>
    </x:row>
    <x:row r="246">
      <x:c r="A246" t="n">
        <x:v>244</x:v>
      </x:c>
      <x:c r="B246" t="inlineStr">
        <x:is>
          <x:t xml:space="preserve">ยาแก้ปวดอักเสบกลุ่ม NSAIDs (D)</x:t>
        </x:is>
      </x:c>
      <x:c r="C246" t="n">
        <x:v>44900</x:v>
      </x:c>
      <x:c r="D246" t="inlineStr">
        <x:is>
          <x:t xml:space="preserve">Mefamed 500</x:t>
        </x:is>
      </x:c>
      <x:c r="E246" t="inlineStr">
        <x:is>
          <x:t xml:space="preserve">แผง 10 เม็ด</x:t>
        </x:is>
      </x:c>
      <x:c r="F246" t="inlineStr">
        <x:is>
          <x:t xml:space="preserve">Mefenamic acid 500 mg.</x:t>
        </x:is>
      </x:c>
      <x:c r="G246" t="inlineStr">
        <x:is>
          <x:t xml:space="preserve">BDS044900</x:t>
        </x:is>
      </x:c>
      <x:c r="H246" t="inlineStr">
        <x:is>
          <x:t xml:space="preserve">Mefamed 500 (10 tabs)</x:t>
        </x:is>
      </x:c>
      <x:c r="I246" t="inlineStr">
        <x:is>
          <x:t xml:space="preserve">รับประทานครั้งละ 1 เม็ด วันละ 3 ครั้ง หลังอาหารทันที </x:t>
        </x:is>
      </x:c>
      <x:c r="P246" t="inlineStr">
        <x:is>
          <x:t xml:space="preserve">NSAIDs (oral anti-inflammatory painkillers)</x:t>
        </x:is>
      </x:c>
    </x:row>
    <x:row r="247">
      <x:c r="A247" t="n">
        <x:v>245</x:v>
      </x:c>
      <x:c r="B247" t="inlineStr">
        <x:is>
          <x:t xml:space="preserve">ยาแก้ปวดอักเสบกลุ่ม NSAIDs (D)</x:t>
        </x:is>
      </x:c>
      <x:c r="C247" t="n">
        <x:v>2669</x:v>
      </x:c>
      <x:c r="D247" t="inlineStr">
        <x:is>
          <x:t xml:space="preserve">Melcam</x:t>
        </x:is>
      </x:c>
      <x:c r="E247" t="inlineStr">
        <x:is>
          <x:t xml:space="preserve">แผง 10 เม็ด</x:t>
        </x:is>
      </x:c>
      <x:c r="F247" t="inlineStr">
        <x:is>
          <x:t xml:space="preserve">Meloxicam 7.5 mg.</x:t>
        </x:is>
      </x:c>
      <x:c r="G247" t="inlineStr">
        <x:is>
          <x:t xml:space="preserve">BDS002669</x:t>
        </x:is>
      </x:c>
      <x:c r="H247" t="inlineStr">
        <x:is>
          <x:t xml:space="preserve">Melcam (10 tabs)</x:t>
        </x:is>
      </x:c>
      <x:c r="I247" t="inlineStr">
        <x:is>
          <x:t xml:space="preserve">รับประทานครั้งละ 1 เม็ด  วันละ 1-2 ครั้ง หลังอาหารทันที</x:t>
        </x:is>
      </x:c>
      <x:c r="P247" t="inlineStr">
        <x:is>
          <x:t xml:space="preserve">NSAIDs (oral anti-inflammatory painkillers)</x:t>
        </x:is>
      </x:c>
    </x:row>
    <x:row r="248">
      <x:c r="A248" t="n">
        <x:v>246</x:v>
      </x:c>
      <x:c r="B248" t="inlineStr">
        <x:is>
          <x:t xml:space="preserve">ยาแก้ปวดอักเสบกลุ่ม NSAIDs (D)</x:t>
        </x:is>
      </x:c>
      <x:c r="C248" t="n">
        <x:v>44909</x:v>
      </x:c>
      <x:c r="D248" t="inlineStr">
        <x:is>
          <x:t xml:space="preserve">Meomic 500 </x:t>
        </x:is>
      </x:c>
      <x:c r="E248" t="inlineStr">
        <x:is>
          <x:t xml:space="preserve">แผง 10 เม็ด</x:t>
        </x:is>
      </x:c>
      <x:c r="F248" t="inlineStr">
        <x:is>
          <x:t xml:space="preserve">Mefenamic acid 500 mg.</x:t>
        </x:is>
      </x:c>
      <x:c r="G248" t="inlineStr">
        <x:is>
          <x:t xml:space="preserve">BDS044909</x:t>
        </x:is>
      </x:c>
      <x:c r="H248" t="inlineStr">
        <x:is>
          <x:t xml:space="preserve">Meomic 500  (10 tabs)</x:t>
        </x:is>
      </x:c>
      <x:c r="I248" t="inlineStr">
        <x:is>
          <x:t xml:space="preserve">รับประทานครั้งละ 1 เม็ด วันละ 3 ครั้ง หลังอาหารทันที </x:t>
        </x:is>
      </x:c>
      <x:c r="P248" t="inlineStr">
        <x:is>
          <x:t xml:space="preserve">NSAIDs (oral anti-inflammatory painkillers)</x:t>
        </x:is>
      </x:c>
    </x:row>
    <x:row r="249">
      <x:c r="A249" t="n">
        <x:v>247</x:v>
      </x:c>
      <x:c r="B249" t="inlineStr">
        <x:is>
          <x:t xml:space="preserve">ยาแก้ปวดอักเสบกลุ่ม NSAIDs (D)</x:t>
        </x:is>
      </x:c>
      <x:c r="C249" t="n">
        <x:v>2642</x:v>
      </x:c>
      <x:c r="D249" t="inlineStr">
        <x:is>
          <x:t xml:space="preserve">Mobic 7.5 mg</x:t>
        </x:is>
      </x:c>
      <x:c r="E249" t="inlineStr">
        <x:is>
          <x:t xml:space="preserve">แผง 10  เม็ด</x:t>
        </x:is>
      </x:c>
      <x:c r="F249" t="inlineStr">
        <x:is>
          <x:t xml:space="preserve">Meloxicam 7.5 mg.</x:t>
        </x:is>
      </x:c>
      <x:c r="G249" t="inlineStr">
        <x:is>
          <x:t xml:space="preserve">BDS002642</x:t>
        </x:is>
      </x:c>
      <x:c r="H249" t="inlineStr">
        <x:is>
          <x:t xml:space="preserve">Mobic 7.5 mg (10 tabs)</x:t>
        </x:is>
      </x:c>
      <x:c r="I249" t="inlineStr">
        <x:is>
          <x:t xml:space="preserve">รับประทานครั้งละ 1-2 เม็ด วันละ 1-2 ครั้ง หลังอาหารทันที</x:t>
        </x:is>
      </x:c>
      <x:c r="P249" t="inlineStr">
        <x:is>
          <x:t xml:space="preserve">NSAIDs (oral anti-inflammatory painkillers)</x:t>
        </x:is>
      </x:c>
    </x:row>
    <x:row r="250">
      <x:c r="A250" t="n">
        <x:v>248</x:v>
      </x:c>
      <x:c r="B250" t="inlineStr">
        <x:is>
          <x:t xml:space="preserve">ยาแก้ปวดอักเสบกลุ่ม NSAIDs (D)</x:t>
        </x:is>
      </x:c>
      <x:c r="C250" t="n">
        <x:v>45624</x:v>
      </x:c>
      <x:c r="D250" t="inlineStr">
        <x:is>
          <x:t xml:space="preserve">Naprofazt</x:t>
        </x:is>
      </x:c>
      <x:c r="E250" t="inlineStr">
        <x:is>
          <x:t xml:space="preserve">แผง 10 แคปซูล</x:t>
        </x:is>
      </x:c>
      <x:c r="F250" t="inlineStr">
        <x:is>
          <x:t xml:space="preserve">Naproxen (as Naproxen Sodium) 250 mg.</x:t>
        </x:is>
      </x:c>
      <x:c r="G250" t="inlineStr">
        <x:is>
          <x:t xml:space="preserve">BDS045624</x:t>
        </x:is>
      </x:c>
      <x:c r="H250" t="inlineStr">
        <x:is>
          <x:t xml:space="preserve">Naprofazt (10 cap)</x:t>
        </x:is>
      </x:c>
      <x:c r="I250" t="inlineStr">
        <x:is>
          <x:t xml:space="preserve">รับประทานครั้งละ 1 แคปซูล วันละ 2 ครั้ง หลังอาหารทันที</x:t>
        </x:is>
      </x:c>
      <x:c r="P250" t="inlineStr">
        <x:is>
          <x:t xml:space="preserve">NSAIDs (oral anti-inflammatory painkillers)</x:t>
        </x:is>
      </x:c>
    </x:row>
    <x:row r="251">
      <x:c r="A251" t="n">
        <x:v>249</x:v>
      </x:c>
      <x:c r="B251" t="inlineStr">
        <x:is>
          <x:t xml:space="preserve">ยาแก้ปวดอักเสบกลุ่ม NSAIDs (D)</x:t>
        </x:is>
      </x:c>
      <x:c r="C251" t="n">
        <x:v>7214</x:v>
      </x:c>
      <x:c r="D251" t="inlineStr">
        <x:is>
          <x:t xml:space="preserve">Naproflex</x:t>
        </x:is>
      </x:c>
      <x:c r="E251" t="inlineStr">
        <x:is>
          <x:t xml:space="preserve">แผง 6 เม็ด</x:t>
        </x:is>
      </x:c>
      <x:c r="F251" t="inlineStr">
        <x:is>
          <x:t xml:space="preserve">Naproxen sodium 275 mg.</x:t>
        </x:is>
      </x:c>
      <x:c r="G251" t="inlineStr">
        <x:is>
          <x:t xml:space="preserve">BDS007214</x:t>
        </x:is>
      </x:c>
      <x:c r="H251" t="inlineStr">
        <x:is>
          <x:t xml:space="preserve">Naproflex (6 tabs)</x:t>
        </x:is>
      </x:c>
      <x:c r="I251" t="inlineStr">
        <x:is>
          <x:t xml:space="preserve">รับประทานครั้งละ 1 เม็ด วันละ 2 ครั้ง หลังอาหารทันที</x:t>
        </x:is>
      </x:c>
      <x:c r="P251" t="inlineStr">
        <x:is>
          <x:t xml:space="preserve">NSAIDs (oral anti-inflammatory painkillers)</x:t>
        </x:is>
      </x:c>
    </x:row>
    <x:row r="252">
      <x:c r="A252" t="n">
        <x:v>250</x:v>
      </x:c>
      <x:c r="B252" t="inlineStr">
        <x:is>
          <x:t xml:space="preserve">ยาแก้ปวดอักเสบกลุ่ม NSAIDs (D)</x:t>
        </x:is>
      </x:c>
      <x:c r="C252" t="n">
        <x:v>7576</x:v>
      </x:c>
      <x:c r="D252" t="inlineStr">
        <x:is>
          <x:t xml:space="preserve">Naprosian</x:t>
        </x:is>
      </x:c>
      <x:c r="E252" t="inlineStr">
        <x:is>
          <x:t xml:space="preserve">แผง 10 เม็ด</x:t>
        </x:is>
      </x:c>
      <x:c r="F252" t="inlineStr">
        <x:is>
          <x:t xml:space="preserve">Naproxen 250 mg.</x:t>
        </x:is>
      </x:c>
      <x:c r="G252" t="inlineStr">
        <x:is>
          <x:t xml:space="preserve">BDS007576</x:t>
        </x:is>
      </x:c>
      <x:c r="H252" t="inlineStr">
        <x:is>
          <x:t xml:space="preserve">Naprosian (10 tabs)</x:t>
        </x:is>
      </x:c>
      <x:c r="I252" t="inlineStr">
        <x:is>
          <x:t xml:space="preserve">รับประทานครั้งละ 1 เม็ด วันละ 2 ครั้ง หลังอาหารทันที</x:t>
        </x:is>
      </x:c>
      <x:c r="P252" t="inlineStr">
        <x:is>
          <x:t xml:space="preserve">NSAIDs (oral anti-inflammatory painkillers)</x:t>
        </x:is>
      </x:c>
    </x:row>
    <x:row r="253">
      <x:c r="A253" t="n">
        <x:v>251</x:v>
      </x:c>
      <x:c r="B253" t="inlineStr">
        <x:is>
          <x:t xml:space="preserve">ยาแก้ปวดอักเสบกลุ่ม NSAIDs (D)</x:t>
        </x:is>
      </x:c>
      <x:c r="C253" t="n">
        <x:v>3422</x:v>
      </x:c>
      <x:c r="D253" t="inlineStr">
        <x:is>
          <x:t xml:space="preserve">Pircam 20 mg</x:t>
        </x:is>
      </x:c>
      <x:c r="E253" t="inlineStr">
        <x:is>
          <x:t xml:space="preserve">แผง 10 แคปซูล</x:t>
        </x:is>
      </x:c>
      <x:c r="F253" t="inlineStr">
        <x:is>
          <x:t xml:space="preserve">Piroxicam 20 mg.</x:t>
        </x:is>
      </x:c>
      <x:c r="G253" t="inlineStr">
        <x:is>
          <x:t xml:space="preserve">BDS003422</x:t>
        </x:is>
      </x:c>
      <x:c r="H253" t="inlineStr">
        <x:is>
          <x:t xml:space="preserve">Pircam 20 mg (10 cap)</x:t>
        </x:is>
      </x:c>
      <x:c r="I253" t="inlineStr">
        <x:is>
          <x:t xml:space="preserve">รับประทานครั้งละ 1 แคปซูล วันละ 2 ครั้ง หลังอาหารทันที</x:t>
        </x:is>
      </x:c>
      <x:c r="P253" t="inlineStr">
        <x:is>
          <x:t xml:space="preserve">NSAIDs (oral anti-inflammatory painkillers)</x:t>
        </x:is>
      </x:c>
    </x:row>
    <x:row r="254">
      <x:c r="A254" t="n">
        <x:v>252</x:v>
      </x:c>
      <x:c r="B254" t="inlineStr">
        <x:is>
          <x:t xml:space="preserve">ยาแก้ปวดอักเสบกลุ่ม NSAIDs (D)</x:t>
        </x:is>
      </x:c>
      <x:c r="C254" t="n">
        <x:v>3131</x:v>
      </x:c>
      <x:c r="D254" t="inlineStr">
        <x:is>
          <x:t xml:space="preserve">Ponstan 500 mg</x:t>
        </x:is>
      </x:c>
      <x:c r="E254" t="inlineStr">
        <x:is>
          <x:t xml:space="preserve">แผง 10 เม็ด</x:t>
        </x:is>
      </x:c>
      <x:c r="F254" t="inlineStr">
        <x:is>
          <x:t xml:space="preserve">Mefenamic acid 500 mg.</x:t>
        </x:is>
      </x:c>
      <x:c r="G254" t="inlineStr">
        <x:is>
          <x:t xml:space="preserve">BDS003131</x:t>
        </x:is>
      </x:c>
      <x:c r="H254" t="inlineStr">
        <x:is>
          <x:t xml:space="preserve">Ponstan 500 mg (10 tabs)</x:t>
        </x:is>
      </x:c>
      <x:c r="I254" t="inlineStr">
        <x:is>
          <x:t xml:space="preserve">รับประทานครั้งละ 1 เม็ด วันละ 3 ครั้ง หลังอาหารทันที</x:t>
        </x:is>
      </x:c>
      <x:c r="P254" t="inlineStr">
        <x:is>
          <x:t xml:space="preserve">NSAIDs (oral anti-inflammatory painkillers)</x:t>
        </x:is>
      </x:c>
    </x:row>
    <x:row r="255">
      <x:c r="A255" t="n">
        <x:v>253</x:v>
      </x:c>
      <x:c r="B255" t="inlineStr">
        <x:is>
          <x:t xml:space="preserve">ยาแก้ปวดอักเสบกลุ่ม NSAIDs (D)</x:t>
        </x:is>
      </x:c>
      <x:c r="C255" t="n">
        <x:v>47654</x:v>
      </x:c>
      <x:c r="D255" t="inlineStr">
        <x:is>
          <x:t xml:space="preserve">Soproxen</x:t>
        </x:is>
      </x:c>
      <x:c r="E255" t="inlineStr">
        <x:is>
          <x:t xml:space="preserve">แผง 10 เม็ด</x:t>
        </x:is>
      </x:c>
      <x:c r="F255" t="inlineStr">
        <x:is>
          <x:t xml:space="preserve">Naproxen sodium 275 mg. (eq. to Naproxen 250 mg.)</x:t>
        </x:is>
      </x:c>
      <x:c r="G255" t="inlineStr">
        <x:is>
          <x:t xml:space="preserve">BDS047654</x:t>
        </x:is>
      </x:c>
      <x:c r="H255" t="inlineStr">
        <x:is>
          <x:t xml:space="preserve">Soproxen (10 tabs)</x:t>
        </x:is>
      </x:c>
      <x:c r="I255" t="inlineStr">
        <x:is>
          <x:t xml:space="preserve">รับประทานครั้งละ 1 เม็ด วันละ 2 ครั้ง หลังอาหารทันที</x:t>
        </x:is>
      </x:c>
      <x:c r="P255" t="inlineStr">
        <x:is>
          <x:t xml:space="preserve">NSAIDs (oral anti-inflammatory painkillers)</x:t>
        </x:is>
      </x:c>
    </x:row>
    <x:row r="256">
      <x:c r="A256" t="n">
        <x:v>254</x:v>
      </x:c>
      <x:c r="B256" t="inlineStr">
        <x:is>
          <x:t xml:space="preserve">ยาแก้ปวดอักเสบกลุ่ม NSAIDs (D)</x:t>
        </x:is>
      </x:c>
      <x:c r="C256" t="n">
        <x:v>3581</x:v>
      </x:c>
      <x:c r="D256" t="inlineStr">
        <x:is>
          <x:t xml:space="preserve">S-Pro 600</x:t>
        </x:is>
      </x:c>
      <x:c r="E256" t="inlineStr">
        <x:is>
          <x:t xml:space="preserve">แผง 10 เม็ด</x:t>
        </x:is>
      </x:c>
      <x:c r="F256" t="inlineStr">
        <x:is>
          <x:t xml:space="preserve">Ibuprofen 600 mg.</x:t>
        </x:is>
      </x:c>
      <x:c r="G256" t="inlineStr">
        <x:is>
          <x:t xml:space="preserve">BDS003581</x:t>
        </x:is>
      </x:c>
      <x:c r="H256" t="inlineStr">
        <x:is>
          <x:t xml:space="preserve">S-Pro 600 (10 tabs)</x:t>
        </x:is>
      </x:c>
      <x:c r="I256" t="inlineStr">
        <x:is>
          <x:t xml:space="preserve">รับประทานครั้งละ 1 เม็ด ทุก 6 ชั่วโมง เมื่อมีอาการ</x:t>
        </x:is>
      </x:c>
      <x:c r="P256" t="inlineStr">
        <x:is>
          <x:t xml:space="preserve">NSAIDs (oral anti-inflammatory painkillers)</x:t>
        </x:is>
      </x:c>
    </x:row>
    <x:row r="257">
      <x:c r="A257" t="n">
        <x:v>255</x:v>
      </x:c>
      <x:c r="B257" t="inlineStr">
        <x:is>
          <x:t xml:space="preserve">ยาแก้ปวดอักเสบกลุ่ม NSAIDs (D)</x:t>
        </x:is>
      </x:c>
      <x:c r="C257" t="n">
        <x:v>3599</x:v>
      </x:c>
      <x:c r="D257" t="inlineStr">
        <x:is>
          <x:t xml:space="preserve">Subsyde-CR</x:t>
        </x:is>
      </x:c>
      <x:c r="E257" t="inlineStr">
        <x:is>
          <x:t xml:space="preserve">แผง 10 แคปซูล</x:t>
        </x:is>
      </x:c>
      <x:c r="F257" t="inlineStr">
        <x:is>
          <x:t xml:space="preserve">Diclofenac Sodium 100 mg. (Controlled Release cap)</x:t>
        </x:is>
      </x:c>
      <x:c r="G257" t="inlineStr">
        <x:is>
          <x:t xml:space="preserve">BDS003599</x:t>
        </x:is>
      </x:c>
      <x:c r="H257" t="inlineStr">
        <x:is>
          <x:t xml:space="preserve">Subsyde-CR (10 cap)</x:t>
        </x:is>
      </x:c>
      <x:c r="I257" t="inlineStr">
        <x:is>
          <x:t xml:space="preserve">รับประทานครั้งละ 1 แคปซูล วันละ 1 ครั้ง หลังอาหารทันที</x:t>
        </x:is>
      </x:c>
      <x:c r="P257" t="inlineStr">
        <x:is>
          <x:t xml:space="preserve">NSAIDs (oral anti-inflammatory painkillers)</x:t>
        </x:is>
      </x:c>
    </x:row>
    <x:row r="258">
      <x:c r="A258" t="n">
        <x:v>256</x:v>
      </x:c>
      <x:c r="B258" t="inlineStr">
        <x:is>
          <x:t xml:space="preserve">ยาแก้ปวดอักเสบกลุ่ม NSAIDs (D)</x:t>
        </x:is>
      </x:c>
      <x:c r="C258" t="n">
        <x:v>3568</x:v>
      </x:c>
      <x:c r="D258" t="inlineStr">
        <x:is>
          <x:t xml:space="preserve">Synflex</x:t>
        </x:is>
      </x:c>
      <x:c r="E258" t="inlineStr">
        <x:is>
          <x:t xml:space="preserve">แผง 6 เม็ด</x:t>
        </x:is>
      </x:c>
      <x:c r="F258" t="inlineStr">
        <x:is>
          <x:t xml:space="preserve">Naproxen sodium 275 mg.</x:t>
        </x:is>
      </x:c>
      <x:c r="G258" t="inlineStr">
        <x:is>
          <x:t xml:space="preserve">BDS003568</x:t>
        </x:is>
      </x:c>
      <x:c r="H258" t="inlineStr">
        <x:is>
          <x:t xml:space="preserve">Synflex (6 tabs)</x:t>
        </x:is>
      </x:c>
      <x:c r="I258" t="inlineStr">
        <x:is>
          <x:t xml:space="preserve">รับประทานครั้งละ 1 เม็ด วันละ 2 ครั้ง หลังอาหารทันที </x:t>
        </x:is>
      </x:c>
      <x:c r="P258" t="inlineStr">
        <x:is>
          <x:t xml:space="preserve">NSAIDs (oral anti-inflammatory painkillers)</x:t>
        </x:is>
      </x:c>
    </x:row>
    <x:row r="259">
      <x:c r="A259" t="n">
        <x:v>257</x:v>
      </x:c>
      <x:c r="B259" t="inlineStr">
        <x:is>
          <x:t xml:space="preserve">ยาแก้ปวดอักเสบกลุ่ม NSAIDs (D)</x:t>
        </x:is>
      </x:c>
      <x:c r="C259" t="n">
        <x:v>49251</x:v>
      </x:c>
      <x:c r="D259" t="inlineStr">
        <x:is>
          <x:t xml:space="preserve">Voltaren SR 100 mg</x:t>
        </x:is>
      </x:c>
      <x:c r="E259" t="inlineStr">
        <x:is>
          <x:t xml:space="preserve">แผง 10 เม็ด</x:t>
        </x:is>
      </x:c>
      <x:c r="F259" t="inlineStr">
        <x:is>
          <x:t xml:space="preserve">Diclofenac Sodium 100 mg.</x:t>
        </x:is>
      </x:c>
      <x:c r="G259" t="inlineStr">
        <x:is>
          <x:t xml:space="preserve">BDS049251</x:t>
        </x:is>
      </x:c>
      <x:c r="H259" t="inlineStr">
        <x:is>
          <x:t xml:space="preserve">Voltaren SR 100 mg (10 tabs)</x:t>
        </x:is>
      </x:c>
      <x:c r="I259" t="inlineStr">
        <x:is>
          <x:t xml:space="preserve">รับประทานครั้งละ 1 เม็ด วันละ 1 ครั้ง หลังอาหารทันที</x:t>
        </x:is>
      </x:c>
      <x:c r="P259" t="inlineStr">
        <x:is>
          <x:t xml:space="preserve">NSAIDs (oral anti-inflammatory painkillers)</x:t>
        </x:is>
      </x:c>
    </x:row>
    <x:row r="260">
      <x:c r="A260" t="n">
        <x:v>258</x:v>
      </x:c>
      <x:c r="B260" t="inlineStr">
        <x:is>
          <x:t xml:space="preserve">ยาแก้ปวดอักเสบกลุ่ม NSAIDs (D)</x:t>
        </x:is>
      </x:c>
      <x:c r="C260" t="n">
        <x:v>4052</x:v>
      </x:c>
      <x:c r="D260" t="inlineStr">
        <x:is>
          <x:t xml:space="preserve">Voltaren SR 75 mg</x:t>
        </x:is>
      </x:c>
      <x:c r="E260" t="inlineStr">
        <x:is>
          <x:t xml:space="preserve">แผง 10 เม็ด</x:t>
        </x:is>
      </x:c>
      <x:c r="F260" t="inlineStr">
        <x:is>
          <x:t xml:space="preserve">Diclofenac Sodium 75 mg.</x:t>
        </x:is>
      </x:c>
      <x:c r="G260" t="inlineStr">
        <x:is>
          <x:t xml:space="preserve">BDS004052</x:t>
        </x:is>
      </x:c>
      <x:c r="H260" t="inlineStr">
        <x:is>
          <x:t xml:space="preserve">Voltaren SR 75 mg (10 tabs)</x:t>
        </x:is>
      </x:c>
      <x:c r="I260" t="inlineStr">
        <x:is>
          <x:t xml:space="preserve">รับประทานครั้งละ 1-2 เม็ด วันละ 1 ครั้ง หลังอาหารทันที</x:t>
        </x:is>
      </x:c>
      <x:c r="P260" t="inlineStr">
        <x:is>
          <x:t xml:space="preserve">NSAIDs (oral anti-inflammatory painkillers)</x:t>
        </x:is>
      </x:c>
    </x:row>
    <x:row r="261">
      <x:c r="A261" t="n">
        <x:v>259</x:v>
      </x:c>
      <x:c r="B261" t="inlineStr">
        <x:is>
          <x:t xml:space="preserve">ยาแก้ปวดอักเสบกลุ่ม NSAIDs (D)</x:t>
        </x:is>
      </x:c>
      <x:c r="C261" t="n">
        <x:v>4041</x:v>
      </x:c>
      <x:c r="D261" t="inlineStr">
        <x:is>
          <x:t xml:space="preserve">Voltaren-25</x:t>
        </x:is>
      </x:c>
      <x:c r="E261" t="inlineStr">
        <x:is>
          <x:t xml:space="preserve">แผง 10 เม็ด</x:t>
        </x:is>
      </x:c>
      <x:c r="F261" t="inlineStr">
        <x:is>
          <x:t xml:space="preserve">Diclofenac Sodium 25 mg.</x:t>
        </x:is>
      </x:c>
      <x:c r="G261" t="inlineStr">
        <x:is>
          <x:t xml:space="preserve">BDS004041</x:t>
        </x:is>
      </x:c>
      <x:c r="H261" t="inlineStr">
        <x:is>
          <x:t xml:space="preserve">Voltaren-25 (10 tabs)</x:t>
        </x:is>
      </x:c>
      <x:c r="I261" t="inlineStr">
        <x:is>
          <x:t xml:space="preserve">รับประทานครั้งละ 1-2 เม็ด วันละ 3 ครั้ง หลังอาหารทันที</x:t>
        </x:is>
      </x:c>
      <x:c r="P261" t="inlineStr">
        <x:is>
          <x:t xml:space="preserve">NSAIDs (oral anti-inflammatory painkillers)</x:t>
        </x:is>
      </x:c>
    </x:row>
    <x:row r="262">
      <x:c r="A262" t="n">
        <x:v>260</x:v>
      </x:c>
      <x:c r="B262" t="inlineStr">
        <x:is>
          <x:t xml:space="preserve">ยาแก้ปวดอักเสบกลุ่ม NSAIDs (D)</x:t>
        </x:is>
      </x:c>
      <x:c r="C262" t="n">
        <x:v>49777</x:v>
      </x:c>
      <x:c r="D262" t="inlineStr">
        <x:is>
          <x:t xml:space="preserve">Zobrex</x:t>
        </x:is>
      </x:c>
      <x:c r="E262" t="inlineStr">
        <x:is>
          <x:t xml:space="preserve">กล่อง 10 แคปซูล</x:t>
        </x:is>
      </x:c>
      <x:c r="F262" t="inlineStr">
        <x:is>
          <x:t xml:space="preserve">Celecoxib 200 mg.</x:t>
        </x:is>
      </x:c>
      <x:c r="G262" t="inlineStr">
        <x:is>
          <x:t xml:space="preserve">BDS049777</x:t>
        </x:is>
      </x:c>
      <x:c r="H262" t="inlineStr">
        <x:is>
          <x:t xml:space="preserve">Zobrex (10 cap)</x:t>
        </x:is>
      </x:c>
      <x:c r="I262" t="inlineStr">
        <x:is>
          <x:t xml:space="preserve">รับประทานครั้งละ 1-2 แคปซูล วันละ 1 ครั้ง หลังอาหารทันที หรือตามแพทย์สั่ง </x:t>
        </x:is>
      </x:c>
      <x:c r="P262" t="inlineStr">
        <x:is>
          <x:t xml:space="preserve">NSAIDs (oral anti-inflammatory painkillers)</x:t>
        </x:is>
      </x:c>
    </x:row>
    <x:row r="263">
      <x:c r="A263" t="n">
        <x:v>261</x:v>
      </x:c>
      <x:c r="B263" t="inlineStr">
        <x:is>
          <x:t xml:space="preserve">ยาแก้ท้องเสีย (D)</x:t>
        </x:is>
      </x:c>
      <x:c r="C263" t="n">
        <x:v>1248</x:v>
      </x:c>
      <x:c r="D263" t="inlineStr">
        <x:is>
          <x:t xml:space="preserve">Bioflor</x:t>
        </x:is>
      </x:c>
      <x:c r="E263" t="inlineStr">
        <x:is>
          <x:t xml:space="preserve">ซอง</x:t>
        </x:is>
      </x:c>
      <x:c r="F263" t="inlineStr">
        <x:is>
          <x:t xml:space="preserve">Lyophilized Saccharomyces boulardii 250 mg.</x:t>
        </x:is>
      </x:c>
      <x:c r="G263" t="inlineStr">
        <x:is>
          <x:t xml:space="preserve">BDS001248</x:t>
        </x:is>
      </x:c>
      <x:c r="H263" t="inlineStr">
        <x:is>
          <x:t xml:space="preserve">Bioflor (1 sachet)</x:t>
        </x:is>
      </x:c>
      <x:c r="I263" t="inlineStr">
        <x:is>
          <x:t xml:space="preserve">รับประทานครั้งละ 1 ซอง วันละ 2 ครั้ง</x:t>
        </x:is>
      </x:c>
    </x:row>
    <x:row r="264">
      <x:c r="A264" t="n">
        <x:v>262</x:v>
      </x:c>
      <x:c r="B264" t="inlineStr">
        <x:is>
          <x:t xml:space="preserve">ยาแก้ท้องเสีย (D)</x:t>
        </x:is>
      </x:c>
      <x:c r="C264" t="n">
        <x:v>1233</x:v>
      </x:c>
      <x:c r="D264" t="inlineStr">
        <x:is>
          <x:t xml:space="preserve">Bioflor Capsule</x:t>
        </x:is>
      </x:c>
      <x:c r="E264" t="inlineStr">
        <x:is>
          <x:t xml:space="preserve">แผง 5 แคปซูล</x:t>
        </x:is>
      </x:c>
      <x:c r="F264" t="inlineStr">
        <x:is>
          <x:t xml:space="preserve">Lyophilized Saccharomyces boulardii 250 mg.</x:t>
        </x:is>
      </x:c>
      <x:c r="G264" t="inlineStr">
        <x:is>
          <x:t xml:space="preserve">BDS001233</x:t>
        </x:is>
      </x:c>
      <x:c r="H264" t="inlineStr">
        <x:is>
          <x:t xml:space="preserve">Bioflor Capsule (5 cap)</x:t>
        </x:is>
      </x:c>
      <x:c r="I264" t="inlineStr">
        <x:is>
          <x:t xml:space="preserve">รับประทานครั้งละ 1-2 แคปซูล วันละ 1-2 ครั้ง</x:t>
        </x:is>
      </x:c>
    </x:row>
    <x:row r="265">
      <x:c r="A265" t="n">
        <x:v>263</x:v>
      </x:c>
      <x:c r="B265" t="inlineStr">
        <x:is>
          <x:t xml:space="preserve">ยาแก้ท้องเสีย (D)</x:t>
        </x:is>
      </x:c>
      <x:c r="C265" t="n">
        <x:v>42802</x:v>
      </x:c>
      <x:c r="D265" t="inlineStr">
        <x:is>
          <x:t xml:space="preserve">Erfuzide cap</x:t>
        </x:is>
      </x:c>
      <x:c r="E265" t="inlineStr">
        <x:is>
          <x:t xml:space="preserve">แผง 12 แคปซูล</x:t>
        </x:is>
      </x:c>
      <x:c r="F265" t="inlineStr">
        <x:is>
          <x:t xml:space="preserve">Nifuroxazide 200 mg</x:t>
        </x:is>
      </x:c>
      <x:c r="G265" t="inlineStr">
        <x:is>
          <x:t xml:space="preserve">BDS042802</x:t>
        </x:is>
      </x:c>
      <x:c r="H265" t="inlineStr">
        <x:is>
          <x:t xml:space="preserve">Erfuzide cap (12 cap)</x:t>
        </x:is>
      </x:c>
      <x:c r="I265" t="inlineStr">
        <x:is>
          <x:t xml:space="preserve">รับประทานครั้งละ 1-2 แคปซูล วันละ 4 ครั้ง </x:t>
        </x:is>
      </x:c>
    </x:row>
    <x:row r="266">
      <x:c r="A266" t="n">
        <x:v>264</x:v>
      </x:c>
      <x:c r="B266" t="inlineStr">
        <x:is>
          <x:t xml:space="preserve">ยาแก้ท้องเสีย (D)</x:t>
        </x:is>
      </x:c>
      <x:c r="C266" t="n">
        <x:v>43842</x:v>
      </x:c>
      <x:c r="D266" t="inlineStr">
        <x:is>
          <x:t xml:space="preserve">Hidrasec 100 mg.</x:t>
        </x:is>
      </x:c>
      <x:c r="E266" t="inlineStr">
        <x:is>
          <x:t xml:space="preserve">กล่อง 10 แคปซูล</x:t>
        </x:is>
      </x:c>
      <x:c r="F266" t="inlineStr">
        <x:is>
          <x:t xml:space="preserve">Racecadotril 100 mg.</x:t>
        </x:is>
      </x:c>
      <x:c r="G266" t="inlineStr">
        <x:is>
          <x:t xml:space="preserve">BDS043842</x:t>
        </x:is>
      </x:c>
      <x:c r="H266" t="inlineStr">
        <x:is>
          <x:t xml:space="preserve">Hidrasec 100 mg. (10 cap)</x:t>
        </x:is>
      </x:c>
      <x:c r="I266" t="inlineStr">
        <x:is>
          <x:t xml:space="preserve">รับประทานครั้งละ 1 แคปซูล ทุก 8 ชั่วโมง  </x:t>
        </x:is>
      </x:c>
    </x:row>
    <x:row r="267">
      <x:c r="A267" t="n">
        <x:v>265</x:v>
      </x:c>
      <x:c r="B267" t="inlineStr">
        <x:is>
          <x:t xml:space="preserve">ยาแก้ท้องเสีย (D)</x:t>
        </x:is>
      </x:c>
      <x:c r="C267" t="n">
        <x:v>2108</x:v>
      </x:c>
      <x:c r="D267" t="inlineStr">
        <x:is>
          <x:t xml:space="preserve">Hidrasec Paediatric 30 mg</x:t>
        </x:is>
      </x:c>
      <x:c r="E267" t="inlineStr">
        <x:is>
          <x:t xml:space="preserve">ซอง 3 g.</x:t>
        </x:is>
      </x:c>
      <x:c r="F267" t="inlineStr">
        <x:is>
          <x:t xml:space="preserve">Racecadotril 30 mg.</x:t>
        </x:is>
      </x:c>
      <x:c r="G267" t="inlineStr">
        <x:is>
          <x:t xml:space="preserve">BDS002108</x:t>
        </x:is>
      </x:c>
      <x:c r="H267" t="inlineStr">
        <x:is>
          <x:t xml:space="preserve">Hidrasec Paediatric 30 mg (3 g.)</x:t>
        </x:is>
      </x:c>
      <x:c r="I267" t="inlineStr">
        <x:is>
          <x:t xml:space="preserve">รับประทานครั้งละ 1 แคปซูล ทุก 8 ชั่วโมง  </x:t>
        </x:is>
      </x:c>
    </x:row>
    <x:row r="268">
      <x:c r="A268" t="n">
        <x:v>266</x:v>
      </x:c>
      <x:c r="B268" t="inlineStr">
        <x:is>
          <x:t xml:space="preserve">ยาฆ่าพยาธิ ชนิดน้ำ (D)</x:t>
        </x:is>
      </x:c>
      <x:c r="C268" t="n">
        <x:v>1231</x:v>
      </x:c>
      <x:c r="D268" t="inlineStr">
        <x:is>
          <x:t xml:space="preserve">Benda Syrup กลิ่นผลไม้รวม</x:t>
        </x:is>
      </x:c>
      <x:c r="E268" t="inlineStr">
        <x:is>
          <x:t xml:space="preserve">ขวด 30 ml.</x:t>
        </x:is>
      </x:c>
      <x:c r="F268" t="inlineStr">
        <x:is>
          <x:t xml:space="preserve">Mebendazole 100 mg./5 ml.</x:t>
        </x:is>
      </x:c>
      <x:c r="G268" t="inlineStr">
        <x:is>
          <x:t xml:space="preserve">BDS001231</x:t>
        </x:is>
      </x:c>
      <x:c r="H268" t="inlineStr">
        <x:is>
          <x:t xml:space="preserve">Benda Syrup กลิ่นผลไม้รวม (30 ml.)</x:t>
        </x:is>
      </x:c>
      <x:c r="I268" t="inlineStr">
        <x:is>
          <x:t xml:space="preserve">รับประทานครั้งละ 1 ช้อนชา วันละ 2 ครั้ง ติดต่อกัน 3 วัน</x:t>
        </x:is>
      </x:c>
      <x:c r="P268" t="inlineStr">
        <x:is>
          <x:t xml:space="preserve">Antiparasitics / deworming</x:t>
        </x:is>
      </x:c>
    </x:row>
    <x:row r="269">
      <x:c r="A269" t="n">
        <x:v>267</x:v>
      </x:c>
      <x:c r="B269" t="inlineStr">
        <x:is>
          <x:t xml:space="preserve">ยาฆ่าพยาธิ ชนิดน้ำ (D)</x:t>
        </x:is>
      </x:c>
      <x:c r="C269" t="n">
        <x:v>49775</x:v>
      </x:c>
      <x:c r="D269" t="inlineStr">
        <x:is>
          <x:t xml:space="preserve">Zenzera-200 Suspension</x:t>
        </x:is>
      </x:c>
      <x:c r="E269" t="inlineStr">
        <x:is>
          <x:t xml:space="preserve">ซอง 10 ml.</x:t>
        </x:is>
      </x:c>
      <x:c r="F269" t="inlineStr">
        <x:is>
          <x:t xml:space="preserve">Albendazole 200 mg./5 ml.</x:t>
        </x:is>
      </x:c>
      <x:c r="G269" t="inlineStr">
        <x:is>
          <x:t xml:space="preserve">BDS049775</x:t>
        </x:is>
      </x:c>
      <x:c r="H269" t="inlineStr">
        <x:is>
          <x:t xml:space="preserve">Zenzera-200 Suspension (10 ml.)</x:t>
        </x:is>
      </x:c>
      <x:c r="I269" t="inlineStr">
        <x:is>
          <x:t xml:space="preserve">รับประทานครั้งละ 10 ml. (1 ซอง) วันละ 2 ครั้ง ติดต่อกัน 3 วัน </x:t>
        </x:is>
      </x:c>
      <x:c r="P269" t="inlineStr">
        <x:is>
          <x:t xml:space="preserve">Antiparasitics / deworming</x:t>
        </x:is>
      </x:c>
    </x:row>
    <x:row r="270">
      <x:c r="A270" t="n">
        <x:v>268</x:v>
      </x:c>
      <x:c r="B270" t="inlineStr">
        <x:is>
          <x:t xml:space="preserve">ยาแก้ไอสูตรผสม (D)</x:t>
        </x:is>
      </x:c>
      <x:c r="C270" t="n">
        <x:v>7973</x:v>
      </x:c>
      <x:c r="D270" t="inlineStr">
        <x:is>
          <x:t xml:space="preserve">Fartussin (ควบคุมจำนวน)</x:t>
        </x:is>
      </x:c>
      <x:c r="E270" t="inlineStr">
        <x:is>
          <x:t xml:space="preserve">แผง 10 เม็ด</x:t>
        </x:is>
      </x:c>
      <x:c r="F270" t="inlineStr">
        <x:is>
          <x:t xml:space="preserve">Dextromethorphan HBr 15 mg.+Glyceryl Guaiacolate 100 mg.+Terpin Hydrate 130 mg.</x:t>
        </x:is>
      </x:c>
      <x:c r="G270" t="inlineStr">
        <x:is>
          <x:t xml:space="preserve">BDS007973</x:t>
        </x:is>
      </x:c>
      <x:c r="H270" t="inlineStr">
        <x:is>
          <x:t xml:space="preserve">Fartussin (ควบคุมจำนวน) (10 tabs)</x:t>
        </x:is>
      </x:c>
      <x:c r="I270" t="inlineStr">
        <x:is>
          <x:t xml:space="preserve">รับประทานครั้งละ 1-2 เม็ด วันละ 3-4 ครั้ง</x:t>
        </x:is>
      </x:c>
      <x:c r="P270" t="inlineStr">
        <x:is>
          <x:t xml:space="preserve">Cough medicines / mucolytics / expectorants</x:t>
        </x:is>
      </x:c>
    </x:row>
    <x:row r="271">
      <x:c r="A271" t="n">
        <x:v>269</x:v>
      </x:c>
      <x:c r="B271" t="inlineStr">
        <x:is>
          <x:t xml:space="preserve">ยาแก้ไอสูตรผสม (D)</x:t>
        </x:is>
      </x:c>
      <x:c r="C271" t="n">
        <x:v>8106</x:v>
      </x:c>
      <x:c r="D271" t="inlineStr">
        <x:is>
          <x:t xml:space="preserve">Kenya-I (ควบคุมจำนวน)</x:t>
        </x:is>
      </x:c>
      <x:c r="E271" t="inlineStr">
        <x:is>
          <x:t xml:space="preserve">แผง 10 เม็ด</x:t>
        </x:is>
      </x:c>
      <x:c r="F271" t="inlineStr">
        <x:is>
          <x:t xml:space="preserve">Dextromethorphan HBr 15 mg+Chlorpheniramine maleate 2 mg+Terpine hydrate 125 mg</x:t>
        </x:is>
      </x:c>
      <x:c r="G271" t="inlineStr">
        <x:is>
          <x:t xml:space="preserve">BDS008106</x:t>
        </x:is>
      </x:c>
      <x:c r="H271" t="inlineStr">
        <x:is>
          <x:t xml:space="preserve">Kenya-I (ควบคุมจำนวน) (10 tabs)</x:t>
        </x:is>
      </x:c>
      <x:c r="I271" t="inlineStr">
        <x:is>
          <x:t xml:space="preserve">รับประทานครั้งละ 1-2 เม็ด วันละ 3-4 ครั้ง</x:t>
        </x:is>
      </x:c>
      <x:c r="P271" t="inlineStr">
        <x:is>
          <x:t xml:space="preserve">Cough medicines / mucolytics / expectorants</x:t>
        </x:is>
      </x:c>
    </x:row>
    <x:row r="272">
      <x:c r="A272" t="n">
        <x:v>270</x:v>
      </x:c>
      <x:c r="B272" t="inlineStr">
        <x:is>
          <x:t xml:space="preserve">ยาแก้ไอสูตรผสม (D)</x:t>
        </x:is>
      </x:c>
      <x:c r="C272" t="n">
        <x:v>3112</x:v>
      </x:c>
      <x:c r="D272" t="inlineStr">
        <x:is>
          <x:t xml:space="preserve">Patar-Cap (ควบคุมจำนวน)</x:t>
        </x:is>
      </x:c>
      <x:c r="E272" t="inlineStr">
        <x:is>
          <x:t xml:space="preserve">แผง 10 แคปซูล</x:t>
        </x:is>
      </x:c>
      <x:c r="F272" t="inlineStr">
        <x:is>
          <x:t xml:space="preserve">Dextromethorphan 10 mg.+Guaifenesin 100 mg.</x:t>
        </x:is>
      </x:c>
      <x:c r="G272" t="inlineStr">
        <x:is>
          <x:t xml:space="preserve">BDS003112</x:t>
        </x:is>
      </x:c>
      <x:c r="H272" t="inlineStr">
        <x:is>
          <x:t xml:space="preserve">Patar-Cap (ควบคุมจำนวน) (10 cap)</x:t>
        </x:is>
      </x:c>
      <x:c r="I272" t="inlineStr">
        <x:is>
          <x:t xml:space="preserve">รับประทานครั้งละ 1-2 แคปซูล วันละ 3-4 ครั้ง</x:t>
        </x:is>
      </x:c>
      <x:c r="P272" t="inlineStr">
        <x:is>
          <x:t xml:space="preserve">Cough medicines / mucolytics / expectorants</x:t>
        </x:is>
      </x:c>
    </x:row>
    <x:row r="273">
      <x:c r="A273" t="n">
        <x:v>271</x:v>
      </x:c>
      <x:c r="B273" t="inlineStr">
        <x:is>
          <x:t xml:space="preserve">ยาแก้ไอสูตรผสม ชนิดน้ำ (D)</x:t>
        </x:is>
      </x:c>
      <x:c r="C273" t="n">
        <x:v>3416</x:v>
      </x:c>
      <x:c r="D273" t="inlineStr">
        <x:is>
          <x:t xml:space="preserve">Robitussin DM เล็ก (ควบคุมจำนวน)</x:t>
        </x:is>
      </x:c>
      <x:c r="E273" t="inlineStr">
        <x:is>
          <x:t xml:space="preserve">ขวด 60 ml.</x:t>
        </x:is>
      </x:c>
      <x:c r="F273" t="inlineStr">
        <x:is>
          <x:t xml:space="preserve">Guaifenesin 200 mg.+Dextromethorphan HBr 10 mg./5 ml.</x:t>
        </x:is>
      </x:c>
      <x:c r="G273" t="inlineStr">
        <x:is>
          <x:t xml:space="preserve">BDS003416</x:t>
        </x:is>
      </x:c>
      <x:c r="H273" t="inlineStr">
        <x:is>
          <x:t xml:space="preserve">Robitussin DM เล็ก (ควบคุมจำนวน) (60 ml.)</x:t>
        </x:is>
      </x:c>
      <x:c r="I273" t="inlineStr">
        <x:is>
          <x:t xml:space="preserve">รับประทานครั้งละ 2 ช้อนชาวันละ 2-3 ครั้ง</x:t>
        </x:is>
      </x:c>
      <x:c r="P273" t="inlineStr">
        <x:is>
          <x:t xml:space="preserve">Cough medicines / mucolytics / expectorants</x:t>
        </x:is>
      </x:c>
    </x:row>
    <x:row r="274">
      <x:c r="A274" t="n">
        <x:v>272</x:v>
      </x:c>
      <x:c r="B274" t="inlineStr">
        <x:is>
          <x:t xml:space="preserve">ยาขยายหลอดลม ชนิดน้ำ (D)</x:t>
        </x:is>
      </x:c>
      <x:c r="C274" t="n">
        <x:v>1458</x:v>
      </x:c>
      <x:c r="D274" t="inlineStr">
        <x:is>
          <x:t xml:space="preserve">Asthmasian Expectorant Syrup</x:t>
        </x:is>
      </x:c>
      <x:c r="E274" t="inlineStr">
        <x:is>
          <x:t xml:space="preserve">ขวด 60 ml.</x:t>
        </x:is>
      </x:c>
      <x:c r="F274" t="inlineStr">
        <x:is>
          <x:t xml:space="preserve">Terbutaline sulfate 1.5 mg.+Glyceryl guaiacolate 100 mg.</x:t>
        </x:is>
      </x:c>
      <x:c r="G274" t="inlineStr">
        <x:is>
          <x:t xml:space="preserve">BDS001458</x:t>
        </x:is>
      </x:c>
      <x:c r="H274" t="inlineStr">
        <x:is>
          <x:t xml:space="preserve">Asthmasian Expectorant Syrup (60 ml.)</x:t>
        </x:is>
      </x:c>
      <x:c r="I274" t="inlineStr">
        <x:is>
          <x:t xml:space="preserve">เด็กโตรับประทานครั้งละ 1-2 ช้อนชา วันละ 3 ครั้ง</x:t>
        </x:is>
      </x:c>
      <x:c r="P274" t="inlineStr">
        <x:is>
          <x:t xml:space="preserve">Bronchodilators (inhalers/oral)</x:t>
        </x:is>
      </x:c>
    </x:row>
    <x:row r="275">
      <x:c r="A275" t="n">
        <x:v>273</x:v>
      </x:c>
      <x:c r="B275" t="inlineStr">
        <x:is>
          <x:t xml:space="preserve">ยาขยายหลอดลม ชนิดน้ำ (D)</x:t>
        </x:is>
      </x:c>
      <x:c r="C275" t="n">
        <x:v>2618</x:v>
      </x:c>
      <x:c r="D275" t="inlineStr">
        <x:is>
          <x:t xml:space="preserve">Meptin น้ำ มีกล่อง</x:t>
        </x:is>
      </x:c>
      <x:c r="E275" t="inlineStr">
        <x:is>
          <x:t xml:space="preserve">ขวด 60 ml.</x:t>
        </x:is>
      </x:c>
      <x:c r="F275" t="inlineStr">
        <x:is>
          <x:t xml:space="preserve">Procaterol HCl 5 mcg./1 ml.  </x:t>
        </x:is>
      </x:c>
      <x:c r="G275" t="inlineStr">
        <x:is>
          <x:t xml:space="preserve">BDS002618</x:t>
        </x:is>
      </x:c>
      <x:c r="H275" t="inlineStr">
        <x:is>
          <x:t xml:space="preserve">Meptin น้ำ มีกล่อง (60 ml.)</x:t>
        </x:is>
      </x:c>
      <x:c r="I275" t="inlineStr">
        <x:is>
          <x:t xml:space="preserve">รับประทานครั้งละ 1-2 ช้อนชา วันละ 2 ครั้ง</x:t>
        </x:is>
      </x:c>
      <x:c r="P275" t="inlineStr">
        <x:is>
          <x:t xml:space="preserve">Bronchodilators (inhalers/oral)</x:t>
        </x:is>
      </x:c>
    </x:row>
    <x:row r="276">
      <x:c r="A276" t="n">
        <x:v>274</x:v>
      </x:c>
      <x:c r="B276" t="inlineStr">
        <x:is>
          <x:t xml:space="preserve">ยาขยายหลอดลม ชนิดน้ำ (D)</x:t>
        </x:is>
      </x:c>
      <x:c r="C276" t="n">
        <x:v>3645</x:v>
      </x:c>
      <x:c r="D276" t="inlineStr">
        <x:is>
          <x:t xml:space="preserve">Salbulin Syrup</x:t>
        </x:is>
      </x:c>
      <x:c r="E276" t="inlineStr">
        <x:is>
          <x:t xml:space="preserve">ขวด 60 ml.</x:t>
        </x:is>
      </x:c>
      <x:c r="F276" t="inlineStr">
        <x:is>
          <x:t xml:space="preserve">Salbutamol 2.4 mg./5 ml.</x:t>
        </x:is>
      </x:c>
      <x:c r="G276" t="inlineStr">
        <x:is>
          <x:t xml:space="preserve">BDS003645</x:t>
        </x:is>
      </x:c>
      <x:c r="H276" t="inlineStr">
        <x:is>
          <x:t xml:space="preserve">Salbulin Syrup (60 ml.)</x:t>
        </x:is>
      </x:c>
      <x:c r="I276" t="inlineStr">
        <x:is>
          <x:t xml:space="preserve">เด็กโตรับประทานครั้งละ 1 ช้อนชา วันละ 3 ครั้ง หรือตามแพทย์สั่ง</x:t>
        </x:is>
      </x:c>
      <x:c r="P276" t="inlineStr">
        <x:is>
          <x:t xml:space="preserve">Bronchodilators (inhalers/oral)</x:t>
        </x:is>
      </x:c>
    </x:row>
    <x:row r="277">
      <x:c r="A277" t="n">
        <x:v>275</x:v>
      </x:c>
      <x:c r="B277" t="inlineStr">
        <x:is>
          <x:t xml:space="preserve">ยาขยายหลอดลม ชนิดน้ำ (D)</x:t>
        </x:is>
      </x:c>
      <x:c r="C277" t="n">
        <x:v>3589</x:v>
      </x:c>
      <x:c r="D277" t="inlineStr">
        <x:is>
          <x:t xml:space="preserve">Salmol Syrup</x:t>
        </x:is>
      </x:c>
      <x:c r="E277" t="inlineStr">
        <x:is>
          <x:t xml:space="preserve">ขวด 60 ml.</x:t>
        </x:is>
      </x:c>
      <x:c r="F277" t="inlineStr">
        <x:is>
          <x:t xml:space="preserve">Salbutamol 2 mg./5 ml.</x:t>
        </x:is>
      </x:c>
      <x:c r="G277" t="inlineStr">
        <x:is>
          <x:t xml:space="preserve">BDS003589</x:t>
        </x:is>
      </x:c>
      <x:c r="H277" t="inlineStr">
        <x:is>
          <x:t xml:space="preserve">Salmol Syrup (60 ml.)</x:t>
        </x:is>
      </x:c>
      <x:c r="I277" t="inlineStr">
        <x:is>
          <x:t xml:space="preserve">เด็กโตรับประทานครั้งละ 1 ช้อนชา วันละ 3-4 ครั้ง หรือตามแพทย์สั่ง</x:t>
        </x:is>
      </x:c>
      <x:c r="P277" t="inlineStr">
        <x:is>
          <x:t xml:space="preserve">Bronchodilators (inhalers/oral)</x:t>
        </x:is>
      </x:c>
    </x:row>
    <x:row r="278">
      <x:c r="A278" t="n">
        <x:v>276</x:v>
      </x:c>
      <x:c r="B278" t="inlineStr">
        <x:is>
          <x:t xml:space="preserve">ยาแก้ปวดไมเกรน (D)</x:t>
        </x:is>
      </x:c>
      <x:c r="C278" t="n">
        <x:v>1071</x:v>
      </x:c>
      <x:c r="D278" t="inlineStr">
        <x:is>
          <x:t xml:space="preserve">Avamigran</x:t>
        </x:is>
      </x:c>
      <x:c r="E278" t="inlineStr">
        <x:is>
          <x:t xml:space="preserve">กล่อง 1 แผง</x:t>
        </x:is>
      </x:c>
      <x:c r="F278" t="inlineStr">
        <x:is>
          <x:t xml:space="preserve">Ergotamine tartrate 1 mg.+Caffeine 100 mg.</x:t>
        </x:is>
      </x:c>
      <x:c r="G278" t="inlineStr">
        <x:is>
          <x:t xml:space="preserve">BDS001071</x:t>
        </x:is>
      </x:c>
      <x:c r="H278" t="inlineStr">
        <x:is>
          <x:t xml:space="preserve">Avamigran (1 blister)</x:t>
        </x:is>
      </x:c>
      <x:c r="I278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78" t="inlineStr">
        <x:is>
          <x:t xml:space="preserve">Migraine-specific drugs</x:t>
        </x:is>
      </x:c>
    </x:row>
    <x:row r="279">
      <x:c r="A279" t="n">
        <x:v>277</x:v>
      </x:c>
      <x:c r="B279" t="inlineStr">
        <x:is>
          <x:t xml:space="preserve">ยาแก้ปวดไมเกรน (D)</x:t>
        </x:is>
      </x:c>
      <x:c r="C279" t="n">
        <x:v>1405</x:v>
      </x:c>
      <x:c r="D279" t="inlineStr">
        <x:is>
          <x:t xml:space="preserve">Cafergot</x:t>
        </x:is>
      </x:c>
      <x:c r="E279" t="inlineStr">
        <x:is>
          <x:t xml:space="preserve">กล่อง 10 เม็ด</x:t>
        </x:is>
      </x:c>
      <x:c r="F279" t="inlineStr">
        <x:is>
          <x:t xml:space="preserve">Ergotamine tartrate 1 mg.+Caffeine 100 mg.</x:t>
        </x:is>
      </x:c>
      <x:c r="G279" t="inlineStr">
        <x:is>
          <x:t xml:space="preserve">BDS001405</x:t>
        </x:is>
      </x:c>
      <x:c r="H279" t="inlineStr">
        <x:is>
          <x:t xml:space="preserve">Cafergot (10 tabs)</x:t>
        </x:is>
      </x:c>
      <x:c r="I279" t="inlineStr">
        <x:is>
          <x:t xml:space="preserve"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79" t="inlineStr">
        <x:is>
          <x:t xml:space="preserve">Migraine-specific drugs</x:t>
        </x:is>
      </x:c>
    </x:row>
    <x:row r="280">
      <x:c r="A280" t="n">
        <x:v>278</x:v>
      </x:c>
      <x:c r="B280" t="inlineStr">
        <x:is>
          <x:t xml:space="preserve">ยาแก้ปวดไมเกรน (D)</x:t>
        </x:is>
      </x:c>
      <x:c r="C280" t="n">
        <x:v>6840</x:v>
      </x:c>
      <x:c r="D280" t="inlineStr">
        <x:is>
          <x:t xml:space="preserve">Relpax 40 mg</x:t>
        </x:is>
      </x:c>
      <x:c r="E280" t="inlineStr">
        <x:is>
          <x:t xml:space="preserve">กล่อง 2 เม็ด</x:t>
        </x:is>
      </x:c>
      <x:c r="F280" t="inlineStr">
        <x:is>
          <x:t xml:space="preserve">Eletriptan 40 mg.</x:t>
        </x:is>
      </x:c>
      <x:c r="G280" t="inlineStr">
        <x:is>
          <x:t xml:space="preserve">BDS006840</x:t>
        </x:is>
      </x:c>
      <x:c r="H280" t="inlineStr">
        <x:is>
          <x:t xml:space="preserve">Relpax 40 mg (2 tabs)</x:t>
        </x:is>
      </x:c>
      <x:c r="I280" t="inlineStr">
        <x:is>
          <x:t xml:space="preserve">รับประทานครั้งละ 1 เม็ด เมื่อเริ่มมีอาการ รับประทานเม็ดที่ 2 ได้ ห่างจากเม็ดแรก 2 ชั่วโมง</x:t>
        </x:is>
      </x:c>
      <x:c r="P280" t="inlineStr">
        <x:is>
          <x:t xml:space="preserve">Migraine-specific drugs</x:t>
        </x:is>
      </x:c>
    </x:row>
    <x:row r="281">
      <x:c r="A281" t="n">
        <x:v>279</x:v>
      </x:c>
      <x:c r="B281" t="inlineStr">
        <x:is>
          <x:t xml:space="preserve">ยาแก้ปวดไมเกรน (D)</x:t>
        </x:is>
      </x:c>
      <x:c r="C281" t="n">
        <x:v>47646</x:v>
      </x:c>
      <x:c r="D281" t="inlineStr">
        <x:is>
          <x:t xml:space="preserve">Siagran 50 mg</x:t>
        </x:is>
      </x:c>
      <x:c r="E281" t="inlineStr">
        <x:is>
          <x:t xml:space="preserve">กล่อง 4 เม็ด</x:t>
        </x:is>
      </x:c>
      <x:c r="F281" t="inlineStr">
        <x:is>
          <x:t xml:space="preserve">Sumatriptan succinate (eq. to Sumatriptan 50 mg.)</x:t>
        </x:is>
      </x:c>
      <x:c r="G281" t="inlineStr">
        <x:is>
          <x:t xml:space="preserve">BDS047646</x:t>
        </x:is>
      </x:c>
      <x:c r="H281" t="inlineStr">
        <x:is>
          <x:t xml:space="preserve">Siagran 50 mg (4 tabs)</x:t>
        </x:is>
      </x:c>
      <x:c r="I281" t="inlineStr">
        <x:is>
          <x:t xml:space="preserve">รับประทานครั้งละ 1 เม็ด เมื่อเริ่มมีอาการ รับประทานซ้ำได้ หลังจากรับประทานเม็ดแรกแล้ว 2 ชั่วโมง</x:t>
        </x:is>
      </x:c>
      <x:c r="P281" t="inlineStr">
        <x:is>
          <x:t xml:space="preserve">Migraine-specific drugs</x:t>
        </x:is>
      </x:c>
    </x:row>
    <x:row r="282">
      <x:c r="A282" t="n">
        <x:v>280</x:v>
      </x:c>
      <x:c r="B282" t="inlineStr">
        <x:is>
          <x:t xml:space="preserve">ยาแก้ปวดไมเกรน (D)</x:t>
        </x:is>
      </x:c>
      <x:c r="C282" t="n">
        <x:v>1404</x:v>
      </x:c>
      <x:c r="D282" t="inlineStr">
        <x:is>
          <x:t xml:space="preserve">Tofago</x:t>
        </x:is>
      </x:c>
      <x:c r="E282" t="inlineStr">
        <x:is>
          <x:t xml:space="preserve">กล่อง 10 เม็ด</x:t>
        </x:is>
      </x:c>
      <x:c r="F282" t="inlineStr">
        <x:is>
          <x:t xml:space="preserve">Ergotamine tartrate 1 mg.+Caffeine 100 mg.</x:t>
        </x:is>
      </x:c>
      <x:c r="G282" t="inlineStr">
        <x:is>
          <x:t xml:space="preserve">BDS001404</x:t>
        </x:is>
      </x:c>
      <x:c r="H282" t="inlineStr">
        <x:is>
          <x:t xml:space="preserve">Tofago (10 tabs)</x:t>
        </x:is>
      </x:c>
      <x:c r="I282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82" t="inlineStr">
        <x:is>
          <x:t xml:space="preserve">Migraine-specific drugs</x:t>
        </x:is>
      </x:c>
    </x:row>
    <x:row r="283">
      <x:c r="A283" t="n">
        <x:v>281</x:v>
      </x:c>
      <x:c r="B283" t="inlineStr">
        <x:is>
          <x:t xml:space="preserve">ยาปรับการไหลเวียนโลหิต (D)</x:t>
        </x:is>
      </x:c>
      <x:c r="C283" t="n">
        <x:v>7022</x:v>
      </x:c>
      <x:c r="D283" t="inlineStr">
        <x:is>
          <x:t xml:space="preserve">Behistin</x:t>
        </x:is>
      </x:c>
      <x:c r="E283" t="inlineStr">
        <x:is>
          <x:t xml:space="preserve">แผง 10 เม็ด</x:t>
        </x:is>
      </x:c>
      <x:c r="F283" t="inlineStr">
        <x:is>
          <x:t xml:space="preserve">Betahistine Mesylate 6 mg.</x:t>
        </x:is>
      </x:c>
      <x:c r="G283" t="inlineStr">
        <x:is>
          <x:t xml:space="preserve">BDS007022</x:t>
        </x:is>
      </x:c>
      <x:c r="H283" t="inlineStr">
        <x:is>
          <x:t xml:space="preserve">Behistin (10 tabs)</x:t>
        </x:is>
      </x:c>
      <x:c r="I283" t="inlineStr">
        <x:is>
          <x:t xml:space="preserve">รับประทานครั้งละ 1-2 เม็ด วันละ 3 ครั้ง</x:t>
        </x:is>
      </x:c>
    </x:row>
    <x:row r="284">
      <x:c r="A284" t="n">
        <x:v>282</x:v>
      </x:c>
      <x:c r="B284" t="inlineStr">
        <x:is>
          <x:t xml:space="preserve">ยาปรับการไหลเวียนโลหิต (D)</x:t>
        </x:is>
      </x:c>
      <x:c r="C284" t="n">
        <x:v>8007</x:v>
      </x:c>
      <x:c r="D284" t="inlineStr">
        <x:is>
          <x:t xml:space="preserve">Cephadol</x:t>
        </x:is>
      </x:c>
      <x:c r="E284" t="inlineStr">
        <x:is>
          <x:t xml:space="preserve">แผง 10 เม็ด</x:t>
        </x:is>
      </x:c>
      <x:c r="F284" t="inlineStr">
        <x:is>
          <x:t xml:space="preserve">Diphenidol hydrochloride 25 mg</x:t>
        </x:is>
      </x:c>
      <x:c r="G284" t="inlineStr">
        <x:is>
          <x:t xml:space="preserve">BDS008007</x:t>
        </x:is>
      </x:c>
      <x:c r="H284" t="inlineStr">
        <x:is>
          <x:t xml:space="preserve">Cephadol (10 tabs)</x:t>
        </x:is>
      </x:c>
      <x:c r="I284" t="inlineStr">
        <x:is>
          <x:t xml:space="preserve">รับประทานครั้งละ 1-2 เม็ด วันละ 2-3 ครั้ง</x:t>
        </x:is>
      </x:c>
    </x:row>
    <x:row r="285">
      <x:c r="A285" t="n">
        <x:v>283</x:v>
      </x:c>
      <x:c r="B285" t="inlineStr">
        <x:is>
          <x:t xml:space="preserve">ยาปรับการไหลเวียนโลหิต (D)</x:t>
        </x:is>
      </x:c>
      <x:c r="C285" t="n">
        <x:v>7055</x:v>
      </x:c>
      <x:c r="D285" t="inlineStr">
        <x:is>
          <x:t xml:space="preserve">Cinerine</x:t>
        </x:is>
      </x:c>
      <x:c r="E285" t="inlineStr">
        <x:is>
          <x:t xml:space="preserve">แผง 10 เม็ด</x:t>
        </x:is>
      </x:c>
      <x:c r="F285" t="inlineStr">
        <x:is>
          <x:t xml:space="preserve">Cinnarizine 25 mg.</x:t>
        </x:is>
      </x:c>
      <x:c r="G285" t="inlineStr">
        <x:is>
          <x:t xml:space="preserve">BDS007055</x:t>
        </x:is>
      </x:c>
      <x:c r="H285" t="inlineStr">
        <x:is>
          <x:t xml:space="preserve">Cinerine (10 tabs)</x:t>
        </x:is>
      </x:c>
      <x:c r="I285" t="inlineStr">
        <x:is>
          <x:t xml:space="preserve">รับประทานครั้งละ 1-2 เม็ด วันละ 3 ครั้ง</x:t>
        </x:is>
      </x:c>
    </x:row>
    <x:row r="286">
      <x:c r="A286" t="n">
        <x:v>284</x:v>
      </x:c>
      <x:c r="B286" t="inlineStr">
        <x:is>
          <x:t xml:space="preserve">ยาปรับการไหลเวียนโลหิต (D)</x:t>
        </x:is>
      </x:c>
      <x:c r="C286" t="n">
        <x:v>8142</x:v>
      </x:c>
      <x:c r="D286" t="inlineStr">
        <x:is>
          <x:t xml:space="preserve">Liberal Cap</x:t>
        </x:is>
      </x:c>
      <x:c r="E286" t="inlineStr">
        <x:is>
          <x:t xml:space="preserve">แผง 10 แคปซูล</x:t>
        </x:is>
      </x:c>
      <x:c r="F286" t="inlineStr">
        <x:is>
          <x:t xml:space="preserve">Flunarizine 5 mg.</x:t>
        </x:is>
      </x:c>
      <x:c r="G286" t="inlineStr">
        <x:is>
          <x:t xml:space="preserve">BDS008142</x:t>
        </x:is>
      </x:c>
      <x:c r="H286" t="inlineStr">
        <x:is>
          <x:t xml:space="preserve">Liberal Cap (10 cap)</x:t>
        </x:is>
      </x:c>
      <x:c r="I286" t="inlineStr">
        <x:is>
          <x:t xml:space="preserve">รับประทานครั้งละ 1-2 แคปซูล วันละ 1 ครั้ง ก่อนนอน</x:t>
        </x:is>
      </x:c>
    </x:row>
    <x:row r="287">
      <x:c r="A287" t="n">
        <x:v>285</x:v>
      </x:c>
      <x:c r="B287" t="inlineStr">
        <x:is>
          <x:t xml:space="preserve">ยาปรับการไหลเวียนโลหิต (D)</x:t>
        </x:is>
      </x:c>
      <x:c r="C287" t="n">
        <x:v>2688</x:v>
      </x:c>
      <x:c r="D287" t="inlineStr">
        <x:is>
          <x:t xml:space="preserve">Merislon 12 mg</x:t>
        </x:is>
      </x:c>
      <x:c r="E287" t="inlineStr">
        <x:is>
          <x:t xml:space="preserve">แผง 10 เม็ด</x:t>
        </x:is>
      </x:c>
      <x:c r="F287" t="inlineStr">
        <x:is>
          <x:t xml:space="preserve">Betahistine Mesilate 12 mg.</x:t>
        </x:is>
      </x:c>
      <x:c r="G287" t="inlineStr">
        <x:is>
          <x:t xml:space="preserve">BDS002688</x:t>
        </x:is>
      </x:c>
      <x:c r="H287" t="inlineStr">
        <x:is>
          <x:t xml:space="preserve">Merislon 12 mg (10 tabs)</x:t>
        </x:is>
      </x:c>
      <x:c r="I287" t="inlineStr">
        <x:is>
          <x:t xml:space="preserve">รับประทานครั้งละ 1 เม็ด วันละ 3 ครั้ง หลังอาหาร หรือตามแพทย์สั่ง</x:t>
        </x:is>
      </x:c>
    </x:row>
    <x:row r="288">
      <x:c r="A288" t="n">
        <x:v>286</x:v>
      </x:c>
      <x:c r="B288" t="inlineStr">
        <x:is>
          <x:t xml:space="preserve">ยาปรับการไหลเวียนโลหิต (D)</x:t>
        </x:is>
      </x:c>
      <x:c r="C288" t="n">
        <x:v>2621</x:v>
      </x:c>
      <x:c r="D288" t="inlineStr">
        <x:is>
          <x:t xml:space="preserve">Merislon 6 mg</x:t>
        </x:is>
      </x:c>
      <x:c r="E288" t="inlineStr">
        <x:is>
          <x:t xml:space="preserve">แผง 10 เม็ด</x:t>
        </x:is>
      </x:c>
      <x:c r="F288" t="inlineStr">
        <x:is>
          <x:t xml:space="preserve">Betahistine Mesilate 6 mg.</x:t>
        </x:is>
      </x:c>
      <x:c r="G288" t="inlineStr">
        <x:is>
          <x:t xml:space="preserve">BDS002621</x:t>
        </x:is>
      </x:c>
      <x:c r="H288" t="inlineStr">
        <x:is>
          <x:t xml:space="preserve">Merislon 6 mg (10 tabs)</x:t>
        </x:is>
      </x:c>
      <x:c r="I288" t="inlineStr">
        <x:is>
          <x:t xml:space="preserve">รับประทานครั้งละ 1-2 เม็ด วันละ 3 ครั้ง</x:t>
        </x:is>
      </x:c>
    </x:row>
    <x:row r="289">
      <x:c r="A289" t="n">
        <x:v>287</x:v>
      </x:c>
      <x:c r="B289" t="inlineStr">
        <x:is>
          <x:t xml:space="preserve">ยาปรับการไหลเวียนโลหิต (D)</x:t>
        </x:is>
      </x:c>
      <x:c r="C289" t="n">
        <x:v>7222</x:v>
      </x:c>
      <x:c r="D289" t="inlineStr">
        <x:is>
          <x:t xml:space="preserve">Poli-Flunarin</x:t>
        </x:is>
      </x:c>
      <x:c r="E289" t="inlineStr">
        <x:is>
          <x:t xml:space="preserve">แผง 10 แคปซูล</x:t>
        </x:is>
      </x:c>
      <x:c r="F289" t="inlineStr">
        <x:is>
          <x:t xml:space="preserve">Flunarizine 5 mg.</x:t>
        </x:is>
      </x:c>
      <x:c r="G289" t="inlineStr">
        <x:is>
          <x:t xml:space="preserve">BDS007222</x:t>
        </x:is>
      </x:c>
      <x:c r="H289" t="inlineStr">
        <x:is>
          <x:t xml:space="preserve">Poli-Flunarin (10 cap)</x:t>
        </x:is>
      </x:c>
      <x:c r="I289" t="inlineStr">
        <x:is>
          <x:t xml:space="preserve">รับประทานครั้งละ 1-2 แคปซูล วันละ 1 ครั้ง ก่อนนอน</x:t>
        </x:is>
      </x:c>
    </x:row>
    <x:row r="290">
      <x:c r="A290" t="n">
        <x:v>288</x:v>
      </x:c>
      <x:c r="B290" t="inlineStr">
        <x:is>
          <x:t xml:space="preserve">ยาปรับการไหลเวียนโลหิต (D)</x:t>
        </x:is>
      </x:c>
      <x:c r="C290" t="n">
        <x:v>3510</x:v>
      </x:c>
      <x:c r="D290" t="inlineStr">
        <x:is>
          <x:t xml:space="preserve">Serc 16 mg</x:t>
        </x:is>
      </x:c>
      <x:c r="E290" t="inlineStr">
        <x:is>
          <x:t xml:space="preserve">แผง 20 เม็ด</x:t>
        </x:is>
      </x:c>
      <x:c r="F290" t="inlineStr">
        <x:is>
          <x:t xml:space="preserve">Betahistine dihydrochloride 16 mg.</x:t>
        </x:is>
      </x:c>
      <x:c r="G290" t="inlineStr">
        <x:is>
          <x:t xml:space="preserve">BDS003510</x:t>
        </x:is>
      </x:c>
      <x:c r="H290" t="inlineStr">
        <x:is>
          <x:t xml:space="preserve">Serc 16 mg (20 tabs)</x:t>
        </x:is>
      </x:c>
      <x:c r="I290" t="inlineStr">
        <x:is>
          <x:t xml:space="preserve">รับประทานครั้งละ 1 เม็ด วันละ 2-3 ครั้ง หรือตามแพทย์สั่ง</x:t>
        </x:is>
      </x:c>
    </x:row>
    <x:row r="291">
      <x:c r="A291" t="n">
        <x:v>289</x:v>
      </x:c>
      <x:c r="B291" t="inlineStr">
        <x:is>
          <x:t xml:space="preserve">ยาปรับการไหลเวียนโลหิต (D)</x:t>
        </x:is>
      </x:c>
      <x:c r="C291" t="n">
        <x:v>6571</x:v>
      </x:c>
      <x:c r="D291" t="inlineStr">
        <x:is>
          <x:t xml:space="preserve">Serc 24 mg</x:t>
        </x:is>
      </x:c>
      <x:c r="E291" t="inlineStr">
        <x:is>
          <x:t xml:space="preserve">กล่อง 20 เม็ด</x:t>
        </x:is>
      </x:c>
      <x:c r="F291" t="inlineStr">
        <x:is>
          <x:t xml:space="preserve">Betahistine dihydrochloride 24 mg.</x:t>
        </x:is>
      </x:c>
      <x:c r="G291" t="inlineStr">
        <x:is>
          <x:t xml:space="preserve">BDS006571</x:t>
        </x:is>
      </x:c>
      <x:c r="H291" t="inlineStr">
        <x:is>
          <x:t xml:space="preserve">Serc 24 mg (20 tabs)</x:t>
        </x:is>
      </x:c>
      <x:c r="I291" t="inlineStr">
        <x:is>
          <x:t xml:space="preserve">รับประทานครั้งละ 1 เม็ด วันละ 2 ครั้ง หรือตามแพทย์สั่ง</x:t>
        </x:is>
      </x:c>
    </x:row>
    <x:row r="292">
      <x:c r="A292" t="n">
        <x:v>290</x:v>
      </x:c>
      <x:c r="B292" t="inlineStr">
        <x:is>
          <x:t xml:space="preserve">ยาปรับการไหลเวียนโลหิต (D)</x:t>
        </x:is>
      </x:c>
      <x:c r="C292" t="n">
        <x:v>47664</x:v>
      </x:c>
      <x:c r="D292" t="inlineStr">
        <x:is>
          <x:t xml:space="preserve">Sobelin</x:t>
        </x:is>
      </x:c>
      <x:c r="E292" t="inlineStr">
        <x:is>
          <x:t xml:space="preserve">แผง 10 แคปซูล</x:t>
        </x:is>
      </x:c>
      <x:c r="F292" t="inlineStr">
        <x:is>
          <x:t xml:space="preserve">Flunarizine 5 mg.</x:t>
        </x:is>
      </x:c>
      <x:c r="G292" t="inlineStr">
        <x:is>
          <x:t xml:space="preserve">BDS047664</x:t>
        </x:is>
      </x:c>
      <x:c r="H292" t="inlineStr">
        <x:is>
          <x:t xml:space="preserve">Sobelin (10 cap)</x:t>
        </x:is>
      </x:c>
      <x:c r="I292" t="inlineStr">
        <x:is>
          <x:t xml:space="preserve">รับประทานครั้งละ 1-2 แคปซูล วันละ 1 ครั้ง ก่อนนอน</x:t>
        </x:is>
      </x:c>
    </x:row>
    <x:row r="293">
      <x:c r="A293" t="n">
        <x:v>291</x:v>
      </x:c>
      <x:c r="B293" t="inlineStr">
        <x:is>
          <x:t xml:space="preserve">ยาปรับการไหลเวียนโลหิต (D)</x:t>
        </x:is>
      </x:c>
      <x:c r="C293" t="n">
        <x:v>7272</x:v>
      </x:c>
      <x:c r="D293" t="inlineStr">
        <x:is>
          <x:t xml:space="preserve">Stei 16 mg</x:t>
        </x:is>
      </x:c>
      <x:c r="E293" t="inlineStr">
        <x:is>
          <x:t xml:space="preserve">แผง 10 เม็ด</x:t>
        </x:is>
      </x:c>
      <x:c r="F293" t="inlineStr">
        <x:is>
          <x:t xml:space="preserve">Betahistine dihydrochloride 16 mg.</x:t>
        </x:is>
      </x:c>
      <x:c r="G293" t="inlineStr">
        <x:is>
          <x:t xml:space="preserve">BDS007272</x:t>
        </x:is>
      </x:c>
      <x:c r="H293" t="inlineStr">
        <x:is>
          <x:t xml:space="preserve">Stei 16 mg (10 tabs)</x:t>
        </x:is>
      </x:c>
      <x:c r="I293" t="inlineStr">
        <x:is>
          <x:t xml:space="preserve">รับประทานครั้งละ 1 เม็ด วันละ 3 ครั้ง หรือตามแพทย์สั่ง</x:t>
        </x:is>
      </x:c>
    </x:row>
    <x:row r="294">
      <x:c r="A294" t="n">
        <x:v>292</x:v>
      </x:c>
      <x:c r="B294" t="inlineStr">
        <x:is>
          <x:t xml:space="preserve">ยาปรับการไหลเวียนโลหิต (D)</x:t>
        </x:is>
      </x:c>
      <x:c r="C294" t="n">
        <x:v>3514</x:v>
      </x:c>
      <x:c r="D294" t="inlineStr">
        <x:is>
          <x:t xml:space="preserve">Stugeron 25 mg</x:t>
        </x:is>
      </x:c>
      <x:c r="E294" t="inlineStr">
        <x:is>
          <x:t xml:space="preserve">แผง 10 เม็ด</x:t>
        </x:is>
      </x:c>
      <x:c r="F294" t="inlineStr">
        <x:is>
          <x:t xml:space="preserve">Cinnarizine 25 mg.</x:t>
        </x:is>
      </x:c>
      <x:c r="G294" t="inlineStr">
        <x:is>
          <x:t xml:space="preserve">BDS003514</x:t>
        </x:is>
      </x:c>
      <x:c r="H294" t="inlineStr">
        <x:is>
          <x:t xml:space="preserve">Stugeron 25 mg (10 tabs)</x:t>
        </x:is>
      </x:c>
      <x:c r="I294" t="inlineStr">
        <x:is>
          <x:t xml:space="preserve">รับประทานครั้งละ 1-2 เม็ด  วันละ 3 ครั้ง</x:t>
        </x:is>
      </x:c>
    </x:row>
    <x:row r="295">
      <x:c r="A295" t="n">
        <x:v>293</x:v>
      </x:c>
      <x:c r="B295" t="inlineStr">
        <x:is>
          <x:t xml:space="preserve">ยาขับลม ชนิดน้ำ (D)</x:t>
        </x:is>
      </x:c>
      <x:c r="C295" t="n">
        <x:v>8034</x:v>
      </x:c>
      <x:c r="D295" t="inlineStr">
        <x:is>
          <x:t xml:space="preserve">Berclomine Syrup</x:t>
        </x:is>
      </x:c>
      <x:c r="E295" t="inlineStr">
        <x:is>
          <x:t xml:space="preserve">ขวด 60 ml.</x:t>
        </x:is>
      </x:c>
      <x:c r="F295" t="inlineStr">
        <x:is>
          <x:t xml:space="preserve">Dicyclomine 5 mg.+Simethicone 50 mg./5 ml.</x:t>
        </x:is>
      </x:c>
      <x:c r="G295" t="inlineStr">
        <x:is>
          <x:t xml:space="preserve">BDS008034</x:t>
        </x:is>
      </x:c>
      <x:c r="H295" t="inlineStr">
        <x:is>
          <x:t xml:space="preserve">Berclomine Syrup (60 ml.)</x:t>
        </x:is>
      </x:c>
      <x:c r="I295" t="inlineStr">
        <x:is>
          <x:t xml:space="preserve">รับประทานครั้งละ 1 ช้อนชา วันละ 4 ครั้ง ก่อนอาหาร</x:t>
        </x:is>
      </x:c>
      <x:c r="P295" t="inlineStr">
        <x:is>
          <x:t xml:space="preserve">Carminatives (gas relief)</x:t>
        </x:is>
      </x:c>
    </x:row>
    <x:row r="296">
      <x:c r="A296" t="n">
        <x:v>294</x:v>
      </x:c>
      <x:c r="B296" t="inlineStr">
        <x:is>
          <x:t xml:space="preserve">ยาบรรเทาริดสีดวง, เส้นเลือดขอด (D)</x:t>
        </x:is>
      </x:c>
      <x:c r="C296" t="n">
        <x:v>42321</x:v>
      </x:c>
      <x:c r="D296" t="inlineStr">
        <x:is>
          <x:t xml:space="preserve">Daflon 1000 mg</x:t>
        </x:is>
      </x:c>
      <x:c r="E296" t="inlineStr">
        <x:is>
          <x:t xml:space="preserve">แผง 10 เม็ด</x:t>
        </x:is>
      </x:c>
      <x:c r="F296" t="inlineStr">
        <x:is>
          <x:t xml:space="preserve">Diosmin 900 mg.+Hesperidin 100 mg.</x:t>
        </x:is>
      </x:c>
      <x:c r="G296" t="inlineStr">
        <x:is>
          <x:t xml:space="preserve">BDS042321</x:t>
        </x:is>
      </x:c>
      <x:c r="H296" t="inlineStr">
        <x:is>
          <x:t xml:space="preserve">Daflon 1000 mg (10 tabs)</x:t>
        </x:is>
      </x:c>
      <x:c r="I296" t="inlineStr">
        <x:is>
          <x:t xml:space="preserve">รับประทานครั้งละ 1 เม็ด วันละ 3 ครั้ง ติดต่อกัน 4 วัน หลังจากนั้นรับประทานวันละ 2 ครั้ง ติดต่อกันอีก 3 วัน</x:t>
        </x:is>
      </x:c>
    </x:row>
    <x:row r="297">
      <x:c r="A297" t="n">
        <x:v>295</x:v>
      </x:c>
      <x:c r="B297" t="inlineStr">
        <x:is>
          <x:t xml:space="preserve">ยาบรรเทาริดสีดวง, เส้นเลือดขอด (D)</x:t>
        </x:is>
      </x:c>
      <x:c r="C297" t="n">
        <x:v>1602</x:v>
      </x:c>
      <x:c r="D297" t="inlineStr">
        <x:is>
          <x:t xml:space="preserve">Daflon 500 mg</x:t>
        </x:is>
      </x:c>
      <x:c r="E297" t="inlineStr">
        <x:is>
          <x:t xml:space="preserve">แผง 15 เม็ด</x:t>
        </x:is>
      </x:c>
      <x:c r="F297" t="inlineStr">
        <x:is>
          <x:t xml:space="preserve">Diosmin 450 mg.+Hesperidin 50 mg.</x:t>
        </x:is>
      </x:c>
      <x:c r="G297" t="inlineStr">
        <x:is>
          <x:t xml:space="preserve">BDS001602</x:t>
        </x:is>
      </x:c>
      <x:c r="H297" t="inlineStr">
        <x:is>
          <x:t xml:space="preserve">Daflon 500 mg (15 tabs)</x:t>
        </x:is>
      </x:c>
      <x:c r="I297" t="inlineStr">
        <x:is>
          <x:t xml:space="preserve">รับประทานครั้งละ 1-2 เม็ด วันละ 2 ครั้ง หลังอาหาร</x:t>
        </x:is>
      </x:c>
    </x:row>
    <x:row r="298">
      <x:c r="A298" t="n">
        <x:v>296</x:v>
      </x:c>
      <x:c r="B298" t="inlineStr">
        <x:is>
          <x:t xml:space="preserve">ยาบรรเทาริดสีดวง, เส้นเลือดขอด (D)</x:t>
        </x:is>
      </x:c>
      <x:c r="C298" t="n">
        <x:v>1444</x:v>
      </x:c>
      <x:c r="D298" t="inlineStr">
        <x:is>
          <x:t xml:space="preserve">Dafomin 500 mg</x:t>
        </x:is>
      </x:c>
      <x:c r="E298" t="inlineStr">
        <x:is>
          <x:t xml:space="preserve">แผง 10 เม็ด</x:t>
        </x:is>
      </x:c>
      <x:c r="F298" t="inlineStr">
        <x:is>
          <x:t xml:space="preserve">Diosmin 450 mg.+Hesperidin 50 mg.</x:t>
        </x:is>
      </x:c>
      <x:c r="G298" t="inlineStr">
        <x:is>
          <x:t xml:space="preserve">BDS001444</x:t>
        </x:is>
      </x:c>
      <x:c r="H298" t="inlineStr">
        <x:is>
          <x:t xml:space="preserve">Dafomin 500 mg (10 tabs)</x:t>
        </x:is>
      </x:c>
      <x:c r="I298" t="inlineStr">
        <x:is>
          <x:t xml:space="preserve">รับประทานครั้งละ 1-2 เม็ด วันละ 2 ครั้ง หลังอาหาร</x:t>
        </x:is>
      </x:c>
    </x:row>
    <x:row r="299">
      <x:c r="A299" t="n">
        <x:v>297</x:v>
      </x:c>
      <x:c r="B299" t="inlineStr">
        <x:is>
          <x:t xml:space="preserve">ยาบรรเทาริดสีดวง, เส้นเลือดขอด (D)</x:t>
        </x:is>
      </x:c>
      <x:c r="C299" t="n">
        <x:v>8452</x:v>
      </x:c>
      <x:c r="D299" t="inlineStr">
        <x:is>
          <x:t xml:space="preserve">Diosmin 500</x:t>
        </x:is>
      </x:c>
      <x:c r="E299" t="inlineStr">
        <x:is>
          <x:t xml:space="preserve">แผง 10 เม็ด</x:t>
        </x:is>
      </x:c>
      <x:c r="F299" t="inlineStr">
        <x:is>
          <x:t xml:space="preserve">Diosmin 450 mg.+Hesperidin 50 mg.</x:t>
        </x:is>
      </x:c>
      <x:c r="G299" t="inlineStr">
        <x:is>
          <x:t xml:space="preserve">BDS008452</x:t>
        </x:is>
      </x:c>
      <x:c r="H299" t="inlineStr">
        <x:is>
          <x:t xml:space="preserve">Diosmin 500 (10 tabs)</x:t>
        </x:is>
      </x:c>
      <x:c r="I299" t="inlineStr">
        <x:is>
          <x:t xml:space="preserve">รับประทานครั้งละ 1-2 เม็ด วันละ 2 ครั้ง หลังอาหาร</x:t>
        </x:is>
      </x:c>
    </x:row>
    <x:row r="300">
      <x:c r="A300" t="n">
        <x:v>298</x:v>
      </x:c>
      <x:c r="B300" t="inlineStr">
        <x:is>
          <x:t xml:space="preserve">ยาบรรเทาริดสีดวง, เส้นเลือดขอด (D)</x:t>
        </x:is>
      </x:c>
      <x:c r="C300" t="n">
        <x:v>3407</x:v>
      </x:c>
      <x:c r="D300" t="inlineStr">
        <x:is>
          <x:t xml:space="preserve">Reparil Dragees</x:t>
        </x:is>
      </x:c>
      <x:c r="E300" t="inlineStr">
        <x:is>
          <x:t xml:space="preserve">แผง 10 เม็ด</x:t>
        </x:is>
      </x:c>
      <x:c r="F300" t="inlineStr">
        <x:is>
          <x:t xml:space="preserve">Absorbable aescin 20 mg.</x:t>
        </x:is>
      </x:c>
      <x:c r="G300" t="inlineStr">
        <x:is>
          <x:t xml:space="preserve">BDS003407</x:t>
        </x:is>
      </x:c>
      <x:c r="H300" t="inlineStr">
        <x:is>
          <x:t xml:space="preserve">Reparil Dragees (10 tabs)</x:t>
        </x:is>
      </x:c>
      <x:c r="I300" t="inlineStr">
        <x:is>
          <x:t xml:space="preserve">รับประทานครั้งละ 1-2 เม็ด วันละ 3 ครั้ง</x:t>
        </x:is>
      </x:c>
    </x:row>
    <x:row r="301">
      <x:c r="A301" t="n">
        <x:v>299</x:v>
      </x:c>
      <x:c r="B301" t="inlineStr">
        <x:is>
          <x:t xml:space="preserve">ยาบรรเทาริดสีดวง, เส้นเลือดขอด (D)</x:t>
        </x:is>
      </x:c>
      <x:c r="C301" t="n">
        <x:v>3507</x:v>
      </x:c>
      <x:c r="D301" t="inlineStr">
        <x:is>
          <x:t xml:space="preserve">Siduol</x:t>
        </x:is>
      </x:c>
      <x:c r="E301" t="inlineStr">
        <x:is>
          <x:t xml:space="preserve">แผง 10 แคปซูล</x:t>
        </x:is>
      </x:c>
      <x:c r="F301" t="inlineStr">
        <x:is>
          <x:t xml:space="preserve">Vit K1 2 mg+ Rutin 100 mg+Lysozyme Cl 10 mg+Vit E 52 mg+Pluronic F-68  20 mg</x:t>
        </x:is>
      </x:c>
      <x:c r="G301" t="inlineStr">
        <x:is>
          <x:t xml:space="preserve">BDS003507</x:t>
        </x:is>
      </x:c>
      <x:c r="H301" t="inlineStr">
        <x:is>
          <x:t xml:space="preserve">Siduol (10 cap)</x:t>
        </x:is>
      </x:c>
      <x:c r="I301" t="inlineStr">
        <x:is>
          <x:t xml:space="preserve">รับประทานครั้งละ 1-2 แคปซูล วันละ 3 ครั้ง หลังอาหาร</x:t>
        </x:is>
      </x:c>
    </x:row>
    <x:row r="302">
      <x:c r="A302" t="n">
        <x:v>300</x:v>
      </x:c>
      <x:c r="B302" t="inlineStr">
        <x:is>
          <x:t xml:space="preserve">ยาบรรเทาริดสีดวง, เส้นเลือดขอด (D)</x:t>
        </x:is>
      </x:c>
      <x:c r="C302" t="n">
        <x:v>7765</x:v>
      </x:c>
      <x:c r="D302" t="inlineStr">
        <x:is>
          <x:t xml:space="preserve">T-Osmin</x:t>
        </x:is>
      </x:c>
      <x:c r="E302" t="inlineStr">
        <x:is>
          <x:t xml:space="preserve">แผง 10 เม็ด</x:t>
        </x:is>
      </x:c>
      <x:c r="F302" t="inlineStr">
        <x:is>
          <x:t xml:space="preserve">Diosmin 450 mg.+Hesperidin 50 mg.</x:t>
        </x:is>
      </x:c>
      <x:c r="G302" t="inlineStr">
        <x:is>
          <x:t xml:space="preserve">BDS007765</x:t>
        </x:is>
      </x:c>
      <x:c r="H302" t="inlineStr">
        <x:is>
          <x:t xml:space="preserve">T-Osmin (10 tabs)</x:t>
        </x:is>
      </x:c>
      <x:c r="I302" t="inlineStr">
        <x:is>
          <x:t xml:space="preserve">3 วันถัดมา: 2 เม็ด 2 ครั้ง หลังจากนั้น: 1 เม็ด 2 ครั้ง</x:t>
        </x:is>
      </x:c>
    </x:row>
    <x:row r="303">
      <x:c r="A303" t="n">
        <x:v>301</x:v>
      </x:c>
      <x:c r="B303" t="inlineStr">
        <x:is>
          <x:t xml:space="preserve">ยาแก้ปวดรุนแรง (D)</x:t>
        </x:is>
      </x:c>
      <x:c r="C303" t="n">
        <x:v>3739</x:v>
      </x:c>
      <x:c r="D303" t="inlineStr">
        <x:is>
          <x:t xml:space="preserve">Tramal</x:t>
        </x:is>
      </x:c>
      <x:c r="E303" t="inlineStr">
        <x:is>
          <x:t xml:space="preserve">กล่อง 10 แคปซูล</x:t>
        </x:is>
      </x:c>
      <x:c r="F303" t="inlineStr">
        <x:is>
          <x:t xml:space="preserve">Tramadol HCl 50 mg.</x:t>
        </x:is>
      </x:c>
      <x:c r="G303" t="inlineStr">
        <x:is>
          <x:t xml:space="preserve">BDS003739</x:t>
        </x:is>
      </x:c>
      <x:c r="H303" t="inlineStr">
        <x:is>
          <x:t xml:space="preserve">Tramal (10 cap)</x:t>
        </x:is>
      </x:c>
      <x:c r="I303" t="inlineStr">
        <x:is>
          <x:t xml:space="preserve">รับประทานครั้งละ 1 แคปซูลวันละ 3 ครั้ง หลังอาหาร</x:t>
        </x:is>
      </x:c>
      <x:c r="P303" t="inlineStr">
        <x:is>
          <x:t xml:space="preserve">Strong pain meds</x:t>
        </x:is>
      </x:c>
    </x:row>
    <x:row r="304">
      <x:c r="A304" t="n">
        <x:v>302</x:v>
      </x:c>
      <x:c r="B304" t="inlineStr">
        <x:is>
          <x:t xml:space="preserve">ยาแก้ปวดเกร็งกล้ามเนื้อเรียบ (D)</x:t>
        </x:is>
      </x:c>
      <x:c r="C304" t="n">
        <x:v>1283</x:v>
      </x:c>
      <x:c r="D304" t="inlineStr">
        <x:is>
          <x:t xml:space="preserve">Buscopan</x:t>
        </x:is>
      </x:c>
      <x:c r="E304" t="inlineStr">
        <x:is>
          <x:t xml:space="preserve">แผง 10 เม็ด</x:t>
        </x:is>
      </x:c>
      <x:c r="F304" t="inlineStr">
        <x:is>
          <x:t xml:space="preserve">Hyoscine-N-butylbromide 10 mg.</x:t>
        </x:is>
      </x:c>
      <x:c r="G304" t="inlineStr">
        <x:is>
          <x:t xml:space="preserve">BDS001283</x:t>
        </x:is>
      </x:c>
      <x:c r="H304" t="inlineStr">
        <x:is>
          <x:t xml:space="preserve">Buscopan (10 tabs)</x:t>
        </x:is>
      </x:c>
      <x:c r="I304" t="inlineStr">
        <x:is>
          <x:t xml:space="preserve">รับประทานครั้งละ 1-2 เม็ด วันละ 3-5 ครั้ง </x:t>
        </x:is>
      </x:c>
      <x:c r="P304" t="inlineStr">
        <x:is>
          <x:t xml:space="preserve">Antispasmodics (smooth muscle cramps / abdominal colic)</x:t>
        </x:is>
      </x:c>
    </x:row>
    <x:row r="305">
      <x:c r="A305" t="n">
        <x:v>303</x:v>
      </x:c>
      <x:c r="B305" t="inlineStr">
        <x:is>
          <x:t xml:space="preserve">ยาแก้ปวดเกร็งกล้ามเนื้อเรียบ (D)</x:t>
        </x:is>
      </x:c>
      <x:c r="C305" t="n">
        <x:v>7061</x:v>
      </x:c>
      <x:c r="D305" t="inlineStr">
        <x:is>
          <x:t xml:space="preserve">Cencopan-S</x:t>
        </x:is>
      </x:c>
      <x:c r="E305" t="inlineStr">
        <x:is>
          <x:t xml:space="preserve">แผง 10 เม็ด</x:t>
        </x:is>
      </x:c>
      <x:c r="F305" t="inlineStr">
        <x:is>
          <x:t xml:space="preserve">Hyoscine-N-butylbromide 10 mg.</x:t>
        </x:is>
      </x:c>
      <x:c r="G305" t="inlineStr">
        <x:is>
          <x:t xml:space="preserve">BDS007061</x:t>
        </x:is>
      </x:c>
      <x:c r="H305" t="inlineStr">
        <x:is>
          <x:t xml:space="preserve">Cencopan-S (10 tabs)</x:t>
        </x:is>
      </x:c>
      <x:c r="I305" t="inlineStr">
        <x:is>
          <x:t xml:space="preserve">รับประทานครั้งละ 1-2 เม็ด วันละ 3 ครั้ง หรือเมื่อมีอาการ</x:t>
        </x:is>
      </x:c>
      <x:c r="P305" t="inlineStr">
        <x:is>
          <x:t xml:space="preserve">Antispasmodics (smooth muscle cramps / abdominal colic)</x:t>
        </x:is>
      </x:c>
    </x:row>
    <x:row r="306">
      <x:c r="A306" t="n">
        <x:v>304</x:v>
      </x:c>
      <x:c r="B306" t="inlineStr">
        <x:is>
          <x:t xml:space="preserve">ยาแก้ปวดเกร็งกล้ามเนื้อเรียบ (D)</x:t>
        </x:is>
      </x:c>
      <x:c r="C306" t="n">
        <x:v>1484</x:v>
      </x:c>
      <x:c r="D306" t="inlineStr">
        <x:is>
          <x:t xml:space="preserve">Colofac 135</x:t>
        </x:is>
      </x:c>
      <x:c r="E306" t="inlineStr">
        <x:is>
          <x:t xml:space="preserve">แผง 10 เม็ด</x:t>
        </x:is>
      </x:c>
      <x:c r="F306" t="inlineStr">
        <x:is>
          <x:t xml:space="preserve">Mebeverine HCl 135 mg.</x:t>
        </x:is>
      </x:c>
      <x:c r="G306" t="inlineStr">
        <x:is>
          <x:t xml:space="preserve">BDS001484</x:t>
        </x:is>
      </x:c>
      <x:c r="H306" t="inlineStr">
        <x:is>
          <x:t xml:space="preserve">Colofac 135 (10 tabs)</x:t>
        </x:is>
      </x:c>
      <x:c r="I306" t="inlineStr">
        <x:is>
          <x:t xml:space="preserve">รับประทานครั้งละ 1 เม็ด วันละ 3 ครั้ง ก่อนอาหาร</x:t>
        </x:is>
      </x:c>
      <x:c r="P306" t="inlineStr">
        <x:is>
          <x:t xml:space="preserve">Antispasmodics (smooth muscle cramps / abdominal colic)</x:t>
        </x:is>
      </x:c>
    </x:row>
    <x:row r="307">
      <x:c r="A307" t="n">
        <x:v>305</x:v>
      </x:c>
      <x:c r="B307" t="inlineStr">
        <x:is>
          <x:t xml:space="preserve">ยาแก้ปวดเกร็งกล้ามเนื้อเรียบ (D)</x:t>
        </x:is>
      </x:c>
      <x:c r="C307" t="n">
        <x:v>1707</x:v>
      </x:c>
      <x:c r="D307" t="inlineStr">
        <x:is>
          <x:t xml:space="preserve">Duspatin 135</x:t>
        </x:is>
      </x:c>
      <x:c r="E307" t="inlineStr">
        <x:is>
          <x:t xml:space="preserve">แผง 10 เม็ด</x:t>
        </x:is>
      </x:c>
      <x:c r="F307" t="inlineStr">
        <x:is>
          <x:t xml:space="preserve">Mebeverine HCl 135 mg.</x:t>
        </x:is>
      </x:c>
      <x:c r="G307" t="inlineStr">
        <x:is>
          <x:t xml:space="preserve">BDS001707</x:t>
        </x:is>
      </x:c>
      <x:c r="H307" t="inlineStr">
        <x:is>
          <x:t xml:space="preserve">Duspatin 135 (10 tabs)</x:t>
        </x:is>
      </x:c>
      <x:c r="I307" t="inlineStr">
        <x:is>
          <x:t xml:space="preserve">รับประทานครั้งละ 1 เม็ด พร้อมน้ำ วันละ 3 ครั้ง ก่อนอาหาร 20 นาที</x:t>
        </x:is>
      </x:c>
      <x:c r="P307" t="inlineStr">
        <x:is>
          <x:t xml:space="preserve">Antispasmodics (smooth muscle cramps / abdominal colic)</x:t>
        </x:is>
      </x:c>
    </x:row>
    <x:row r="308">
      <x:c r="A308" t="n">
        <x:v>306</x:v>
      </x:c>
      <x:c r="B308" t="inlineStr">
        <x:is>
          <x:t xml:space="preserve">ยาแก้ปวดเกร็งกล้ามเนื้อเรียบ (D)</x:t>
        </x:is>
      </x:c>
      <x:c r="C308" t="n">
        <x:v>7284</x:v>
      </x:c>
      <x:c r="D308" t="inlineStr">
        <x:is>
          <x:t xml:space="preserve">Scopas S/C tabslets</x:t>
        </x:is>
      </x:c>
      <x:c r="E308" t="inlineStr">
        <x:is>
          <x:t xml:space="preserve">แผง 10 เม็ด</x:t>
        </x:is>
      </x:c>
      <x:c r="F308" t="inlineStr">
        <x:is>
          <x:t xml:space="preserve">Hyoscine-N-butylbromide 10 mg.</x:t>
        </x:is>
      </x:c>
      <x:c r="G308" t="inlineStr">
        <x:is>
          <x:t xml:space="preserve">BDS007284</x:t>
        </x:is>
      </x:c>
      <x:c r="H308" t="inlineStr">
        <x:is>
          <x:t xml:space="preserve">Scopas S/C tabslets (10 tabs)</x:t>
        </x:is>
      </x:c>
      <x:c r="I308" t="inlineStr">
        <x:is>
          <x:t xml:space="preserve">รับประทานครั้งละ 1-2 เม็ด วันละ 3 ครั้ง หรือเมื่อมีอาการ</x:t>
        </x:is>
      </x:c>
      <x:c r="P308" t="inlineStr">
        <x:is>
          <x:t xml:space="preserve">Antispasmodics (smooth muscle cramps / abdominal colic)</x:t>
        </x:is>
      </x:c>
    </x:row>
    <x:row r="309">
      <x:c r="A309" t="n">
        <x:v>307</x:v>
      </x:c>
      <x:c r="B309" t="inlineStr">
        <x:is>
          <x:t xml:space="preserve">ยาแก้ปวดเกร็งกล้ามเนื้อเรียบ (D)</x:t>
        </x:is>
      </x:c>
      <x:c r="C309" t="n">
        <x:v>7303</x:v>
      </x:c>
      <x:c r="D309" t="inlineStr">
        <x:is>
          <x:t xml:space="preserve">Spacovin 40</x:t>
        </x:is>
      </x:c>
      <x:c r="E309" t="inlineStr">
        <x:is>
          <x:t xml:space="preserve">แผง 10 เม็ด</x:t>
        </x:is>
      </x:c>
      <x:c r="F309" t="inlineStr">
        <x:is>
          <x:t xml:space="preserve">Drotaverine Hydrochloride 40 mg.</x:t>
        </x:is>
      </x:c>
      <x:c r="G309" t="inlineStr">
        <x:is>
          <x:t xml:space="preserve">BDS007303</x:t>
        </x:is>
      </x:c>
      <x:c r="H309" t="inlineStr">
        <x:is>
          <x:t xml:space="preserve">Spacovin 40 (10 tabs)</x:t>
        </x:is>
      </x:c>
      <x:c r="I309" t="inlineStr">
        <x:is>
          <x:t xml:space="preserve">รับประทานครั้งละ 1-2 เม็ด วันละ 3 ครั้ง หรือเมื่อมีอาการ</x:t>
        </x:is>
      </x:c>
      <x:c r="P309" t="inlineStr">
        <x:is>
          <x:t xml:space="preserve">Antispasmodics (smooth muscle cramps / abdominal colic)</x:t>
        </x:is>
      </x:c>
    </x:row>
    <x:row r="310">
      <x:c r="A310" t="n">
        <x:v>308</x:v>
      </x:c>
      <x:c r="B310" t="inlineStr">
        <x:is>
          <x:t xml:space="preserve">ยาแก้ปวดเกร็งกล้ามเนื้อเรียบ (D)</x:t>
        </x:is>
      </x:c>
      <x:c r="C310" t="n">
        <x:v>7107</x:v>
      </x:c>
      <x:c r="D310" t="inlineStr">
        <x:is>
          <x:t xml:space="preserve">Sparta</x:t>
        </x:is>
      </x:c>
      <x:c r="E310" t="inlineStr">
        <x:is>
          <x:t xml:space="preserve">แผง 10 เม็ด</x:t>
        </x:is>
      </x:c>
      <x:c r="F310" t="inlineStr">
        <x:is>
          <x:t xml:space="preserve">Drotaverine Hydrochloride 40 mg.</x:t>
        </x:is>
      </x:c>
      <x:c r="G310" t="inlineStr">
        <x:is>
          <x:t xml:space="preserve">BDS007107</x:t>
        </x:is>
      </x:c>
      <x:c r="H310" t="inlineStr">
        <x:is>
          <x:t xml:space="preserve">Sparta (10 tabs)</x:t>
        </x:is>
      </x:c>
      <x:c r="I310" t="inlineStr">
        <x:is>
          <x:t xml:space="preserve">รับประทานครั้งละ 1-2 เม็ด วันละ 3 ครั้ง หรือเมื่อมีอาการ</x:t>
        </x:is>
      </x:c>
      <x:c r="P310" t="inlineStr">
        <x:is>
          <x:t xml:space="preserve">Antispasmodics (smooth muscle cramps / abdominal colic)</x:t>
        </x:is>
      </x:c>
    </x:row>
    <x:row r="311">
      <x:c r="A311" t="n">
        <x:v>309</x:v>
      </x:c>
      <x:c r="B311" t="inlineStr">
        <x:is>
          <x:t xml:space="preserve">ยาแก้ปวดเกร็งกล้ามเนื้อเรียบ (D)</x:t>
        </x:is>
      </x:c>
      <x:c r="C311" t="n">
        <x:v>7274</x:v>
      </x:c>
      <x:c r="D311" t="inlineStr">
        <x:is>
          <x:t xml:space="preserve">Spasuri</x:t>
        </x:is>
      </x:c>
      <x:c r="E311" t="inlineStr">
        <x:is>
          <x:t xml:space="preserve">แผง 10 เม็ด</x:t>
        </x:is>
      </x:c>
      <x:c r="F311" t="inlineStr">
        <x:is>
          <x:t xml:space="preserve">Flavoxate HCl 100 mg.</x:t>
        </x:is>
      </x:c>
      <x:c r="G311" t="inlineStr">
        <x:is>
          <x:t xml:space="preserve">BDS007274</x:t>
        </x:is>
      </x:c>
      <x:c r="H311" t="inlineStr">
        <x:is>
          <x:t xml:space="preserve">Spasuri (10 tabs)</x:t>
        </x:is>
      </x:c>
      <x:c r="I311" t="inlineStr">
        <x:is>
          <x:t xml:space="preserve">รับประทานครั้งละ 1-2 เม็ด วันละ 3 ครั้ง หรือเมื่อมีอาการ</x:t>
        </x:is>
      </x:c>
      <x:c r="P311" t="inlineStr">
        <x:is>
          <x:t xml:space="preserve">Antispasmodics (smooth muscle cramps / abdominal colic)</x:t>
        </x:is>
      </x:c>
    </x:row>
    <x:row r="312">
      <x:c r="A312" t="n">
        <x:v>310</x:v>
      </x:c>
      <x:c r="B312" t="inlineStr">
        <x:is>
          <x:t xml:space="preserve">ยาลดกรด, เคลือบกระเพาะ ชนิดน้ำ</x:t>
        </x:is>
      </x:c>
      <x:c r="C312" t="n">
        <x:v>1042</x:v>
      </x:c>
      <x:c r="D312" t="inlineStr">
        <x:is>
          <x:t xml:space="preserve">Amogin-Gel bottle 240 ml</x:t>
        </x:is>
      </x:c>
      <x:c r="E312" t="inlineStr">
        <x:is>
          <x:t xml:space="preserve">ขวด 240 ml.</x:t>
        </x:is>
      </x:c>
      <x:c r="F312" t="inlineStr">
        <x:is>
          <x:t xml:space="preserve">Aluminium Hydroxide 0.459 g.+Magnesium Hydroxide 0.300 g.+Dimethylpolysiloxane 0.021 g.</x:t>
        </x:is>
      </x:c>
      <x:c r="G312" t="inlineStr">
        <x:is>
          <x:t xml:space="preserve">BDS001042</x:t>
        </x:is>
      </x:c>
      <x:c r="H312" t="inlineStr">
        <x:is>
          <x:t xml:space="preserve">Amogin-Gel bottle 240 ml (240 ml.)</x:t>
        </x:is>
      </x:c>
      <x:c r="I312" t="inlineStr">
        <x:is>
          <x:t xml:space="preserve">รับประทานครั้งละ 1-2 ช้อนโต๊ะ วันละ 3-4 ครั้ง ก่อนอาหาร และก่อนนอน</x:t>
        </x:is>
      </x:c>
    </x:row>
    <x:row r="313">
      <x:c r="A313" t="n">
        <x:v>311</x:v>
      </x:c>
      <x:c r="B313" t="inlineStr">
        <x:is>
          <x:t xml:space="preserve">ยาลดกรด, เคลือบกระเพาะ ชนิดน้ำ</x:t>
        </x:is>
      </x:c>
      <x:c r="C313" t="n">
        <x:v>1095</x:v>
      </x:c>
      <x:c r="D313" t="inlineStr">
        <x:is>
          <x:t xml:space="preserve">Amogin-Gel sachet 15 ml</x:t>
        </x:is>
      </x:c>
      <x:c r="E313" t="inlineStr">
        <x:is>
          <x:t xml:space="preserve">ซอง 15 ml.</x:t>
        </x:is>
      </x:c>
      <x:c r="F313" t="inlineStr">
        <x:is>
          <x:t xml:space="preserve">Aluminium Hydroxide 0.459 g.+Magnesium Hydroxide 0.300 g.+Dimethylpolysiloxane 0.021 g.</x:t>
        </x:is>
      </x:c>
      <x:c r="G313" t="inlineStr">
        <x:is>
          <x:t xml:space="preserve">BDS001095</x:t>
        </x:is>
      </x:c>
      <x:c r="H313" t="inlineStr">
        <x:is>
          <x:t xml:space="preserve">Amogin-Gel sachet 15 ml (15 ml.)</x:t>
        </x:is>
      </x:c>
      <x:c r="I313" t="inlineStr">
        <x:is>
          <x:t xml:space="preserve">รับประทานครั้ง 1-2 ซอง วันละ 3-4 ครั้ง 1 ชั่วโมง ก่อนอาหาร และก่อนนอน</x:t>
        </x:is>
      </x:c>
    </x:row>
    <x:row r="314">
      <x:c r="A314" t="n">
        <x:v>312</x:v>
      </x:c>
      <x:c r="B314" t="inlineStr">
        <x:is>
          <x:t xml:space="preserve">ยาลดกรด, เคลือบกระเพาะ ชนิดน้ำ</x:t>
        </x:is>
      </x:c>
      <x:c r="C314" t="n">
        <x:v>1050</x:v>
      </x:c>
      <x:c r="D314" t="inlineStr">
        <x:is>
          <x:t xml:space="preserve">Antacil Gel กลาง</x:t>
        </x:is>
      </x:c>
      <x:c r="E314" t="inlineStr">
        <x:is>
          <x:t xml:space="preserve">ขวด 450 ml.</x:t>
        </x:is>
      </x:c>
      <x:c r="F314" t="inlineStr">
        <x:is>
          <x:t xml:space="preserve">Aluminium Hydroxide 960 mg. (Aluminium Hydroxide Compressed Gel)+Magnesium Hydroxide 330 mg.+Simethicone 60 mg./15 ml.</x:t>
        </x:is>
      </x:c>
      <x:c r="G314" t="inlineStr">
        <x:is>
          <x:t xml:space="preserve">BDS001050</x:t>
        </x:is>
      </x:c>
      <x:c r="H314" t="inlineStr">
        <x:is>
          <x:t xml:space="preserve">Antacil Gel กลาง (450 ml.)</x:t>
        </x:is>
      </x:c>
      <x:c r="I314" t="inlineStr">
        <x:is>
          <x:t xml:space="preserve">รับประทานครั้งละ 1-2 ช้อนโต๊ะ วันละ 3-4 ครั้ง</x:t>
        </x:is>
      </x:c>
    </x:row>
    <x:row r="315">
      <x:c r="A315" t="n">
        <x:v>313</x:v>
      </x:c>
      <x:c r="B315" t="inlineStr">
        <x:is>
          <x:t xml:space="preserve">ยาลดกรด, เคลือบกระเพาะ ชนิดน้ำ</x:t>
        </x:is>
      </x:c>
      <x:c r="C315" t="n">
        <x:v>1048</x:v>
      </x:c>
      <x:c r="D315" t="inlineStr">
        <x:is>
          <x:t xml:space="preserve">Antacil Gel เล็ก</x:t>
        </x:is>
      </x:c>
      <x:c r="E315" t="inlineStr">
        <x:is>
          <x:t xml:space="preserve">ขวด 240 ml.</x:t>
        </x:is>
      </x:c>
      <x:c r="F315" t="inlineStr">
        <x:is>
          <x:t xml:space="preserve">Aluminium Hydroxide 960 mg. (Aluminium Hydroxide Compressed Gel)+Magnesium Hydroxide 330 mg.+Simethicone 60 mg./15 ml.</x:t>
        </x:is>
      </x:c>
      <x:c r="G315" t="inlineStr">
        <x:is>
          <x:t xml:space="preserve">BDS001048</x:t>
        </x:is>
      </x:c>
      <x:c r="H315" t="inlineStr">
        <x:is>
          <x:t xml:space="preserve">Antacil Gel เล็ก (240 ml.)</x:t>
        </x:is>
      </x:c>
      <x:c r="I315" t="inlineStr">
        <x:is>
          <x:t xml:space="preserve">รับประทานครั้งละ 1-2 ช้อนโต๊ะ วันละ 3-4 ครั้ง</x:t>
        </x:is>
      </x:c>
    </x:row>
    <x:row r="316">
      <x:c r="A316" t="n">
        <x:v>314</x:v>
      </x:c>
      <x:c r="B316" t="inlineStr">
        <x:is>
          <x:t xml:space="preserve">ยาลดกรด, เคลือบกระเพาะ ชนิดน้ำ</x:t>
        </x:is>
      </x:c>
      <x:c r="C316" t="n">
        <x:v>40608</x:v>
      </x:c>
      <x:c r="D316" t="inlineStr">
        <x:is>
          <x:t xml:space="preserve">Belcid Forte Suspension</x:t>
        </x:is>
      </x:c>
      <x:c r="E316" t="inlineStr">
        <x:is>
          <x:t xml:space="preserve">ขวด 240 ml.</x:t>
        </x:is>
      </x:c>
      <x:c r="F316" t="inlineStr">
        <x:is>
          <x:t xml:space="preserve">Aluminium Hydroxide Gel (eq. to Aluminium Hydroxide 306 mg.+Magnesium Hydroxide 110 mg.+ Simethicone 30 mg./5 ml.</x:t>
        </x:is>
      </x:c>
      <x:c r="G316" t="inlineStr">
        <x:is>
          <x:t xml:space="preserve">BDS040608</x:t>
        </x:is>
      </x:c>
      <x:c r="H316" t="inlineStr">
        <x:is>
          <x:t xml:space="preserve">Belcid Forte Suspension (240 ml.)</x:t>
        </x:is>
      </x:c>
      <x:c r="I316" t="inlineStr">
        <x:is>
          <x:t xml:space="preserve">รับประทานครั้งละ 1-4 ช้อนชา เมื่อมีอาการ </x:t>
        </x:is>
      </x:c>
    </x:row>
    <x:row r="317">
      <x:c r="A317" t="n">
        <x:v>315</x:v>
      </x:c>
      <x:c r="B317" t="inlineStr">
        <x:is>
          <x:t xml:space="preserve">ยาลดกรด, เคลือบกระเพาะ ชนิดน้ำ</x:t>
        </x:is>
      </x:c>
      <x:c r="C317" t="n">
        <x:v>7133</x:v>
      </x:c>
      <x:c r="D317" t="inlineStr">
        <x:is>
          <x:t xml:space="preserve">Gaspec-S</x:t>
        </x:is>
      </x:c>
      <x:c r="E317" t="inlineStr">
        <x:is>
          <x:t xml:space="preserve">ขวด 240 ml.</x:t>
        </x:is>
      </x:c>
      <x:c r="F317" t="inlineStr">
        <x:is>
          <x:t xml:space="preserve">Simethicone 60 mg+Dried Aluminium Hydroxide gel 600 mg+Magnesium Hydroxide 375 mg./15 ml.</x:t>
        </x:is>
      </x:c>
      <x:c r="G317" t="inlineStr">
        <x:is>
          <x:t xml:space="preserve">BDS007133</x:t>
        </x:is>
      </x:c>
      <x:c r="H317" t="inlineStr">
        <x:is>
          <x:t xml:space="preserve">Gaspec-S (240 ml.)</x:t>
        </x:is>
      </x:c>
      <x:c r="I317" t="inlineStr">
        <x:is>
          <x:t xml:space="preserve">รับประทานครั้งละ 1-2 ช้อนโต๊ะ วันละ 4-6 ครั้ง</x:t>
        </x:is>
      </x:c>
    </x:row>
    <x:row r="318">
      <x:c r="A318" t="n">
        <x:v>316</x:v>
      </x:c>
      <x:c r="B318" t="inlineStr">
        <x:is>
          <x:t xml:space="preserve">ยาลดกรด, เคลือบกระเพาะ ชนิดน้ำ</x:t>
        </x:is>
      </x:c>
      <x:c r="C318" t="n">
        <x:v>2010</x:v>
      </x:c>
      <x:c r="D318" t="inlineStr">
        <x:is>
          <x:t xml:space="preserve">Gastro Bismol</x:t>
        </x:is>
      </x:c>
      <x:c r="E318" t="inlineStr">
        <x:is>
          <x:t xml:space="preserve">ขวด 240 ml.</x:t>
        </x:is>
      </x:c>
      <x:c r="F318" t="inlineStr">
        <x:is>
          <x:t xml:space="preserve">Bismuth Subsalicylate 262 mg.</x:t>
        </x:is>
      </x:c>
      <x:c r="G318" t="inlineStr">
        <x:is>
          <x:t xml:space="preserve">BDS002010</x:t>
        </x:is>
      </x:c>
      <x:c r="H318" t="inlineStr">
        <x:is>
          <x:t xml:space="preserve">Gastro Bismol (240 ml.)</x:t>
        </x:is>
      </x:c>
      <x:c r="I318" t="inlineStr">
        <x:is>
          <x:t xml:space="preserve">ผู้ใหญ่รับประทานครั้งละ 2 ช้อนโต๊ะ วันละ 4 ครั้ง ก่อนอาหารและก่อนนอน</x:t>
        </x:is>
      </x:c>
      <x:c r="J318" t="inlineStr">
        <x:is>
          <x:t xml:space="preserve">Adults take 2 tablespoons at a time. 4 times a day before meals and before bedtime</x:t>
        </x:is>
      </x:c>
    </x:row>
    <x:row r="319">
      <x:c r="A319" t="n">
        <x:v>317</x:v>
      </x:c>
      <x:c r="B319" t="inlineStr">
        <x:is>
          <x:t xml:space="preserve">ยาลดกรด, เคลือบกระเพาะ ชนิดน้ำ</x:t>
        </x:is>
      </x:c>
      <x:c r="C319" t="n">
        <x:v>43614</x:v>
      </x:c>
      <x:c r="D319" t="inlineStr">
        <x:is>
          <x:t xml:space="preserve">Gaviscon Advance bottle 150 ml</x:t>
        </x:is>
      </x:c>
      <x:c r="E319" t="inlineStr">
        <x:is>
          <x:t xml:space="preserve">ขวด 150 ml.</x:t>
        </x:is>
      </x:c>
      <x:c r="F319" t="inlineStr">
        <x:is>
          <x:t xml:space="preserve">Sodium alginate Ph Eur 1000 mg.+Potassium bicarbonate 200 mg. +Calcium carbonate+Carbomer+Methyl (E218)+Propyl (E216)+อื่นๆ</x:t>
        </x:is>
      </x:c>
      <x:c r="G319" t="inlineStr">
        <x:is>
          <x:t xml:space="preserve">BDS043614</x:t>
        </x:is>
      </x:c>
      <x:c r="H319" t="inlineStr">
        <x:is>
          <x:t xml:space="preserve">Gaviscon Advance bottle 150 ml (150 ml.)</x:t>
        </x:is>
      </x:c>
      <x:c r="I319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19" t="inlineStr">
        <x:is>
          <x:t xml:space="preserve">Adults take 2-4 teaspoons at a time. 4 times a day, after meals and before bedtime</x:t>
        </x:is>
      </x:c>
    </x:row>
    <x:row r="320">
      <x:c r="A320" t="n">
        <x:v>318</x:v>
      </x:c>
      <x:c r="B320" t="inlineStr">
        <x:is>
          <x:t xml:space="preserve">ยาลดกรด, เคลือบกระเพาะ ชนิดน้ำ</x:t>
        </x:is>
      </x:c>
      <x:c r="C320" t="n">
        <x:v>43613</x:v>
      </x:c>
      <x:c r="D320" t="inlineStr">
        <x:is>
          <x:t xml:space="preserve">Gaviscon Advance sachet 10 ml</x:t>
        </x:is>
      </x:c>
      <x:c r="E320" t="inlineStr">
        <x:is>
          <x:t xml:space="preserve">ซอง 10 ml.</x:t>
        </x:is>
      </x:c>
      <x:c r="F320" t="inlineStr">
        <x:is>
          <x:t xml:space="preserve">Sodium alginate Ph Eur 1000 mg.+Potassium bicarbonate 200 mg.+Calcium carbonate+Carbomer+Methyl (E218)+Propyl (E216)+อื่นๆ</x:t>
        </x:is>
      </x:c>
      <x:c r="G320" t="inlineStr">
        <x:is>
          <x:t xml:space="preserve">BDS043613</x:t>
        </x:is>
      </x:c>
      <x:c r="H320" t="inlineStr">
        <x:is>
          <x:t xml:space="preserve">Gaviscon Advance sachet 10 ml (10 ml.)</x:t>
        </x:is>
      </x:c>
      <x:c r="I320" t="inlineStr">
        <x:is>
          <x:t xml:space="preserve">ผู้ใหญ่รับประทานครั้งละ 1-2 ซองวันละ 4 ครั้ง หลังอาหารและก่อนนอน</x:t>
        </x:is>
      </x:c>
      <x:c r="J320" t="inlineStr">
        <x:is>
          <x:t xml:space="preserve">Adults take 1-2 sachets 4 times a day after meals and before bedtime</x:t>
        </x:is>
      </x:c>
    </x:row>
    <x:row r="321">
      <x:c r="A321" t="n">
        <x:v>319</x:v>
      </x:c>
      <x:c r="B321" t="inlineStr">
        <x:is>
          <x:t xml:space="preserve">ยาลดกรด, เคลือบกระเพาะ ชนิดน้ำ</x:t>
        </x:is>
      </x:c>
      <x:c r="C321" t="n">
        <x:v>2012</x:v>
      </x:c>
      <x:c r="D321" t="inlineStr">
        <x:is>
          <x:t xml:space="preserve">Gaviscon Dual Action bottle 150 ml</x:t>
        </x:is>
      </x:c>
      <x:c r="E321" t="inlineStr">
        <x:is>
          <x:t xml:space="preserve">ขวด 150 ml.</x:t>
        </x:is>
      </x:c>
      <x:c r="F321" t="inlineStr">
        <x:is>
          <x:t xml:space="preserve">Sodium alginate 500 mg.+Sodium bicarbonate 213 mg.+Calcium carbonate 325 mg.</x:t>
        </x:is>
      </x:c>
      <x:c r="G321" t="inlineStr">
        <x:is>
          <x:t xml:space="preserve">BDS002012</x:t>
        </x:is>
      </x:c>
      <x:c r="H321" t="inlineStr">
        <x:is>
          <x:t xml:space="preserve">Gaviscon Dual Action bottle 150 ml (150 ml.)</x:t>
        </x:is>
      </x:c>
      <x:c r="I321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21" t="inlineStr">
        <x:is>
          <x:t xml:space="preserve">Adults take 2-4 teaspoons at a time. 4 times a day, after meals and before bedtime</x:t>
        </x:is>
      </x:c>
    </x:row>
    <x:row r="322">
      <x:c r="A322" t="n">
        <x:v>320</x:v>
      </x:c>
      <x:c r="B322" t="inlineStr">
        <x:is>
          <x:t xml:space="preserve">ยาลดกรด, เคลือบกระเพาะ ชนิดน้ำ</x:t>
        </x:is>
      </x:c>
      <x:c r="C322" t="n">
        <x:v>2033</x:v>
      </x:c>
      <x:c r="D322" t="inlineStr">
        <x:is>
          <x:t xml:space="preserve">Gaviscon Dual Action sachet 10 ml</x:t>
        </x:is>
      </x:c>
      <x:c r="E322" t="inlineStr">
        <x:is>
          <x:t xml:space="preserve">ซอง 10 ml.</x:t>
        </x:is>
      </x:c>
      <x:c r="F322" t="inlineStr">
        <x:is>
          <x:t xml:space="preserve">Sodium alginate 500 mg.+Sodium bicarbonate 213 mg.+Calcium carbonate 325 mg.</x:t>
        </x:is>
      </x:c>
      <x:c r="G322" t="inlineStr">
        <x:is>
          <x:t xml:space="preserve">BDS002033</x:t>
        </x:is>
      </x:c>
      <x:c r="H322" t="inlineStr">
        <x:is>
          <x:t xml:space="preserve">Gaviscon Dual Action sachet 10 ml (10 ml.)</x:t>
        </x:is>
      </x:c>
      <x:c r="I322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2" t="inlineStr">
        <x:is>
          <x:t xml:space="preserve">Adults take 1-2 sachets 4 times a day after meals and before bedtime</x:t>
        </x:is>
      </x:c>
    </x:row>
    <x:row r="323">
      <x:c r="A323" t="n">
        <x:v>321</x:v>
      </x:c>
      <x:c r="B323" t="inlineStr">
        <x:is>
          <x:t xml:space="preserve">ยาลดกรด, เคลือบกระเพาะ ชนิดน้ำ</x:t>
        </x:is>
      </x:c>
      <x:c r="C323" t="n">
        <x:v>2014</x:v>
      </x:c>
      <x:c r="D323" t="inlineStr">
        <x:is>
          <x:t xml:space="preserve">Gaviscon Suspension bottle 150 ml</x:t>
        </x:is>
      </x:c>
      <x:c r="E323" t="inlineStr">
        <x:is>
          <x:t xml:space="preserve">ขวด 150 ml.</x:t>
        </x:is>
      </x:c>
      <x:c r="F323" t="inlineStr">
        <x:is>
          <x:t xml:space="preserve">Sodium alginate 500 mg.+Sodium bicarbonate 267 mg./10 ml.</x:t>
        </x:is>
      </x:c>
      <x:c r="G323" t="inlineStr">
        <x:is>
          <x:t xml:space="preserve">BDS002014</x:t>
        </x:is>
      </x:c>
      <x:c r="H323" t="inlineStr">
        <x:is>
          <x:t xml:space="preserve">Gaviscon Suspension bottle 150 ml (150 ml.)</x:t>
        </x:is>
      </x:c>
      <x:c r="I323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23" t="inlineStr">
        <x:is>
          <x:t xml:space="preserve">Adults take 2-4 teaspoons at a time. 4 times a day, after meals and before bedtime</x:t>
        </x:is>
      </x:c>
    </x:row>
    <x:row r="324">
      <x:c r="A324" t="n">
        <x:v>322</x:v>
      </x:c>
      <x:c r="B324" t="inlineStr">
        <x:is>
          <x:t xml:space="preserve">ยาลดกรด, เคลือบกระเพาะ ชนิดน้ำ</x:t>
        </x:is>
      </x:c>
      <x:c r="C324" t="n">
        <x:v>2013</x:v>
      </x:c>
      <x:c r="D324" t="inlineStr">
        <x:is>
          <x:t xml:space="preserve">Gaviscon Suspension sachet 10 ml</x:t>
        </x:is>
      </x:c>
      <x:c r="E324" t="inlineStr">
        <x:is>
          <x:t xml:space="preserve">ซอง 10 ml.</x:t>
        </x:is>
      </x:c>
      <x:c r="F324" t="inlineStr">
        <x:is>
          <x:t xml:space="preserve">Sodium alginate 500 mg.+Sodium bicarbonate 267 mg.+Calcium carbonate 160 mg./10 ml.</x:t>
        </x:is>
      </x:c>
      <x:c r="G324" t="inlineStr">
        <x:is>
          <x:t xml:space="preserve">BDS002013</x:t>
        </x:is>
      </x:c>
      <x:c r="H324" t="inlineStr">
        <x:is>
          <x:t xml:space="preserve">Gaviscon Suspension sachet 10 ml (10 ml.)</x:t>
        </x:is>
      </x:c>
      <x:c r="I324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4" t="inlineStr">
        <x:is>
          <x:t xml:space="preserve">Adults take 1-2 sachets 4 times a day after meals and before bedtime</x:t>
        </x:is>
      </x:c>
    </x:row>
    <x:row r="325">
      <x:c r="A325" t="n">
        <x:v>323</x:v>
      </x:c>
      <x:c r="B325" t="inlineStr">
        <x:is>
          <x:t xml:space="preserve">ยาลดกรด, เคลือบกระเพาะ ชนิดน้ำ</x:t>
        </x:is>
      </x:c>
      <x:c r="C325" t="n">
        <x:v>43606</x:v>
      </x:c>
      <x:c r="D325" t="inlineStr">
        <x:is>
          <x:t xml:space="preserve">Gaviscon Suspension กล่อง 4 ซอง</x:t>
        </x:is>
      </x:c>
      <x:c r="E325" t="inlineStr">
        <x:is>
          <x:t xml:space="preserve">กล่อง 4 ซอง</x:t>
        </x:is>
      </x:c>
      <x:c r="F325" t="inlineStr">
        <x:is>
          <x:t xml:space="preserve">Sodium alginate 500 mg.+Sodium bicarbonate 267 mg.+Calcium carbonate 160 mg./10 ml.</x:t>
        </x:is>
      </x:c>
      <x:c r="G325" t="inlineStr">
        <x:is>
          <x:t xml:space="preserve">BDS043606</x:t>
        </x:is>
      </x:c>
      <x:c r="H325" t="inlineStr">
        <x:is>
          <x:t xml:space="preserve">Gaviscon Suspension กล่อง 4 ซอง (4 sachets)</x:t>
        </x:is>
      </x:c>
      <x:c r="I325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5" t="inlineStr">
        <x:is>
          <x:t xml:space="preserve">Adults take 1-2 sachets 4 times a day after meals and before bedtime</x:t>
        </x:is>
      </x:c>
    </x:row>
    <x:row r="326">
      <x:c r="A326" t="n">
        <x:v>324</x:v>
      </x:c>
      <x:c r="B326" t="inlineStr">
        <x:is>
          <x:t xml:space="preserve">ยาลดกรด, เคลือบกระเพาะ ชนิดน้ำ</x:t>
        </x:is>
      </x:c>
      <x:c r="C326" t="n">
        <x:v>1029</x:v>
      </x:c>
      <x:c r="D326" t="inlineStr">
        <x:is>
          <x:t xml:space="preserve">Maalox Alum Milk</x:t>
        </x:is>
      </x:c>
      <x:c r="E326" t="inlineStr">
        <x:is>
          <x:t xml:space="preserve">ขวด 240 ml.</x:t>
        </x:is>
      </x:c>
      <x:c r="F326" t="inlineStr">
        <x:is>
          <x:t xml:space="preserve">Al(OH)3 4.4 g.+Mg(OH)2 2.4 g./100 ml.</x:t>
        </x:is>
      </x:c>
      <x:c r="G326" t="inlineStr">
        <x:is>
          <x:t xml:space="preserve">BDS001029</x:t>
        </x:is>
      </x:c>
      <x:c r="H326" t="inlineStr">
        <x:is>
          <x:t xml:space="preserve">Maalox Alum Milk (240 ml.)</x:t>
        </x:is>
      </x:c>
      <x:c r="I326" t="inlineStr">
        <x:is>
          <x:t xml:space="preserve">รับประทานครั้งละ 1-2 ช้อนโต๊ะ วันละ 3-4 ครั้ง</x:t>
        </x:is>
      </x:c>
    </x:row>
    <x:row r="327">
      <x:c r="A327" t="n">
        <x:v>325</x:v>
      </x:c>
      <x:c r="B327" t="inlineStr">
        <x:is>
          <x:t xml:space="preserve">ยาลดกรด, เคลือบกระเพาะ ชนิดน้ำ</x:t>
        </x:is>
      </x:c>
      <x:c r="C327" t="n">
        <x:v>3565</x:v>
      </x:c>
      <x:c r="D327" t="inlineStr">
        <x:is>
          <x:t xml:space="preserve">Sucrate Gel</x:t>
        </x:is>
      </x:c>
      <x:c r="E327" t="inlineStr">
        <x:is>
          <x:t xml:space="preserve">ซอง 5 ml.</x:t>
        </x:is>
      </x:c>
      <x:c r="F327" t="inlineStr">
        <x:is>
          <x:t xml:space="preserve">Sucralfate gel 1 g.</x:t>
        </x:is>
      </x:c>
      <x:c r="G327" t="inlineStr">
        <x:is>
          <x:t xml:space="preserve">BDS003565</x:t>
        </x:is>
      </x:c>
      <x:c r="H327" t="inlineStr">
        <x:is>
          <x:t xml:space="preserve">Sucrate Gel (5 ml.)</x:t>
        </x:is>
      </x:c>
      <x:c r="I327" t="inlineStr">
        <x:is>
          <x:t xml:space="preserve">รับประทานครั้งละ 1 ซอง วันละ 2 ครั้ง ก่อนอาหารเช้า 1 ชั่วโมง และก่อนนอน </x:t>
        </x:is>
      </x:c>
    </x:row>
    <x:row r="328">
      <x:c r="A328" t="n">
        <x:v>326</x:v>
      </x:c>
      <x:c r="B328" t="inlineStr">
        <x:is>
          <x:t xml:space="preserve">ยาลดกรด, เคลือบกระเพาะ ชนิดน้ำ</x:t>
        </x:is>
      </x:c>
      <x:c r="C328" t="n">
        <x:v>3918</x:v>
      </x:c>
      <x:c r="D328" t="inlineStr">
        <x:is>
          <x:t xml:space="preserve">Ulcefate Suspension bottle 240 ml</x:t>
        </x:is>
      </x:c>
      <x:c r="E328" t="inlineStr">
        <x:is>
          <x:t xml:space="preserve">ขวด 240 ml.</x:t>
        </x:is>
      </x:c>
      <x:c r="F328" t="inlineStr">
        <x:is>
          <x:t xml:space="preserve">Sucralfate 1 g./5 ml.</x:t>
        </x:is>
      </x:c>
      <x:c r="G328" t="inlineStr">
        <x:is>
          <x:t xml:space="preserve">BDS003918</x:t>
        </x:is>
      </x:c>
      <x:c r="H328" t="inlineStr">
        <x:is>
          <x:t xml:space="preserve">Ulcefate Suspension bottle 240 ml (240 ml.)</x:t>
        </x:is>
      </x:c>
      <x:c r="I328" t="inlineStr">
        <x:is>
          <x:t xml:space="preserve">รับประทานครั้งละ 1-2 ช้อนชา วันละ 2-4 ครั้ง ก่อนอาหารและก่อนนอน</x:t>
        </x:is>
      </x:c>
    </x:row>
    <x:row r="329">
      <x:c r="A329" t="n">
        <x:v>327</x:v>
      </x:c>
      <x:c r="B329" t="inlineStr">
        <x:is>
          <x:t xml:space="preserve">ยาลดกรด, เคลือบกระเพาะ ชนิดน้ำ</x:t>
        </x:is>
      </x:c>
      <x:c r="C329" t="n">
        <x:v>3917</x:v>
      </x:c>
      <x:c r="D329" t="inlineStr">
        <x:is>
          <x:t xml:space="preserve">Ulcefate Suspension bottle 60 ml</x:t>
        </x:is>
      </x:c>
      <x:c r="E329" t="inlineStr">
        <x:is>
          <x:t xml:space="preserve">ขวด 60 ml.</x:t>
        </x:is>
      </x:c>
      <x:c r="F329" t="inlineStr">
        <x:is>
          <x:t xml:space="preserve">Sucralfate 1 g./5 ml.</x:t>
        </x:is>
      </x:c>
      <x:c r="G329" t="inlineStr">
        <x:is>
          <x:t xml:space="preserve">BDS003917</x:t>
        </x:is>
      </x:c>
      <x:c r="H329" t="inlineStr">
        <x:is>
          <x:t xml:space="preserve">Ulcefate Suspension bottle 60 ml (60 ml.)</x:t>
        </x:is>
      </x:c>
      <x:c r="I329" t="inlineStr">
        <x:is>
          <x:t xml:space="preserve">รับประทานครั้งละ 1-2 ช้อนชา วันละ 3-4 ครั้ง ก่อนอาหารและก่อนนอน</x:t>
        </x:is>
      </x:c>
    </x:row>
    <x:row r="330">
      <x:c r="A330" t="n">
        <x:v>328</x:v>
      </x:c>
      <x:c r="B330" t="inlineStr">
        <x:is>
          <x:t xml:space="preserve">ยาลดกรด, เคลือบกระเพาะ ชนิดน้ำ</x:t>
        </x:is>
      </x:c>
      <x:c r="C330" t="n">
        <x:v>3915</x:v>
      </x:c>
      <x:c r="D330" t="inlineStr">
        <x:is>
          <x:t xml:space="preserve">Ulcefate Suspension sachet 5 ml</x:t>
        </x:is>
      </x:c>
      <x:c r="E330" t="inlineStr">
        <x:is>
          <x:t xml:space="preserve">ซอง 5 ml.</x:t>
        </x:is>
      </x:c>
      <x:c r="F330" t="inlineStr">
        <x:is>
          <x:t xml:space="preserve">Sucralfate 1 g.</x:t>
        </x:is>
      </x:c>
      <x:c r="G330" t="inlineStr">
        <x:is>
          <x:t xml:space="preserve">BDS003915</x:t>
        </x:is>
      </x:c>
      <x:c r="H330" t="inlineStr">
        <x:is>
          <x:t xml:space="preserve">Ulcefate Suspension sachet 5 ml (5 ml.)</x:t>
        </x:is>
      </x:c>
      <x:c r="I330" t="inlineStr">
        <x:is>
          <x:t xml:space="preserve">รับประทานครั้งละ 1-2 ซอง วันละ 2-4 ครั้ง ก่อนอาหารและก่อนนอน</x:t>
        </x:is>
      </x:c>
    </x:row>
    <x:row r="331">
      <x:c r="A331" t="n">
        <x:v>329</x:v>
      </x:c>
      <x:c r="B331" t="inlineStr">
        <x:is>
          <x:t xml:space="preserve">ยาลดกรด, เคลือบกระเพาะ ชนิดน้ำ</x:t>
        </x:is>
      </x:c>
      <x:c r="C331" t="n">
        <x:v>7951</x:v>
      </x:c>
      <x:c r="D331" t="inlineStr">
        <x:is>
          <x:t xml:space="preserve">Ziga Gel</x:t>
        </x:is>
      </x:c>
      <x:c r="E331" t="inlineStr">
        <x:is>
          <x:t xml:space="preserve">ขวด 240 ml.</x:t>
        </x:is>
      </x:c>
      <x:c r="F331" t="inlineStr">
        <x:is>
          <x:t xml:space="preserve">Al(OH)3 900 mg.+Mg(OH)2 400 mg.+Simethicone 70 mg./15 ml.</x:t>
        </x:is>
      </x:c>
      <x:c r="G331" t="inlineStr">
        <x:is>
          <x:t xml:space="preserve">BDS007951</x:t>
        </x:is>
      </x:c>
      <x:c r="H331" t="inlineStr">
        <x:is>
          <x:t xml:space="preserve">Ziga Gel (240 ml.)</x:t>
        </x:is>
      </x:c>
      <x:c r="I331" t="inlineStr">
        <x:is>
          <x:t xml:space="preserve">ผู้ใหญ่รับประทานครั้งละ 1 ช้อนโต๊ะ  วันละ 4 ครั้ง หลังอาหารและก่อนนอน</x:t>
        </x:is>
      </x:c>
    </x:row>
    <x:row r="332">
      <x:c r="A332" t="n">
        <x:v>330</x:v>
      </x:c>
      <x:c r="B332" t="inlineStr">
        <x:is>
          <x:t xml:space="preserve">ยาขับลม ชนิดน้ำ</x:t>
        </x:is>
      </x:c>
      <x:c r="C332" t="n">
        <x:v>1013</x:v>
      </x:c>
      <x:c r="D332" t="inlineStr">
        <x:is>
          <x:t xml:space="preserve">Air-X Drops</x:t>
        </x:is>
      </x:c>
      <x:c r="E332" t="inlineStr">
        <x:is>
          <x:t xml:space="preserve">ขวด 15 ml.</x:t>
        </x:is>
      </x:c>
      <x:c r="F332" t="inlineStr">
        <x:is>
          <x:t xml:space="preserve">Simethicone 40 mg./0.6 ml.</x:t>
        </x:is>
      </x:c>
      <x:c r="G332" t="inlineStr">
        <x:is>
          <x:t xml:space="preserve">BDS001013</x:t>
        </x:is>
      </x:c>
      <x:c r="H332" t="inlineStr">
        <x:is>
          <x:t xml:space="preserve">Air-X Drops (15 ml.)</x:t>
        </x:is>
      </x:c>
      <x:c r="I332" t="inlineStr">
        <x:is>
          <x:t xml:space="preserve">รับประทานครั้งละ 0.3 ml. วันละ 3 ครั้ง หลังอาหาร</x:t>
        </x:is>
      </x:c>
      <x:c r="P332" t="inlineStr">
        <x:is>
          <x:t xml:space="preserve">Carminatives (gas relief)</x:t>
        </x:is>
      </x:c>
    </x:row>
    <x:row r="333">
      <x:c r="A333" t="n">
        <x:v>331</x:v>
      </x:c>
      <x:c r="B333" t="inlineStr">
        <x:is>
          <x:t xml:space="preserve">ยาขับลม ชนิดน้ำ</x:t>
        </x:is>
      </x:c>
      <x:c r="C333" t="n">
        <x:v>2631</x:v>
      </x:c>
      <x:c r="D333" t="inlineStr">
        <x:is>
          <x:t xml:space="preserve">Mixt.Carminative (GPO) 180 ml</x:t>
        </x:is>
      </x:c>
      <x:c r="E333" t="inlineStr">
        <x:is>
          <x:t xml:space="preserve">ขวด 180 ml.</x:t>
        </x:is>
      </x:c>
      <x:c r="F333" t="inlineStr">
        <x:is>
          <x:t xml:space="preserve">Cardamon Tincture 1.80 ml.+Capsicum Tincture 0.06 ml.+Ginger Tincture 0.024 ml./15 ml.</x:t>
        </x:is>
      </x:c>
      <x:c r="G333" t="inlineStr">
        <x:is>
          <x:t xml:space="preserve">BDS002631</x:t>
        </x:is>
      </x:c>
      <x:c r="H333" t="inlineStr">
        <x:is>
          <x:t xml:space="preserve">Mixt.Carminative (GPO) 180 ml (180 ml.)</x:t>
        </x:is>
      </x:c>
      <x:c r="I333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333" t="inlineStr">
        <x:is>
          <x:t xml:space="preserve">Carminatives (gas relief)</x:t>
        </x:is>
      </x:c>
    </x:row>
    <x:row r="334">
      <x:c r="A334" t="n">
        <x:v>332</x:v>
      </x:c>
      <x:c r="B334" t="inlineStr">
        <x:is>
          <x:t xml:space="preserve">ยาขับลม ชนิดน้ำ</x:t>
        </x:is>
      </x:c>
      <x:c r="C334" t="n">
        <x:v>2632</x:v>
      </x:c>
      <x:c r="D334" t="inlineStr">
        <x:is>
          <x:t xml:space="preserve">Mixt.Carminative (GPO) 450 ml</x:t>
        </x:is>
      </x:c>
      <x:c r="E334" t="inlineStr">
        <x:is>
          <x:t xml:space="preserve">ขวด 450 ml.</x:t>
        </x:is>
      </x:c>
      <x:c r="F334" t="inlineStr">
        <x:is>
          <x:t xml:space="preserve">Cardamon Tincture 1.80 ml.+Capsicum Tincture 0.06 ml.+Ginger Tincture 0.024 ml./15 ml.</x:t>
        </x:is>
      </x:c>
      <x:c r="G334" t="inlineStr">
        <x:is>
          <x:t xml:space="preserve">BDS002632</x:t>
        </x:is>
      </x:c>
      <x:c r="H334" t="inlineStr">
        <x:is>
          <x:t xml:space="preserve">Mixt.Carminative (GPO) 450 ml (450 ml.)</x:t>
        </x:is>
      </x:c>
      <x:c r="I334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334" t="inlineStr">
        <x:is>
          <x:t xml:space="preserve">Carminatives (gas relief)</x:t>
        </x:is>
      </x:c>
    </x:row>
    <x:row r="335">
      <x:c r="A335" t="n">
        <x:v>333</x:v>
      </x:c>
      <x:c r="B335" t="inlineStr">
        <x:is>
          <x:t xml:space="preserve">ยาขับลม ชนิดน้ำ</x:t>
        </x:is>
      </x:c>
      <x:c r="C335" t="n">
        <x:v>7967</x:v>
      </x:c>
      <x:c r="D335" t="inlineStr">
        <x:is>
          <x:t xml:space="preserve">Ziga Gas</x:t>
        </x:is>
      </x:c>
      <x:c r="E335" t="inlineStr">
        <x:is>
          <x:t xml:space="preserve">ขวด 240 ml.</x:t>
        </x:is>
      </x:c>
      <x:c r="F335" t="inlineStr">
        <x:is>
          <x:t xml:space="preserve">เปล้าน้อย+สมุลแว้ง+ขมิ้นชัน+กานพลู+ลูกกระวาน+เกล็ดสะระแหน่</x:t>
        </x:is>
      </x:c>
      <x:c r="G335" t="inlineStr">
        <x:is>
          <x:t xml:space="preserve">BDS007967</x:t>
        </x:is>
      </x:c>
      <x:c r="H335" t="inlineStr">
        <x:is>
          <x:t xml:space="preserve">Ziga Gas (240 ml.)</x:t>
        </x:is>
      </x:c>
      <x:c r="I335" t="inlineStr">
        <x:is>
          <x:t xml:space="preserve">รับประทานครั้งละ 1-2 ช้อนโต๊ะ วันละ 3-4 ครั้ง หลังอาหาร และก่อนนอน</x:t>
        </x:is>
      </x:c>
      <x:c r="P335" t="inlineStr">
        <x:is>
          <x:t xml:space="preserve">Carminatives (gas relief)</x:t>
        </x:is>
      </x:c>
    </x:row>
    <x:row r="336">
      <x:c r="A336" t="n">
        <x:v>334</x:v>
      </x:c>
      <x:c r="B336" t="inlineStr">
        <x:is>
          <x:t xml:space="preserve">ยาคลายกล้ามเนื้อ (D)</x:t>
        </x:is>
      </x:c>
      <x:c r="C336" t="n">
        <x:v>6664</x:v>
      </x:c>
      <x:c r="D336" t="inlineStr">
        <x:is>
          <x:t xml:space="preserve">Baclofen</x:t>
        </x:is>
      </x:c>
      <x:c r="E336" t="inlineStr">
        <x:is>
          <x:t xml:space="preserve">แผง 10 เม็ด</x:t>
        </x:is>
      </x:c>
      <x:c r="F336" t="inlineStr">
        <x:is>
          <x:t xml:space="preserve">Baclofen 10 mg.</x:t>
        </x:is>
      </x:c>
      <x:c r="G336" t="inlineStr">
        <x:is>
          <x:t xml:space="preserve">BDS006664</x:t>
        </x:is>
      </x:c>
      <x:c r="H336" t="inlineStr">
        <x:is>
          <x:t xml:space="preserve">Baclofen (10 tabs)</x:t>
        </x:is>
      </x:c>
      <x:c r="I336" t="inlineStr">
        <x:is>
          <x:t xml:space="preserve">รับประทาน ครั้งละ 1-2 เม็ด วันละ 2-3 ครั้ง</x:t>
        </x:is>
      </x:c>
      <x:c r="P336" t="inlineStr">
        <x:is>
          <x:t xml:space="preserve">Muscle relaxants</x:t>
        </x:is>
      </x:c>
    </x:row>
    <x:row r="337">
      <x:c r="A337" t="n">
        <x:v>335</x:v>
      </x:c>
      <x:c r="B337" t="inlineStr">
        <x:is>
          <x:t xml:space="preserve">ยาคลายกล้ามเนื้อ (D)</x:t>
        </x:is>
      </x:c>
      <x:c r="C337" t="n">
        <x:v>1271</x:v>
      </x:c>
      <x:c r="D337" t="inlineStr">
        <x:is>
          <x:t xml:space="preserve">Biocalm</x:t>
        </x:is>
      </x:c>
      <x:c r="E337" t="inlineStr">
        <x:is>
          <x:t xml:space="preserve">แผง 10 เม็ด</x:t>
        </x:is>
      </x:c>
      <x:c r="F337" t="inlineStr">
        <x:is>
          <x:t xml:space="preserve">Tolperisone 50 mg.</x:t>
        </x:is>
      </x:c>
      <x:c r="G337" t="inlineStr">
        <x:is>
          <x:t xml:space="preserve">BDS001271</x:t>
        </x:is>
      </x:c>
      <x:c r="H337" t="inlineStr">
        <x:is>
          <x:t xml:space="preserve">Biocalm (10 tabs)</x:t>
        </x:is>
      </x:c>
      <x:c r="I337" t="inlineStr">
        <x:is>
          <x:t xml:space="preserve">รับประทานครั้งละ 1 เม็ด วันละ 3 ครั้ง หรือตามแพทย์สั่ง</x:t>
        </x:is>
      </x:c>
      <x:c r="K337" t="n">
        <x:v>80</x:v>
      </x:c>
      <x:c r="L337" t="n">
        <x:v>8</x:v>
      </x:c>
      <x:c r="M337" t="inlineStr">
        <x:is>
          <x:t xml:space="preserve">USER</x:t>
        </x:is>
      </x:c>
      <x:c r="N337" t="inlineStr">
        <x:is>
          <x:t xml:space="preserve">2026-02-07</x:t>
        </x:is>
      </x:c>
      <x:c r="O337" t="inlineStr">
        <x:is>
          <x:t xml:space="preserve">User provided price (Biocalm 10 tabs).</x:t>
        </x:is>
      </x:c>
      <x:c r="P337" t="inlineStr">
        <x:is>
          <x:t xml:space="preserve">Muscle relaxants</x:t>
        </x:is>
      </x:c>
    </x:row>
    <x:row r="338">
      <x:c r="A338" t="n">
        <x:v>336</x:v>
      </x:c>
      <x:c r="B338" t="inlineStr">
        <x:is>
          <x:t xml:space="preserve">ยาคลายกล้ามเนื้อ (D)</x:t>
        </x:is>
      </x:c>
      <x:c r="C338" t="n">
        <x:v>7049</x:v>
      </x:c>
      <x:c r="D338" t="inlineStr">
        <x:is>
          <x:t xml:space="preserve">Cenasic</x:t>
        </x:is>
      </x:c>
      <x:c r="E338" t="inlineStr">
        <x:is>
          <x:t xml:space="preserve">แผง 10 เม็ด</x:t>
        </x:is>
      </x:c>
      <x:c r="F338" t="inlineStr">
        <x:is>
          <x:t xml:space="preserve">Paracetamol 450 mg.+Orphenadrine Citrate 35 mg.</x:t>
        </x:is>
      </x:c>
      <x:c r="G338" t="inlineStr">
        <x:is>
          <x:t xml:space="preserve">BDS007049</x:t>
        </x:is>
      </x:c>
      <x:c r="H338" t="inlineStr">
        <x:is>
          <x:t xml:space="preserve">Cenasic (10 tabs)</x:t>
        </x:is>
      </x:c>
      <x:c r="I338" t="inlineStr">
        <x:is>
          <x:t xml:space="preserve">รับประทานครั้งละ 1-2 เม็ด วันละ 3 ครั้ง หลังอาหาร</x:t>
        </x:is>
      </x:c>
      <x:c r="P338" t="inlineStr">
        <x:is>
          <x:t xml:space="preserve">Muscle relaxants</x:t>
        </x:is>
      </x:c>
    </x:row>
    <x:row r="339">
      <x:c r="A339" t="n">
        <x:v>337</x:v>
      </x:c>
      <x:c r="B339" t="inlineStr">
        <x:is>
          <x:t xml:space="preserve">ยาคลายกล้ามเนื้อ (D)</x:t>
        </x:is>
      </x:c>
      <x:c r="C339" t="n">
        <x:v>41455</x:v>
      </x:c>
      <x:c r="D339" t="inlineStr">
        <x:is>
          <x:t xml:space="preserve">Corilax tabslet</x:t>
        </x:is>
      </x:c>
      <x:c r="E339" t="inlineStr">
        <x:is>
          <x:t xml:space="preserve">แผง 10 เม็ด</x:t>
        </x:is>
      </x:c>
      <x:c r="F339" t="inlineStr">
        <x:is>
          <x:t xml:space="preserve">Paracetamol 450 mg.+Orphenadrine Citrate 35 mg.</x:t>
        </x:is>
      </x:c>
      <x:c r="G339" t="inlineStr">
        <x:is>
          <x:t xml:space="preserve">BDS041455</x:t>
        </x:is>
      </x:c>
      <x:c r="H339" t="inlineStr">
        <x:is>
          <x:t xml:space="preserve">Corilax tabslet (10 tabs)</x:t>
        </x:is>
      </x:c>
      <x:c r="I339" t="inlineStr">
        <x:is>
          <x:t xml:space="preserve">รับประทานครั้งละ 1-2 เม็ด วันละ 3 ครั้ง หรือตามแพทย์สั่ง</x:t>
        </x:is>
      </x:c>
      <x:c r="P339" t="inlineStr">
        <x:is>
          <x:t xml:space="preserve">Muscle relaxants</x:t>
        </x:is>
      </x:c>
    </x:row>
    <x:row r="340">
      <x:c r="A340" t="n">
        <x:v>338</x:v>
      </x:c>
      <x:c r="B340" t="inlineStr">
        <x:is>
          <x:t xml:space="preserve">ยาคลายกล้ามเนื้อ (D)</x:t>
        </x:is>
      </x:c>
      <x:c r="C340" t="n">
        <x:v>3410</x:v>
      </x:c>
      <x:c r="D340" t="inlineStr">
        <x:is>
          <x:t xml:space="preserve">M-Calm tabslet</x:t>
        </x:is>
      </x:c>
      <x:c r="E340" t="inlineStr">
        <x:is>
          <x:t xml:space="preserve">แผง 10 เม็ด</x:t>
        </x:is>
      </x:c>
      <x:c r="F340" t="inlineStr">
        <x:is>
          <x:t xml:space="preserve">Tolperisone Hydrochloride 50 mg.</x:t>
        </x:is>
      </x:c>
      <x:c r="G340" t="inlineStr">
        <x:is>
          <x:t xml:space="preserve">BDS003410</x:t>
        </x:is>
      </x:c>
      <x:c r="H340" t="inlineStr">
        <x:is>
          <x:t xml:space="preserve">M-Calm tabslet (10 tabs)</x:t>
        </x:is>
      </x:c>
      <x:c r="I340" t="inlineStr">
        <x:is>
          <x:t xml:space="preserve">รับประทานครั้งละ 1-2 เม็ด วันละ 3 ครั้ง</x:t>
        </x:is>
      </x:c>
      <x:c r="P340" t="inlineStr">
        <x:is>
          <x:t xml:space="preserve">Muscle relaxants</x:t>
        </x:is>
      </x:c>
    </x:row>
    <x:row r="341">
      <x:c r="A341" t="n">
        <x:v>339</x:v>
      </x:c>
      <x:c r="B341" t="inlineStr">
        <x:is>
          <x:t xml:space="preserve">ยาคลายกล้ามเนื้อ (D)</x:t>
        </x:is>
      </x:c>
      <x:c r="C341" t="n">
        <x:v>44932</x:v>
      </x:c>
      <x:c r="D341" t="inlineStr">
        <x:is>
          <x:t xml:space="preserve">Muslexac</x:t>
        </x:is>
      </x:c>
      <x:c r="E341" t="inlineStr">
        <x:is>
          <x:t xml:space="preserve">กล่อง 10 เม็ด</x:t>
        </x:is>
      </x:c>
      <x:c r="F341" t="inlineStr">
        <x:is>
          <x:t xml:space="preserve">Paracetamol 500 mg.+Orphenadrine Citrate 35 mg.</x:t>
        </x:is>
      </x:c>
      <x:c r="G341" t="inlineStr">
        <x:is>
          <x:t xml:space="preserve">BDS044932</x:t>
        </x:is>
      </x:c>
      <x:c r="H341" t="inlineStr">
        <x:is>
          <x:t xml:space="preserve">Muslexac (10 tabs)</x:t>
        </x:is>
      </x:c>
      <x:c r="I341" t="inlineStr">
        <x:is>
          <x:t xml:space="preserve">รับประทานครั้งละ 1-2 เม็ด วันละ 3 ครั้ง</x:t>
        </x:is>
      </x:c>
      <x:c r="P341" t="inlineStr">
        <x:is>
          <x:t xml:space="preserve">Muscle relaxants</x:t>
        </x:is>
      </x:c>
    </x:row>
    <x:row r="342">
      <x:c r="A342" t="n">
        <x:v>340</x:v>
      </x:c>
      <x:c r="B342" t="inlineStr">
        <x:is>
          <x:t xml:space="preserve">ยาคลายกล้ามเนื้อ (D)</x:t>
        </x:is>
      </x:c>
      <x:c r="C342" t="n">
        <x:v>7571</x:v>
      </x:c>
      <x:c r="D342" t="inlineStr">
        <x:is>
          <x:t xml:space="preserve">Musolax</x:t>
        </x:is>
      </x:c>
      <x:c r="E342" t="inlineStr">
        <x:is>
          <x:t xml:space="preserve">แผง 10 เม็ด</x:t>
        </x:is>
      </x:c>
      <x:c r="F342" t="inlineStr">
        <x:is>
          <x:t xml:space="preserve">Eperisone hydrochloride 50 mg.</x:t>
        </x:is>
      </x:c>
      <x:c r="G342" t="inlineStr">
        <x:is>
          <x:t xml:space="preserve">BDS007571</x:t>
        </x:is>
      </x:c>
      <x:c r="H342" t="inlineStr">
        <x:is>
          <x:t xml:space="preserve">Musolax (10 tabs)</x:t>
        </x:is>
      </x:c>
      <x:c r="I342" t="inlineStr">
        <x:is>
          <x:t xml:space="preserve">รับประทานครั้งละ 1 เม็ด วันละ 3 ครั้ง หลังอาหาร</x:t>
        </x:is>
      </x:c>
      <x:c r="P342" t="inlineStr">
        <x:is>
          <x:t xml:space="preserve">Muscle relaxants</x:t>
        </x:is>
      </x:c>
    </x:row>
    <x:row r="343">
      <x:c r="A343" t="n">
        <x:v>341</x:v>
      </x:c>
      <x:c r="B343" t="inlineStr">
        <x:is>
          <x:t xml:space="preserve">ยาคลายกล้ามเนื้อ (D)</x:t>
        </x:is>
      </x:c>
      <x:c r="C343" t="n">
        <x:v>2652</x:v>
      </x:c>
      <x:c r="D343" t="inlineStr">
        <x:is>
          <x:t xml:space="preserve">Mydocalm</x:t>
        </x:is>
      </x:c>
      <x:c r="E343" t="inlineStr">
        <x:is>
          <x:t xml:space="preserve">แผง 10 เม็ด</x:t>
        </x:is>
      </x:c>
      <x:c r="F343" t="inlineStr">
        <x:is>
          <x:t xml:space="preserve">Tolperisone 50 mg.</x:t>
        </x:is>
      </x:c>
      <x:c r="G343" t="inlineStr">
        <x:is>
          <x:t xml:space="preserve">BDS002652</x:t>
        </x:is>
      </x:c>
      <x:c r="H343" t="inlineStr">
        <x:is>
          <x:t xml:space="preserve">Mydocalm (10 tabs)</x:t>
        </x:is>
      </x:c>
      <x:c r="I343" t="inlineStr">
        <x:is>
          <x:t xml:space="preserve">รับประทานครั้งละ 1-2 เม็ด วันละ 3 ครั้ง </x:t>
        </x:is>
      </x:c>
      <x:c r="K343" t="n">
        <x:v>58</x:v>
      </x:c>
      <x:c r="L343" t="n">
        <x:v>5.8</x:v>
      </x:c>
      <x:c r="M343" t="inlineStr">
        <x:is>
          <x:t xml:space="preserve">https://bigya.co.th/product-detail/320</x:t>
        </x:is>
      </x:c>
      <x:c r="N343" t="inlineStr">
        <x:is>
          <x:t xml:space="preserve">2026-02-07</x:t>
        </x:is>
      </x:c>
      <x:c r="O343" t="inlineStr">
        <x:is>
          <x:t xml:space="preserve">Retail price at BIGYA (strip 10 tablets).</x:t>
        </x:is>
      </x:c>
      <x:c r="P343" t="inlineStr">
        <x:is>
          <x:t xml:space="preserve">Muscle relaxants</x:t>
        </x:is>
      </x:c>
    </x:row>
    <x:row r="344">
      <x:c r="A344" t="n">
        <x:v>342</x:v>
      </x:c>
      <x:c r="B344" t="inlineStr">
        <x:is>
          <x:t xml:space="preserve">ยาคลายกล้ามเนื้อ (D)</x:t>
        </x:is>
      </x:c>
      <x:c r="C344" t="n">
        <x:v>2701</x:v>
      </x:c>
      <x:c r="D344" t="inlineStr">
        <x:is>
          <x:t xml:space="preserve">Myonal 50 mg</x:t>
        </x:is>
      </x:c>
      <x:c r="E344" t="inlineStr">
        <x:is>
          <x:t xml:space="preserve">แผง 10 เม็ด</x:t>
        </x:is>
      </x:c>
      <x:c r="F344" t="inlineStr">
        <x:is>
          <x:t xml:space="preserve">Eperisone hydrochloride 50 mg.</x:t>
        </x:is>
      </x:c>
      <x:c r="G344" t="inlineStr">
        <x:is>
          <x:t xml:space="preserve">BDS002701</x:t>
        </x:is>
      </x:c>
      <x:c r="H344" t="inlineStr">
        <x:is>
          <x:t xml:space="preserve">Myonal 50 mg (10 tabs)</x:t>
        </x:is>
      </x:c>
      <x:c r="I344" t="inlineStr">
        <x:is>
          <x:t xml:space="preserve">รับประทานครั้งละ 1 เม็ด วันละ 3 ครั้ง หลังอาหาร</x:t>
        </x:is>
      </x:c>
      <x:c r="K344" t="n">
        <x:v>116.6666666666667</x:v>
      </x:c>
      <x:c r="L344" t="n">
        <x:v>11.66666666666667</x:v>
      </x:c>
      <x:c r="M344" t="inlineStr">
        <x:is>
          <x:t xml:space="preserve">https://medtide.com/meds/pain-and-inflammation/muscle-relaxants/eperisone-myonal-50-mg-30-tablets-box/</x:t>
        </x:is>
      </x:c>
      <x:c r="N344" t="inlineStr">
        <x:is>
          <x:t xml:space="preserve">2026-02-07</x:t>
        </x:is>
      </x:c>
      <x:c r="O344" t="inlineStr">
        <x:is>
          <x:t xml:space="preserve">Derived from Medtide price 350 THB per box (30 tablets = 3 strips). Entered per-strip estimate.</x:t>
        </x:is>
      </x:c>
      <x:c r="P344" t="inlineStr">
        <x:is>
          <x:t xml:space="preserve">Muscle relaxants</x:t>
        </x:is>
      </x:c>
    </x:row>
    <x:row r="345">
      <x:c r="A345" t="n">
        <x:v>343</x:v>
      </x:c>
      <x:c r="B345" t="inlineStr">
        <x:is>
          <x:t xml:space="preserve">ยาคลายกล้ามเนื้อ (D)</x:t>
        </x:is>
      </x:c>
      <x:c r="C345" t="n">
        <x:v>7752</x:v>
      </x:c>
      <x:c r="D345" t="inlineStr">
        <x:is>
          <x:t xml:space="preserve">Noraphen</x:t>
        </x:is>
      </x:c>
      <x:c r="E345" t="inlineStr">
        <x:is>
          <x:t xml:space="preserve">แผง 10 เม็ด</x:t>
        </x:is>
      </x:c>
      <x:c r="F345" t="inlineStr">
        <x:is>
          <x:t xml:space="preserve">Paracetamol 500 mg.+Orphenadrine Citrate 35 mg.</x:t>
        </x:is>
      </x:c>
      <x:c r="G345" t="inlineStr">
        <x:is>
          <x:t xml:space="preserve">BDS007752</x:t>
        </x:is>
      </x:c>
      <x:c r="H345" t="inlineStr">
        <x:is>
          <x:t xml:space="preserve">Noraphen (10 tabs)</x:t>
        </x:is>
      </x:c>
      <x:c r="I345" t="inlineStr">
        <x:is>
          <x:t xml:space="preserve">รับประทานครั้งละ 1-2 เม็ด วันละ 3 ครั้ง หลังอาหาร</x:t>
        </x:is>
      </x:c>
      <x:c r="P345" t="inlineStr">
        <x:is>
          <x:t xml:space="preserve">Muscle relaxants</x:t>
        </x:is>
      </x:c>
    </x:row>
    <x:row r="346">
      <x:c r="A346" t="n">
        <x:v>344</x:v>
      </x:c>
      <x:c r="B346" t="inlineStr">
        <x:is>
          <x:t xml:space="preserve">ยาคลายกล้ามเนื้อ (D)</x:t>
        </x:is>
      </x:c>
      <x:c r="C346" t="n">
        <x:v>2840</x:v>
      </x:c>
      <x:c r="D346" t="inlineStr">
        <x:is>
          <x:t xml:space="preserve">Norgesic</x:t>
        </x:is>
      </x:c>
      <x:c r="E346" t="inlineStr">
        <x:is>
          <x:t xml:space="preserve">แผง 10 เม็ด</x:t>
        </x:is>
      </x:c>
      <x:c r="F346" t="inlineStr">
        <x:is>
          <x:t xml:space="preserve">Paracetamol 450 mg.+Orphenadrine Citrate 35 mg.</x:t>
        </x:is>
      </x:c>
      <x:c r="G346" t="inlineStr">
        <x:is>
          <x:t xml:space="preserve">BDS002840</x:t>
        </x:is>
      </x:c>
      <x:c r="H346" t="inlineStr">
        <x:is>
          <x:t xml:space="preserve">Norgesic (10 tabs)</x:t>
        </x:is>
      </x:c>
      <x:c r="I346" t="inlineStr">
        <x:is>
          <x:t xml:space="preserve">รับประทานครั้งละ 1-2 เม็ด วันละ 3 ครั้ง</x:t>
        </x:is>
      </x:c>
      <x:c r="P346" t="inlineStr">
        <x:is>
          <x:t xml:space="preserve">Muscle relaxants</x:t>
        </x:is>
      </x:c>
    </x:row>
    <x:row r="347">
      <x:c r="A347" t="n">
        <x:v>345</x:v>
      </x:c>
      <x:c r="B347" t="inlineStr">
        <x:is>
          <x:t xml:space="preserve">ยาคลายกล้ามเนื้อ (D)</x:t>
        </x:is>
      </x:c>
      <x:c r="C347" t="n">
        <x:v>45616</x:v>
      </x:c>
      <x:c r="D347" t="inlineStr">
        <x:is>
          <x:t xml:space="preserve">Norpa tabslets</x:t>
        </x:is>
      </x:c>
      <x:c r="E347" t="inlineStr">
        <x:is>
          <x:t xml:space="preserve">แผง 10 เม็ด</x:t>
        </x:is>
      </x:c>
      <x:c r="F347" t="inlineStr">
        <x:is>
          <x:t xml:space="preserve">Paracetamol 450 mg.+Orphenadrine Citrate 35 mg.</x:t>
        </x:is>
      </x:c>
      <x:c r="G347" t="inlineStr">
        <x:is>
          <x:t xml:space="preserve">BDS045616</x:t>
        </x:is>
      </x:c>
      <x:c r="H347" t="inlineStr">
        <x:is>
          <x:t xml:space="preserve">Norpa tabslets (10 tabs)</x:t>
        </x:is>
      </x:c>
      <x:c r="I347" t="inlineStr">
        <x:is>
          <x:t xml:space="preserve">รับประทานครั้งละ 1-2 เม็ด วันละ 2-3 ครั้ง หลังอาหาร หรือตามแพทย์สั่ง</x:t>
        </x:is>
      </x:c>
      <x:c r="P347" t="inlineStr">
        <x:is>
          <x:t xml:space="preserve">Muscle relaxants</x:t>
        </x:is>
      </x:c>
    </x:row>
    <x:row r="348">
      <x:c r="A348" t="n">
        <x:v>346</x:v>
      </x:c>
      <x:c r="B348" t="inlineStr">
        <x:is>
          <x:t xml:space="preserve">ยาคลายกล้ามเนื้อ (D)</x:t>
        </x:is>
      </x:c>
      <x:c r="C348" t="n">
        <x:v>3571</x:v>
      </x:c>
      <x:c r="D348" t="inlineStr">
        <x:is>
          <x:t xml:space="preserve">Soneriper M</x:t>
        </x:is>
      </x:c>
      <x:c r="E348" t="inlineStr">
        <x:is>
          <x:t xml:space="preserve">แผง 10 เม็ด</x:t>
        </x:is>
      </x:c>
      <x:c r="F348" t="inlineStr">
        <x:is>
          <x:t xml:space="preserve">Tolperisone Hydrochloride 50 mg.</x:t>
        </x:is>
      </x:c>
      <x:c r="G348" t="inlineStr">
        <x:is>
          <x:t xml:space="preserve">BDS003571</x:t>
        </x:is>
      </x:c>
      <x:c r="H348" t="inlineStr">
        <x:is>
          <x:t xml:space="preserve">Soneriper M (10 tabs)</x:t>
        </x:is>
      </x:c>
      <x:c r="I348" t="inlineStr">
        <x:is>
          <x:t xml:space="preserve">รับประทานครั้งละ 1-2 เม็ด วันละ 3 ครั้ง</x:t>
        </x:is>
      </x:c>
      <x:c r="P348" t="inlineStr">
        <x:is>
          <x:t xml:space="preserve">Muscle relaxants</x:t>
        </x:is>
      </x:c>
    </x:row>
    <x:row r="349">
      <x:c r="A349" t="n">
        <x:v>347</x:v>
      </x:c>
      <x:c r="B349" t="inlineStr">
        <x:is>
          <x:t xml:space="preserve">ยาคลายกล้ามเนื้อ (D)</x:t>
        </x:is>
      </x:c>
      <x:c r="C349" t="n">
        <x:v>48632</x:v>
      </x:c>
      <x:c r="D349" t="inlineStr">
        <x:is>
          <x:t xml:space="preserve">Torrent</x:t>
        </x:is>
      </x:c>
      <x:c r="E349" t="inlineStr">
        <x:is>
          <x:t xml:space="preserve">กล่อง 10 เม็ด</x:t>
        </x:is>
      </x:c>
      <x:c r="F349" t="inlineStr">
        <x:is>
          <x:t xml:space="preserve">Paracetamol 450 mg.+Orphenadrine Citrate 35 mg.</x:t>
        </x:is>
      </x:c>
      <x:c r="G349" t="inlineStr">
        <x:is>
          <x:t xml:space="preserve">BDS048632</x:t>
        </x:is>
      </x:c>
      <x:c r="H349" t="inlineStr">
        <x:is>
          <x:t xml:space="preserve">Torrent (10 tabs)</x:t>
        </x:is>
      </x:c>
      <x:c r="I349" t="inlineStr">
        <x:is>
          <x:t xml:space="preserve">รับประทานครั้งละ 1-2 เม็ด วันละ 3 ครั้ง</x:t>
        </x:is>
      </x:c>
      <x:c r="P349" t="inlineStr">
        <x:is>
          <x:t xml:space="preserve">Muscle relaxants</x:t>
        </x:is>
      </x:c>
    </x:row>
    <x:row r="350">
      <x:c r="A350" t="n">
        <x:v>348</x:v>
      </x:c>
      <x:c r="B350" t="inlineStr">
        <x:is>
          <x:t xml:space="preserve">ยาแก้อาเจียน ชนิดน้ำ (D)</x:t>
        </x:is>
      </x:c>
      <x:c r="C350" t="n">
        <x:v>2637</x:v>
      </x:c>
      <x:c r="D350" t="inlineStr">
        <x:is>
          <x:t xml:space="preserve">Motilium Oral Suspension</x:t>
        </x:is>
      </x:c>
      <x:c r="E350" t="inlineStr">
        <x:is>
          <x:t xml:space="preserve">ขวด 30 ml.</x:t>
        </x:is>
      </x:c>
      <x:c r="F350" t="inlineStr">
        <x:is>
          <x:t xml:space="preserve">Domperidone 1 mg./1 ml.</x:t>
        </x:is>
      </x:c>
      <x:c r="G350" t="inlineStr">
        <x:is>
          <x:t xml:space="preserve">BDS002637</x:t>
        </x:is>
      </x:c>
      <x:c r="H350" t="inlineStr">
        <x:is>
          <x:t xml:space="preserve">Motilium Oral Suspension (30 ml.)</x:t>
        </x:is>
      </x:c>
      <x:c r="I350" t="inlineStr">
        <x:is>
          <x:t xml:space="preserve">ผู้ใหญ่รับประทานครั้งละ 2 ช้อนชา วันละ 3 ครั้ง ก่อนอาหาร 15-30 นาที  </x:t>
        </x:is>
      </x:c>
    </x:row>
    <x:row r="351">
      <x:c r="A351" t="n">
        <x:v>349</x:v>
      </x:c>
      <x:c r="B351" t="inlineStr">
        <x:is>
          <x:t xml:space="preserve">ยาแก้อาเจียน ชนิดน้ำ (D)</x:t>
        </x:is>
      </x:c>
      <x:c r="C351" t="n">
        <x:v>46503</x:v>
      </x:c>
      <x:c r="D351" t="inlineStr">
        <x:is>
          <x:t xml:space="preserve">Patilum Oral Suspension</x:t>
        </x:is>
      </x:c>
      <x:c r="E351" t="inlineStr">
        <x:is>
          <x:t xml:space="preserve">ขวด 30 ml.</x:t>
        </x:is>
      </x:c>
      <x:c r="F351" t="inlineStr">
        <x:is>
          <x:t xml:space="preserve">Domperidone 1 mg./1 ml.</x:t>
        </x:is>
      </x:c>
      <x:c r="G351" t="inlineStr">
        <x:is>
          <x:t xml:space="preserve">BDS046503</x:t>
        </x:is>
      </x:c>
      <x:c r="H351" t="inlineStr">
        <x:is>
          <x:t xml:space="preserve">Patilum Oral Suspension (30 ml.)</x:t>
        </x:is>
      </x:c>
      <x:c r="I351" t="inlineStr">
        <x:is>
          <x:t xml:space="preserve">N/A</x:t>
        </x:is>
      </x:c>
    </x:row>
    <x:row r="352">
      <x:c r="A352" t="n">
        <x:v>350</x:v>
      </x:c>
      <x:c r="B352" t="inlineStr">
        <x:is>
          <x:t xml:space="preserve">ยาฆ่าเชื้อแบคทีเรียทางเดินปัสสาวะ (D)</x:t>
        </x:is>
      </x:c>
      <x:c r="C352" t="n">
        <x:v>8001</x:v>
      </x:c>
      <x:c r="D352" t="inlineStr">
        <x:is>
          <x:t xml:space="preserve">Actrim</x:t>
        </x:is>
      </x:c>
      <x:c r="E352" t="inlineStr">
        <x:is>
          <x:t xml:space="preserve">แผง 10 เม็ด</x:t>
        </x:is>
      </x:c>
      <x:c r="F352" t="inlineStr">
        <x:is>
          <x:t xml:space="preserve">Trimethoprim 80 mg.+Sulfamethoxazole 400 mg.</x:t>
        </x:is>
      </x:c>
      <x:c r="G352" t="inlineStr">
        <x:is>
          <x:t xml:space="preserve">BDS008001</x:t>
        </x:is>
      </x:c>
      <x:c r="H352" t="inlineStr">
        <x:is>
          <x:t xml:space="preserve">Actrim (10 tabs)</x:t>
        </x:is>
      </x:c>
      <x:c r="I352" t="inlineStr">
        <x:is>
          <x:t xml:space="preserve">ผู้ใหญ่รับประทานครั้งละ 2 เม็ด วันละ 2 ครั้ง หลังอาหาร</x:t>
        </x:is>
      </x:c>
      <x:c r="P352" t="inlineStr">
        <x:is>
          <x:t xml:space="preserve">UTI antibiotics</x:t>
        </x:is>
      </x:c>
    </x:row>
    <x:row r="353">
      <x:c r="A353" t="n">
        <x:v>351</x:v>
      </x:c>
      <x:c r="B353" t="inlineStr">
        <x:is>
          <x:t xml:space="preserve">ยาฆ่าเชื้อแบคทีเรียทางเดินปัสสาวะ (D)</x:t>
        </x:is>
      </x:c>
      <x:c r="C353" t="n">
        <x:v>1072</x:v>
      </x:c>
      <x:c r="D353" t="inlineStr">
        <x:is>
          <x:t xml:space="preserve">Avelox tabslet</x:t>
        </x:is>
      </x:c>
      <x:c r="E353" t="inlineStr">
        <x:is>
          <x:t xml:space="preserve">กล่อง 5 เม็ด</x:t>
        </x:is>
      </x:c>
      <x:c r="F353" t="inlineStr">
        <x:is>
          <x:t xml:space="preserve">Moxifloxacin Hydrochloride 400 mg.</x:t>
        </x:is>
      </x:c>
      <x:c r="G353" t="inlineStr">
        <x:is>
          <x:t xml:space="preserve">BDS001072</x:t>
        </x:is>
      </x:c>
      <x:c r="H353" t="inlineStr">
        <x:is>
          <x:t xml:space="preserve">Avelox tabslet (5 tabs)</x:t>
        </x:is>
      </x:c>
      <x:c r="I353" t="inlineStr">
        <x:is>
          <x:t xml:space="preserve">รับประทานครั้งละ 1 เม็ด วันละ 1 ครั้ง หรือตามแพทย์สั่ง</x:t>
        </x:is>
      </x:c>
      <x:c r="P353" t="inlineStr">
        <x:is>
          <x:t xml:space="preserve">UTI antibiotics</x:t>
        </x:is>
      </x:c>
    </x:row>
    <x:row r="354">
      <x:c r="A354" t="n">
        <x:v>352</x:v>
      </x:c>
      <x:c r="B354" t="inlineStr">
        <x:is>
          <x:t xml:space="preserve">ยาฆ่าเชื้อแบคทีเรียทางเดินปัสสาวะ (D)</x:t>
        </x:is>
      </x:c>
      <x:c r="C354" t="n">
        <x:v>1496</x:v>
      </x:c>
      <x:c r="D354" t="inlineStr">
        <x:is>
          <x:t xml:space="preserve">Cifloxin 500 mg</x:t>
        </x:is>
      </x:c>
      <x:c r="E354" t="inlineStr">
        <x:is>
          <x:t xml:space="preserve">กล่อง 10 เม็ด</x:t>
        </x:is>
      </x:c>
      <x:c r="F354" t="inlineStr">
        <x:is>
          <x:t xml:space="preserve">Ciprofloxacin 500 mg.</x:t>
        </x:is>
      </x:c>
      <x:c r="G354" t="inlineStr">
        <x:is>
          <x:t xml:space="preserve">BDS001496</x:t>
        </x:is>
      </x:c>
      <x:c r="H354" t="inlineStr">
        <x:is>
          <x:t xml:space="preserve">Cifloxin 500 mg (10 tabs)</x:t>
        </x:is>
      </x:c>
      <x:c r="I354" t="inlineStr">
        <x:is>
          <x:t xml:space="preserve">รับประทานครั้งละ 1 เม็ดวันละ 2  ครั้ง เช้า-เย็น</x:t>
        </x:is>
      </x:c>
      <x:c r="P354" t="inlineStr">
        <x:is>
          <x:t xml:space="preserve">UTI antibiotics</x:t>
        </x:is>
      </x:c>
    </x:row>
    <x:row r="355">
      <x:c r="A355" t="n">
        <x:v>353</x:v>
      </x:c>
      <x:c r="B355" t="inlineStr">
        <x:is>
          <x:t xml:space="preserve">ยาฆ่าเชื้อแบคทีเรียทางเดินปัสสาวะ (D)</x:t>
        </x:is>
      </x:c>
      <x:c r="C355" t="n">
        <x:v>41409</x:v>
      </x:c>
      <x:c r="D355" t="inlineStr">
        <x:is>
          <x:t xml:space="preserve">Cipflocin 500 mg</x:t>
        </x:is>
      </x:c>
      <x:c r="E355" t="inlineStr">
        <x:is>
          <x:t xml:space="preserve">แผง 10 เม็ด</x:t>
        </x:is>
      </x:c>
      <x:c r="F355" t="inlineStr">
        <x:is>
          <x:t xml:space="preserve">Ciprofloxacin 500 mg.</x:t>
        </x:is>
      </x:c>
      <x:c r="G355" t="inlineStr">
        <x:is>
          <x:t xml:space="preserve">BDS041409</x:t>
        </x:is>
      </x:c>
      <x:c r="H355" t="inlineStr">
        <x:is>
          <x:t xml:space="preserve">Cipflocin 500 mg (10 tabs)</x:t>
        </x:is>
      </x:c>
      <x:c r="I355" t="inlineStr">
        <x:is>
          <x:t xml:space="preserve">รับประทานครั้งละ 1 เม็ด วันละ 2  ครั้ง เช้า-เย็น หรือตามแพทย์สั่ง</x:t>
        </x:is>
      </x:c>
      <x:c r="P355" t="inlineStr">
        <x:is>
          <x:t xml:space="preserve">UTI antibiotics</x:t>
        </x:is>
      </x:c>
    </x:row>
    <x:row r="356">
      <x:c r="A356" t="n">
        <x:v>354</x:v>
      </x:c>
      <x:c r="B356" t="inlineStr">
        <x:is>
          <x:t xml:space="preserve">ยาฆ่าเชื้อแบคทีเรียทางเดินปัสสาวะ (D)</x:t>
        </x:is>
      </x:c>
      <x:c r="C356" t="n">
        <x:v>8114</x:v>
      </x:c>
      <x:c r="D356" t="inlineStr">
        <x:is>
          <x:t xml:space="preserve">Ciproxin-500</x:t>
        </x:is>
      </x:c>
      <x:c r="E356" t="inlineStr">
        <x:is>
          <x:t xml:space="preserve">แผง 10 เม็ด</x:t>
        </x:is>
      </x:c>
      <x:c r="F356" t="inlineStr">
        <x:is>
          <x:t xml:space="preserve">Ciprofloxacin 500 mg.</x:t>
        </x:is>
      </x:c>
      <x:c r="G356" t="inlineStr">
        <x:is>
          <x:t xml:space="preserve">BDS008114</x:t>
        </x:is>
      </x:c>
      <x:c r="H356" t="inlineStr">
        <x:is>
          <x:t xml:space="preserve">Ciproxin-500 (10 tabs)</x:t>
        </x:is>
      </x:c>
      <x:c r="I356" t="inlineStr">
        <x:is>
          <x:t xml:space="preserve">รับประทานครั้งละ 1 เม็ด วันละ 2  ครั้ง เช้า-เย็น</x:t>
        </x:is>
      </x:c>
      <x:c r="P356" t="inlineStr">
        <x:is>
          <x:t xml:space="preserve">UTI antibiotics</x:t>
        </x:is>
      </x:c>
    </x:row>
    <x:row r="357">
      <x:c r="A357" t="n">
        <x:v>355</x:v>
      </x:c>
      <x:c r="B357" t="inlineStr">
        <x:is>
          <x:t xml:space="preserve">ยาฆ่าเชื้อแบคทีเรียทางเดินปัสสาวะ (D)</x:t>
        </x:is>
      </x:c>
      <x:c r="C357" t="n">
        <x:v>1548</x:v>
      </x:c>
      <x:c r="D357" t="inlineStr">
        <x:is>
          <x:t xml:space="preserve">Cravit 500 mg</x:t>
        </x:is>
      </x:c>
      <x:c r="E357" t="inlineStr">
        <x:is>
          <x:t xml:space="preserve">กล่อง 5 เม็ด</x:t>
        </x:is>
      </x:c>
      <x:c r="F357" t="inlineStr">
        <x:is>
          <x:t xml:space="preserve">Levofloxacin 500 mg.</x:t>
        </x:is>
      </x:c>
      <x:c r="G357" t="inlineStr">
        <x:is>
          <x:t xml:space="preserve">BDS001548</x:t>
        </x:is>
      </x:c>
      <x:c r="H357" t="inlineStr">
        <x:is>
          <x:t xml:space="preserve">Cravit 500 mg (5 tabs)</x:t>
        </x:is>
      </x:c>
      <x:c r="I357" t="inlineStr">
        <x:is>
          <x:t xml:space="preserve">รับประทานครั้งละ 1 เม็ด วันละ 1 ครั้ง</x:t>
        </x:is>
      </x:c>
      <x:c r="P357" t="inlineStr">
        <x:is>
          <x:t xml:space="preserve">UTI antibiotics</x:t>
        </x:is>
      </x:c>
    </x:row>
    <x:row r="358">
      <x:c r="A358" t="n">
        <x:v>356</x:v>
      </x:c>
      <x:c r="B358" t="inlineStr">
        <x:is>
          <x:t xml:space="preserve">ยาฆ่าเชื้อแบคทีเรียทางเดินปัสสาวะ (D)</x:t>
        </x:is>
      </x:c>
      <x:c r="C358" t="n">
        <x:v>8681</x:v>
      </x:c>
      <x:c r="D358" t="inlineStr">
        <x:is>
          <x:t xml:space="preserve">Levomac 500</x:t>
        </x:is>
      </x:c>
      <x:c r="E358" t="inlineStr">
        <x:is>
          <x:t xml:space="preserve">กล่อง 5 เม็ด</x:t>
        </x:is>
      </x:c>
      <x:c r="F358" t="inlineStr">
        <x:is>
          <x:t xml:space="preserve">Levofloxacin 500 mg.</x:t>
        </x:is>
      </x:c>
      <x:c r="G358" t="inlineStr">
        <x:is>
          <x:t xml:space="preserve">BDS008681</x:t>
        </x:is>
      </x:c>
      <x:c r="H358" t="inlineStr">
        <x:is>
          <x:t xml:space="preserve">Levomac 500 (5 tabs)</x:t>
        </x:is>
      </x:c>
      <x:c r="I358" t="inlineStr">
        <x:is>
          <x:t xml:space="preserve">รับประทานครั้งละ 1 เม็ด วันละ 1 ครั้ง</x:t>
        </x:is>
      </x:c>
      <x:c r="P358" t="inlineStr">
        <x:is>
          <x:t xml:space="preserve">UTI antibiotics</x:t>
        </x:is>
      </x:c>
    </x:row>
    <x:row r="359">
      <x:c r="A359" t="n">
        <x:v>357</x:v>
      </x:c>
      <x:c r="B359" t="inlineStr">
        <x:is>
          <x:t xml:space="preserve">ยาฆ่าเชื้อแบคทีเรียทางเดินปัสสาวะ (D)</x:t>
        </x:is>
      </x:c>
      <x:c r="C359" t="n">
        <x:v>7591</x:v>
      </x:c>
      <x:c r="D359" t="inlineStr">
        <x:is>
          <x:t xml:space="preserve">Noflox-400</x:t>
        </x:is>
      </x:c>
      <x:c r="E359" t="inlineStr">
        <x:is>
          <x:t xml:space="preserve">แผง 10 เม็ด</x:t>
        </x:is>
      </x:c>
      <x:c r="F359" t="inlineStr">
        <x:is>
          <x:t xml:space="preserve">Norfloxacin 400 mg.</x:t>
        </x:is>
      </x:c>
      <x:c r="G359" t="inlineStr">
        <x:is>
          <x:t xml:space="preserve">BDS007591</x:t>
        </x:is>
      </x:c>
      <x:c r="H359" t="inlineStr">
        <x:is>
          <x:t xml:space="preserve">Noflox-400 (10 tabs)</x:t>
        </x:is>
      </x:c>
      <x:c r="I359" t="inlineStr">
        <x:is>
          <x:t xml:space="preserve">รับประทานครั้งละ 1 เม็ด วันละ 2 ครั้ง เช้า-เย็น</x:t>
        </x:is>
      </x:c>
      <x:c r="P359" t="inlineStr">
        <x:is>
          <x:t xml:space="preserve">UTI antibiotics</x:t>
        </x:is>
      </x:c>
    </x:row>
    <x:row r="360">
      <x:c r="A360" t="n">
        <x:v>358</x:v>
      </x:c>
      <x:c r="B360" t="inlineStr">
        <x:is>
          <x:t xml:space="preserve">ยาฆ่าเชื้อแบคทีเรียทางเดินปัสสาวะ (D)</x:t>
        </x:is>
      </x:c>
      <x:c r="C360" t="n">
        <x:v>7751</x:v>
      </x:c>
      <x:c r="D360" t="inlineStr">
        <x:is>
          <x:t xml:space="preserve">Norfloxyl-400</x:t>
        </x:is>
      </x:c>
      <x:c r="E360" t="inlineStr">
        <x:is>
          <x:t xml:space="preserve">แผง 10 เม็ด</x:t>
        </x:is>
      </x:c>
      <x:c r="F360" t="inlineStr">
        <x:is>
          <x:t xml:space="preserve">Norfloxacin 400 mg.</x:t>
        </x:is>
      </x:c>
      <x:c r="G360" t="inlineStr">
        <x:is>
          <x:t xml:space="preserve">BDS007751</x:t>
        </x:is>
      </x:c>
      <x:c r="H360" t="inlineStr">
        <x:is>
          <x:t xml:space="preserve">Norfloxyl-400 (10 tabs)</x:t>
        </x:is>
      </x:c>
      <x:c r="I360" t="inlineStr">
        <x:is>
          <x:t xml:space="preserve">รับประทานครั้งละ 1 เม็ด วันละ 2 ครั้ง เช้า-เย็น</x:t>
        </x:is>
      </x:c>
      <x:c r="P360" t="inlineStr">
        <x:is>
          <x:t xml:space="preserve">UTI antibiotics</x:t>
        </x:is>
      </x:c>
    </x:row>
    <x:row r="361">
      <x:c r="A361" t="n">
        <x:v>359</x:v>
      </x:c>
      <x:c r="B361" t="inlineStr">
        <x:is>
          <x:t xml:space="preserve">ยาฆ่าเชื้อแบคทีเรียทางเดินปัสสาวะ (D)</x:t>
        </x:is>
      </x:c>
      <x:c r="C361" t="n">
        <x:v>9086</x:v>
      </x:c>
      <x:c r="D361" t="inlineStr">
        <x:is>
          <x:t xml:space="preserve">Norxacin 400 mg</x:t>
        </x:is>
      </x:c>
      <x:c r="E361" t="inlineStr">
        <x:is>
          <x:t xml:space="preserve">กล่อง 8 เม็ด</x:t>
        </x:is>
      </x:c>
      <x:c r="F361" t="inlineStr">
        <x:is>
          <x:t xml:space="preserve">Norfloxacin 400 mg.</x:t>
        </x:is>
      </x:c>
      <x:c r="G361" t="inlineStr">
        <x:is>
          <x:t xml:space="preserve">BDS009086</x:t>
        </x:is>
      </x:c>
      <x:c r="H361" t="inlineStr">
        <x:is>
          <x:t xml:space="preserve">Norxacin 400 mg (8 tabs)</x:t>
        </x:is>
      </x:c>
      <x:c r="I361" t="inlineStr">
        <x:is>
          <x:t xml:space="preserve">รับประทานครั้งละ 1 เม็ด วันละ 2 ครั้ง เช้า-เย็น</x:t>
        </x:is>
      </x:c>
      <x:c r="P361" t="inlineStr">
        <x:is>
          <x:t xml:space="preserve">UTI antibiotics</x:t>
        </x:is>
      </x:c>
    </x:row>
    <x:row r="362">
      <x:c r="A362" t="n">
        <x:v>360</x:v>
      </x:c>
      <x:c r="B362" t="inlineStr">
        <x:is>
          <x:t xml:space="preserve">ยาฆ่าเชื้อแบคทีเรียทางเดินปัสสาวะ (D)</x:t>
        </x:is>
      </x:c>
      <x:c r="C362" t="n">
        <x:v>7971</x:v>
      </x:c>
      <x:c r="D362" t="inlineStr">
        <x:is>
          <x:t xml:space="preserve">Oflomac-200</x:t>
        </x:is>
      </x:c>
      <x:c r="E362" t="inlineStr">
        <x:is>
          <x:t xml:space="preserve">แผง 10 เม็ด</x:t>
        </x:is>
      </x:c>
      <x:c r="F362" t="inlineStr">
        <x:is>
          <x:t xml:space="preserve">Ofloxacin 200 mg.</x:t>
        </x:is>
      </x:c>
      <x:c r="G362" t="inlineStr">
        <x:is>
          <x:t xml:space="preserve">BDS007971</x:t>
        </x:is>
      </x:c>
      <x:c r="H362" t="inlineStr">
        <x:is>
          <x:t xml:space="preserve">Oflomac-200 (10 tabs)</x:t>
        </x:is>
      </x:c>
      <x:c r="I362" t="inlineStr">
        <x:is>
          <x:t xml:space="preserve">รับประทานครั้งละ 1 เม็ดวันละ 2 ครั้ง เช้า-เย็น</x:t>
        </x:is>
      </x:c>
      <x:c r="P362" t="inlineStr">
        <x:is>
          <x:t xml:space="preserve">UTI antibiotics</x:t>
        </x:is>
      </x:c>
    </x:row>
    <x:row r="363">
      <x:c r="A363" t="n">
        <x:v>361</x:v>
      </x:c>
      <x:c r="B363" t="inlineStr">
        <x:is>
          <x:t xml:space="preserve">ยาฆ่าเชื้อแบคทีเรียทางเดินปัสสาวะ (D)</x:t>
        </x:is>
      </x:c>
      <x:c r="C363" t="n">
        <x:v>7238</x:v>
      </x:c>
      <x:c r="D363" t="inlineStr">
        <x:is>
          <x:t xml:space="preserve">Proflox 500 mg</x:t>
        </x:is>
      </x:c>
      <x:c r="E363" t="inlineStr">
        <x:is>
          <x:t xml:space="preserve">แผง 10 เม็ด</x:t>
        </x:is>
      </x:c>
      <x:c r="F363" t="inlineStr">
        <x:is>
          <x:t xml:space="preserve">Ciprofloxacin 500 mg.</x:t>
        </x:is>
      </x:c>
      <x:c r="G363" t="inlineStr">
        <x:is>
          <x:t xml:space="preserve">BDS007238</x:t>
        </x:is>
      </x:c>
      <x:c r="H363" t="inlineStr">
        <x:is>
          <x:t xml:space="preserve">Proflox 500 mg (10 tabs)</x:t>
        </x:is>
      </x:c>
      <x:c r="I363" t="inlineStr">
        <x:is>
          <x:t xml:space="preserve">รับประทานครั้งละ 1 เม็ด วันละ 2 ครั้ง เช้า - เย็น</x:t>
        </x:is>
      </x:c>
      <x:c r="P363" t="inlineStr">
        <x:is>
          <x:t xml:space="preserve">UTI antibiotics</x:t>
        </x:is>
      </x:c>
    </x:row>
    <x:row r="364">
      <x:c r="A364" t="n">
        <x:v>362</x:v>
      </x:c>
      <x:c r="B364" t="inlineStr">
        <x:is>
          <x:t xml:space="preserve">ยาฆ่าเชื้อแบคทีเรียทางเดินปัสสาวะ (D)</x:t>
        </x:is>
      </x:c>
      <x:c r="C364" t="n">
        <x:v>47662</x:v>
      </x:c>
      <x:c r="D364" t="inlineStr">
        <x:is>
          <x:t xml:space="preserve">Sixime</x:t>
        </x:is>
      </x:c>
      <x:c r="E364" t="inlineStr">
        <x:is>
          <x:t xml:space="preserve">แผง 10 แคปซูล</x:t>
        </x:is>
      </x:c>
      <x:c r="F364" t="inlineStr">
        <x:is>
          <x:t xml:space="preserve">Cefixime 100 mg.</x:t>
        </x:is>
      </x:c>
      <x:c r="G364" t="inlineStr">
        <x:is>
          <x:t xml:space="preserve">BDS047662</x:t>
        </x:is>
      </x:c>
      <x:c r="H364" t="inlineStr">
        <x:is>
          <x:t xml:space="preserve">Sixime (10 cap)</x:t>
        </x:is>
      </x:c>
      <x:c r="I364" t="inlineStr">
        <x:is>
          <x:t xml:space="preserve">รับประทานครั้งละ 1 แคปซูล วันละ 2 ครั้ง หรือตามแพทย์สั่ง</x:t>
        </x:is>
      </x:c>
      <x:c r="P364" t="inlineStr">
        <x:is>
          <x:t xml:space="preserve">UTI antibiotics</x:t>
        </x:is>
      </x:c>
    </x:row>
    <x:row r="365">
      <x:c r="A365" t="n">
        <x:v>363</x:v>
      </x:c>
      <x:c r="B365" t="inlineStr">
        <x:is>
          <x:t xml:space="preserve">ยาฆ่าเชื้อแบคทีเรียทางเดินปัสสาวะ (D)</x:t>
        </x:is>
      </x:c>
      <x:c r="C365" t="n">
        <x:v>7311</x:v>
      </x:c>
      <x:c r="D365" t="inlineStr">
        <x:is>
          <x:t xml:space="preserve">Xacin</x:t>
        </x:is>
      </x:c>
      <x:c r="E365" t="inlineStr">
        <x:is>
          <x:t xml:space="preserve">แผง 10 เม็ด</x:t>
        </x:is>
      </x:c>
      <x:c r="F365" t="inlineStr">
        <x:is>
          <x:t xml:space="preserve">Norfloxacin 400 mg.</x:t>
        </x:is>
      </x:c>
      <x:c r="G365" t="inlineStr">
        <x:is>
          <x:t xml:space="preserve">BDS007311</x:t>
        </x:is>
      </x:c>
      <x:c r="H365" t="inlineStr">
        <x:is>
          <x:t xml:space="preserve">Xacin (10 tabs)</x:t>
        </x:is>
      </x:c>
      <x:c r="I365" t="inlineStr">
        <x:is>
          <x:t xml:space="preserve">รับประทานครั้งละ 1 เม็ด วันละ 2 ครั้ง เช้า-เย็น</x:t>
        </x:is>
      </x:c>
      <x:c r="P365" t="inlineStr">
        <x:is>
          <x:t xml:space="preserve">UTI antibiotics</x:t>
        </x:is>
      </x:c>
    </x:row>
    <x:row r="366">
      <x:c r="A366" t="n">
        <x:v>364</x:v>
      </x:c>
      <x:c r="B366" t="inlineStr">
        <x:is>
          <x:t xml:space="preserve">ยาอมแก้เจ็บคอ</x:t>
        </x:is>
      </x:c>
      <x:c r="C366" t="n">
        <x:v>42357</x:v>
      </x:c>
      <x:c r="D366" t="inlineStr">
        <x:is>
          <x:t xml:space="preserve">Difflam รสน้ำผึ้งมะนาวผสมโพรโพลิส</x:t>
        </x:is>
      </x:c>
      <x:c r="E366" t="inlineStr">
        <x:is>
          <x:t xml:space="preserve">ซอง 8 เม็ด</x:t>
        </x:is>
      </x:c>
      <x:c r="F366" t="inlineStr">
        <x:is>
          <x:t xml:space="preserve">2,4-Dichlorobenzyl alcohol 1.2 mg.+Amylmetacresol 0.6 mg.</x:t>
        </x:is>
      </x:c>
      <x:c r="G366" t="inlineStr">
        <x:is>
          <x:t xml:space="preserve">BDS042357</x:t>
        </x:is>
      </x:c>
      <x:c r="H366" t="inlineStr">
        <x:is>
          <x:t xml:space="preserve">Difflam รสน้ำผึ้งมะนาวผสมโพรโพลิส (8 tabs)</x:t>
        </x:is>
      </x:c>
      <x:c r="I366" t="inlineStr">
        <x:is>
          <x:t xml:space="preserve">รับประทาน (อม) ครั้งละ 1 เม็ดให้ละลายช้าๆในปากทุก 2-3 ชม. </x:t>
        </x:is>
      </x:c>
    </x:row>
    <x:row r="367">
      <x:c r="A367" t="n">
        <x:v>365</x:v>
      </x:c>
      <x:c r="B367" t="inlineStr">
        <x:is>
          <x:t xml:space="preserve">ยาอมแก้เจ็บคอ</x:t>
        </x:is>
      </x:c>
      <x:c r="C367" t="n">
        <x:v>42358</x:v>
      </x:c>
      <x:c r="D367" t="inlineStr">
        <x:is>
          <x:t xml:space="preserve">Difflam รสส้มผสมวิตามินซี</x:t>
        </x:is>
      </x:c>
      <x:c r="E367" t="inlineStr">
        <x:is>
          <x:t xml:space="preserve">ซอง 8 เม็ด</x:t>
        </x:is>
      </x:c>
      <x:c r="F367" t="inlineStr">
        <x:is>
          <x:t xml:space="preserve">2,4-Dichlorobenzyl alcohol 1.2 mg.+Amylmetacresol 0.6 mg.+Vit.C 100 mg.</x:t>
        </x:is>
      </x:c>
      <x:c r="G367" t="inlineStr">
        <x:is>
          <x:t xml:space="preserve">BDS042358</x:t>
        </x:is>
      </x:c>
      <x:c r="H367" t="inlineStr">
        <x:is>
          <x:t xml:space="preserve">Difflam รสส้มผสมวิตามินซี (8 tabs)</x:t>
        </x:is>
      </x:c>
      <x:c r="I367" t="inlineStr">
        <x:is>
          <x:t xml:space="preserve">รับประทาน (อม) ครั้งละ 1 เม็ดให้ละลายช้าๆในปากทุก 2-3 ชม.  </x:t>
        </x:is>
      </x:c>
    </x:row>
    <x:row r="368">
      <x:c r="A368" t="n">
        <x:v>366</x:v>
      </x:c>
      <x:c r="B368" t="inlineStr">
        <x:is>
          <x:t xml:space="preserve">ยาอมแก้เจ็บคอ</x:t>
        </x:is>
      </x:c>
      <x:c r="C368" t="n">
        <x:v>44922</x:v>
      </x:c>
      <x:c r="D368" t="inlineStr">
        <x:is>
          <x:t xml:space="preserve">Mybacin OTC Mint</x:t>
        </x:is>
      </x:c>
      <x:c r="E368" t="inlineStr">
        <x:is>
          <x:t xml:space="preserve">ซอง 8 เม็ด</x:t>
        </x:is>
      </x:c>
      <x:c r="F368" t="inlineStr">
        <x:is>
          <x:t xml:space="preserve">2,4-ไดคลอโรเบนซิล แอลกอฮอล์ 1.2 มก.+เอมิลเมเทครีซอล 0.6 มก.</x:t>
        </x:is>
      </x:c>
      <x:c r="G368" t="inlineStr">
        <x:is>
          <x:t xml:space="preserve">BDS044922</x:t>
        </x:is>
      </x:c>
      <x:c r="H368" t="inlineStr">
        <x:is>
          <x:t xml:space="preserve">Mybacin OTC Mint (8 tabs)</x:t>
        </x:is>
      </x:c>
      <x:c r="I368" t="inlineStr">
        <x:is>
          <x:t xml:space="preserve">อมให้ละลายช้าๆ ครั้งละ 1 เม็ด ทุกๆ 2-3  ชั่วโมง </x:t>
        </x:is>
      </x:c>
    </x:row>
    <x:row r="369">
      <x:c r="A369" t="n">
        <x:v>367</x:v>
      </x:c>
      <x:c r="B369" t="inlineStr">
        <x:is>
          <x:t xml:space="preserve">ยาอมแก้เจ็บคอ</x:t>
        </x:is>
      </x:c>
      <x:c r="C369" t="n">
        <x:v>3574</x:v>
      </x:c>
      <x:c r="D369" t="inlineStr">
        <x:is>
          <x:t xml:space="preserve">Strepsils Citrus Lemon SF HHR ซอง 6s</x:t>
        </x:is>
      </x:c>
      <x:c r="E369" t="inlineStr">
        <x:is>
          <x:t xml:space="preserve">ซอง 6 เม็ด</x:t>
        </x:is>
      </x:c>
      <x:c r="F369" t="inlineStr">
        <x:is>
          <x:t xml:space="preserve">2,4-Dichlorobenzyl Alcohol 1.2 mg.+Amylmetacresol 0.6 mg.</x:t>
        </x:is>
      </x:c>
      <x:c r="G369" t="inlineStr">
        <x:is>
          <x:t xml:space="preserve">BDS003574</x:t>
        </x:is>
      </x:c>
      <x:c r="H369" t="inlineStr">
        <x:is>
          <x:t xml:space="preserve">Strepsils Citrus Lemon SF HHR ซอง 6s (6 tabs)</x:t>
        </x:is>
      </x:c>
      <x:c r="I369" t="inlineStr">
        <x:is>
          <x:t xml:space="preserve">รับประทาน (อม) ครั้งละ1-2 เม็ด วันละ 3-5 ครั้ง หรือเมื่อมีอาการ</x:t>
        </x:is>
      </x:c>
      <x:c r="J369" t="inlineStr">
        <x:is>
          <x:t xml:space="preserve">Take 1-2 lozenges 3-5 times a day or when symptoms appear.</x:t>
        </x:is>
      </x:c>
    </x:row>
    <x:row r="370">
      <x:c r="A370" t="n">
        <x:v>368</x:v>
      </x:c>
      <x:c r="B370" t="inlineStr">
        <x:is>
          <x:t xml:space="preserve">ยาอมแก้เจ็บคอ</x:t>
        </x:is>
      </x:c>
      <x:c r="C370" t="n">
        <x:v>3578</x:v>
      </x:c>
      <x:c r="D370" t="inlineStr">
        <x:is>
          <x:t xml:space="preserve">Strepsils Citrus Lemon Sugar Free กล่อง 16s</x:t>
        </x:is>
      </x:c>
      <x:c r="E370" t="inlineStr">
        <x:is>
          <x:t xml:space="preserve">กล่อง 16 เม็ด</x:t>
        </x:is>
      </x:c>
      <x:c r="F370" t="inlineStr">
        <x:is>
          <x:t xml:space="preserve">2,4-Dichlorobenzyl Alcohol 1.2 mg.+Amylmetacresol 0.6 mg.</x:t>
        </x:is>
      </x:c>
      <x:c r="G370" t="inlineStr">
        <x:is>
          <x:t xml:space="preserve">BDS003578</x:t>
        </x:is>
      </x:c>
      <x:c r="H370" t="inlineStr">
        <x:is>
          <x:t xml:space="preserve">Strepsils Citrus Lemon Sugar Free กล่อง 16s (16 tabs)</x:t>
        </x:is>
      </x:c>
      <x:c r="I370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0" t="inlineStr">
        <x:is>
          <x:t xml:space="preserve">Take 1-2 lozenges 3-5 times a day or when symptoms appear.</x:t>
        </x:is>
      </x:c>
    </x:row>
    <x:row r="371">
      <x:c r="A371" t="n">
        <x:v>369</x:v>
      </x:c>
      <x:c r="B371" t="inlineStr">
        <x:is>
          <x:t xml:space="preserve">ยาอมแก้เจ็บคอ</x:t>
        </x:is>
      </x:c>
      <x:c r="C371" t="n">
        <x:v>3661</x:v>
      </x:c>
      <x:c r="D371" t="inlineStr">
        <x:is>
          <x:t xml:space="preserve">Strepsils Cool กล่อง 24s</x:t>
        </x:is>
      </x:c>
      <x:c r="E371" t="inlineStr">
        <x:is>
          <x:t xml:space="preserve">กล่อง 24 เม็ด</x:t>
        </x:is>
      </x:c>
      <x:c r="F371" t="inlineStr">
        <x:is>
          <x:t xml:space="preserve">2,4-Dichlorobenzyl Alcohol 1.2 mg.+Amylmetacresol 0.6 mg.+Menthol 7.0 mg.</x:t>
        </x:is>
      </x:c>
      <x:c r="G371" t="inlineStr">
        <x:is>
          <x:t xml:space="preserve">BDS003661</x:t>
        </x:is>
      </x:c>
      <x:c r="H371" t="inlineStr">
        <x:is>
          <x:t xml:space="preserve">Strepsils Cool กล่อง 24s (24 tabs)</x:t>
        </x:is>
      </x:c>
      <x:c r="I371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1" t="inlineStr">
        <x:is>
          <x:t xml:space="preserve">Take 1-2 lozenges 3-5 times a day or when symptoms appear.</x:t>
        </x:is>
      </x:c>
    </x:row>
    <x:row r="372">
      <x:c r="A372" t="n">
        <x:v>370</x:v>
      </x:c>
      <x:c r="B372" t="inlineStr">
        <x:is>
          <x:t xml:space="preserve">ยาอมแก้เจ็บคอ</x:t>
        </x:is>
      </x:c>
      <x:c r="C372" t="n">
        <x:v>3554</x:v>
      </x:c>
      <x:c r="D372" t="inlineStr">
        <x:is>
          <x:t xml:space="preserve">Strepsils Cool ซอง 8s</x:t>
        </x:is>
      </x:c>
      <x:c r="E372" t="inlineStr">
        <x:is>
          <x:t xml:space="preserve">ซอง 8 เม็ด</x:t>
        </x:is>
      </x:c>
      <x:c r="F372" t="inlineStr">
        <x:is>
          <x:t xml:space="preserve">2,4-Dichlorobenzyl alcohol 1.2 mg.+Amylmetacresol 0.6 mg.+Menthol 7.0 mg.</x:t>
        </x:is>
      </x:c>
      <x:c r="G372" t="inlineStr">
        <x:is>
          <x:t xml:space="preserve">BDS003554</x:t>
        </x:is>
      </x:c>
      <x:c r="H372" t="inlineStr">
        <x:is>
          <x:t xml:space="preserve">Strepsils Cool ซอง 8s (8 tabs)</x:t>
        </x:is>
      </x:c>
      <x:c r="I372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2" t="inlineStr">
        <x:is>
          <x:t xml:space="preserve">Take 1-2 lozenges 3-5 times a day or when symptoms appear.</x:t>
        </x:is>
      </x:c>
    </x:row>
    <x:row r="373">
      <x:c r="A373" t="n">
        <x:v>371</x:v>
      </x:c>
      <x:c r="B373" t="inlineStr">
        <x:is>
          <x:t xml:space="preserve">ยาอมแก้เจ็บคอ</x:t>
        </x:is>
      </x:c>
      <x:c r="C373" t="n">
        <x:v>3590</x:v>
      </x:c>
      <x:c r="D373" t="inlineStr">
        <x:is>
          <x:t xml:space="preserve">Strepsils Honey &amp; Lemon HHR ซอง 8s</x:t>
        </x:is>
      </x:c>
      <x:c r="E373" t="inlineStr">
        <x:is>
          <x:t xml:space="preserve">ซอง 8 เม็ด</x:t>
        </x:is>
      </x:c>
      <x:c r="F373" t="inlineStr">
        <x:is>
          <x:t xml:space="preserve">2,4-Dichlorobenzyl Alcohol 1.2 mg.+Amylmetacresol 0.6 mg.</x:t>
        </x:is>
      </x:c>
      <x:c r="G373" t="inlineStr">
        <x:is>
          <x:t xml:space="preserve">BDS003590</x:t>
        </x:is>
      </x:c>
      <x:c r="H373" t="inlineStr">
        <x:is>
          <x:t xml:space="preserve">Strepsils Honey &amp; Lemon HHR ซอง 8s (8 tabs)</x:t>
        </x:is>
      </x:c>
      <x:c r="I373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3" t="inlineStr">
        <x:is>
          <x:t xml:space="preserve">Take 1-2 lozenges 3-5 times a day or when symptoms appear.</x:t>
        </x:is>
      </x:c>
      <x:c r="K373" t="n">
        <x:v>120</x:v>
      </x:c>
      <x:c r="L373" t="n">
        <x:v>15</x:v>
      </x:c>
      <x:c r="M373" t="inlineStr">
        <x:is>
          <x:t xml:space="preserve">USER</x:t>
        </x:is>
      </x:c>
      <x:c r="N373" t="inlineStr">
        <x:is>
          <x:t xml:space="preserve">2026-02-07</x:t>
        </x:is>
      </x:c>
      <x:c r="O373" t="inlineStr">
        <x:is>
          <x:t xml:space="preserve">User provided price (online). Unit price per lozenge (8 tabs pack).</x:t>
        </x:is>
      </x:c>
    </x:row>
    <x:row r="374">
      <x:c r="A374" t="n">
        <x:v>372</x:v>
      </x:c>
      <x:c r="B374" t="inlineStr">
        <x:is>
          <x:t xml:space="preserve">ยาอมแก้เจ็บคอ</x:t>
        </x:is>
      </x:c>
      <x:c r="C374" t="n">
        <x:v>3582</x:v>
      </x:c>
      <x:c r="D374" t="inlineStr">
        <x:is>
          <x:t xml:space="preserve">Strepsils Honey &amp; Lemon กล่อง 24s</x:t>
        </x:is>
      </x:c>
      <x:c r="E374" t="inlineStr">
        <x:is>
          <x:t xml:space="preserve">กล่อง 24 เม็ด</x:t>
        </x:is>
      </x:c>
      <x:c r="F374" t="inlineStr">
        <x:is>
          <x:t xml:space="preserve">2,4-Dichlorobenzyl Alcohol 1.2 mg.+Amylmetacresol 0.6 mg.</x:t>
        </x:is>
      </x:c>
      <x:c r="G374" t="inlineStr">
        <x:is>
          <x:t xml:space="preserve">BDS003582</x:t>
        </x:is>
      </x:c>
      <x:c r="H374" t="inlineStr">
        <x:is>
          <x:t xml:space="preserve">Strepsils Honey &amp; Lemon กล่อง 24s (24 tabs)</x:t>
        </x:is>
      </x:c>
      <x:c r="I374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4" t="inlineStr">
        <x:is>
          <x:t xml:space="preserve">Take 1-2 lozenges 3-5 times a day or when symptoms appear.</x:t>
        </x:is>
      </x:c>
    </x:row>
    <x:row r="375">
      <x:c r="A375" t="n">
        <x:v>373</x:v>
      </x:c>
      <x:c r="B375" t="inlineStr">
        <x:is>
          <x:t xml:space="preserve">ยาอมแก้เจ็บคอ</x:t>
        </x:is>
      </x:c>
      <x:c r="C375" t="n">
        <x:v>3555</x:v>
      </x:c>
      <x:c r="D375" t="inlineStr">
        <x:is>
          <x:t xml:space="preserve">Strepsils Orange+Vitamin C HHR ซอง 8s</x:t>
        </x:is>
      </x:c>
      <x:c r="E375" t="inlineStr">
        <x:is>
          <x:t xml:space="preserve">ซอง 8 เม็ด</x:t>
        </x:is>
      </x:c>
      <x:c r="F375" t="inlineStr">
        <x:is>
          <x:t xml:space="preserve">2,4-Dichlorobenzyl Alcohol 1.2 mg.+Amylmetacresol 0.6 mg.+Vitamin C 100 mg.</x:t>
        </x:is>
      </x:c>
      <x:c r="G375" t="inlineStr">
        <x:is>
          <x:t xml:space="preserve">BDS003555</x:t>
        </x:is>
      </x:c>
      <x:c r="H375" t="inlineStr">
        <x:is>
          <x:t xml:space="preserve">Strepsils Orange+Vitamin C HHR ซอง 8s (8 tabs)</x:t>
        </x:is>
      </x:c>
      <x:c r="I375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5" t="inlineStr">
        <x:is>
          <x:t xml:space="preserve">Take 1-2 lozenges 3-5 times a day or when symptoms appear.</x:t>
        </x:is>
      </x:c>
    </x:row>
    <x:row r="376">
      <x:c r="A376" t="n">
        <x:v>374</x:v>
      </x:c>
      <x:c r="B376" t="inlineStr">
        <x:is>
          <x:t xml:space="preserve">ยาอมแก้เจ็บคอ</x:t>
        </x:is>
      </x:c>
      <x:c r="C376" t="n">
        <x:v>3556</x:v>
      </x:c>
      <x:c r="D376" t="inlineStr">
        <x:is>
          <x:t xml:space="preserve">Strepsils Orange+Vitamin C กล่อง 24s</x:t>
        </x:is>
      </x:c>
      <x:c r="E376" t="inlineStr">
        <x:is>
          <x:t xml:space="preserve">กล่อง 24 เม็ด</x:t>
        </x:is>
      </x:c>
      <x:c r="F376" t="inlineStr">
        <x:is>
          <x:t xml:space="preserve">2,4-Dichlorobenzyl Alcohol 1.2 mg.+Amylmetacresol 0.6 mg.+Vitamin C 100 mg.</x:t>
        </x:is>
      </x:c>
      <x:c r="G376" t="inlineStr">
        <x:is>
          <x:t xml:space="preserve">BDS003556</x:t>
        </x:is>
      </x:c>
      <x:c r="H376" t="inlineStr">
        <x:is>
          <x:t xml:space="preserve">Strepsils Orange+Vitamin C กล่อง 24s (24 tabs)</x:t>
        </x:is>
      </x:c>
      <x:c r="I376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6" t="inlineStr">
        <x:is>
          <x:t xml:space="preserve">Take 1-2 lozenges 3-5 times a day or when symptoms appear.</x:t>
        </x:is>
      </x:c>
    </x:row>
    <x:row r="377">
      <x:c r="A377" t="n">
        <x:v>375</x:v>
      </x:c>
      <x:c r="B377" t="inlineStr">
        <x:is>
          <x:t xml:space="preserve">ยาอมแก้เจ็บคอ</x:t>
        </x:is>
      </x:c>
      <x:c r="C377" t="n">
        <x:v>3583</x:v>
      </x:c>
      <x:c r="D377" t="inlineStr">
        <x:is>
          <x:t xml:space="preserve">Strepsils Original HHR (เม็ดแดง) กล่อง 24s</x:t>
        </x:is>
      </x:c>
      <x:c r="E377" t="inlineStr">
        <x:is>
          <x:t xml:space="preserve">กล่อง 24 เม็ด</x:t>
        </x:is>
      </x:c>
      <x:c r="F377" t="inlineStr">
        <x:is>
          <x:t xml:space="preserve">2,4-Dichlorobenzyl Alcohol 1.2 mg.+Amylmetacresol 0.6 mg.</x:t>
        </x:is>
      </x:c>
      <x:c r="G377" t="inlineStr">
        <x:is>
          <x:t xml:space="preserve">BDS003583</x:t>
        </x:is>
      </x:c>
      <x:c r="H377" t="inlineStr">
        <x:is>
          <x:t xml:space="preserve">Strepsils Original HHR (เม็ดแดง) กล่อง 24s (24 tabs)</x:t>
        </x:is>
      </x:c>
      <x:c r="I377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7" t="inlineStr">
        <x:is>
          <x:t xml:space="preserve">Take 1-2 lozenges 3-5 times a day or when symptoms appear.</x:t>
        </x:is>
      </x:c>
    </x:row>
    <x:row r="378">
      <x:c r="A378" t="n">
        <x:v>376</x:v>
      </x:c>
      <x:c r="B378" t="inlineStr">
        <x:is>
          <x:t xml:space="preserve">ยาอมแก้เจ็บคอ</x:t>
        </x:is>
      </x:c>
      <x:c r="C378" t="n">
        <x:v>3551</x:v>
      </x:c>
      <x:c r="D378" t="inlineStr">
        <x:is>
          <x:t xml:space="preserve">Strepsils Original HHR (เม็ดแดง) ซอง 8s</x:t>
        </x:is>
      </x:c>
      <x:c r="E378" t="inlineStr">
        <x:is>
          <x:t xml:space="preserve">ซอง 8 เม็ด</x:t>
        </x:is>
      </x:c>
      <x:c r="F378" t="inlineStr">
        <x:is>
          <x:t xml:space="preserve">2,4-Dichlorobenzyl Alcohol 1.2 mg.+Amylmetacresol 0.6 mg.</x:t>
        </x:is>
      </x:c>
      <x:c r="G378" t="inlineStr">
        <x:is>
          <x:t xml:space="preserve">BDS003551</x:t>
        </x:is>
      </x:c>
      <x:c r="H378" t="inlineStr">
        <x:is>
          <x:t xml:space="preserve">Strepsils Original HHR (เม็ดแดง) ซอง 8s (8 tabs)</x:t>
        </x:is>
      </x:c>
      <x:c r="I378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8" t="inlineStr">
        <x:is>
          <x:t xml:space="preserve">Take 1-2 lozenges 3-5 times a day or when symptoms appear.</x:t>
        </x:is>
      </x:c>
    </x:row>
    <x:row r="379">
      <x:c r="A379" t="n">
        <x:v>377</x:v>
      </x:c>
      <x:c r="B379" t="inlineStr">
        <x:is>
          <x:t xml:space="preserve">ยาอมแก้เจ็บคอ</x:t>
        </x:is>
      </x:c>
      <x:c r="C379" t="n">
        <x:v>3777</x:v>
      </x:c>
      <x:c r="D379" t="inlineStr">
        <x:is>
          <x:t xml:space="preserve">Throatsil รสน้ำผึ้งมะนาว ซอง 8s</x:t>
        </x:is>
      </x:c>
      <x:c r="E379" t="inlineStr">
        <x:is>
          <x:t xml:space="preserve">ซอง 8 เม็ด</x:t>
        </x:is>
      </x:c>
      <x:c r="F379" t="inlineStr">
        <x:is>
          <x:t xml:space="preserve">Dichlorobenzyl alcohol 1.2 mg.+Amylmetacresol 0.6 mg.</x:t>
        </x:is>
      </x:c>
      <x:c r="G379" t="inlineStr">
        <x:is>
          <x:t xml:space="preserve">BDS003777</x:t>
        </x:is>
      </x:c>
      <x:c r="H379" t="inlineStr">
        <x:is>
          <x:t xml:space="preserve">Throatsil รสน้ำผึ้งมะนาว ซอง 8s (8 tabs)</x:t>
        </x:is>
      </x:c>
      <x:c r="I379" t="inlineStr">
        <x:is>
          <x:t xml:space="preserve">รับประทาน (อม) ครั้งละ 1 เม็ด วันละ 3-5 ครั้ง หรือเมื่อมีอาการ</x:t>
        </x:is>
      </x:c>
      <x:c r="J379" t="inlineStr">
        <x:is>
          <x:t xml:space="preserve">Take 1 lozenge 3-5 times a day or when symptoms appear.</x:t>
        </x:is>
      </x:c>
    </x:row>
    <x:row r="380">
      <x:c r="A380" t="n">
        <x:v>378</x:v>
      </x:c>
      <x:c r="B380" t="inlineStr">
        <x:is>
          <x:t xml:space="preserve">ยาอมแก้เจ็บคอ</x:t>
        </x:is>
      </x:c>
      <x:c r="C380" t="n">
        <x:v>3790</x:v>
      </x:c>
      <x:c r="D380" t="inlineStr">
        <x:is>
          <x:t xml:space="preserve">Throatsil รสเมนทอล ซอง 8s</x:t>
        </x:is>
      </x:c>
      <x:c r="E380" t="inlineStr">
        <x:is>
          <x:t xml:space="preserve">ซอง 8 เม็ด</x:t>
        </x:is>
      </x:c>
      <x:c r="F380" t="inlineStr">
        <x:is>
          <x:t xml:space="preserve">Dichlorobenzyl alcohol 1.2 mg.+Amylmetacresol 0.6 mg.</x:t>
        </x:is>
      </x:c>
      <x:c r="G380" t="inlineStr">
        <x:is>
          <x:t xml:space="preserve">BDS003790</x:t>
        </x:is>
      </x:c>
      <x:c r="H380" t="inlineStr">
        <x:is>
          <x:t xml:space="preserve">Throatsil รสเมนทอล ซอง 8s (8 tabs)</x:t>
        </x:is>
      </x:c>
      <x:c r="I380" t="inlineStr">
        <x:is>
          <x:t xml:space="preserve">รับประทาน (อม) ครั้งละ 1 เม็ด วันละ 3-5 ครั้ง หรือเมื่อมีอาการ</x:t>
        </x:is>
      </x:c>
      <x:c r="J380" t="inlineStr">
        <x:is>
          <x:t xml:space="preserve">Take 1 lozenge 3-5 times a day or when symptoms appear.</x:t>
        </x:is>
      </x:c>
    </x:row>
    <x:row r="381">
      <x:c r="A381" t="n">
        <x:v>379</x:v>
      </x:c>
      <x:c r="B381" t="inlineStr">
        <x:is>
          <x:t xml:space="preserve">ยาอมแก้เจ็บคอ</x:t>
        </x:is>
      </x:c>
      <x:c r="C381" t="n">
        <x:v>3802</x:v>
      </x:c>
      <x:c r="D381" t="inlineStr">
        <x:is>
          <x:t xml:space="preserve">Throatsil รสส้ม กล่อง 24s</x:t>
        </x:is>
      </x:c>
      <x:c r="E381" t="inlineStr">
        <x:is>
          <x:t xml:space="preserve">กล่อง 24 เม็ด</x:t>
        </x:is>
      </x:c>
      <x:c r="F381" t="inlineStr">
        <x:is>
          <x:t xml:space="preserve">Dichlorobenzyl alcohol 1.2 mg.+Amylmetacresol 0.6 mg.+Vitamin C 100 mg.</x:t>
        </x:is>
      </x:c>
      <x:c r="G381" t="inlineStr">
        <x:is>
          <x:t xml:space="preserve">BDS003802</x:t>
        </x:is>
      </x:c>
      <x:c r="H381" t="inlineStr">
        <x:is>
          <x:t xml:space="preserve">Throatsil รสส้ม กล่อง 24s (24 tabs)</x:t>
        </x:is>
      </x:c>
      <x:c r="I381" t="inlineStr">
        <x:is>
          <x:t xml:space="preserve">รับประทาน (อม) ครั้งละ 1 เม็ด วันละ 3-5 ครั้ง หรือเมื่อมีอาการ</x:t>
        </x:is>
      </x:c>
      <x:c r="J381" t="inlineStr">
        <x:is>
          <x:t xml:space="preserve">Take 1 lozenge 3-5 times a day or when symptoms appear.</x:t>
        </x:is>
      </x:c>
    </x:row>
    <x:row r="382">
      <x:c r="A382" t="n">
        <x:v>380</x:v>
      </x:c>
      <x:c r="B382" t="inlineStr">
        <x:is>
          <x:t xml:space="preserve">ยาอมแก้เจ็บคอ</x:t>
        </x:is>
      </x:c>
      <x:c r="C382" t="n">
        <x:v>3775</x:v>
      </x:c>
      <x:c r="D382" t="inlineStr">
        <x:is>
          <x:t xml:space="preserve">Throatsil รสส้ม ซอง 8s</x:t>
        </x:is>
      </x:c>
      <x:c r="E382" t="inlineStr">
        <x:is>
          <x:t xml:space="preserve">ซอง 8 เม็ด</x:t>
        </x:is>
      </x:c>
      <x:c r="F382" t="inlineStr">
        <x:is>
          <x:t xml:space="preserve">Dichlorobenzyl alcolhol 1.2 mg.+Amylmetacresol 0.6 mg.+Vitamin C 100 mg.</x:t>
        </x:is>
      </x:c>
      <x:c r="G382" t="inlineStr">
        <x:is>
          <x:t xml:space="preserve">BDS003775</x:t>
        </x:is>
      </x:c>
      <x:c r="H382" t="inlineStr">
        <x:is>
          <x:t xml:space="preserve">Throatsil รสส้ม ซอง 8s (8 tabs)</x:t>
        </x:is>
      </x:c>
      <x:c r="I382" t="inlineStr">
        <x:is>
          <x:t xml:space="preserve">รับประทาน (อม) ครั้งละ 1 เม็ด วันละ 3-5 ครั้ง หรือเมื่อมีอาการ</x:t>
        </x:is>
      </x:c>
      <x:c r="J382" t="inlineStr">
        <x:is>
          <x:t xml:space="preserve">Take 1 lozenge 3-5 times a day or when symptoms appear.</x:t>
        </x:is>
      </x:c>
    </x:row>
    <x:row r="383">
      <x:c r="A383" t="n">
        <x:v>381</x:v>
      </x:c>
      <x:c r="B383" t="inlineStr">
        <x:is>
          <x:t xml:space="preserve">ยาแก้ปวด, ลดไข้ (D)</x:t>
        </x:is>
      </x:c>
      <x:c r="C383" t="n">
        <x:v>40016</x:v>
      </x:c>
      <x:c r="D383" t="inlineStr">
        <x:is>
          <x:t xml:space="preserve">Adavil F/C tabslets </x:t>
        </x:is>
      </x:c>
      <x:c r="E383" t="inlineStr">
        <x:is>
          <x:t xml:space="preserve">แผง 10 เม็ด</x:t>
        </x:is>
      </x:c>
      <x:c r="F383" t="inlineStr">
        <x:is>
          <x:t xml:space="preserve">Ibuprofen 400 mg.</x:t>
        </x:is>
      </x:c>
      <x:c r="G383" t="inlineStr">
        <x:is>
          <x:t xml:space="preserve">BDS040016</x:t>
        </x:is>
      </x:c>
      <x:c r="H383" t="inlineStr">
        <x:is>
          <x:t xml:space="preserve">Adavil F/C tabslets  (10 tabs)</x:t>
        </x:is>
      </x:c>
      <x:c r="I383" t="inlineStr">
        <x:is>
          <x:t xml:space="preserve">รับประทานครั้งละ 1 เม็ด วันละ 3-4 ครั้ง หลังอาหารทันที </x:t>
        </x:is>
      </x:c>
      <x:c r="P383" t="inlineStr">
        <x:is>
          <x:t xml:space="preserve">General analgesics/antipyretics</x:t>
        </x:is>
      </x:c>
    </x:row>
    <x:row r="384">
      <x:c r="A384" t="n">
        <x:v>382</x:v>
      </x:c>
      <x:c r="B384" t="inlineStr">
        <x:is>
          <x:t xml:space="preserve">ยาแก้ปวด, ลดไข้ (D)</x:t>
        </x:is>
      </x:c>
      <x:c r="C384" t="n">
        <x:v>40623</x:v>
      </x:c>
      <x:c r="D384" t="inlineStr">
        <x:is>
          <x:t xml:space="preserve">Brusoft 400</x:t>
        </x:is>
      </x:c>
      <x:c r="E384" t="inlineStr">
        <x:is>
          <x:t xml:space="preserve">กล่อง 10 แคปซูล</x:t>
        </x:is>
      </x:c>
      <x:c r="F384" t="inlineStr">
        <x:is>
          <x:t xml:space="preserve">Ibuprofen 400 mg.</x:t>
        </x:is>
      </x:c>
      <x:c r="G384" t="inlineStr">
        <x:is>
          <x:t xml:space="preserve">BDS040623</x:t>
        </x:is>
      </x:c>
      <x:c r="H384" t="inlineStr">
        <x:is>
          <x:t xml:space="preserve">Brusoft 400 (10 cap)</x:t>
        </x:is>
      </x:c>
      <x:c r="I384" t="inlineStr">
        <x:is>
          <x:t xml:space="preserve">รับประทานครั้งละ 1 แคปซูล ทุก 4-6 ชั่วโมง </x:t>
        </x:is>
      </x:c>
      <x:c r="P384" t="inlineStr">
        <x:is>
          <x:t xml:space="preserve">General analgesics/antipyretics</x:t>
        </x:is>
      </x:c>
    </x:row>
    <x:row r="385">
      <x:c r="A385" t="n">
        <x:v>383</x:v>
      </x:c>
      <x:c r="B385" t="inlineStr">
        <x:is>
          <x:t xml:space="preserve">ยาแก้ปวด, ลดไข้ (D)</x:t>
        </x:is>
      </x:c>
      <x:c r="C385" t="n">
        <x:v>40629</x:v>
      </x:c>
      <x:c r="D385" t="inlineStr">
        <x:is>
          <x:t xml:space="preserve">Brustan</x:t>
        </x:is>
      </x:c>
      <x:c r="E385" t="inlineStr">
        <x:is>
          <x:t xml:space="preserve">กล่อง 10 เม็ด</x:t>
        </x:is>
      </x:c>
      <x:c r="F385" t="inlineStr">
        <x:is>
          <x:t xml:space="preserve">Ibuprofen 400 mg.+Paracetamol 325 mg.</x:t>
        </x:is>
      </x:c>
      <x:c r="G385" t="inlineStr">
        <x:is>
          <x:t xml:space="preserve">BDS040629</x:t>
        </x:is>
      </x:c>
      <x:c r="H385" t="inlineStr">
        <x:is>
          <x:t xml:space="preserve">Brustan (10 tabs)</x:t>
        </x:is>
      </x:c>
      <x:c r="I385" t="inlineStr">
        <x:is>
          <x:t xml:space="preserve">รับประทานครั้งละ 1 เม็ด วันละ 3  ครั้ง หลังอาหารทันที</x:t>
        </x:is>
      </x:c>
      <x:c r="P385" t="inlineStr">
        <x:is>
          <x:t xml:space="preserve">General analgesics/antipyretics</x:t>
        </x:is>
      </x:c>
    </x:row>
    <x:row r="386">
      <x:c r="A386" t="n">
        <x:v>384</x:v>
      </x:c>
      <x:c r="B386" t="inlineStr">
        <x:is>
          <x:t xml:space="preserve">ยาแก้ปวด, ลดไข้ (D)</x:t>
        </x:is>
      </x:c>
      <x:c r="C386" t="n">
        <x:v>7040</x:v>
      </x:c>
      <x:c r="D386" t="inlineStr">
        <x:is>
          <x:t xml:space="preserve">Cefen 400P</x:t>
        </x:is>
      </x:c>
      <x:c r="E386" t="inlineStr">
        <x:is>
          <x:t xml:space="preserve">แผง 10 เม็ด</x:t>
        </x:is>
      </x:c>
      <x:c r="F386" t="inlineStr">
        <x:is>
          <x:t xml:space="preserve">Ibuprofen 400 mg.</x:t>
        </x:is>
      </x:c>
      <x:c r="G386" t="inlineStr">
        <x:is>
          <x:t xml:space="preserve">BDS007040</x:t>
        </x:is>
      </x:c>
      <x:c r="H386" t="inlineStr">
        <x:is>
          <x:t xml:space="preserve">Cefen 400P (10 tabs)</x:t>
        </x:is>
      </x:c>
      <x:c r="I386" t="inlineStr">
        <x:is>
          <x:t xml:space="preserve">รับประทานครั้งละ 1 เม็ด วันละ 3 ครั้ง หลังอาหารทันที</x:t>
        </x:is>
      </x:c>
      <x:c r="P386" t="inlineStr">
        <x:is>
          <x:t xml:space="preserve">General analgesics/antipyretics</x:t>
        </x:is>
      </x:c>
    </x:row>
    <x:row r="387">
      <x:c r="A387" t="n">
        <x:v>385</x:v>
      </x:c>
      <x:c r="B387" t="inlineStr">
        <x:is>
          <x:t xml:space="preserve">ยาแก้ปวด, ลดไข้ (D)</x:t>
        </x:is>
      </x:c>
      <x:c r="C387" t="n">
        <x:v>1618</x:v>
      </x:c>
      <x:c r="D387" t="inlineStr">
        <x:is>
          <x:t xml:space="preserve">Duran</x:t>
        </x:is>
      </x:c>
      <x:c r="E387" t="inlineStr">
        <x:is>
          <x:t xml:space="preserve">กล่อง 10 เม็ด</x:t>
        </x:is>
      </x:c>
      <x:c r="F387" t="inlineStr">
        <x:is>
          <x:t xml:space="preserve">Ibuprofen 400 mg.</x:t>
        </x:is>
      </x:c>
      <x:c r="G387" t="inlineStr">
        <x:is>
          <x:t xml:space="preserve">BDS001618</x:t>
        </x:is>
      </x:c>
      <x:c r="H387" t="inlineStr">
        <x:is>
          <x:t xml:space="preserve">Duran (10 tabs)</x:t>
        </x:is>
      </x:c>
      <x:c r="I387" t="inlineStr">
        <x:is>
          <x:t xml:space="preserve">รับประทานครั้งละ 1 เม็ด วันละ 3-4 ครั้ง หลังอาหารทันที</x:t>
        </x:is>
      </x:c>
      <x:c r="K387" t="n">
        <x:v>30</x:v>
      </x:c>
      <x:c r="L387" t="n">
        <x:v>3</x:v>
      </x:c>
      <x:c r="M387" t="inlineStr">
        <x:is>
          <x:t xml:space="preserve">https://www.migrainethailand.com/ibuprofen-migraine/</x:t>
        </x:is>
      </x:c>
      <x:c r="N387" t="inlineStr">
        <x:is>
          <x:t xml:space="preserve">2026-02-07</x:t>
        </x:is>
      </x:c>
      <x:c r="O387" t="inlineStr">
        <x:is>
          <x:t xml:space="preserve">Estimated midpoint from Thai retail range 25–34 THB per 10 tablets (generic ibuprofen 400 mg).</x:t>
        </x:is>
      </x:c>
      <x:c r="P387" t="inlineStr">
        <x:is>
          <x:t xml:space="preserve">General analgesics/antipyretics</x:t>
        </x:is>
      </x:c>
    </x:row>
    <x:row r="388">
      <x:c r="A388" t="n">
        <x:v>386</x:v>
      </x:c>
      <x:c r="B388" t="inlineStr">
        <x:is>
          <x:t xml:space="preserve">ยาแก้ปวด, ลดไข้ (D)</x:t>
        </x:is>
      </x:c>
      <x:c r="C388" t="n">
        <x:v>2042</x:v>
      </x:c>
      <x:c r="D388" t="inlineStr">
        <x:is>
          <x:t xml:space="preserve">Gofen 400</x:t>
        </x:is>
      </x:c>
      <x:c r="E388" t="inlineStr">
        <x:is>
          <x:t xml:space="preserve">กล่อง 10 แคปซูล</x:t>
        </x:is>
      </x:c>
      <x:c r="F388" t="inlineStr">
        <x:is>
          <x:t xml:space="preserve">Ibuprofen 400 mg.+Polyethylene 400+Porpylene Glycol</x:t>
        </x:is>
      </x:c>
      <x:c r="G388" t="inlineStr">
        <x:is>
          <x:t xml:space="preserve">BDS002042</x:t>
        </x:is>
      </x:c>
      <x:c r="H388" t="inlineStr">
        <x:is>
          <x:t xml:space="preserve">Gofen 400 (10 cap)</x:t>
        </x:is>
      </x:c>
      <x:c r="I388" t="inlineStr">
        <x:is>
          <x:t xml:space="preserve">รับประทานครั้งละ 1 แคปซูล ทุก 4-6 ชั่วโมง </x:t>
        </x:is>
      </x:c>
      <x:c r="K388" t="n">
        <x:v>177</x:v>
      </x:c>
      <x:c r="L388" t="n">
        <x:v>17.7</x:v>
      </x:c>
      <x:c r="M388" t="inlineStr">
        <x:is>
          <x:t xml:space="preserve">USER</x:t>
        </x:is>
      </x:c>
      <x:c r="N388" t="inlineStr">
        <x:is>
          <x:t xml:space="preserve">2026-02-07</x:t>
        </x:is>
      </x:c>
      <x:c r="O388" t="inlineStr">
        <x:is>
          <x:t xml:space="preserve">User provided price (Gofen 400 10 caps).</x:t>
        </x:is>
      </x:c>
      <x:c r="P388" t="inlineStr">
        <x:is>
          <x:t xml:space="preserve">General analgesics/antipyretics</x:t>
        </x:is>
      </x:c>
    </x:row>
    <x:row r="389">
      <x:c r="A389" t="n">
        <x:v>387</x:v>
      </x:c>
      <x:c r="B389" t="inlineStr">
        <x:is>
          <x:t xml:space="preserve">ยาแก้ปวด, ลดไข้ (D)</x:t>
        </x:is>
      </x:c>
      <x:c r="C389" t="n">
        <x:v>2036</x:v>
      </x:c>
      <x:c r="D389" t="inlineStr">
        <x:is>
          <x:t xml:space="preserve">Greatofen-400 mg</x:t>
        </x:is>
      </x:c>
      <x:c r="E389" t="inlineStr">
        <x:is>
          <x:t xml:space="preserve">แผง 10 เม็ด</x:t>
        </x:is>
      </x:c>
      <x:c r="F389" t="inlineStr">
        <x:is>
          <x:t xml:space="preserve">Ibuprofen 400 mg.</x:t>
        </x:is>
      </x:c>
      <x:c r="G389" t="inlineStr">
        <x:is>
          <x:t xml:space="preserve">BDS002036</x:t>
        </x:is>
      </x:c>
      <x:c r="H389" t="inlineStr">
        <x:is>
          <x:t xml:space="preserve">Greatofen-400 mg (10 tabs)</x:t>
        </x:is>
      </x:c>
      <x:c r="I389" t="inlineStr">
        <x:is>
          <x:t xml:space="preserve">รับประทานครั้งละ 1-2 เม็ด วันละ 3 ครั้ง หลังอาหารทันที</x:t>
        </x:is>
      </x:c>
      <x:c r="P389" t="inlineStr">
        <x:is>
          <x:t xml:space="preserve">General analgesics/antipyretics</x:t>
        </x:is>
      </x:c>
    </x:row>
    <x:row r="390">
      <x:c r="A390" t="n">
        <x:v>388</x:v>
      </x:c>
      <x:c r="B390" t="inlineStr">
        <x:is>
          <x:t xml:space="preserve">ยาแก้ปวด, ลดไข้ (D)</x:t>
        </x:is>
      </x:c>
      <x:c r="C390" t="n">
        <x:v>7161</x:v>
      </x:c>
      <x:c r="D390" t="inlineStr">
        <x:is>
          <x:t xml:space="preserve">Ibuman-Plus</x:t>
        </x:is>
      </x:c>
      <x:c r="E390" t="inlineStr">
        <x:is>
          <x:t xml:space="preserve">แผง 10 เม็ด</x:t>
        </x:is>
      </x:c>
      <x:c r="F390" t="inlineStr">
        <x:is>
          <x:t xml:space="preserve">Ibuprofen 400 mg.+Paracetamol 325 mg.</x:t>
        </x:is>
      </x:c>
      <x:c r="G390" t="inlineStr">
        <x:is>
          <x:t xml:space="preserve">BDS007161</x:t>
        </x:is>
      </x:c>
      <x:c r="H390" t="inlineStr">
        <x:is>
          <x:t xml:space="preserve">Ibuman-Plus (10 tabs)</x:t>
        </x:is>
      </x:c>
      <x:c r="I390" t="inlineStr">
        <x:is>
          <x:t xml:space="preserve">รับประทานครั้งละ 1 เม็ด วันละ 3  ครั้ง หลังอาหารทันที</x:t>
        </x:is>
      </x:c>
      <x:c r="P390" t="inlineStr">
        <x:is>
          <x:t xml:space="preserve">General analgesics/antipyretics</x:t>
        </x:is>
      </x:c>
    </x:row>
    <x:row r="391">
      <x:c r="A391" t="n">
        <x:v>389</x:v>
      </x:c>
      <x:c r="B391" t="inlineStr">
        <x:is>
          <x:t xml:space="preserve">ยาแก้ปวด, ลดไข้ (D)</x:t>
        </x:is>
      </x:c>
      <x:c r="C391" t="n">
        <x:v>7165</x:v>
      </x:c>
      <x:c r="D391" t="inlineStr">
        <x:is>
          <x:t xml:space="preserve">Kintal B</x:t>
        </x:is>
      </x:c>
      <x:c r="E391" t="inlineStr">
        <x:is>
          <x:t xml:space="preserve">แผง 10 เม็ด</x:t>
        </x:is>
      </x:c>
      <x:c r="F391" t="inlineStr">
        <x:is>
          <x:t xml:space="preserve">Ibuprofen 400 mg.+Paracetamol 325 mg.</x:t>
        </x:is>
      </x:c>
      <x:c r="G391" t="inlineStr">
        <x:is>
          <x:t xml:space="preserve">BDS007165</x:t>
        </x:is>
      </x:c>
      <x:c r="H391" t="inlineStr">
        <x:is>
          <x:t xml:space="preserve">Kintal B (10 tabs)</x:t>
        </x:is>
      </x:c>
      <x:c r="I391" t="inlineStr">
        <x:is>
          <x:t xml:space="preserve">รับประทานครั้งละ 1 เม็ด วันละ 3 ครั้ง หลังอาหารทันที</x:t>
        </x:is>
      </x:c>
      <x:c r="P391" t="inlineStr">
        <x:is>
          <x:t xml:space="preserve">General analgesics/antipyretics</x:t>
        </x:is>
      </x:c>
    </x:row>
    <x:row r="392">
      <x:c r="A392" t="n">
        <x:v>390</x:v>
      </x:c>
      <x:c r="B392" t="inlineStr">
        <x:is>
          <x:t xml:space="preserve">ยาแก้ปวด, ลดไข้ (D)</x:t>
        </x:is>
      </x:c>
      <x:c r="C392" t="n">
        <x:v>45600</x:v>
      </x:c>
      <x:c r="D392" t="inlineStr">
        <x:is>
          <x:t xml:space="preserve">Nurofen Zavance</x:t>
        </x:is>
      </x:c>
      <x:c r="E392" t="inlineStr">
        <x:is>
          <x:t xml:space="preserve">กล่อง 10 แคปซูล</x:t>
        </x:is>
      </x:c>
      <x:c r="F392" t="inlineStr">
        <x:is>
          <x:t xml:space="preserve">Ibuprofen 400 mg</x:t>
        </x:is>
      </x:c>
      <x:c r="G392" t="inlineStr">
        <x:is>
          <x:t xml:space="preserve">BDS045600</x:t>
        </x:is>
      </x:c>
      <x:c r="H392" t="inlineStr">
        <x:is>
          <x:t xml:space="preserve">Nurofen Zavance (10 cap)</x:t>
        </x:is>
      </x:c>
      <x:c r="I392" t="inlineStr">
        <x:is>
          <x:t xml:space="preserve">รับประทานครั้งละ 1 แคปซูล ทุก 6 ชั่วโมงเมื่อมีอาการ  </x:t>
        </x:is>
      </x:c>
      <x:c r="K392" t="n">
        <x:v>178</x:v>
      </x:c>
      <x:c r="L392" t="n">
        <x:v>17.8</x:v>
      </x:c>
      <x:c r="M392" t="inlineStr">
        <x:is>
          <x:t xml:space="preserve">https://bigya.co.th/product-detail/343</x:t>
        </x:is>
      </x:c>
      <x:c r="N392" t="inlineStr">
        <x:is>
          <x:t xml:space="preserve">2026-02-07</x:t>
        </x:is>
      </x:c>
      <x:c r="O392" t="inlineStr">
        <x:is>
          <x:t xml:space="preserve">Retail price at BIGYA (strip 10 softgel capsules).</x:t>
        </x:is>
      </x:c>
      <x:c r="P392" t="inlineStr">
        <x:is>
          <x:t xml:space="preserve">General analgesics/antipyretics</x:t>
        </x:is>
      </x:c>
    </x:row>
    <x:row r="393">
      <x:c r="A393" t="n">
        <x:v>391</x:v>
      </x:c>
      <x:c r="B393" t="inlineStr">
        <x:is>
          <x:t xml:space="preserve">ยาแก้ปวด, ลดไข้ (D)</x:t>
        </x:is>
      </x:c>
      <x:c r="C393" t="n">
        <x:v>2846</x:v>
      </x:c>
      <x:c r="D393" t="inlineStr">
        <x:is>
          <x:t xml:space="preserve">Nurofen-400</x:t>
        </x:is>
      </x:c>
      <x:c r="E393" t="inlineStr">
        <x:is>
          <x:t xml:space="preserve">แผง 6 เม็ด</x:t>
        </x:is>
      </x:c>
      <x:c r="F393" t="inlineStr">
        <x:is>
          <x:t xml:space="preserve">Ibuprofen 400 mg.</x:t>
        </x:is>
      </x:c>
      <x:c r="G393" t="inlineStr">
        <x:is>
          <x:t xml:space="preserve">BDS002846</x:t>
        </x:is>
      </x:c>
      <x:c r="H393" t="inlineStr">
        <x:is>
          <x:t xml:space="preserve">Nurofen-400 (6 tabs)</x:t>
        </x:is>
      </x:c>
      <x:c r="I393" t="inlineStr">
        <x:is>
          <x:t xml:space="preserve">รับประทานครั้งละ 1 เม็ด วันละ 3 ครั้ง หลังอาหารทันที</x:t>
        </x:is>
      </x:c>
      <x:c r="P393" t="inlineStr">
        <x:is>
          <x:t xml:space="preserve">General analgesics/antipyretics</x:t>
        </x:is>
      </x:c>
    </x:row>
    <x:row r="394">
      <x:c r="A394" t="n">
        <x:v>392</x:v>
      </x:c>
      <x:c r="B394" t="inlineStr">
        <x:is>
          <x:t xml:space="preserve">ยาแก้ปวด, ลดไข้ (D)</x:t>
        </x:is>
      </x:c>
      <x:c r="C394" t="n">
        <x:v>47673</x:v>
      </x:c>
      <x:c r="D394" t="inlineStr">
        <x:is>
          <x:t xml:space="preserve">Solufen 400</x:t>
        </x:is>
      </x:c>
      <x:c r="E394" t="inlineStr">
        <x:is>
          <x:t xml:space="preserve">กล่อง 10 แคปซูล</x:t>
        </x:is>
      </x:c>
      <x:c r="F394" t="inlineStr">
        <x:is>
          <x:t xml:space="preserve">Ibuprofen 400 mg.</x:t>
        </x:is>
      </x:c>
      <x:c r="G394" t="inlineStr">
        <x:is>
          <x:t xml:space="preserve">BDS047673</x:t>
        </x:is>
      </x:c>
      <x:c r="H394" t="inlineStr">
        <x:is>
          <x:t xml:space="preserve">Solufen 400 (10 cap)</x:t>
        </x:is>
      </x:c>
      <x:c r="I394" t="inlineStr">
        <x:is>
          <x:t xml:space="preserve">รับประทานครั้งละ 1 แคปซูล ทุก 4-6 ชั่วโมง </x:t>
        </x:is>
      </x:c>
      <x:c r="P394" t="inlineStr">
        <x:is>
          <x:t xml:space="preserve">General analgesics/antipyretics</x:t>
        </x:is>
      </x:c>
    </x:row>
    <x:row r="395">
      <x:c r="A395" t="n">
        <x:v>393</x:v>
      </x:c>
      <x:c r="B395" t="inlineStr">
        <x:is>
          <x:t xml:space="preserve">ยาอมแก้เจ็บคอ (D)</x:t>
        </x:is>
      </x:c>
      <x:c r="C395" t="n">
        <x:v>46200</x:v>
      </x:c>
      <x:c r="D395" t="inlineStr">
        <x:is>
          <x:t xml:space="preserve">Oral-VP tabslet</x:t>
        </x:is>
      </x:c>
      <x:c r="E395" t="inlineStr">
        <x:is>
          <x:t xml:space="preserve">ซอง 10 เม็ด</x:t>
        </x:is>
      </x:c>
      <x:c r="F395" t="inlineStr">
        <x:is>
          <x:t xml:space="preserve">Cetylpyridinium chloride 1.5 mg.</x:t>
        </x:is>
      </x:c>
      <x:c r="G395" t="inlineStr">
        <x:is>
          <x:t xml:space="preserve">BDS046200</x:t>
        </x:is>
      </x:c>
      <x:c r="H395" t="inlineStr">
        <x:is>
          <x:t xml:space="preserve">Oral-VP tabslet (10 tabs)</x:t>
        </x:is>
      </x:c>
      <x:c r="I395" t="inlineStr">
        <x:is>
          <x:t xml:space="preserve">อมให้ละลายช้าๆ ในปากเท่าที่ต้องการ </x:t>
        </x:is>
      </x:c>
    </x:row>
    <x:row r="396">
      <x:c r="A396" t="n">
        <x:v>394</x:v>
      </x:c>
      <x:c r="B396" t="inlineStr">
        <x:is>
          <x:t xml:space="preserve">ยาอมแก้เจ็บคอ (D)</x:t>
        </x:is>
      </x:c>
      <x:c r="C396" t="n">
        <x:v>3662</x:v>
      </x:c>
      <x:c r="D396" t="inlineStr">
        <x:is>
          <x:t xml:space="preserve">Strepsils Maxi Pluzz กล่อง 16s</x:t>
        </x:is>
      </x:c>
      <x:c r="E396" t="inlineStr">
        <x:is>
          <x:t xml:space="preserve">กล่อง 16 เม็ด</x:t>
        </x:is>
      </x:c>
      <x:c r="F396" t="inlineStr">
        <x:is>
          <x:t xml:space="preserve">2,4-ไดคลอโรเบนซิล แอลกอฮอล์ 1.2 มก.+ เอมิลเมแทครีซอล 0.6 มก. + ลิกโนเคน ไฮโดรคลอไรด์ 10.0 มก.</x:t>
        </x:is>
      </x:c>
      <x:c r="G396" t="inlineStr">
        <x:is>
          <x:t xml:space="preserve">BDS003662</x:t>
        </x:is>
      </x:c>
      <x:c r="H396" t="inlineStr">
        <x:is>
          <x:t xml:space="preserve">Strepsils Maxi Pluzz กล่อง 16s (16 tabs)</x:t>
        </x:is>
      </x:c>
      <x:c r="I396" t="inlineStr">
        <x:is>
          <x:t xml:space="preserve">รับประทาน (อม) ครั้งละ 1 เม็ด วันละ 3-5 ครั้ง หรือเมื่อมีอาการ</x:t>
        </x:is>
      </x:c>
    </x:row>
    <x:row r="397">
      <x:c r="A397" t="n">
        <x:v>395</x:v>
      </x:c>
      <x:c r="B397" t="inlineStr">
        <x:is>
          <x:t xml:space="preserve">ยาอมแก้เจ็บคอ (D)</x:t>
        </x:is>
      </x:c>
      <x:c r="C397" t="n">
        <x:v>3580</x:v>
      </x:c>
      <x:c r="D397" t="inlineStr">
        <x:is>
          <x:t xml:space="preserve">Strepsils Maxi Pluzz ซอง 6s</x:t>
        </x:is>
      </x:c>
      <x:c r="E397" t="inlineStr">
        <x:is>
          <x:t xml:space="preserve">ซอง 6 เม็ด</x:t>
        </x:is>
      </x:c>
      <x:c r="F397" t="inlineStr">
        <x:is>
          <x:t xml:space="preserve">2,4-Dichlorobenzyl alcohol 1.2 mg.+Amylmetacresol 0.6 mg.+Lidocain 10 mg.</x:t>
        </x:is>
      </x:c>
      <x:c r="G397" t="inlineStr">
        <x:is>
          <x:t xml:space="preserve">BDS003580</x:t>
        </x:is>
      </x:c>
      <x:c r="H397" t="inlineStr">
        <x:is>
          <x:t xml:space="preserve">Strepsils Maxi Pluzz ซอง 6s (6 tabs)</x:t>
        </x:is>
      </x:c>
      <x:c r="I397" t="inlineStr">
        <x:is>
          <x:t xml:space="preserve">รับประทาน (อม) ครั้งละ1-2 เม็ด วันละ 3-5 ครั้ง หรือเมื่อมีอาการ</x:t>
        </x:is>
      </x:c>
    </x:row>
    <x:row r="398">
      <x:c r="A398" t="n">
        <x:v>396</x:v>
      </x:c>
      <x:c r="B398" t="inlineStr">
        <x:is>
          <x:t xml:space="preserve">ยาอมแก้เจ็บคอ (D)</x:t>
        </x:is>
      </x:c>
      <x:c r="C398" t="n">
        <x:v>3772</x:v>
      </x:c>
      <x:c r="D398" t="inlineStr">
        <x:is>
          <x:t xml:space="preserve">Throatsil Plus ซอง 8s</x:t>
        </x:is>
      </x:c>
      <x:c r="E398" t="inlineStr">
        <x:is>
          <x:t xml:space="preserve">ซอง 8 เม็ด</x:t>
        </x:is>
      </x:c>
      <x:c r="F398" t="inlineStr">
        <x:is>
          <x:t xml:space="preserve">2,4-Dichlorobenzyl Alcohol 1.2 mg.+Amylmetacresol 0.6 mg.+Lignocaine HCl 10.0 mg.</x:t>
        </x:is>
      </x:c>
      <x:c r="G398" t="inlineStr">
        <x:is>
          <x:t xml:space="preserve">BDS003772</x:t>
        </x:is>
      </x:c>
      <x:c r="H398" t="inlineStr">
        <x:is>
          <x:t xml:space="preserve">Throatsil Plus ซอง 8s (8 tabs)</x:t>
        </x:is>
      </x:c>
      <x:c r="I398" t="inlineStr">
        <x:is>
          <x:t xml:space="preserve">รับประทาน (อม) ครั้งละ1-2 เม็ด วันละ 3-5 ครั้ง หรือเมื่อมีอาการ</x:t>
        </x:is>
      </x:c>
    </x:row>
    <x:row r="399">
      <x:c r="A399" t="n">
        <x:v>397</x:v>
      </x:c>
      <x:c r="B399" t="inlineStr">
        <x:is>
          <x:t xml:space="preserve">ผงเกลือแร่</x:t>
        </x:is>
      </x:c>
      <x:c r="C399" t="n">
        <x:v>8282</x:v>
      </x:c>
      <x:c r="D399" t="inlineStr">
        <x:is>
          <x:t xml:space="preserve">Cera ORS รสส้ม</x:t>
        </x:is>
      </x:c>
      <x:c r="E399" t="inlineStr">
        <x:is>
          <x:t xml:space="preserve">กล่อง 5 ซอง</x:t>
        </x:is>
      </x:c>
      <x:c r="F399" t="inlineStr">
        <x:is>
          <x:t xml:space="preserve">Glucose Anhydrous 3 g.+Sodium Chloride 0.53 g.+Potassium Chloride 0.23 g.+Sodium Citrate Dihydrate 0.44 g.</x:t>
        </x:is>
      </x:c>
      <x:c r="G399" t="inlineStr">
        <x:is>
          <x:t xml:space="preserve">BDS008282</x:t>
        </x:is>
      </x:c>
      <x:c r="H399" t="inlineStr">
        <x:is>
          <x:t xml:space="preserve">Cera ORS รสส้ม (5 sachets)</x:t>
        </x:is>
      </x:c>
      <x:c r="I399" t="inlineStr">
        <x:is>
          <x:t xml:space="preserve">ละลายครั้งละ 1 ซอง ต่อน้ำ 1 แก้ว (150 ml.) </x:t>
        </x:is>
      </x:c>
      <x:c r="P399" t="inlineStr">
        <x:is>
          <x:t xml:space="preserve">ORS / electrolytes</x:t>
        </x:is>
      </x:c>
    </x:row>
    <x:row r="400">
      <x:c r="A400" t="n">
        <x:v>398</x:v>
      </x:c>
      <x:c r="B400" t="inlineStr">
        <x:is>
          <x:t xml:space="preserve">ยาแก้เมารถ, เมาเรือ (D)</x:t>
        </x:is>
      </x:c>
      <x:c r="C400" t="n">
        <x:v>7141</x:v>
      </x:c>
      <x:c r="D400" t="inlineStr">
        <x:is>
          <x:t xml:space="preserve">Dimenhydrinate</x:t>
        </x:is>
      </x:c>
      <x:c r="E400" t="inlineStr">
        <x:is>
          <x:t xml:space="preserve">แผง 10 เม็ด</x:t>
        </x:is>
      </x:c>
      <x:c r="F400" t="inlineStr">
        <x:is>
          <x:t xml:space="preserve">Dimenhydrinate 50 mg.</x:t>
        </x:is>
      </x:c>
      <x:c r="G400" t="inlineStr">
        <x:is>
          <x:t xml:space="preserve">BDS007141</x:t>
        </x:is>
      </x:c>
      <x:c r="H400" t="inlineStr">
        <x:is>
          <x:t xml:space="preserve">Dimenhydrinate (10 tabs)</x:t>
        </x:is>
      </x:c>
      <x:c r="I400" t="inlineStr">
        <x:is>
          <x:t xml:space="preserve">รับประทานครั้งละ 1 เม็ด วันละ 3 ครั้งหรือก่อนเดินทาง 30 นาที</x:t>
        </x:is>
      </x:c>
    </x:row>
    <x:row r="401">
      <x:c r="A401" t="n">
        <x:v>399</x:v>
      </x:c>
      <x:c r="B401" t="inlineStr">
        <x:is>
          <x:t xml:space="preserve">ยาแก้เมารถ, เมาเรือ (D)</x:t>
        </x:is>
      </x:c>
      <x:c r="C401" t="n">
        <x:v>1663</x:v>
      </x:c>
      <x:c r="D401" t="inlineStr">
        <x:is>
          <x:t xml:space="preserve">Dramamine</x:t>
        </x:is>
      </x:c>
      <x:c r="E401" t="inlineStr">
        <x:is>
          <x:t xml:space="preserve">แผง 10 เม็ด</x:t>
        </x:is>
      </x:c>
      <x:c r="F401" t="inlineStr">
        <x:is>
          <x:t xml:space="preserve">Dimenhydrinate 50 mg.</x:t>
        </x:is>
      </x:c>
      <x:c r="G401" t="inlineStr">
        <x:is>
          <x:t xml:space="preserve">BDS001663</x:t>
        </x:is>
      </x:c>
      <x:c r="H401" t="inlineStr">
        <x:is>
          <x:t xml:space="preserve">Dramamine (10 tabs)</x:t>
        </x:is>
      </x:c>
      <x:c r="I401" t="inlineStr">
        <x:is>
          <x:t xml:space="preserve">รับประทานครั้งละ 1 เม็ด วันละ 3 ครั้ง ก่อนอาหาร 15-30 นาที หรือตามแพทย์สั่ง</x:t>
        </x:is>
      </x:c>
    </x:row>
    <x:row r="402">
      <x:c r="A402" t="n">
        <x:v>400</x:v>
      </x:c>
      <x:c r="B402" t="inlineStr">
        <x:is>
          <x:t xml:space="preserve">วิตามินบำรุงปลายประสาท</x:t>
        </x:is>
      </x:c>
      <x:c r="C402" t="n">
        <x:v>8272</x:v>
      </x:c>
      <x:c r="D402" t="inlineStr">
        <x:is>
          <x:t xml:space="preserve">Biotaplex-BC</x:t>
        </x:is>
      </x:c>
      <x:c r="E402" t="inlineStr">
        <x:is>
          <x:t xml:space="preserve">แผง 10 เม็ด</x:t>
        </x:is>
      </x:c>
      <x:c r="F402" t="inlineStr">
        <x:is>
          <x:t xml:space="preserve">Benfotiamine (Vit.B1) 69.15 mg+Riboflavin (Vit.B2) 5 mg+Pyridoxine HCl (Vit.B6) 5 mg+Cyanocobalamin (Vit.B12) 5 mcg+Vit.C 50 mg</x:t>
        </x:is>
      </x:c>
      <x:c r="G402" t="inlineStr">
        <x:is>
          <x:t xml:space="preserve">BDS008272</x:t>
        </x:is>
      </x:c>
      <x:c r="H402" t="inlineStr">
        <x:is>
          <x:t xml:space="preserve">Biotaplex-BC (10 tabs)</x:t>
        </x:is>
      </x:c>
      <x:c r="I402" t="inlineStr">
        <x:is>
          <x:t xml:space="preserve">รับประทานครั้งละ 1 เม็ด วันละ 1-2 ครั้ง หลังอาหาร</x:t>
        </x:is>
      </x:c>
    </x:row>
    <x:row r="403">
      <x:c r="A403" t="n">
        <x:v>401</x:v>
      </x:c>
      <x:c r="B403" t="inlineStr">
        <x:is>
          <x:t xml:space="preserve">วิตามินบำรุงปลายประสาท</x:t>
        </x:is>
      </x:c>
      <x:c r="C403" t="n">
        <x:v>2687</x:v>
      </x:c>
      <x:c r="D403" t="inlineStr">
        <x:is>
          <x:t xml:space="preserve">Mecze</x:t>
        </x:is>
      </x:c>
      <x:c r="E403" t="inlineStr">
        <x:is>
          <x:t xml:space="preserve">แผง 10 เม็ด</x:t>
        </x:is>
      </x:c>
      <x:c r="F403" t="inlineStr">
        <x:is>
          <x:t xml:space="preserve">Mecobalamin (Vit. B12) 500 mcg.</x:t>
        </x:is>
      </x:c>
      <x:c r="G403" t="inlineStr">
        <x:is>
          <x:t xml:space="preserve">BDS002687</x:t>
        </x:is>
      </x:c>
      <x:c r="H403" t="inlineStr">
        <x:is>
          <x:t xml:space="preserve">Mecze (10 tabs)</x:t>
        </x:is>
      </x:c>
      <x:c r="I403" t="inlineStr">
        <x:is>
          <x:t xml:space="preserve">รับประทานครั้งละ 1 เม็ด วันละ 3 ครั้ง หลังอาหาร </x:t>
        </x:is>
      </x:c>
    </x:row>
    <x:row r="404">
      <x:c r="A404" t="n">
        <x:v>402</x:v>
      </x:c>
      <x:c r="B404" t="inlineStr">
        <x:is>
          <x:t xml:space="preserve">วิตามินบำรุงปลายประสาท</x:t>
        </x:is>
      </x:c>
      <x:c r="C404" t="n">
        <x:v>44925</x:v>
      </x:c>
      <x:c r="D404" t="inlineStr">
        <x:is>
          <x:t xml:space="preserve">Mega Diavit</x:t>
        </x:is>
      </x:c>
      <x:c r="E404" t="inlineStr">
        <x:is>
          <x:t xml:space="preserve">กล่อง 10 แคปซูล</x:t>
        </x:is>
      </x:c>
      <x:c r="F404" t="inlineStr">
        <x:is>
          <x:t xml:space="preserve">Vit.B1 100 mg+ Vit.B6 200 mg+Methylcobalamin 500 mg+ Folic Acid 0.2 mg+Natural Vit.E 200 IU+ Natural Mixed Carotenoids 4 mg+Equivlent to Vit.A 5000 IU+ Vit.D3 400 IU+Copper 1 mg+Chromium 0.2 mg+Zinc 15 mg.</x:t>
        </x:is>
      </x:c>
      <x:c r="G404" t="inlineStr">
        <x:is>
          <x:t xml:space="preserve">BDS044925</x:t>
        </x:is>
      </x:c>
      <x:c r="H404" t="inlineStr">
        <x:is>
          <x:t xml:space="preserve">Mega Diavit (10 cap)</x:t>
        </x:is>
      </x:c>
      <x:c r="I404" t="inlineStr">
        <x:is>
          <x:t xml:space="preserve">รับประทานครั้งละ 1 แคปซูล วันละ 1-3 ครั้ง หลังอาหาร หรือตามแพทย์สั่ง</x:t>
        </x:is>
      </x:c>
    </x:row>
    <x:row r="405">
      <x:c r="A405" t="n">
        <x:v>403</x:v>
      </x:c>
      <x:c r="B405" t="inlineStr">
        <x:is>
          <x:t xml:space="preserve">วิตามินบำรุงปลายประสาท</x:t>
        </x:is>
      </x:c>
      <x:c r="C405" t="n">
        <x:v>2625</x:v>
      </x:c>
      <x:c r="D405" t="inlineStr">
        <x:is>
          <x:t xml:space="preserve">Methycobal 500</x:t>
        </x:is>
      </x:c>
      <x:c r="E405" t="inlineStr">
        <x:is>
          <x:t xml:space="preserve">แผง 10 เม็ด</x:t>
        </x:is>
      </x:c>
      <x:c r="F405" t="inlineStr">
        <x:is>
          <x:t xml:space="preserve">Mecobalamin (Vit. B12) 500 mcg.</x:t>
        </x:is>
      </x:c>
      <x:c r="G405" t="inlineStr">
        <x:is>
          <x:t xml:space="preserve">BDS002625</x:t>
        </x:is>
      </x:c>
      <x:c r="H405" t="inlineStr">
        <x:is>
          <x:t xml:space="preserve">Methycobal 500 (10 tabs)</x:t>
        </x:is>
      </x:c>
      <x:c r="I405" t="inlineStr">
        <x:is>
          <x:t xml:space="preserve">รับประทานครั้งละ 1 เม็ด วันละ 3 ครั้ง หลังอาหาร</x:t>
        </x:is>
      </x:c>
    </x:row>
    <x:row r="406">
      <x:c r="A406" t="n">
        <x:v>404</x:v>
      </x:c>
      <x:c r="B406" t="inlineStr">
        <x:is>
          <x:t xml:space="preserve">วิตามินบำรุงปลายประสาท</x:t>
        </x:is>
      </x:c>
      <x:c r="C406" t="n">
        <x:v>2822</x:v>
      </x:c>
      <x:c r="D406" t="inlineStr">
        <x:is>
          <x:t xml:space="preserve">Neurobion</x:t>
        </x:is>
      </x:c>
      <x:c r="E406" t="inlineStr">
        <x:is>
          <x:t xml:space="preserve">แผง 10 เม็ด</x:t>
        </x:is>
      </x:c>
      <x:c r="F406" t="inlineStr">
        <x:is>
          <x:t xml:space="preserve">Thiamine Disulfide (Vit.B1) 100 mg+Pyridoxine HCl (Vit.B6) 200 mg+Cyanocobalamin (Vit.B12) 200 mcg</x:t>
        </x:is>
      </x:c>
      <x:c r="G406" t="inlineStr">
        <x:is>
          <x:t xml:space="preserve">BDS002822</x:t>
        </x:is>
      </x:c>
      <x:c r="H406" t="inlineStr">
        <x:is>
          <x:t xml:space="preserve">Neurobion (10 tabs)</x:t>
        </x:is>
      </x:c>
      <x:c r="I406" t="inlineStr">
        <x:is>
          <x:t xml:space="preserve">รับประทานครั้งละ 1 เม็ด วันละ 1-3 ครั้ง หลังอาหาร หรือตามแพทย์สั่ง </x:t>
        </x:is>
      </x:c>
    </x:row>
    <x:row r="407">
      <x:c r="A407" t="n">
        <x:v>405</x:v>
      </x:c>
      <x:c r="B407" t="inlineStr">
        <x:is>
          <x:t xml:space="preserve">วิตามินบำรุงปลายประสาท</x:t>
        </x:is>
      </x:c>
      <x:c r="C407" t="n">
        <x:v>3007</x:v>
      </x:c>
      <x:c r="D407" t="inlineStr">
        <x:is>
          <x:t xml:space="preserve">One-Six-Twelve</x:t>
        </x:is>
      </x:c>
      <x:c r="E407" t="inlineStr">
        <x:is>
          <x:t xml:space="preserve">แผง 10 เม็ด</x:t>
        </x:is>
      </x:c>
      <x:c r="F407" t="inlineStr">
        <x:is>
          <x:t xml:space="preserve">Thiamine Mononitrate (Vit.B1) 100 mg+Pyridoxine HCl (Vit.B6) 5  mg+Cyanocobalamin (Vit.B12) 50 mcg</x:t>
        </x:is>
      </x:c>
      <x:c r="G407" t="inlineStr">
        <x:is>
          <x:t xml:space="preserve">BDS003007</x:t>
        </x:is>
      </x:c>
      <x:c r="H407" t="inlineStr">
        <x:is>
          <x:t xml:space="preserve">One-Six-Twelve (10 tabs)</x:t>
        </x:is>
      </x:c>
      <x:c r="I407" t="inlineStr">
        <x:is>
          <x:t xml:space="preserve">รับประทานครั้งละ 1 เม็ด วันละ 1 ครั้ง หลังอาหาร หรือตามแพทย์สั่ง </x:t>
        </x:is>
      </x:c>
    </x:row>
    <x:row r="408">
      <x:c r="A408" t="n">
        <x:v>406</x:v>
      </x:c>
      <x:c r="B408" t="inlineStr">
        <x:is>
          <x:t xml:space="preserve">วิตามินบำรุงปลายประสาท</x:t>
        </x:is>
      </x:c>
      <x:c r="C408" t="n">
        <x:v>8151</x:v>
      </x:c>
      <x:c r="D408" t="inlineStr">
        <x:is>
          <x:t xml:space="preserve">Sambee</x:t>
        </x:is>
      </x:c>
      <x:c r="E408" t="inlineStr">
        <x:is>
          <x:t xml:space="preserve">แผง 10 เม็ด</x:t>
        </x:is>
      </x:c>
      <x:c r="F408" t="inlineStr">
        <x:is>
          <x:t xml:space="preserve">Thiamine Mononitrate (Vit.B1) 100 mg+Pyridoxine HCl (Vit.B6) 5  mg+Cyanocobalamin (Vit.B12) 65 mcg</x:t>
        </x:is>
      </x:c>
      <x:c r="G408" t="inlineStr">
        <x:is>
          <x:t xml:space="preserve">BDS008151</x:t>
        </x:is>
      </x:c>
      <x:c r="H408" t="inlineStr">
        <x:is>
          <x:t xml:space="preserve">Sambee (10 tabs)</x:t>
        </x:is>
      </x:c>
      <x:c r="I408" t="inlineStr">
        <x:is>
          <x:t xml:space="preserve">รับประทานครั้งละ 1-2 เม็ด วันละ 2-3 ครั้ง หลังอาหาร หรือตามแพทย์สั่ง </x:t>
        </x:is>
      </x:c>
    </x:row>
    <x:row r="409">
      <x:c r="A409" t="n">
        <x:v>407</x:v>
      </x:c>
      <x:c r="B409" t="inlineStr">
        <x:is>
          <x:t xml:space="preserve">วิตามินบำรุงปลายประสาท</x:t>
        </x:is>
      </x:c>
      <x:c r="C409" t="n">
        <x:v>8708</x:v>
      </x:c>
      <x:c r="D409" t="inlineStr">
        <x:is>
          <x:t xml:space="preserve">Tri-Be-Sian</x:t>
        </x:is>
      </x:c>
      <x:c r="E409" t="inlineStr">
        <x:is>
          <x:t xml:space="preserve">แผง 10 เม็ด</x:t>
        </x:is>
      </x:c>
      <x:c r="F409" t="inlineStr">
        <x:is>
          <x:t xml:space="preserve">Thiamine Mononitrate (Vit.B1) 100 mg+Pyridoxine HCl (Vit.B6) 5  mg+Cyanocobalamin (Vit.B12) 50 mcg</x:t>
        </x:is>
      </x:c>
      <x:c r="G409" t="inlineStr">
        <x:is>
          <x:t xml:space="preserve">BDS008708</x:t>
        </x:is>
      </x:c>
      <x:c r="H409" t="inlineStr">
        <x:is>
          <x:t xml:space="preserve">Tri-Be-Sian (10 tabs)</x:t>
        </x:is>
      </x:c>
      <x:c r="I409" t="inlineStr">
        <x:is>
          <x:t xml:space="preserve">รับประทานครั้งละ 1 เม็ด วันละ 1-3 ครั้ง หลังอาหาร</x:t>
        </x:is>
      </x:c>
    </x:row>
    <x:row r="410">
      <x:c r="A410" t="n">
        <x:v>408</x:v>
      </x:c>
      <x:c r="B410" t="inlineStr">
        <x:is>
          <x:t xml:space="preserve">วิตามินบำรุงปลายประสาท</x:t>
        </x:is>
      </x:c>
      <x:c r="C410" t="n">
        <x:v>7809</x:v>
      </x:c>
      <x:c r="D410" t="inlineStr">
        <x:is>
          <x:t xml:space="preserve">Viboral</x:t>
        </x:is>
      </x:c>
      <x:c r="E410" t="inlineStr">
        <x:is>
          <x:t xml:space="preserve">แผง 10 เม็ด</x:t>
        </x:is>
      </x:c>
      <x:c r="F410" t="inlineStr">
        <x:is>
          <x:t xml:space="preserve">Thiamine Mononitrate (Vit.B1) 100 mg+Pyridoxine HCl (Vit.B6) 20  mg+Cyanocobalamin (Vit.B12) 100 mcg</x:t>
        </x:is>
      </x:c>
      <x:c r="G410" t="inlineStr">
        <x:is>
          <x:t xml:space="preserve">BDS007809</x:t>
        </x:is>
      </x:c>
      <x:c r="H410" t="inlineStr">
        <x:is>
          <x:t xml:space="preserve">Viboral (10 tabs)</x:t>
        </x:is>
      </x:c>
      <x:c r="I410" t="inlineStr">
        <x:is>
          <x:t xml:space="preserve">รับประทานครั้งละ 1 เม็ด วันละ 1-3 ครั้ง หลังอาหาร</x:t>
        </x:is>
      </x:c>
    </x:row>
    <x:row r="411">
      <x:c r="A411" t="n">
        <x:v>409</x:v>
      </x:c>
      <x:c r="B411" t="inlineStr">
        <x:is>
          <x:t xml:space="preserve">วิตามินบำรุงปลายประสาท</x:t>
        </x:is>
      </x:c>
      <x:c r="C411" t="n">
        <x:v>4007</x:v>
      </x:c>
      <x:c r="D411" t="inlineStr">
        <x:is>
          <x:t xml:space="preserve">Vitamin B1-B6-B12 (GPO)</x:t>
        </x:is>
      </x:c>
      <x:c r="E411" t="inlineStr">
        <x:is>
          <x:t xml:space="preserve">ขวด 100 เม็ด</x:t>
        </x:is>
      </x:c>
      <x:c r="F411" t="inlineStr">
        <x:is>
          <x:t xml:space="preserve">Vit.B1 100 mg+Vit.B6 7.5 mg+Vit.B12 75 mcg</x:t>
        </x:is>
      </x:c>
      <x:c r="G411" t="inlineStr">
        <x:is>
          <x:t xml:space="preserve">BDS004007</x:t>
        </x:is>
      </x:c>
      <x:c r="H411" t="inlineStr">
        <x:is>
          <x:t xml:space="preserve">Vitamin B1-B6-B12 (GPO) (100 tabs)</x:t>
        </x:is>
      </x:c>
      <x:c r="I411" t="inlineStr">
        <x:is>
          <x:t xml:space="preserve">รับประทานครั้งละ 1 เม็ด วันละ 1 ครั้ง หลังอาหาร หรือตามแพทย์สั่ง</x:t>
        </x:is>
      </x:c>
    </x:row>
    <x:row r="412">
      <x:c r="A412" t="n">
        <x:v>410</x:v>
      </x:c>
      <x:c r="B412" t="inlineStr">
        <x:is>
          <x:t xml:space="preserve">ยาลดกรด, เคลือบกระเพาะ (D)</x:t>
        </x:is>
      </x:c>
      <x:c r="C412" t="n">
        <x:v>2449</x:v>
      </x:c>
      <x:c r="D412" t="inlineStr">
        <x:is>
          <x:t xml:space="preserve">Kremil-S tabslet</x:t>
        </x:is>
      </x:c>
      <x:c r="E412" t="inlineStr">
        <x:is>
          <x:t xml:space="preserve">แผง 10 เม็ด</x:t>
        </x:is>
      </x:c>
      <x:c r="F412" t="inlineStr">
        <x:is>
          <x:t xml:space="preserve">AHMC(Aluminum Hydroxide 188.8 mg.+Magnesium Carbonate 136.2 mg.) 325 mg.+Simethicone 10 mg.+Dicyclomine HCl 2.5 mg.</x:t>
        </x:is>
      </x:c>
      <x:c r="G412" t="inlineStr">
        <x:is>
          <x:t xml:space="preserve">BDS002449</x:t>
        </x:is>
      </x:c>
      <x:c r="H412" t="inlineStr">
        <x:is>
          <x:t xml:space="preserve">Kremil-S tabslet (10 tabs)</x:t>
        </x:is>
      </x:c>
      <x:c r="I412" t="inlineStr">
        <x:is>
          <x:t xml:space="preserve">รับประทานครั้งละ 2-4 เม็ด ทุก 4 ชั่วโมง หรือตามแพทย์สั่ง</x:t>
        </x:is>
      </x:c>
    </x:row>
    <x:row r="413">
      <x:c r="A413" t="n">
        <x:v>411</x:v>
      </x:c>
      <x:c r="B413" t="inlineStr">
        <x:is>
          <x:t xml:space="preserve">ยาลดกรด, เคลือบกระเพาะ (D)</x:t>
        </x:is>
      </x:c>
      <x:c r="C413" t="n">
        <x:v>8766</x:v>
      </x:c>
      <x:c r="D413" t="inlineStr">
        <x:is>
          <x:t xml:space="preserve">Sulcain</x:t>
        </x:is>
      </x:c>
      <x:c r="E413" t="inlineStr">
        <x:is>
          <x:t xml:space="preserve">แผง 10 เม็ด</x:t>
        </x:is>
      </x:c>
      <x:c r="F413" t="inlineStr">
        <x:is>
          <x:t xml:space="preserve">Sulcain (Ethyl p-piperidylacetylaminobenzoate) 100 mg+Magcerin (Magnesia-alumina hydrate) 100 mg</x:t>
        </x:is>
      </x:c>
      <x:c r="G413" t="inlineStr">
        <x:is>
          <x:t xml:space="preserve">BDS008766</x:t>
        </x:is>
      </x:c>
      <x:c r="H413" t="inlineStr">
        <x:is>
          <x:t xml:space="preserve">Sulcain (10 tabs)</x:t>
        </x:is>
      </x:c>
      <x:c r="I413" t="inlineStr">
        <x:is>
          <x:t xml:space="preserve">รับประทานครั้งละ 2 เม็ด วันละ 3-4 ครั้ง</x:t>
        </x:is>
      </x:c>
    </x:row>
    <x:row r="414">
      <x:c r="A414" t="n">
        <x:v>412</x:v>
      </x:c>
      <x:c r="B414" t="inlineStr">
        <x:is>
          <x:t xml:space="preserve">ยาขับลม (D)</x:t>
        </x:is>
      </x:c>
      <x:c r="C414" t="n">
        <x:v>1038</x:v>
      </x:c>
      <x:c r="D414" t="inlineStr">
        <x:is>
          <x:t xml:space="preserve">Avarin</x:t>
        </x:is>
      </x:c>
      <x:c r="E414" t="inlineStr">
        <x:is>
          <x:t xml:space="preserve">กล่อง 10 แคปซูล</x:t>
        </x:is>
      </x:c>
      <x:c r="F414" t="inlineStr">
        <x:is>
          <x:t xml:space="preserve">Simethicone 300 mg.+Alverine Citrate 60 mg.</x:t>
        </x:is>
      </x:c>
      <x:c r="G414" t="inlineStr">
        <x:is>
          <x:t xml:space="preserve">BDS001038</x:t>
        </x:is>
      </x:c>
      <x:c r="H414" t="inlineStr">
        <x:is>
          <x:t xml:space="preserve">Avarin (10 cap)</x:t>
        </x:is>
      </x:c>
      <x:c r="I414" t="inlineStr">
        <x:is>
          <x:t xml:space="preserve">รับประทานครั้งละ 1 แคปซูล วันละ 3  ครั้ง หลังอาหาร</x:t>
        </x:is>
      </x:c>
      <x:c r="P414" t="inlineStr">
        <x:is>
          <x:t xml:space="preserve">Carminatives (gas relief)</x:t>
        </x:is>
      </x:c>
    </x:row>
    <x:row r="415">
      <x:c r="A415" t="n">
        <x:v>413</x:v>
      </x:c>
      <x:c r="B415" t="inlineStr">
        <x:is>
          <x:t xml:space="preserve">ยาขับลม (D)</x:t>
        </x:is>
      </x:c>
      <x:c r="C415" t="n">
        <x:v>1234</x:v>
      </x:c>
      <x:c r="D415" t="inlineStr">
        <x:is>
          <x:t xml:space="preserve">Berclomin tabs</x:t>
        </x:is>
      </x:c>
      <x:c r="E415" t="inlineStr">
        <x:is>
          <x:t xml:space="preserve">แผง 10 เม็ด</x:t>
        </x:is>
      </x:c>
      <x:c r="F415" t="inlineStr">
        <x:is>
          <x:t xml:space="preserve">Dicyclomine 10 mg.+Simethicone 100 mg.</x:t>
        </x:is>
      </x:c>
      <x:c r="G415" t="inlineStr">
        <x:is>
          <x:t xml:space="preserve">BDS001234</x:t>
        </x:is>
      </x:c>
      <x:c r="H415" t="inlineStr">
        <x:is>
          <x:t xml:space="preserve">Berclomin tabs (10 tabs)</x:t>
        </x:is>
      </x:c>
      <x:c r="I415" t="inlineStr">
        <x:is>
          <x:t xml:space="preserve">รับประทานครั้งละ 1-2 เม็ด วันละ 3-4 ครั้ง ก่อนอาหาร</x:t>
        </x:is>
      </x:c>
      <x:c r="P415" t="inlineStr">
        <x:is>
          <x:t xml:space="preserve">Carminatives (gas relief)</x:t>
        </x:is>
      </x:c>
    </x:row>
    <x:row r="416">
      <x:c r="A416" t="n">
        <x:v>414</x:v>
      </x:c>
      <x:c r="B416" t="inlineStr">
        <x:is>
          <x:t xml:space="preserve">ยาขับลม (D)</x:t>
        </x:is>
      </x:c>
      <x:c r="C416" t="n">
        <x:v>44943</x:v>
      </x:c>
      <x:c r="D416" t="inlineStr">
        <x:is>
          <x:t xml:space="preserve">Meteospasmyl </x:t>
        </x:is>
      </x:c>
      <x:c r="E416" t="inlineStr">
        <x:is>
          <x:t xml:space="preserve">แผง 10 เม็ด</x:t>
        </x:is>
      </x:c>
      <x:c r="F416" t="inlineStr">
        <x:is>
          <x:t xml:space="preserve">Alverine Citrate 60 mg +Simethicone 300 mg</x:t>
        </x:is>
      </x:c>
      <x:c r="G416" t="inlineStr">
        <x:is>
          <x:t xml:space="preserve">BDS044943</x:t>
        </x:is>
      </x:c>
      <x:c r="H416" t="inlineStr">
        <x:is>
          <x:t xml:space="preserve">Meteospasmyl  (10 tabs)</x:t>
        </x:is>
      </x:c>
      <x:c r="I416" t="inlineStr">
        <x:is>
          <x:t xml:space="preserve">รับประทานครั้งละ 1 แคปซูล วันละ 3  ครั้ง หลังอาหาร</x:t>
        </x:is>
      </x:c>
      <x:c r="P416" t="inlineStr">
        <x:is>
          <x:t xml:space="preserve">Carminatives (gas relief)</x:t>
        </x:is>
      </x:c>
    </x:row>
    <x:row r="417">
      <x:c r="A417" t="n">
        <x:v>415</x:v>
      </x:c>
      <x:c r="B417" t="inlineStr">
        <x:is>
          <x:t xml:space="preserve">ยาฆ่าพยาธิ (D)</x:t>
        </x:is>
      </x:c>
      <x:c r="C417" t="n">
        <x:v>8455</x:v>
      </x:c>
      <x:c r="D417" t="inlineStr">
        <x:is>
          <x:t xml:space="preserve">CB-400</x:t>
        </x:is>
      </x:c>
      <x:c r="E417" t="inlineStr">
        <x:is>
          <x:t xml:space="preserve">กล่อง 1 เม็ด</x:t>
        </x:is>
      </x:c>
      <x:c r="F417" t="inlineStr">
        <x:is>
          <x:t xml:space="preserve">Albendazole 400 mg.</x:t>
        </x:is>
      </x:c>
      <x:c r="G417" t="inlineStr">
        <x:is>
          <x:t xml:space="preserve">BDS008455</x:t>
        </x:is>
      </x:c>
      <x:c r="H417" t="inlineStr">
        <x:is>
          <x:t xml:space="preserve">CB-400 (1 tab)</x:t>
        </x:is>
      </x:c>
      <x:c r="I417" t="inlineStr">
        <x:is>
          <x:t xml:space="preserve">สำหรับพยาธิตัวกลม รับประทานครั้งละ 1 เม็ด วันละ 1 ครั้ง</x:t>
        </x:is>
      </x:c>
      <x:c r="P417" t="inlineStr">
        <x:is>
          <x:t xml:space="preserve">Antiparasitics / deworming</x:t>
        </x:is>
      </x:c>
    </x:row>
    <x:row r="418">
      <x:c r="A418" t="n">
        <x:v>416</x:v>
      </x:c>
      <x:c r="B418" t="inlineStr">
        <x:is>
          <x:t xml:space="preserve">ยาฆ่าพยาธิ (D)</x:t>
        </x:is>
      </x:c>
      <x:c r="C418" t="n">
        <x:v>2104</x:v>
      </x:c>
      <x:c r="D418" t="inlineStr">
        <x:is>
          <x:t xml:space="preserve">Hexin ฆ่าพยาธิ</x:t>
        </x:is>
      </x:c>
      <x:c r="E418" t="inlineStr">
        <x:is>
          <x:t xml:space="preserve">แผง 4 เม็ด</x:t>
        </x:is>
      </x:c>
      <x:c r="F418" t="inlineStr">
        <x:is>
          <x:t xml:space="preserve">Niclosamide 500 mg.+Phenolphthalein 75 mg.</x:t>
        </x:is>
      </x:c>
      <x:c r="G418" t="inlineStr">
        <x:is>
          <x:t xml:space="preserve">BDS002104</x:t>
        </x:is>
      </x:c>
      <x:c r="H418" t="inlineStr">
        <x:is>
          <x:t xml:space="preserve">Hexin ฆ่าพยาธิ (4 tabs)</x:t>
        </x:is>
      </x:c>
      <x:c r="I418" t="inlineStr">
        <x:is>
          <x:t xml:space="preserve">ผู้ใหญ่รับประทาน (เคี้ยว) ครั้งละ 4 เม็ด วันละ 1 ครั้ง ก่อนนอน </x:t>
        </x:is>
      </x:c>
      <x:c r="P418" t="inlineStr">
        <x:is>
          <x:t xml:space="preserve">Antiparasitics / deworming</x:t>
        </x:is>
      </x:c>
    </x:row>
    <x:row r="419">
      <x:c r="A419" t="n">
        <x:v>417</x:v>
      </x:c>
      <x:c r="B419" t="inlineStr">
        <x:is>
          <x:t xml:space="preserve">ยาฆ่าพยาธิ (D)</x:t>
        </x:is>
      </x:c>
      <x:c r="C419" t="n">
        <x:v>4217</x:v>
      </x:c>
      <x:c r="D419" t="inlineStr">
        <x:is>
          <x:t xml:space="preserve">Zentel 400 mg</x:t>
        </x:is>
      </x:c>
      <x:c r="E419" t="inlineStr">
        <x:is>
          <x:t xml:space="preserve">กล่อง 1 เม็ด</x:t>
        </x:is>
      </x:c>
      <x:c r="F419" t="inlineStr">
        <x:is>
          <x:t xml:space="preserve">Albendazole 400 mg.</x:t>
        </x:is>
      </x:c>
      <x:c r="G419" t="inlineStr">
        <x:is>
          <x:t xml:space="preserve">BDS004217</x:t>
        </x:is>
      </x:c>
      <x:c r="H419" t="inlineStr">
        <x:is>
          <x:t xml:space="preserve">Zentel 400 mg (1 tab)</x:t>
        </x:is>
      </x:c>
      <x:c r="I419" t="inlineStr">
        <x:is>
          <x:t xml:space="preserve">สำหรับพยาธิตัวกลม รับประทานครั้งละ 1 เม็ด วันละ 1 ครั้ง</x:t>
        </x:is>
      </x:c>
      <x:c r="P419" t="inlineStr">
        <x:is>
          <x:t xml:space="preserve">Antiparasitics / deworming</x:t>
        </x:is>
      </x:c>
    </x:row>
    <x:row r="420">
      <x:c r="A420" t="n">
        <x:v>418</x:v>
      </x:c>
      <x:c r="B420" t="inlineStr">
        <x:is>
          <x:t xml:space="preserve">ยาช่วยย่อยอาหาร</x:t>
        </x:is>
      </x:c>
      <x:c r="C420" t="n">
        <x:v>1465</x:v>
      </x:c>
      <x:c r="D420" t="inlineStr">
        <x:is>
          <x:t xml:space="preserve">Combizym</x:t>
        </x:is>
      </x:c>
      <x:c r="E420" t="inlineStr">
        <x:is>
          <x:t xml:space="preserve">แผง 10 เม็ด</x:t>
        </x:is>
      </x:c>
      <x:c r="F420" t="inlineStr">
        <x:is>
          <x:t xml:space="preserve">(Cellulase+Protease+Amylase) 24 mg.+(Lipase+Protease+Amylase) 220 mg.</x:t>
        </x:is>
      </x:c>
      <x:c r="G420" t="inlineStr">
        <x:is>
          <x:t xml:space="preserve">BDS001465</x:t>
        </x:is>
      </x:c>
      <x:c r="H420" t="inlineStr">
        <x:is>
          <x:t xml:space="preserve">Combizym (10 tabs)</x:t>
        </x:is>
      </x:c>
      <x:c r="I420" t="inlineStr">
        <x:is>
          <x:t xml:space="preserve">รับประทานครั้งละ 1-2 เม็ด วันละ 3 ครั้ง หลังอาหาร</x:t>
        </x:is>
      </x:c>
      <x:c r="P420" t="inlineStr">
        <x:is>
          <x:t xml:space="preserve">Digestive aids</x:t>
        </x:is>
      </x:c>
    </x:row>
    <x:row r="421">
      <x:c r="A421" t="n">
        <x:v>419</x:v>
      </x:c>
      <x:c r="B421" t="inlineStr">
        <x:is>
          <x:t xml:space="preserve">ยาช่วยย่อยอาหาร</x:t>
        </x:is>
      </x:c>
      <x:c r="C421" t="n">
        <x:v>1636</x:v>
      </x:c>
      <x:c r="D421" t="inlineStr">
        <x:is>
          <x:t xml:space="preserve">Diasgest</x:t>
        </x:is>
      </x:c>
      <x:c r="E421" t="inlineStr">
        <x:is>
          <x:t xml:space="preserve">แผง 10 เม็ด</x:t>
        </x:is>
      </x:c>
      <x:c r="F421" t="inlineStr">
        <x:is>
          <x:t xml:space="preserve">diastase 50 mg+Aluminium magnesium silicate 100 mg+Sodium bicarbonate 60 mg+Calcium carbonate </x:t>
        </x:is>
      </x:c>
      <x:c r="G421" t="inlineStr">
        <x:is>
          <x:t xml:space="preserve">BDS001636</x:t>
        </x:is>
      </x:c>
      <x:c r="H421" t="inlineStr">
        <x:is>
          <x:t xml:space="preserve">Diasgest (10 tabs)</x:t>
        </x:is>
      </x:c>
      <x:c r="I421" t="inlineStr">
        <x:is>
          <x:t xml:space="preserve">รับประทานครั้งละ 1-2 เม็ด วันละ 3 ครั้ง หลังอาหาร หรือเมื่อมีอาการ</x:t>
        </x:is>
      </x:c>
      <x:c r="P421" t="inlineStr">
        <x:is>
          <x:t xml:space="preserve">Digestive aids</x:t>
        </x:is>
      </x:c>
    </x:row>
    <x:row r="422">
      <x:c r="A422" t="n">
        <x:v>420</x:v>
      </x:c>
      <x:c r="B422" t="inlineStr">
        <x:is>
          <x:t xml:space="preserve">ยาช่วยย่อยอาหาร</x:t>
        </x:is>
      </x:c>
      <x:c r="C422" t="n">
        <x:v>2043</x:v>
      </x:c>
      <x:c r="D422" t="inlineStr">
        <x:is>
          <x:t xml:space="preserve">Gaszym</x:t>
        </x:is>
      </x:c>
      <x:c r="E422" t="inlineStr">
        <x:is>
          <x:t xml:space="preserve">แผง 10 เม็ด</x:t>
        </x:is>
      </x:c>
      <x:c r="F422" t="inlineStr">
        <x:is>
          <x:t xml:space="preserve">Simethicone 60 mg.+Pancreatin 4NF 200 mg.</x:t>
        </x:is>
      </x:c>
      <x:c r="G422" t="inlineStr">
        <x:is>
          <x:t xml:space="preserve">BDS002043</x:t>
        </x:is>
      </x:c>
      <x:c r="H422" t="inlineStr">
        <x:is>
          <x:t xml:space="preserve">Gaszym (10 tabs)</x:t>
        </x:is>
      </x:c>
      <x:c r="I422" t="inlineStr">
        <x:is>
          <x:t xml:space="preserve">รับประทานครั้งละ 1-2 เม็ด วันละ 3 ครั้ง หลังอาหารทันที หรือเมื่อมีอาการ</x:t>
        </x:is>
      </x:c>
      <x:c r="P422" t="inlineStr">
        <x:is>
          <x:t xml:space="preserve">Digestive aids</x:t>
        </x:is>
      </x:c>
    </x:row>
    <x:row r="423">
      <x:c r="A423" t="n">
        <x:v>421</x:v>
      </x:c>
      <x:c r="B423" t="inlineStr">
        <x:is>
          <x:t xml:space="preserve">ยาช่วยย่อยอาหาร</x:t>
        </x:is>
      </x:c>
      <x:c r="C423" t="n">
        <x:v>2681</x:v>
      </x:c>
      <x:c r="D423" t="inlineStr">
        <x:is>
          <x:t xml:space="preserve">Magesto-F bottle 100s</x:t>
        </x:is>
      </x:c>
      <x:c r="E423" t="inlineStr">
        <x:is>
          <x:t xml:space="preserve">ขวด 100 เม็ด</x:t>
        </x:is>
      </x:c>
      <x:c r="F423" t="inlineStr">
        <x:is>
          <x:t xml:space="preserve">Mamylase+Thiamine mononitrate+Diastase+Scopolia extract+Calcium carbonate</x:t>
        </x:is>
      </x:c>
      <x:c r="G423" t="inlineStr">
        <x:is>
          <x:t xml:space="preserve">BDS002681</x:t>
        </x:is>
      </x:c>
      <x:c r="H423" t="inlineStr">
        <x:is>
          <x:t xml:space="preserve">Magesto-F bottle 100s (100 tabs)</x:t>
        </x:is>
      </x:c>
      <x:c r="I423" t="inlineStr">
        <x:is>
          <x:t xml:space="preserve">รับประทานครั้งละ 2-4 เม็ด วันละ 3 ครั้ง หลังอาหาร</x:t>
        </x:is>
      </x:c>
      <x:c r="P423" t="inlineStr">
        <x:is>
          <x:t xml:space="preserve">Digestive aids</x:t>
        </x:is>
      </x:c>
    </x:row>
    <x:row r="424">
      <x:c r="A424" t="n">
        <x:v>422</x:v>
      </x:c>
      <x:c r="B424" t="inlineStr">
        <x:is>
          <x:t xml:space="preserve">ยาช่วยย่อยอาหาร</x:t>
        </x:is>
      </x:c>
      <x:c r="C424" t="n">
        <x:v>2224</x:v>
      </x:c>
      <x:c r="D424" t="inlineStr">
        <x:is>
          <x:t xml:space="preserve">Magesto-F sachet 10s</x:t>
        </x:is>
      </x:c>
      <x:c r="E424" t="inlineStr">
        <x:is>
          <x:t xml:space="preserve">ซอง 10 เม็ด</x:t>
        </x:is>
      </x:c>
      <x:c r="F424" t="inlineStr">
        <x:is>
          <x:t xml:space="preserve">Mamylase+Thiamine mononitrate+Diastase+Scopolia extract+Calcium carbonate</x:t>
        </x:is>
      </x:c>
      <x:c r="G424" t="inlineStr">
        <x:is>
          <x:t xml:space="preserve">BDS002224</x:t>
        </x:is>
      </x:c>
      <x:c r="H424" t="inlineStr">
        <x:is>
          <x:t xml:space="preserve">Magesto-F sachet 10s (10 tabs)</x:t>
        </x:is>
      </x:c>
      <x:c r="I424" t="inlineStr">
        <x:is>
          <x:t xml:space="preserve">รับประทานครั้งละ 2-4 เม็ด วันละ 3 ครั้ง หลังอาหาร</x:t>
        </x:is>
      </x:c>
      <x:c r="P424" t="inlineStr">
        <x:is>
          <x:t xml:space="preserve">Digestive aids</x:t>
        </x:is>
      </x:c>
    </x:row>
    <x:row r="425">
      <x:c r="A425" t="n">
        <x:v>423</x:v>
      </x:c>
      <x:c r="B425" t="inlineStr">
        <x:is>
          <x:t xml:space="preserve">ยาอมละลายเสมหะ</x:t>
        </x:is>
      </x:c>
      <x:c r="C425" t="n">
        <x:v>3591</x:v>
      </x:c>
      <x:c r="D425" t="inlineStr">
        <x:is>
          <x:t xml:space="preserve">Strepsils Chesty Cough ซอง 8s</x:t>
        </x:is>
      </x:c>
      <x:c r="E425" t="inlineStr">
        <x:is>
          <x:t xml:space="preserve">ซอง 8 เม็ด</x:t>
        </x:is>
      </x:c>
      <x:c r="F425" t="inlineStr">
        <x:is>
          <x:t xml:space="preserve">Ambroxol HCl 15 mg.</x:t>
        </x:is>
      </x:c>
      <x:c r="G425" t="inlineStr">
        <x:is>
          <x:t xml:space="preserve">BDS003591</x:t>
        </x:is>
      </x:c>
      <x:c r="H425" t="inlineStr">
        <x:is>
          <x:t xml:space="preserve">Strepsils Chesty Cough ซอง 8s (8 tabs)</x:t>
        </x:is>
      </x:c>
      <x:c r="I425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6">
      <x:c r="A426" t="n">
        <x:v>424</x:v>
      </x:c>
      <x:c r="B426" t="inlineStr">
        <x:is>
          <x:t xml:space="preserve">ยาอมละลายเสมหะ</x:t>
        </x:is>
      </x:c>
      <x:c r="C426" t="n">
        <x:v>3642</x:v>
      </x:c>
      <x:c r="D426" t="inlineStr">
        <x:is>
          <x:t xml:space="preserve">Strepsils Throat Irritation &amp; Cough กล่อง 24s</x:t>
        </x:is>
      </x:c>
      <x:c r="E426" t="inlineStr">
        <x:is>
          <x:t xml:space="preserve">กล่อง 24 เม็ด</x:t>
        </x:is>
      </x:c>
      <x:c r="F426" t="inlineStr">
        <x:is>
          <x:t xml:space="preserve">Ambroxol HCl 15 mg.</x:t>
        </x:is>
      </x:c>
      <x:c r="G426" t="inlineStr">
        <x:is>
          <x:t xml:space="preserve">BDS003642</x:t>
        </x:is>
      </x:c>
      <x:c r="H426" t="inlineStr">
        <x:is>
          <x:t xml:space="preserve">Strepsils Throat Irritation &amp; Cough กล่อง 24s (24 tabs)</x:t>
        </x:is>
      </x:c>
      <x:c r="I426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7">
      <x:c r="A427" t="n">
        <x:v>425</x:v>
      </x:c>
      <x:c r="B427" t="inlineStr">
        <x:is>
          <x:t xml:space="preserve">ยาอมละลายเสมหะ</x:t>
        </x:is>
      </x:c>
      <x:c r="C427" t="n">
        <x:v>3641</x:v>
      </x:c>
      <x:c r="D427" t="inlineStr">
        <x:is>
          <x:t xml:space="preserve">Strepsils Throat Irritation &amp; Cough ซอง 8s</x:t>
        </x:is>
      </x:c>
      <x:c r="E427" t="inlineStr">
        <x:is>
          <x:t xml:space="preserve">ซอง 8 เม็ด</x:t>
        </x:is>
      </x:c>
      <x:c r="F427" t="inlineStr">
        <x:is>
          <x:t xml:space="preserve">Ambroxol HCl 15 mg.</x:t>
        </x:is>
      </x:c>
      <x:c r="G427" t="inlineStr">
        <x:is>
          <x:t xml:space="preserve">BDS003641</x:t>
        </x:is>
      </x:c>
      <x:c r="H427" t="inlineStr">
        <x:is>
          <x:t xml:space="preserve">Strepsils Throat Irritation &amp; Cough ซอง 8s (8 tabs)</x:t>
        </x:is>
      </x:c>
      <x:c r="I427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8">
      <x:c r="A428" t="n">
        <x:v>426</x:v>
      </x:c>
      <x:c r="B428" t="inlineStr">
        <x:is>
          <x:t xml:space="preserve">ยาแก้ปวด, ลดไข้ ชนิดน้ำ (D)</x:t>
        </x:is>
      </x:c>
      <x:c r="C428" t="n">
        <x:v>1665</x:v>
      </x:c>
      <x:c r="D428" t="inlineStr">
        <x:is>
          <x:t xml:space="preserve">Duran Suspension</x:t>
        </x:is>
      </x:c>
      <x:c r="E428" t="inlineStr">
        <x:is>
          <x:t xml:space="preserve">ขวด 60 ml.</x:t>
        </x:is>
      </x:c>
      <x:c r="F428" t="inlineStr">
        <x:is>
          <x:t xml:space="preserve">Ibuprofen 100 mg./5 ml.</x:t>
        </x:is>
      </x:c>
      <x:c r="G428" t="inlineStr">
        <x:is>
          <x:t xml:space="preserve">BDS001665</x:t>
        </x:is>
      </x:c>
      <x:c r="H428" t="inlineStr">
        <x:is>
          <x:t xml:space="preserve">Duran Suspension (60 ml.)</x:t>
        </x:is>
      </x:c>
      <x:c r="I428" t="inlineStr">
        <x:is>
          <x:t xml:space="preserve">รับประทานครั้งละ 1-2 ช้อนชา วันละ 4 ครั้ง หลังอาหาร หรือตามแพทย์สั่ง</x:t>
        </x:is>
      </x:c>
      <x:c r="P428" t="inlineStr">
        <x:is>
          <x:t xml:space="preserve">General analgesics/antipyretics</x:t>
        </x:is>
      </x:c>
    </x:row>
    <x:row r="429">
      <x:c r="A429" t="n">
        <x:v>427</x:v>
      </x:c>
      <x:c r="B429" t="inlineStr">
        <x:is>
          <x:t xml:space="preserve">ยาแก้ปวด, ลดไข้ ชนิดน้ำ (D)</x:t>
        </x:is>
      </x:c>
      <x:c r="C429" t="n">
        <x:v>7151</x:v>
      </x:c>
      <x:c r="D429" t="inlineStr">
        <x:is>
          <x:t xml:space="preserve">Ibukids Suspension</x:t>
        </x:is>
      </x:c>
      <x:c r="E429" t="inlineStr">
        <x:is>
          <x:t xml:space="preserve">ขวด 60 ml.</x:t>
        </x:is>
      </x:c>
      <x:c r="F429" t="inlineStr">
        <x:is>
          <x:t xml:space="preserve">Ibuprofen 100 mg./5 ml.</x:t>
        </x:is>
      </x:c>
      <x:c r="G429" t="inlineStr">
        <x:is>
          <x:t xml:space="preserve">BDS007151</x:t>
        </x:is>
      </x:c>
      <x:c r="H429" t="inlineStr">
        <x:is>
          <x:t xml:space="preserve">Ibukids Suspension (60 ml.)</x:t>
        </x:is>
      </x:c>
      <x:c r="I429" t="inlineStr">
        <x:is>
          <x:t xml:space="preserve">เด็กโตรับประทานครั้งละ 2 ช้อนชา วันละ 3 ครั้ง หลังอาหาร</x:t>
        </x:is>
      </x:c>
      <x:c r="P429" t="inlineStr">
        <x:is>
          <x:t xml:space="preserve">General analgesics/antipyretics</x:t>
        </x:is>
      </x:c>
    </x:row>
    <x:row r="430">
      <x:c r="A430" t="n">
        <x:v>428</x:v>
      </x:c>
      <x:c r="B430" t="inlineStr">
        <x:is>
          <x:t xml:space="preserve">ยาแก้ปวด, ลดไข้ ชนิดน้ำ (D)</x:t>
        </x:is>
      </x:c>
      <x:c r="C430" t="n">
        <x:v>2845</x:v>
      </x:c>
      <x:c r="D430" t="inlineStr">
        <x:is>
          <x:t xml:space="preserve">Nurofen Suspension</x:t>
        </x:is>
      </x:c>
      <x:c r="E430" t="inlineStr">
        <x:is>
          <x:t xml:space="preserve">ขวด 60 ml.</x:t>
        </x:is>
      </x:c>
      <x:c r="F430" t="inlineStr">
        <x:is>
          <x:t xml:space="preserve">Ibuprofen 100 mg./5 ml.</x:t>
        </x:is>
      </x:c>
      <x:c r="G430" t="inlineStr">
        <x:is>
          <x:t xml:space="preserve">BDS002845</x:t>
        </x:is>
      </x:c>
      <x:c r="H430" t="inlineStr">
        <x:is>
          <x:t xml:space="preserve">Nurofen Suspension (60 ml.)</x:t>
        </x:is>
      </x:c>
      <x:c r="I430" t="inlineStr">
        <x:is>
          <x:t xml:space="preserve">รับประทานครั้งละ 1-2 ช้อนชา วันละ 3-4 ครั้ง หลังอาหาร</x:t>
        </x:is>
      </x:c>
      <x:c r="P430" t="inlineStr">
        <x:is>
          <x:t xml:space="preserve">General analgesics/antipyretics</x:t>
        </x:is>
      </x:c>
    </x:row>
    <x:row r="431">
      <x:c r="A431" t="n">
        <x:v>429</x:v>
      </x:c>
      <x:c r="B431" t="inlineStr">
        <x:is>
          <x:t xml:space="preserve">ยาละลายเสมหะ ชนิดน้ำ (D)</x:t>
        </x:is>
      </x:c>
      <x:c r="C431" t="n">
        <x:v>7031</x:v>
      </x:c>
      <x:c r="D431" t="inlineStr">
        <x:is>
          <x:t xml:space="preserve">Bromhexine Syrup</x:t>
        </x:is>
      </x:c>
      <x:c r="E431" t="inlineStr">
        <x:is>
          <x:t xml:space="preserve">ขวด 60 ml.</x:t>
        </x:is>
      </x:c>
      <x:c r="F431" t="inlineStr">
        <x:is>
          <x:t xml:space="preserve">Bromhexine HCl 4 mg./5 ml.</x:t>
        </x:is>
      </x:c>
      <x:c r="G431" t="inlineStr">
        <x:is>
          <x:t xml:space="preserve">BDS007031</x:t>
        </x:is>
      </x:c>
      <x:c r="H431" t="inlineStr">
        <x:is>
          <x:t xml:space="preserve">Bromhexine Syrup (60 ml.)</x:t>
        </x:is>
      </x:c>
      <x:c r="I431" t="inlineStr">
        <x:is>
          <x:t xml:space="preserve">เด็กอายุ 5-10 ปี รับประทานครั้งละ 1 ช้อนชา วันละ 3 ครั้ง</x:t>
        </x:is>
      </x:c>
      <x:c r="P431" t="inlineStr">
        <x:is>
          <x:t xml:space="preserve">Cough medicines / mucolytics / expectorants</x:t>
        </x:is>
      </x:c>
    </x:row>
    <x:row r="432">
      <x:c r="A432" t="n">
        <x:v>430</x:v>
      </x:c>
      <x:c r="B432" t="inlineStr">
        <x:is>
          <x:t xml:space="preserve">ยาแก้ปวดเกร็งท้อง ชนิดน้ำ (D)</x:t>
        </x:is>
      </x:c>
      <x:c r="C432" t="n">
        <x:v>8325</x:v>
      </x:c>
      <x:c r="D432" t="inlineStr">
        <x:is>
          <x:t xml:space="preserve">Oscin Syrup</x:t>
        </x:is>
      </x:c>
      <x:c r="E432" t="inlineStr">
        <x:is>
          <x:t xml:space="preserve">ขวด 30 ml.</x:t>
        </x:is>
      </x:c>
      <x:c r="F432" t="inlineStr">
        <x:is>
          <x:t xml:space="preserve">Hyoscine-N-butylbromide 5 mg./5 ml.</x:t>
        </x:is>
      </x:c>
      <x:c r="G432" t="inlineStr">
        <x:is>
          <x:t xml:space="preserve">BDS008325</x:t>
        </x:is>
      </x:c>
      <x:c r="H432" t="inlineStr">
        <x:is>
          <x:t xml:space="preserve">Oscin Syrup (30 ml.)</x:t>
        </x:is>
      </x:c>
      <x:c r="I432" t="inlineStr">
        <x:is>
          <x:t xml:space="preserve">เด็กเล็กรับประทานครั้งละ 1-2 ช้อนชา วันละ 3 ครั้งหรือเมื่อมีอาการ</x:t>
        </x:is>
      </x:c>
      <x:c r="P432" t="inlineStr">
        <x:is>
          <x:t xml:space="preserve">Antispasmodics (smooth muscle cramps / abdominal colic)</x:t>
        </x:is>
      </x:c>
    </x:row>
    <x:row r="433">
      <x:c r="A433" t="n">
        <x:v>431</x:v>
      </x:c>
      <x:c r="B433" t="inlineStr">
        <x:is>
          <x:t xml:space="preserve">ยาคุมกำเนิด (D)</x:t>
        </x:is>
      </x:c>
      <x:c r="C433" t="n">
        <x:v>1097</x:v>
      </x:c>
      <x:c r="D433" t="inlineStr">
        <x:is>
          <x:t xml:space="preserve">Annylyn 21</x:t>
        </x:is>
      </x:c>
      <x:c r="E433" t="inlineStr">
        <x:is>
          <x:t xml:space="preserve">แผง 21 เม็ด</x:t>
        </x:is>
      </x:c>
      <x:c r="F433" t="inlineStr">
        <x:is>
          <x:t xml:space="preserve">Gestodene 0.075 mg.+Ethinylestradiol 0.02 mg.</x:t>
        </x:is>
      </x:c>
      <x:c r="G433" t="inlineStr">
        <x:is>
          <x:t xml:space="preserve">BDS001097</x:t>
        </x:is>
      </x:c>
      <x:c r="H433" t="inlineStr">
        <x:is>
          <x:t xml:space="preserve">Annylyn 21 (21 tabs)</x:t>
        </x:is>
      </x:c>
      <x:c r="I433" t="inlineStr">
        <x:is>
          <x:t xml:space="preserve">รับประทานครั้งละ 1 เม็ด วันละ 1 ครั้ง</x:t>
        </x:is>
      </x:c>
    </x:row>
    <x:row r="434">
      <x:c r="A434" t="n">
        <x:v>432</x:v>
      </x:c>
      <x:c r="B434" t="inlineStr">
        <x:is>
          <x:t xml:space="preserve">ยาคุมกำเนิด (D)</x:t>
        </x:is>
      </x:c>
      <x:c r="C434" t="n">
        <x:v>1098</x:v>
      </x:c>
      <x:c r="D434" t="inlineStr">
        <x:is>
          <x:t xml:space="preserve">Annylyn 28</x:t>
        </x:is>
      </x:c>
      <x:c r="E434" t="inlineStr">
        <x:is>
          <x:t xml:space="preserve">แผง 28 เม็ด</x:t>
        </x:is>
      </x:c>
      <x:c r="F434" t="inlineStr">
        <x:is>
          <x:t xml:space="preserve">Gestodene 0.075 mg.+Ethinylestradiol 0.02 mg.</x:t>
        </x:is>
      </x:c>
      <x:c r="G434" t="inlineStr">
        <x:is>
          <x:t xml:space="preserve">BDS001098</x:t>
        </x:is>
      </x:c>
      <x:c r="H434" t="inlineStr">
        <x:is>
          <x:t xml:space="preserve">Annylyn 28 (28 tabs)</x:t>
        </x:is>
      </x:c>
      <x:c r="I434" t="inlineStr">
        <x:is>
          <x:t xml:space="preserve">รับประทานครั้งละ 1 เม็ด วันละ 1 ครั้ง</x:t>
        </x:is>
      </x:c>
    </x:row>
    <x:row r="435">
      <x:c r="A435" t="n">
        <x:v>433</x:v>
      </x:c>
      <x:c r="B435" t="inlineStr">
        <x:is>
          <x:t xml:space="preserve">ยาคุมกำเนิด (D)</x:t>
        </x:is>
      </x:c>
      <x:c r="C435" t="n">
        <x:v>1232</x:v>
      </x:c>
      <x:c r="D435" t="inlineStr">
        <x:is>
          <x:t xml:space="preserve">Belara</x:t>
        </x:is>
      </x:c>
      <x:c r="E435" t="inlineStr">
        <x:is>
          <x:t xml:space="preserve">แผง 21 เม็ด</x:t>
        </x:is>
      </x:c>
      <x:c r="F435" t="inlineStr">
        <x:is>
          <x:t xml:space="preserve">Chlormadinone acetate 2 mg.+ Ethinylestradiol 0.03 mg.</x:t>
        </x:is>
      </x:c>
      <x:c r="G435" t="inlineStr">
        <x:is>
          <x:t xml:space="preserve">BDS001232</x:t>
        </x:is>
      </x:c>
      <x:c r="H435" t="inlineStr">
        <x:is>
          <x:t xml:space="preserve">Belara (21 tabs)</x:t>
        </x:is>
      </x:c>
      <x:c r="I435" t="inlineStr">
        <x:is>
          <x:t xml:space="preserve">รับประทานครั้งละ 1 เม็ด วันละ 1 ครั้ง</x:t>
        </x:is>
      </x:c>
    </x:row>
    <x:row r="436">
      <x:c r="A436" t="n">
        <x:v>434</x:v>
      </x:c>
      <x:c r="B436" t="inlineStr">
        <x:is>
          <x:t xml:space="preserve">ยาคุมกำเนิด (D)</x:t>
        </x:is>
      </x:c>
      <x:c r="C436" t="n">
        <x:v>40601</x:v>
      </x:c>
      <x:c r="D436" t="inlineStr">
        <x:is>
          <x:t xml:space="preserve">Beriz</x:t>
        </x:is>
      </x:c>
      <x:c r="E436" t="inlineStr">
        <x:is>
          <x:t xml:space="preserve">กล่อง 21 เม็ด</x:t>
        </x:is>
      </x:c>
      <x:c r="F436" t="inlineStr">
        <x:is>
          <x:t xml:space="preserve">Cyproterone acetate 2 mg.+Ethinylestradiol 0.035 mg.</x:t>
        </x:is>
      </x:c>
      <x:c r="G436" t="inlineStr">
        <x:is>
          <x:t xml:space="preserve">BDS040601</x:t>
        </x:is>
      </x:c>
      <x:c r="H436" t="inlineStr">
        <x:is>
          <x:t xml:space="preserve">Beriz (21 tabs)</x:t>
        </x:is>
      </x:c>
      <x:c r="I436" t="inlineStr">
        <x:is>
          <x:t xml:space="preserve">รับประทานครั้งละ 1 เม็ด วันละ 1 ครั้ง</x:t>
        </x:is>
      </x:c>
    </x:row>
    <x:row r="437">
      <x:c r="A437" t="n">
        <x:v>435</x:v>
      </x:c>
      <x:c r="B437" t="inlineStr">
        <x:is>
          <x:t xml:space="preserve">ยาคุมกำเนิด (D)</x:t>
        </x:is>
      </x:c>
      <x:c r="C437" t="n">
        <x:v>41443</x:v>
      </x:c>
      <x:c r="D437" t="inlineStr">
        <x:is>
          <x:t xml:space="preserve">Camella 28</x:t>
        </x:is>
      </x:c>
      <x:c r="E437" t="inlineStr">
        <x:is>
          <x:t xml:space="preserve">แผง 28 เม็ด</x:t>
        </x:is>
      </x:c>
      <x:c r="F437" t="inlineStr">
        <x:is>
          <x:t xml:space="preserve">Gestodene 0.075 mg.+Ethinylestradiol 0.03 mg.</x:t>
        </x:is>
      </x:c>
      <x:c r="G437" t="inlineStr">
        <x:is>
          <x:t xml:space="preserve">BDS041443</x:t>
        </x:is>
      </x:c>
      <x:c r="H437" t="inlineStr">
        <x:is>
          <x:t xml:space="preserve">Camella 28 (28 tabs)</x:t>
        </x:is>
      </x:c>
      <x:c r="I437" t="inlineStr">
        <x:is>
          <x:t xml:space="preserve">รับประทานครั้งละ 1 เม็ด วันละ 1 ครั้ง</x:t>
        </x:is>
      </x:c>
    </x:row>
    <x:row r="438">
      <x:c r="A438" t="n">
        <x:v>436</x:v>
      </x:c>
      <x:c r="B438" t="inlineStr">
        <x:is>
          <x:t xml:space="preserve">ยาคุมกำเนิด (D)</x:t>
        </x:is>
      </x:c>
      <x:c r="C438" t="n">
        <x:v>1526</x:v>
      </x:c>
      <x:c r="D438" t="inlineStr">
        <x:is>
          <x:t xml:space="preserve">Cerazette 28</x:t>
        </x:is>
      </x:c>
      <x:c r="E438" t="inlineStr">
        <x:is>
          <x:t xml:space="preserve">แผง 28 เม็ด</x:t>
        </x:is>
      </x:c>
      <x:c r="F438" t="inlineStr">
        <x:is>
          <x:t xml:space="preserve">Desogestrel 0.075 mg.</x:t>
        </x:is>
      </x:c>
      <x:c r="G438" t="inlineStr">
        <x:is>
          <x:t xml:space="preserve">BDS001526</x:t>
        </x:is>
      </x:c>
      <x:c r="H438" t="inlineStr">
        <x:is>
          <x:t xml:space="preserve">Cerazette 28 (28 tabs)</x:t>
        </x:is>
      </x:c>
      <x:c r="I438" t="inlineStr">
        <x:is>
          <x:t xml:space="preserve">รับประทานครั้งละ 1 เม็ด วันละ 1 ครั้ง</x:t>
        </x:is>
      </x:c>
    </x:row>
    <x:row r="439">
      <x:c r="A439" t="n">
        <x:v>437</x:v>
      </x:c>
      <x:c r="B439" t="inlineStr">
        <x:is>
          <x:t xml:space="preserve">ยาคุมกำเนิด (D)</x:t>
        </x:is>
      </x:c>
      <x:c r="C439" t="n">
        <x:v>41401</x:v>
      </x:c>
      <x:c r="D439" t="inlineStr">
        <x:is>
          <x:t xml:space="preserve">Ciclomex-20</x:t>
        </x:is>
      </x:c>
      <x:c r="E439" t="inlineStr">
        <x:is>
          <x:t xml:space="preserve">แผง 21 เม็ด</x:t>
        </x:is>
      </x:c>
      <x:c r="F439" t="inlineStr">
        <x:is>
          <x:t xml:space="preserve">Gestodene 0.075 mg.+Ethinylestradiol 0.02 mg.</x:t>
        </x:is>
      </x:c>
      <x:c r="G439" t="inlineStr">
        <x:is>
          <x:t xml:space="preserve">BDS041401</x:t>
        </x:is>
      </x:c>
      <x:c r="H439" t="inlineStr">
        <x:is>
          <x:t xml:space="preserve">Ciclomex-20 (21 tabs)</x:t>
        </x:is>
      </x:c>
      <x:c r="I439" t="inlineStr">
        <x:is>
          <x:t xml:space="preserve">N/A</x:t>
        </x:is>
      </x:c>
    </x:row>
    <x:row r="440">
      <x:c r="A440" t="n">
        <x:v>438</x:v>
      </x:c>
      <x:c r="B440" t="inlineStr">
        <x:is>
          <x:t xml:space="preserve">ยาคุมกำเนิด (D)</x:t>
        </x:is>
      </x:c>
      <x:c r="C440" t="n">
        <x:v>8781</x:v>
      </x:c>
      <x:c r="D440" t="inlineStr">
        <x:is>
          <x:t xml:space="preserve">Dafne 35</x:t>
        </x:is>
      </x:c>
      <x:c r="E440" t="inlineStr">
        <x:is>
          <x:t xml:space="preserve">แผง 21 เม็ด</x:t>
        </x:is>
      </x:c>
      <x:c r="F440" t="inlineStr">
        <x:is>
          <x:t xml:space="preserve">Cyproterone acetate 2.0 mg.+Ethinylestradiol 0.035 mg.</x:t>
        </x:is>
      </x:c>
      <x:c r="G440" t="inlineStr">
        <x:is>
          <x:t xml:space="preserve">BDS008781</x:t>
        </x:is>
      </x:c>
      <x:c r="H440" t="inlineStr">
        <x:is>
          <x:t xml:space="preserve">Dafne 35 (21 tabs)</x:t>
        </x:is>
      </x:c>
      <x:c r="I440" t="inlineStr">
        <x:is>
          <x:t xml:space="preserve">รับประทานครั้งละ 1 เม็ด วันละ 1 ครั้ง</x:t>
        </x:is>
      </x:c>
    </x:row>
    <x:row r="441">
      <x:c r="A441" t="n">
        <x:v>439</x:v>
      </x:c>
      <x:c r="B441" t="inlineStr">
        <x:is>
          <x:t xml:space="preserve">ยาคุมกำเนิด (D)</x:t>
        </x:is>
      </x:c>
      <x:c r="C441" t="n">
        <x:v>1640</x:v>
      </x:c>
      <x:c r="D441" t="inlineStr">
        <x:is>
          <x:t xml:space="preserve">Diane-35</x:t>
        </x:is>
      </x:c>
      <x:c r="E441" t="inlineStr">
        <x:is>
          <x:t xml:space="preserve">แผง 21 เม็ด</x:t>
        </x:is>
      </x:c>
      <x:c r="F441" t="inlineStr">
        <x:is>
          <x:t xml:space="preserve">Cyproterone acetate 2 mg.+Ethinylestradiol 0.035 mg.</x:t>
        </x:is>
      </x:c>
      <x:c r="G441" t="inlineStr">
        <x:is>
          <x:t xml:space="preserve">BDS001640</x:t>
        </x:is>
      </x:c>
      <x:c r="H441" t="inlineStr">
        <x:is>
          <x:t xml:space="preserve">Diane-35 (21 tabs)</x:t>
        </x:is>
      </x:c>
      <x:c r="I441" t="inlineStr">
        <x:is>
          <x:t xml:space="preserve">รับประทานครั้งละ 1 เม็ด วันละ 1 ครั้ง</x:t>
        </x:is>
      </x:c>
    </x:row>
    <x:row r="442">
      <x:c r="A442" t="n">
        <x:v>440</x:v>
      </x:c>
      <x:c r="B442" t="inlineStr">
        <x:is>
          <x:t xml:space="preserve">ยาคุมกำเนิด (D)</x:t>
        </x:is>
      </x:c>
      <x:c r="C442" t="n">
        <x:v>1643</x:v>
      </x:c>
      <x:c r="D442" t="inlineStr">
        <x:is>
          <x:t xml:space="preserve">Diora-21</x:t>
        </x:is>
      </x:c>
      <x:c r="E442" t="inlineStr">
        <x:is>
          <x:t xml:space="preserve">แผง 21 เม็ด</x:t>
        </x:is>
      </x:c>
      <x:c r="F442" t="inlineStr">
        <x:is>
          <x:t xml:space="preserve">D-Norgestrel 0.15 mg.+Ethinylestradiol 0.03 mg.</x:t>
        </x:is>
      </x:c>
      <x:c r="G442" t="inlineStr">
        <x:is>
          <x:t xml:space="preserve">BDS001643</x:t>
        </x:is>
      </x:c>
      <x:c r="H442" t="inlineStr">
        <x:is>
          <x:t xml:space="preserve">Diora-21 (21 tabs)</x:t>
        </x:is>
      </x:c>
      <x:c r="I442" t="inlineStr">
        <x:is>
          <x:t xml:space="preserve">รับประทานครั้งละ 1 เม็ด วันละ 1 ครั้ง</x:t>
        </x:is>
      </x:c>
    </x:row>
    <x:row r="443">
      <x:c r="A443" t="n">
        <x:v>441</x:v>
      </x:c>
      <x:c r="B443" t="inlineStr">
        <x:is>
          <x:t xml:space="preserve">ยาคุมกำเนิด (D)</x:t>
        </x:is>
      </x:c>
      <x:c r="C443" t="n">
        <x:v>1644</x:v>
      </x:c>
      <x:c r="D443" t="inlineStr">
        <x:is>
          <x:t xml:space="preserve">Diora-28</x:t>
        </x:is>
      </x:c>
      <x:c r="E443" t="inlineStr">
        <x:is>
          <x:t xml:space="preserve">แผง 28 เม็ด</x:t>
        </x:is>
      </x:c>
      <x:c r="F443" t="inlineStr">
        <x:is>
          <x:t xml:space="preserve">D-Norgestrel 0.15 mg.+Ethinylestradiol 0.03 mg.</x:t>
        </x:is>
      </x:c>
      <x:c r="G443" t="inlineStr">
        <x:is>
          <x:t xml:space="preserve">BDS001644</x:t>
        </x:is>
      </x:c>
      <x:c r="H443" t="inlineStr">
        <x:is>
          <x:t xml:space="preserve">Diora-28 (28 tabs)</x:t>
        </x:is>
      </x:c>
      <x:c r="I443" t="inlineStr">
        <x:is>
          <x:t xml:space="preserve">รับประทานครั้งละ 1 เม็ด วันละ 1 ครั้ง</x:t>
        </x:is>
      </x:c>
    </x:row>
    <x:row r="444">
      <x:c r="A444" t="n">
        <x:v>442</x:v>
      </x:c>
      <x:c r="B444" t="inlineStr">
        <x:is>
          <x:t xml:space="preserve">ยาคุมกำเนิด (D)</x:t>
        </x:is>
      </x:c>
      <x:c r="C444" t="n">
        <x:v>1858</x:v>
      </x:c>
      <x:c r="D444" t="inlineStr">
        <x:is>
          <x:t xml:space="preserve">Evra</x:t>
        </x:is>
      </x:c>
      <x:c r="E444" t="inlineStr">
        <x:is>
          <x:t xml:space="preserve">กล่อง 3 แผ่น</x:t>
        </x:is>
      </x:c>
      <x:c r="F444" t="inlineStr">
        <x:is>
          <x:t xml:space="preserve">Norelgestromin 6 mg.+Ethinylestradiol 600 mcg./1 patch</x:t>
        </x:is>
      </x:c>
      <x:c r="G444" t="inlineStr">
        <x:is>
          <x:t xml:space="preserve">BDS001858</x:t>
        </x:is>
      </x:c>
      <x:c r="H444" t="inlineStr">
        <x:is>
          <x:t xml:space="preserve">Evra (3 sheet)</x:t>
        </x:is>
      </x:c>
      <x:c r="I444" t="inlineStr">
        <x:is>
          <x:t xml:space="preserve">แปะที่ต้นแขนด้านนอก สะโพก หน้าท้องหรือแผ่นหลังช่วงบน นาน 1 สัปดาห์ และใช้ต่อเนื่องกัน 3 สัปดาห์</x:t>
        </x:is>
      </x:c>
    </x:row>
    <x:row r="445">
      <x:c r="A445" t="n">
        <x:v>443</x:v>
      </x:c>
      <x:c r="B445" t="inlineStr">
        <x:is>
          <x:t xml:space="preserve">ยาคุมกำเนิด (D)</x:t>
        </x:is>
      </x:c>
      <x:c r="C445" t="n">
        <x:v>1830</x:v>
      </x:c>
      <x:c r="D445" t="inlineStr">
        <x:is>
          <x:t xml:space="preserve">Exluton</x:t>
        </x:is>
      </x:c>
      <x:c r="E445" t="inlineStr">
        <x:is>
          <x:t xml:space="preserve">แผง 28 เม็ด</x:t>
        </x:is>
      </x:c>
      <x:c r="F445" t="inlineStr">
        <x:is>
          <x:t xml:space="preserve">Lynestrenol 0.5 mg.</x:t>
        </x:is>
      </x:c>
      <x:c r="G445" t="inlineStr">
        <x:is>
          <x:t xml:space="preserve">BDS001830</x:t>
        </x:is>
      </x:c>
      <x:c r="H445" t="inlineStr">
        <x:is>
          <x:t xml:space="preserve">Exluton (28 tabs)</x:t>
        </x:is>
      </x:c>
      <x:c r="I445" t="inlineStr">
        <x:is>
          <x:t xml:space="preserve">รับประทานครั้งละ 1 เม็ด วันละ 1 ครั้ง </x:t>
        </x:is>
      </x:c>
    </x:row>
    <x:row r="446">
      <x:c r="A446" t="n">
        <x:v>444</x:v>
      </x:c>
      <x:c r="B446" t="inlineStr">
        <x:is>
          <x:t xml:space="preserve">ยาคุมกำเนิด (D)</x:t>
        </x:is>
      </x:c>
      <x:c r="C446" t="n">
        <x:v>43846</x:v>
      </x:c>
      <x:c r="D446" t="inlineStr">
        <x:is>
          <x:t xml:space="preserve">Herz</x:t>
        </x:is>
      </x:c>
      <x:c r="E446" t="inlineStr">
        <x:is>
          <x:t xml:space="preserve">แผง 28 เม็ด</x:t>
        </x:is>
      </x:c>
      <x:c r="F446" t="inlineStr">
        <x:is>
          <x:t xml:space="preserve">Drospirenone 3 mg.+Ethinylestradiol 0.02 mg.+Placebo 4 tabs</x:t>
        </x:is>
      </x:c>
      <x:c r="G446" t="inlineStr">
        <x:is>
          <x:t xml:space="preserve">BDS043846</x:t>
        </x:is>
      </x:c>
      <x:c r="H446" t="inlineStr">
        <x:is>
          <x:t xml:space="preserve">Herz (28 tabs)</x:t>
        </x:is>
      </x:c>
      <x:c r="I446" t="inlineStr">
        <x:is>
          <x:t xml:space="preserve">รับประทานครั้งละ 1 เม็ด วันละ 1 ครั้ง</x:t>
        </x:is>
      </x:c>
    </x:row>
    <x:row r="447">
      <x:c r="A447" t="n">
        <x:v>445</x:v>
      </x:c>
      <x:c r="B447" t="inlineStr">
        <x:is>
          <x:t xml:space="preserve">ยาคุมกำเนิด (D)</x:t>
        </x:is>
      </x:c>
      <x:c r="C447" t="n">
        <x:v>3715</x:v>
      </x:c>
      <x:c r="D447" t="inlineStr">
        <x:is>
          <x:t xml:space="preserve">Laura-35</x:t>
        </x:is>
      </x:c>
      <x:c r="E447" t="inlineStr">
        <x:is>
          <x:t xml:space="preserve">แผง 21 เม็ด</x:t>
        </x:is>
      </x:c>
      <x:c r="F447" t="inlineStr">
        <x:is>
          <x:t xml:space="preserve">Cyproterone acetate 2 mg.+Ethinylestradiol 0.035 mg.</x:t>
        </x:is>
      </x:c>
      <x:c r="G447" t="inlineStr">
        <x:is>
          <x:t xml:space="preserve">BDS003715</x:t>
        </x:is>
      </x:c>
      <x:c r="H447" t="inlineStr">
        <x:is>
          <x:t xml:space="preserve">Laura-35 (21 tabs)</x:t>
        </x:is>
      </x:c>
      <x:c r="I447" t="inlineStr">
        <x:is>
          <x:t xml:space="preserve">รับประทานครั้งละ 1 เม็ด วันละ 1 ครั้ง</x:t>
        </x:is>
      </x:c>
    </x:row>
    <x:row r="448">
      <x:c r="A448" t="n">
        <x:v>446</x:v>
      </x:c>
      <x:c r="B448" t="inlineStr">
        <x:is>
          <x:t xml:space="preserve">ยาคุมกำเนิด (D)</x:t>
        </x:is>
      </x:c>
      <x:c r="C448" t="n">
        <x:v>2607</x:v>
      </x:c>
      <x:c r="D448" t="inlineStr">
        <x:is>
          <x:t xml:space="preserve">Marvelon 21</x:t>
        </x:is>
      </x:c>
      <x:c r="E448" t="inlineStr">
        <x:is>
          <x:t xml:space="preserve">แผง 21 เม็ด</x:t>
        </x:is>
      </x:c>
      <x:c r="F448" t="inlineStr">
        <x:is>
          <x:t xml:space="preserve">Desogestrel 0.15 mg.+Ethinylestradiol 0.03 mg.</x:t>
        </x:is>
      </x:c>
      <x:c r="G448" t="inlineStr">
        <x:is>
          <x:t xml:space="preserve">BDS002607</x:t>
        </x:is>
      </x:c>
      <x:c r="H448" t="inlineStr">
        <x:is>
          <x:t xml:space="preserve">Marvelon 21 (21 tabs)</x:t>
        </x:is>
      </x:c>
      <x:c r="I448" t="inlineStr">
        <x:is>
          <x:t xml:space="preserve">รับประทานครั้งละ 1 เม็ด วันละ 1 ครั้ง</x:t>
        </x:is>
      </x:c>
    </x:row>
    <x:row r="449">
      <x:c r="A449" t="n">
        <x:v>447</x:v>
      </x:c>
      <x:c r="B449" t="inlineStr">
        <x:is>
          <x:t xml:space="preserve">ยาคุมกำเนิด (D)</x:t>
        </x:is>
      </x:c>
      <x:c r="C449" t="n">
        <x:v>2608</x:v>
      </x:c>
      <x:c r="D449" t="inlineStr">
        <x:is>
          <x:t xml:space="preserve">Marvelon 28</x:t>
        </x:is>
      </x:c>
      <x:c r="E449" t="inlineStr">
        <x:is>
          <x:t xml:space="preserve">แผง 28 เม็ด</x:t>
        </x:is>
      </x:c>
      <x:c r="F449" t="inlineStr">
        <x:is>
          <x:t xml:space="preserve">Desogestrel 0.15 mg.+Ethinylestradiol 0.03 mg.</x:t>
        </x:is>
      </x:c>
      <x:c r="G449" t="inlineStr">
        <x:is>
          <x:t xml:space="preserve">BDS002608</x:t>
        </x:is>
      </x:c>
      <x:c r="H449" t="inlineStr">
        <x:is>
          <x:t xml:space="preserve">Marvelon 28 (28 tabs)</x:t>
        </x:is>
      </x:c>
      <x:c r="I449" t="inlineStr">
        <x:is>
          <x:t xml:space="preserve">รับประทานครั้งละ 1 เม็ด วันละ 1 ครั้ง</x:t>
        </x:is>
      </x:c>
    </x:row>
    <x:row r="450">
      <x:c r="A450" t="n">
        <x:v>448</x:v>
      </x:c>
      <x:c r="B450" t="inlineStr">
        <x:is>
          <x:t xml:space="preserve">ยาคุมกำเนิด (D)</x:t>
        </x:is>
      </x:c>
      <x:c r="C450" t="n">
        <x:v>2613</x:v>
      </x:c>
      <x:c r="D450" t="inlineStr">
        <x:is>
          <x:t xml:space="preserve">Meliane 21</x:t>
        </x:is>
      </x:c>
      <x:c r="E450" t="inlineStr">
        <x:is>
          <x:t xml:space="preserve">แผง 21 เม็ด</x:t>
        </x:is>
      </x:c>
      <x:c r="F450" t="inlineStr">
        <x:is>
          <x:t xml:space="preserve">Gestodene 0.075 mg.+Ethinylestradiol 0.02 mg.</x:t>
        </x:is>
      </x:c>
      <x:c r="G450" t="inlineStr">
        <x:is>
          <x:t xml:space="preserve">BDS002613</x:t>
        </x:is>
      </x:c>
      <x:c r="H450" t="inlineStr">
        <x:is>
          <x:t xml:space="preserve">Meliane 21 (21 tabs)</x:t>
        </x:is>
      </x:c>
      <x:c r="I450" t="inlineStr">
        <x:is>
          <x:t xml:space="preserve">N/A</x:t>
        </x:is>
      </x:c>
    </x:row>
    <x:row r="451">
      <x:c r="A451" t="n">
        <x:v>449</x:v>
      </x:c>
      <x:c r="B451" t="inlineStr">
        <x:is>
          <x:t xml:space="preserve">ยาคุมกำเนิด (D)</x:t>
        </x:is>
      </x:c>
      <x:c r="C451" t="n">
        <x:v>2614</x:v>
      </x:c>
      <x:c r="D451" t="inlineStr">
        <x:is>
          <x:t xml:space="preserve">Meliane ED 28</x:t>
        </x:is>
      </x:c>
      <x:c r="E451" t="inlineStr">
        <x:is>
          <x:t xml:space="preserve">แผง 28 เม็ด</x:t>
        </x:is>
      </x:c>
      <x:c r="F451" t="inlineStr">
        <x:is>
          <x:t xml:space="preserve">Gestodene 0.075 mg.+Ethinylestradiol 0.02 mg.</x:t>
        </x:is>
      </x:c>
      <x:c r="G451" t="inlineStr">
        <x:is>
          <x:t xml:space="preserve">BDS002614</x:t>
        </x:is>
      </x:c>
      <x:c r="H451" t="inlineStr">
        <x:is>
          <x:t xml:space="preserve">Meliane ED 28 (28 tabs)</x:t>
        </x:is>
      </x:c>
      <x:c r="I451" t="inlineStr">
        <x:is>
          <x:t xml:space="preserve">N/A</x:t>
        </x:is>
      </x:c>
    </x:row>
    <x:row r="452">
      <x:c r="A452" t="n">
        <x:v>450</x:v>
      </x:c>
      <x:c r="B452" t="inlineStr">
        <x:is>
          <x:t xml:space="preserve">ยาคุมกำเนิด (D)</x:t>
        </x:is>
      </x:c>
      <x:c r="C452" t="n">
        <x:v>2630</x:v>
      </x:c>
      <x:c r="D452" t="inlineStr">
        <x:is>
          <x:t xml:space="preserve">Melodia</x:t>
        </x:is>
      </x:c>
      <x:c r="E452" t="inlineStr">
        <x:is>
          <x:t xml:space="preserve">แผง 21 เม็ด</x:t>
        </x:is>
      </x:c>
      <x:c r="F452" t="inlineStr">
        <x:is>
          <x:t xml:space="preserve">Drospirenone 3 mg.+Ethinylestradiol 0.030 mg.</x:t>
        </x:is>
      </x:c>
      <x:c r="G452" t="inlineStr">
        <x:is>
          <x:t xml:space="preserve">BDS002630</x:t>
        </x:is>
      </x:c>
      <x:c r="H452" t="inlineStr">
        <x:is>
          <x:t xml:space="preserve">Melodia (21 tabs)</x:t>
        </x:is>
      </x:c>
      <x:c r="I452" t="inlineStr">
        <x:is>
          <x:t xml:space="preserve">รับประทานครั้งละ 1 เม็ด วันละ 1 ครั้ง</x:t>
        </x:is>
      </x:c>
    </x:row>
    <x:row r="453">
      <x:c r="A453" t="n">
        <x:v>451</x:v>
      </x:c>
      <x:c r="B453" t="inlineStr">
        <x:is>
          <x:t xml:space="preserve">ยาคุมกำเนิด (D)</x:t>
        </x:is>
      </x:c>
      <x:c r="C453" t="n">
        <x:v>2619</x:v>
      </x:c>
      <x:c r="D453" t="inlineStr">
        <x:is>
          <x:t xml:space="preserve">Mercilon-21</x:t>
        </x:is>
      </x:c>
      <x:c r="E453" t="inlineStr">
        <x:is>
          <x:t xml:space="preserve">แผง 21 เม็ด</x:t>
        </x:is>
      </x:c>
      <x:c r="F453" t="inlineStr">
        <x:is>
          <x:t xml:space="preserve">Desogestrel 0.15 mg.+Ethinylestradiol 0.02 mg.</x:t>
        </x:is>
      </x:c>
      <x:c r="G453" t="inlineStr">
        <x:is>
          <x:t xml:space="preserve">BDS002619</x:t>
        </x:is>
      </x:c>
      <x:c r="H453" t="inlineStr">
        <x:is>
          <x:t xml:space="preserve">Mercilon-21 (21 tabs)</x:t>
        </x:is>
      </x:c>
      <x:c r="I453" t="inlineStr">
        <x:is>
          <x:t xml:space="preserve">รับประทานครั้งละ 1 เม็ด วันละ 1 ครั้ง</x:t>
        </x:is>
      </x:c>
    </x:row>
    <x:row r="454">
      <x:c r="A454" t="n">
        <x:v>452</x:v>
      </x:c>
      <x:c r="B454" t="inlineStr">
        <x:is>
          <x:t xml:space="preserve">ยาคุมกำเนิด (D)</x:t>
        </x:is>
      </x:c>
      <x:c r="C454" t="n">
        <x:v>2620</x:v>
      </x:c>
      <x:c r="D454" t="inlineStr">
        <x:is>
          <x:t xml:space="preserve">Mercilon-28</x:t>
        </x:is>
      </x:c>
      <x:c r="E454" t="inlineStr">
        <x:is>
          <x:t xml:space="preserve">แผง 28 เม็ด</x:t>
        </x:is>
      </x:c>
      <x:c r="F454" t="inlineStr">
        <x:is>
          <x:t xml:space="preserve">Desogestrel 0.15 mg.+Ethinylestradiol 0.02 mg.</x:t>
        </x:is>
      </x:c>
      <x:c r="G454" t="inlineStr">
        <x:is>
          <x:t xml:space="preserve">BDS002620</x:t>
        </x:is>
      </x:c>
      <x:c r="H454" t="inlineStr">
        <x:is>
          <x:t xml:space="preserve">Mercilon-28 (28 tabs)</x:t>
        </x:is>
      </x:c>
      <x:c r="I454" t="inlineStr">
        <x:is>
          <x:t xml:space="preserve">รับประทานครั้งละ 1 เม็ด วันละ 1 ครั้ง</x:t>
        </x:is>
      </x:c>
    </x:row>
    <x:row r="455">
      <x:c r="A455" t="n">
        <x:v>453</x:v>
      </x:c>
      <x:c r="B455" t="inlineStr">
        <x:is>
          <x:t xml:space="preserve">ยาคุมกำเนิด (D)</x:t>
        </x:is>
      </x:c>
      <x:c r="C455" t="n">
        <x:v>2695</x:v>
      </x:c>
      <x:c r="D455" t="inlineStr">
        <x:is>
          <x:t xml:space="preserve">Minidoz 28</x:t>
        </x:is>
      </x:c>
      <x:c r="E455" t="inlineStr">
        <x:is>
          <x:t xml:space="preserve">แผง 28 เม็ด</x:t>
        </x:is>
      </x:c>
      <x:c r="F455" t="inlineStr">
        <x:is>
          <x:t xml:space="preserve">Gestodene 0.060 mg.+Ethinylestradiol 0.015 mg.</x:t>
        </x:is>
      </x:c>
      <x:c r="G455" t="inlineStr">
        <x:is>
          <x:t xml:space="preserve">BDS002695</x:t>
        </x:is>
      </x:c>
      <x:c r="H455" t="inlineStr">
        <x:is>
          <x:t xml:space="preserve">Minidoz 28 (28 tabs)</x:t>
        </x:is>
      </x:c>
      <x:c r="I455" t="inlineStr">
        <x:is>
          <x:t xml:space="preserve">รับประทานครั้งละ 1 เม็ด วันละ 1 ครั้ง</x:t>
        </x:is>
      </x:c>
    </x:row>
    <x:row r="456">
      <x:c r="A456" t="n">
        <x:v>454</x:v>
      </x:c>
      <x:c r="B456" t="inlineStr">
        <x:is>
          <x:t xml:space="preserve">ยาคุมกำเนิด (D)</x:t>
        </x:is>
      </x:c>
      <x:c r="C456" t="n">
        <x:v>2670</x:v>
      </x:c>
      <x:c r="D456" t="inlineStr">
        <x:is>
          <x:t xml:space="preserve">Minny-21</x:t>
        </x:is>
      </x:c>
      <x:c r="E456" t="inlineStr">
        <x:is>
          <x:t xml:space="preserve">แผง 21 เม็ด</x:t>
        </x:is>
      </x:c>
      <x:c r="F456" t="inlineStr">
        <x:is>
          <x:t xml:space="preserve">Desogestrel 0.15 mg.+Ethinylestradiol 0.02 mg.</x:t>
        </x:is>
      </x:c>
      <x:c r="G456" t="inlineStr">
        <x:is>
          <x:t xml:space="preserve">BDS002670</x:t>
        </x:is>
      </x:c>
      <x:c r="H456" t="inlineStr">
        <x:is>
          <x:t xml:space="preserve">Minny-21 (21 tabs)</x:t>
        </x:is>
      </x:c>
      <x:c r="I456" t="inlineStr">
        <x:is>
          <x:t xml:space="preserve">รับประทานครั้งละ 1 เม็ด วันละ 1 ครั้ง</x:t>
        </x:is>
      </x:c>
    </x:row>
    <x:row r="457">
      <x:c r="A457" t="n">
        <x:v>455</x:v>
      </x:c>
      <x:c r="B457" t="inlineStr">
        <x:is>
          <x:t xml:space="preserve">ยาคุมกำเนิด (D)</x:t>
        </x:is>
      </x:c>
      <x:c r="C457" t="n">
        <x:v>2671</x:v>
      </x:c>
      <x:c r="D457" t="inlineStr">
        <x:is>
          <x:t xml:space="preserve">Minny-28</x:t>
        </x:is>
      </x:c>
      <x:c r="E457" t="inlineStr">
        <x:is>
          <x:t xml:space="preserve">แผง 28 เม็ด</x:t>
        </x:is>
      </x:c>
      <x:c r="F457" t="inlineStr">
        <x:is>
          <x:t xml:space="preserve">Desogestrel 0.15 mg.+Ethinylestradiol 0.02 mg.</x:t>
        </x:is>
      </x:c>
      <x:c r="G457" t="inlineStr">
        <x:is>
          <x:t xml:space="preserve">BDS002671</x:t>
        </x:is>
      </x:c>
      <x:c r="H457" t="inlineStr">
        <x:is>
          <x:t xml:space="preserve">Minny-28 (28 tabs)</x:t>
        </x:is>
      </x:c>
      <x:c r="I457" t="inlineStr">
        <x:is>
          <x:t xml:space="preserve">รับประทานครั้งละ 1 เม็ด วันละ 1 ครั้ง</x:t>
        </x:is>
      </x:c>
    </x:row>
    <x:row r="458">
      <x:c r="A458" t="n">
        <x:v>456</x:v>
      </x:c>
      <x:c r="B458" t="inlineStr">
        <x:is>
          <x:t xml:space="preserve">ยาคุมกำเนิด (D)</x:t>
        </x:is>
      </x:c>
      <x:c r="C458" t="n">
        <x:v>44910</x:v>
      </x:c>
      <x:c r="D458" t="inlineStr">
        <x:is>
          <x:t xml:space="preserve">Minoz 28</x:t>
        </x:is>
      </x:c>
      <x:c r="E458" t="inlineStr">
        <x:is>
          <x:t xml:space="preserve">แผง 28 เม็ด</x:t>
        </x:is>
      </x:c>
      <x:c r="F458" t="inlineStr">
        <x:is>
          <x:t xml:space="preserve">Gestodene 0.060 mg.+Ethinylestradiol 0.015 mg.</x:t>
        </x:is>
      </x:c>
      <x:c r="G458" t="inlineStr">
        <x:is>
          <x:t xml:space="preserve">BDS044910</x:t>
        </x:is>
      </x:c>
      <x:c r="H458" t="inlineStr">
        <x:is>
          <x:t xml:space="preserve">Minoz 28 (28 tabs)</x:t>
        </x:is>
      </x:c>
      <x:c r="I458" t="inlineStr">
        <x:is>
          <x:t xml:space="preserve">รับประทานครั้งละ 1 เม็ด วันละ 1 ครั้ง</x:t>
        </x:is>
      </x:c>
    </x:row>
    <x:row r="459">
      <x:c r="A459" t="n">
        <x:v>457</x:v>
      </x:c>
      <x:c r="B459" t="inlineStr">
        <x:is>
          <x:t xml:space="preserve">ยาคุมกำเนิด (D)</x:t>
        </x:is>
      </x:c>
      <x:c r="C459" t="n">
        <x:v>3032</x:v>
      </x:c>
      <x:c r="D459" t="inlineStr">
        <x:is>
          <x:t xml:space="preserve">OC-35</x:t>
        </x:is>
      </x:c>
      <x:c r="E459" t="inlineStr">
        <x:is>
          <x:t xml:space="preserve">แผง 21 เม็ด</x:t>
        </x:is>
      </x:c>
      <x:c r="F459" t="inlineStr">
        <x:is>
          <x:t xml:space="preserve">Cyproterone acetate 2 mg.+Ethinylestradiol 0.035 mg.</x:t>
        </x:is>
      </x:c>
      <x:c r="G459" t="inlineStr">
        <x:is>
          <x:t xml:space="preserve">BDS003032</x:t>
        </x:is>
      </x:c>
      <x:c r="H459" t="inlineStr">
        <x:is>
          <x:t xml:space="preserve">OC-35 (21 tabs)</x:t>
        </x:is>
      </x:c>
      <x:c r="I459" t="inlineStr">
        <x:is>
          <x:t xml:space="preserve">รับประทานครั้งละ 1 เม็ด วันละ 1 ครั้ง</x:t>
        </x:is>
      </x:c>
    </x:row>
    <x:row r="460">
      <x:c r="A460" t="n">
        <x:v>458</x:v>
      </x:c>
      <x:c r="B460" t="inlineStr">
        <x:is>
          <x:t xml:space="preserve">ยาคุมกำเนิด (D)</x:t>
        </x:is>
      </x:c>
      <x:c r="C460" t="n">
        <x:v>3143</x:v>
      </x:c>
      <x:c r="D460" t="inlineStr">
        <x:is>
          <x:t xml:space="preserve">Preme </x:t>
        </x:is>
      </x:c>
      <x:c r="E460" t="inlineStr">
        <x:is>
          <x:t xml:space="preserve">แผง 21 เม็ด</x:t>
        </x:is>
      </x:c>
      <x:c r="F460" t="inlineStr">
        <x:is>
          <x:t xml:space="preserve">Cyproterone Acetate 2 mg.+Ethinylestradiol 0.035 mg.</x:t>
        </x:is>
      </x:c>
      <x:c r="G460" t="inlineStr">
        <x:is>
          <x:t xml:space="preserve">BDS003143</x:t>
        </x:is>
      </x:c>
      <x:c r="H460" t="inlineStr">
        <x:is>
          <x:t xml:space="preserve">Preme  (21 tabs)</x:t>
        </x:is>
      </x:c>
      <x:c r="I460" t="inlineStr">
        <x:is>
          <x:t xml:space="preserve">รับประทานครั้งละ 1 เม็ด วันละ 1 ครั้ง</x:t>
        </x:is>
      </x:c>
    </x:row>
    <x:row r="461">
      <x:c r="A461" t="n">
        <x:v>459</x:v>
      </x:c>
      <x:c r="B461" t="inlineStr">
        <x:is>
          <x:t xml:space="preserve">ยาคุมกำเนิด (D)</x:t>
        </x:is>
      </x:c>
      <x:c r="C461" t="n">
        <x:v>46511</x:v>
      </x:c>
      <x:c r="D461" t="inlineStr">
        <x:is>
          <x:t xml:space="preserve">Preme 28</x:t>
        </x:is>
      </x:c>
      <x:c r="E461" t="inlineStr">
        <x:is>
          <x:t xml:space="preserve">แผง 28 เม็ด</x:t>
        </x:is>
      </x:c>
      <x:c r="F461" t="inlineStr">
        <x:is>
          <x:t xml:space="preserve">Cyproterone Acetate 2 mg.+Ethinylestradiol 0.035 mg.</x:t>
        </x:is>
      </x:c>
      <x:c r="G461" t="inlineStr">
        <x:is>
          <x:t xml:space="preserve">BDS046511</x:t>
        </x:is>
      </x:c>
      <x:c r="H461" t="inlineStr">
        <x:is>
          <x:t xml:space="preserve">Preme 28 (28 tabs)</x:t>
        </x:is>
      </x:c>
      <x:c r="I461" t="inlineStr">
        <x:is>
          <x:t xml:space="preserve">รับประทานครั้งละ 1 เม็ด วันละ 1 ครั้ง</x:t>
        </x:is>
      </x:c>
    </x:row>
    <x:row r="462">
      <x:c r="A462" t="n">
        <x:v>460</x:v>
      </x:c>
      <x:c r="B462" t="inlineStr">
        <x:is>
          <x:t xml:space="preserve">ยาคุมกำเนิด (D)</x:t>
        </x:is>
      </x:c>
      <x:c r="C462" t="n">
        <x:v>47721</x:v>
      </x:c>
      <x:c r="D462" t="inlineStr">
        <x:is>
          <x:t xml:space="preserve">Slinda</x:t>
        </x:is>
      </x:c>
      <x:c r="E462" t="inlineStr">
        <x:is>
          <x:t xml:space="preserve">แผง 28 เม็ด</x:t>
        </x:is>
      </x:c>
      <x:c r="F462" t="inlineStr">
        <x:is>
          <x:t xml:space="preserve">Drospirenone 4 mg</x:t>
        </x:is>
      </x:c>
      <x:c r="G462" t="inlineStr">
        <x:is>
          <x:t xml:space="preserve">BDS047721</x:t>
        </x:is>
      </x:c>
      <x:c r="H462" t="inlineStr">
        <x:is>
          <x:t xml:space="preserve">Slinda (28 tabs)</x:t>
        </x:is>
      </x:c>
      <x:c r="I462" t="inlineStr">
        <x:is>
          <x:t xml:space="preserve">รับประทานครั้งละ 1 เม็ด วันละ 1 ครั้ง</x:t>
        </x:is>
      </x:c>
    </x:row>
    <x:row r="463">
      <x:c r="A463" t="n">
        <x:v>461</x:v>
      </x:c>
      <x:c r="B463" t="inlineStr">
        <x:is>
          <x:t xml:space="preserve">ยาคุมกำเนิด (D)</x:t>
        </x:is>
      </x:c>
      <x:c r="C463" t="n">
        <x:v>3731</x:v>
      </x:c>
      <x:c r="D463" t="inlineStr">
        <x:is>
          <x:t xml:space="preserve">Sucee</x:t>
        </x:is>
      </x:c>
      <x:c r="E463" t="inlineStr">
        <x:is>
          <x:t xml:space="preserve">แผง 21 เม็ด</x:t>
        </x:is>
      </x:c>
      <x:c r="F463" t="inlineStr">
        <x:is>
          <x:t xml:space="preserve">Cyproterone Acetate 2 mg.+Ethinylestradiol 0.035 mg.</x:t>
        </x:is>
      </x:c>
      <x:c r="G463" t="inlineStr">
        <x:is>
          <x:t xml:space="preserve">BDS003731</x:t>
        </x:is>
      </x:c>
      <x:c r="H463" t="inlineStr">
        <x:is>
          <x:t xml:space="preserve">Sucee (21 tabs)</x:t>
        </x:is>
      </x:c>
      <x:c r="I463" t="inlineStr">
        <x:is>
          <x:t xml:space="preserve">รับประทานครั้งละ 1 เม็ด วันละ 1 ครั้ง</x:t>
        </x:is>
      </x:c>
    </x:row>
    <x:row r="464">
      <x:c r="A464" t="n">
        <x:v>462</x:v>
      </x:c>
      <x:c r="B464" t="inlineStr">
        <x:is>
          <x:t xml:space="preserve">ยาคุมกำเนิด (D)</x:t>
        </x:is>
      </x:c>
      <x:c r="C464" t="n">
        <x:v>3699</x:v>
      </x:c>
      <x:c r="D464" t="inlineStr">
        <x:is>
          <x:t xml:space="preserve">Sucee 28</x:t>
        </x:is>
      </x:c>
      <x:c r="E464" t="inlineStr">
        <x:is>
          <x:t xml:space="preserve">แผง 28 เม็ด</x:t>
        </x:is>
      </x:c>
      <x:c r="F464" t="inlineStr">
        <x:is>
          <x:t xml:space="preserve">Cyproterone Acetate 2 mg.+Ethinylestradiol 0.035 mg.</x:t>
        </x:is>
      </x:c>
      <x:c r="G464" t="inlineStr">
        <x:is>
          <x:t xml:space="preserve">BDS003699</x:t>
        </x:is>
      </x:c>
      <x:c r="H464" t="inlineStr">
        <x:is>
          <x:t xml:space="preserve">Sucee 28 (28 tabs)</x:t>
        </x:is>
      </x:c>
      <x:c r="I464" t="inlineStr">
        <x:is>
          <x:t xml:space="preserve">รับประทานครั้งละ 1 เม็ด วันละ 1 ครั้ง</x:t>
        </x:is>
      </x:c>
    </x:row>
    <x:row r="465">
      <x:c r="A465" t="n">
        <x:v>463</x:v>
      </x:c>
      <x:c r="B465" t="inlineStr">
        <x:is>
          <x:t xml:space="preserve">ยาคุมกำเนิด (D)</x:t>
        </x:is>
      </x:c>
      <x:c r="C465" t="n">
        <x:v>3655</x:v>
      </x:c>
      <x:c r="D465" t="inlineStr">
        <x:is>
          <x:t xml:space="preserve">Synfonia</x:t>
        </x:is>
      </x:c>
      <x:c r="E465" t="inlineStr">
        <x:is>
          <x:t xml:space="preserve">แผง 28 เม็ด</x:t>
        </x:is>
      </x:c>
      <x:c r="F465" t="inlineStr">
        <x:is>
          <x:t xml:space="preserve">Drospirenone 3 mg.+Ethinylestradiol 0.02 mg.</x:t>
        </x:is>
      </x:c>
      <x:c r="G465" t="inlineStr">
        <x:is>
          <x:t xml:space="preserve">BDS003655</x:t>
        </x:is>
      </x:c>
      <x:c r="H465" t="inlineStr">
        <x:is>
          <x:t xml:space="preserve">Synfonia (28 tabs)</x:t>
        </x:is>
      </x:c>
      <x:c r="I465" t="inlineStr">
        <x:is>
          <x:t xml:space="preserve">รับประทานครั้งละ 1 เม็ด วันละ 1 ครั้ง</x:t>
        </x:is>
      </x:c>
    </x:row>
    <x:row r="466">
      <x:c r="A466" t="n">
        <x:v>464</x:v>
      </x:c>
      <x:c r="B466" t="inlineStr">
        <x:is>
          <x:t xml:space="preserve">ยาคุมกำเนิด (D)</x:t>
        </x:is>
      </x:c>
      <x:c r="C466" t="n">
        <x:v>4153</x:v>
      </x:c>
      <x:c r="D466" t="inlineStr">
        <x:is>
          <x:t xml:space="preserve">Yasmin-21</x:t>
        </x:is>
      </x:c>
      <x:c r="E466" t="inlineStr">
        <x:is>
          <x:t xml:space="preserve">แผง 21 เม็ด</x:t>
        </x:is>
      </x:c>
      <x:c r="F466" t="inlineStr">
        <x:is>
          <x:t xml:space="preserve">Drospirenone 3 mg.+Ethinylestradiol 0.030 mg.</x:t>
        </x:is>
      </x:c>
      <x:c r="G466" t="inlineStr">
        <x:is>
          <x:t xml:space="preserve">BDS004153</x:t>
        </x:is>
      </x:c>
      <x:c r="H466" t="inlineStr">
        <x:is>
          <x:t xml:space="preserve">Yasmin-21 (21 tabs)</x:t>
        </x:is>
      </x:c>
      <x:c r="I466" t="inlineStr">
        <x:is>
          <x:t xml:space="preserve">รับประทานครั้งละ 1 เม็ด วันละ 1 ครั้ง</x:t>
        </x:is>
      </x:c>
    </x:row>
    <x:row r="467">
      <x:c r="A467" t="n">
        <x:v>465</x:v>
      </x:c>
      <x:c r="B467" t="inlineStr">
        <x:is>
          <x:t xml:space="preserve">ยาคุมกำเนิด (D)</x:t>
        </x:is>
      </x:c>
      <x:c r="C467" t="n">
        <x:v>4154</x:v>
      </x:c>
      <x:c r="D467" t="inlineStr">
        <x:is>
          <x:t xml:space="preserve">Yaz</x:t>
        </x:is>
      </x:c>
      <x:c r="E467" t="inlineStr">
        <x:is>
          <x:t xml:space="preserve">แผง 28 เม็ด</x:t>
        </x:is>
      </x:c>
      <x:c r="F467" t="inlineStr">
        <x:is>
          <x:t xml:space="preserve">Drospirenone 3 mg.+Ethinylestradiol 0.02 mg.</x:t>
        </x:is>
      </x:c>
      <x:c r="G467" t="inlineStr">
        <x:is>
          <x:t xml:space="preserve">BDS004154</x:t>
        </x:is>
      </x:c>
      <x:c r="H467" t="inlineStr">
        <x:is>
          <x:t xml:space="preserve">Yaz (28 tabs)</x:t>
        </x:is>
      </x:c>
      <x:c r="I467" t="inlineStr">
        <x:is>
          <x:t xml:space="preserve">รับประทานครั้งละ 1 เม็ด วันละ 1 ครั้ง</x:t>
        </x:is>
      </x:c>
    </x:row>
    <x:row r="468">
      <x:c r="A468" t="n">
        <x:v>466</x:v>
      </x:c>
      <x:c r="B468" t="inlineStr">
        <x:is>
          <x:t xml:space="preserve">ยาป้องกันและรักษาข้อเสื่อม (D)</x:t>
        </x:is>
      </x:c>
      <x:c r="C468" t="n">
        <x:v>40024</x:v>
      </x:c>
      <x:c r="D468" t="inlineStr">
        <x:is>
          <x:t xml:space="preserve">Arthro-K Orange 1500</x:t>
        </x:is>
      </x:c>
      <x:c r="E468" t="inlineStr">
        <x:is>
          <x:t xml:space="preserve">ซอง 3.95 g.</x:t>
        </x:is>
      </x:c>
      <x:c r="F468" t="inlineStr">
        <x:is>
          <x:t xml:space="preserve">Crystalline Glucosamine Sulfate Potassium Chloride (เทียบเท่ากับ Glucosamine sulfate 1500 mg.)</x:t>
        </x:is>
      </x:c>
      <x:c r="G468" t="inlineStr">
        <x:is>
          <x:t xml:space="preserve">BDS040024</x:t>
        </x:is>
      </x:c>
      <x:c r="H468" t="inlineStr">
        <x:is>
          <x:t xml:space="preserve">Arthro-K Orange 1500 (3.95 g.)</x:t>
        </x:is>
      </x:c>
      <x:c r="I468" t="inlineStr">
        <x:is>
          <x:t xml:space="preserve">รับประทาน (ละลาย) ครั้งละ 1 ซองต่อน้ำครึ่งแก้ว (125 ml.) วันละ 1 ครั้ง</x:t>
        </x:is>
      </x:c>
    </x:row>
    <x:row r="469">
      <x:c r="A469" t="n">
        <x:v>467</x:v>
      </x:c>
      <x:c r="B469" t="inlineStr">
        <x:is>
          <x:t xml:space="preserve">ยาป้องกันและรักษาข้อเสื่อม (D)</x:t>
        </x:is>
      </x:c>
      <x:c r="C469" t="n">
        <x:v>40032</x:v>
      </x:c>
      <x:c r="D469" t="inlineStr">
        <x:is>
          <x:t xml:space="preserve">Artrofort Complex</x:t>
        </x:is>
      </x:c>
      <x:c r="E469" t="inlineStr">
        <x:is>
          <x:t xml:space="preserve">กล่อง 30 ซอง</x:t>
        </x:is>
      </x:c>
      <x:c r="F469" t="inlineStr">
        <x:is>
          <x:t xml:space="preserve">Crystalline Glucosamine Sulphate 942 mg.(เทียบเท่ากับ Glucosamine 750 mg.+Sodium Chloride 192 mg.)+Chondroitin Sulphate Sodium 600 mg.</x:t>
        </x:is>
      </x:c>
      <x:c r="G469" t="inlineStr">
        <x:is>
          <x:t xml:space="preserve">BDS040032</x:t>
        </x:is>
      </x:c>
      <x:c r="H469" t="inlineStr">
        <x:is>
          <x:t xml:space="preserve">Artrofort Complex (30 sachets)</x:t>
        </x:is>
      </x:c>
      <x:c r="I469" t="inlineStr">
        <x:is>
          <x:t xml:space="preserve">รับประทาน (ละลาย) ครั้งละ 1 ซองต่อน้ำ 1 แก้ว (125 ml.) วันละ 2 ครั้ง ก่อนอาหาร</x:t>
        </x:is>
      </x:c>
    </x:row>
    <x:row r="470">
      <x:c r="A470" t="n">
        <x:v>468</x:v>
      </x:c>
      <x:c r="B470" t="inlineStr">
        <x:is>
          <x:t xml:space="preserve">ยาป้องกันและรักษาข้อเสื่อม (D)</x:t>
        </x:is>
      </x:c>
      <x:c r="C470" t="n">
        <x:v>1521</x:v>
      </x:c>
      <x:c r="D470" t="inlineStr">
        <x:is>
          <x:t xml:space="preserve">Coxium</x:t>
        </x:is>
      </x:c>
      <x:c r="E470" t="inlineStr">
        <x:is>
          <x:t xml:space="preserve">กล่อง 30 ซอง</x:t>
        </x:is>
      </x:c>
      <x:c r="F470" t="inlineStr">
        <x:is>
          <x:t xml:space="preserve">Glucosamine Sulfate NaCl 1500 mg.</x:t>
        </x:is>
      </x:c>
      <x:c r="G470" t="inlineStr">
        <x:is>
          <x:t xml:space="preserve">BDS001521</x:t>
        </x:is>
      </x:c>
      <x:c r="H470" t="inlineStr">
        <x:is>
          <x:t xml:space="preserve">Coxium (30 sachets)</x:t>
        </x:is>
      </x:c>
      <x:c r="I470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1">
      <x:c r="A471" t="n">
        <x:v>469</x:v>
      </x:c>
      <x:c r="B471" t="inlineStr">
        <x:is>
          <x:t xml:space="preserve">ยาป้องกันและรักษาข้อเสื่อม (D)</x:t>
        </x:is>
      </x:c>
      <x:c r="C471" t="n">
        <x:v>7743</x:v>
      </x:c>
      <x:c r="D471" t="inlineStr">
        <x:is>
          <x:t xml:space="preserve">Glucosa 1500 ชนิดผง</x:t>
        </x:is>
      </x:c>
      <x:c r="E471" t="inlineStr">
        <x:is>
          <x:t xml:space="preserve">กล่อง 10 ซอง </x:t>
        </x:is>
      </x:c>
      <x:c r="F471" t="inlineStr">
        <x:is>
          <x:t xml:space="preserve">Glucosamine sulfate sodium 1500 mg.</x:t>
        </x:is>
      </x:c>
      <x:c r="G471" t="inlineStr">
        <x:is>
          <x:t xml:space="preserve">BDS007743</x:t>
        </x:is>
      </x:c>
      <x:c r="H471" t="inlineStr">
        <x:is>
          <x:t xml:space="preserve">Glucosa 1500 ชนิดผง (10 sachets)</x:t>
        </x:is>
      </x:c>
      <x:c r="I471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2">
      <x:c r="A472" t="n">
        <x:v>470</x:v>
      </x:c>
      <x:c r="B472" t="inlineStr">
        <x:is>
          <x:t xml:space="preserve">ยาป้องกันและรักษาข้อเสื่อม (D)</x:t>
        </x:is>
      </x:c>
      <x:c r="C472" t="n">
        <x:v>43605</x:v>
      </x:c>
      <x:c r="D472" t="inlineStr">
        <x:is>
          <x:t xml:space="preserve">Glucosa 1500 ชนิดผง (รสมะนาว)</x:t>
        </x:is>
      </x:c>
      <x:c r="E472" t="inlineStr">
        <x:is>
          <x:t xml:space="preserve">กล่อง 10 ซอง </x:t>
        </x:is>
      </x:c>
      <x:c r="F472" t="inlineStr">
        <x:is>
          <x:t xml:space="preserve">Glucosamine sulfate sodium 1500 mg.</x:t>
        </x:is>
      </x:c>
      <x:c r="G472" t="inlineStr">
        <x:is>
          <x:t xml:space="preserve">BDS043605</x:t>
        </x:is>
      </x:c>
      <x:c r="H472" t="inlineStr">
        <x:is>
          <x:t xml:space="preserve">Glucosa 1500 ชนิดผง (รสมะนาว) (10 sachets)</x:t>
        </x:is>
      </x:c>
      <x:c r="I472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3">
      <x:c r="A473" t="n">
        <x:v>471</x:v>
      </x:c>
      <x:c r="B473" t="inlineStr">
        <x:is>
          <x:t xml:space="preserve">ยาป้องกันและรักษาข้อเสื่อม (D)</x:t>
        </x:is>
      </x:c>
      <x:c r="C473" t="n">
        <x:v>7739</x:v>
      </x:c>
      <x:c r="D473" t="inlineStr">
        <x:is>
          <x:t xml:space="preserve">Glucosa 500</x:t>
        </x:is>
      </x:c>
      <x:c r="E473" t="inlineStr">
        <x:is>
          <x:t xml:space="preserve">แผง 10 แคปซูล</x:t>
        </x:is>
      </x:c>
      <x:c r="F473" t="inlineStr">
        <x:is>
          <x:t xml:space="preserve">Glucosamine sulfate sodium 500 mg.</x:t>
        </x:is>
      </x:c>
      <x:c r="G473" t="inlineStr">
        <x:is>
          <x:t xml:space="preserve">BDS007739</x:t>
        </x:is>
      </x:c>
      <x:c r="H473" t="inlineStr">
        <x:is>
          <x:t xml:space="preserve">Glucosa 500 (10 cap)</x:t>
        </x:is>
      </x:c>
      <x:c r="I473" t="inlineStr">
        <x:is>
          <x:t xml:space="preserve">รับประทานครั้งละ 1 แคปซูล วันละ 3 ครั้ง</x:t>
        </x:is>
      </x:c>
    </x:row>
    <x:row r="474">
      <x:c r="A474" t="n">
        <x:v>472</x:v>
      </x:c>
      <x:c r="B474" t="inlineStr">
        <x:is>
          <x:t xml:space="preserve">ยาป้องกันและรักษาข้อเสื่อม (D)</x:t>
        </x:is>
      </x:c>
      <x:c r="C474" t="n">
        <x:v>7225</x:v>
      </x:c>
      <x:c r="D474" t="inlineStr">
        <x:is>
          <x:t xml:space="preserve">Osteotin 500</x:t>
        </x:is>
      </x:c>
      <x:c r="E474" t="inlineStr">
        <x:is>
          <x:t xml:space="preserve">แผง 10 แคปซูล</x:t>
        </x:is>
      </x:c>
      <x:c r="F474" t="inlineStr">
        <x:is>
          <x:t xml:space="preserve">Glucosamine sulfate sodium 500 mg.</x:t>
        </x:is>
      </x:c>
      <x:c r="G474" t="inlineStr">
        <x:is>
          <x:t xml:space="preserve">BDS007225</x:t>
        </x:is>
      </x:c>
      <x:c r="H474" t="inlineStr">
        <x:is>
          <x:t xml:space="preserve">Osteotin 500 (10 cap)</x:t>
        </x:is>
      </x:c>
      <x:c r="I474" t="inlineStr">
        <x:is>
          <x:t xml:space="preserve">รับประทานครั้งละ 1 แคปซูล วันละ 3 ครั้ง</x:t>
        </x:is>
      </x:c>
    </x:row>
    <x:row r="475">
      <x:c r="A475" t="n">
        <x:v>473</x:v>
      </x:c>
      <x:c r="B475" t="inlineStr">
        <x:is>
          <x:t xml:space="preserve">ยาป้องกันและรักษาข้อเสื่อม (D)</x:t>
        </x:is>
      </x:c>
      <x:c r="C475" t="n">
        <x:v>1003</x:v>
      </x:c>
      <x:c r="D475" t="inlineStr">
        <x:is>
          <x:t xml:space="preserve">Viaflex 1500</x:t>
        </x:is>
      </x:c>
      <x:c r="E475" t="inlineStr">
        <x:is>
          <x:t xml:space="preserve">กล่อง 30 ซอง</x:t>
        </x:is>
      </x:c>
      <x:c r="F475" t="inlineStr">
        <x:is>
          <x:t xml:space="preserve">Glucosamine Sulfate Sodium Chloride  1884 mg. (Glucosamine Sulfate 1500 mg./1 ซอง)</x:t>
        </x:is>
      </x:c>
      <x:c r="G475" t="inlineStr">
        <x:is>
          <x:t xml:space="preserve">BDS001003</x:t>
        </x:is>
      </x:c>
      <x:c r="H475" t="inlineStr">
        <x:is>
          <x:t xml:space="preserve">Viaflex 1500 (30 sachets)</x:t>
        </x:is>
      </x:c>
      <x:c r="I475" t="inlineStr">
        <x:is>
          <x:t xml:space="preserve">รับประทาน (ละลาย) 1 ซอง ต่อน้ำ (150-200 ml.) วันละ 1 ครั้ง </x:t>
        </x:is>
      </x:c>
    </x:row>
    <x:row r="476">
      <x:c r="A476" t="n">
        <x:v>474</x:v>
      </x:c>
      <x:c r="B476" t="inlineStr">
        <x:is>
          <x:t xml:space="preserve">ยาป้องกันและรักษาข้อเสื่อม (D)</x:t>
        </x:is>
      </x:c>
      <x:c r="C476" t="n">
        <x:v>1705</x:v>
      </x:c>
      <x:c r="D476" t="inlineStr">
        <x:is>
          <x:t xml:space="preserve">Viartril-S</x:t>
        </x:is>
      </x:c>
      <x:c r="E476" t="inlineStr">
        <x:is>
          <x:t xml:space="preserve">กล่อง 30 ซอง</x:t>
        </x:is>
      </x:c>
      <x:c r="F476" t="inlineStr">
        <x:is>
          <x:t xml:space="preserve">Glucosamine Sulphate 1500 mg.</x:t>
        </x:is>
      </x:c>
      <x:c r="G476" t="inlineStr">
        <x:is>
          <x:t xml:space="preserve">BDS001705</x:t>
        </x:is>
      </x:c>
      <x:c r="H476" t="inlineStr">
        <x:is>
          <x:t xml:space="preserve">Viartril-S (30 sachets)</x:t>
        </x:is>
      </x:c>
      <x:c r="I476" t="inlineStr">
        <x:is>
          <x:t xml:space="preserve">รับประทาน (ละลาย) ครั้งละ 1 ซองต่อน้ำ 1 แก้ว (250 ml.) วันละ 1 ครั้ง ก่อนอาหาร 15 นาที</x:t>
        </x:is>
      </x:c>
    </x:row>
    <x:row r="477">
      <x:c r="A477" t="n">
        <x:v>475</x:v>
      </x:c>
      <x:c r="B477" t="inlineStr">
        <x:is>
          <x:t xml:space="preserve">ยาละลายเสมหะ (D)</x:t>
        </x:is>
      </x:c>
      <x:c r="C477" t="n">
        <x:v>40631</x:v>
      </x:c>
      <x:c r="D477" t="inlineStr">
        <x:is>
          <x:t xml:space="preserve">Bromcolex</x:t>
        </x:is>
      </x:c>
      <x:c r="E477" t="inlineStr">
        <x:is>
          <x:t xml:space="preserve">แผง 10 เม็ด</x:t>
        </x:is>
      </x:c>
      <x:c r="F477" t="inlineStr">
        <x:is>
          <x:t xml:space="preserve">Bromhexine HCl 8 mg.</x:t>
        </x:is>
      </x:c>
      <x:c r="G477" t="inlineStr">
        <x:is>
          <x:t xml:space="preserve">BDS040631</x:t>
        </x:is>
      </x:c>
      <x:c r="H477" t="inlineStr">
        <x:is>
          <x:t xml:space="preserve">Bromcolex (10 tabs)</x:t>
        </x:is>
      </x:c>
      <x:c r="I477" t="inlineStr">
        <x:is>
          <x:t xml:space="preserve">รับประทานครั้งละ 1 เม็ด วันละ 3 ครั้ง</x:t>
        </x:is>
      </x:c>
      <x:c r="P477" t="inlineStr">
        <x:is>
          <x:t xml:space="preserve">Cough medicines / mucolytics / expectorants</x:t>
        </x:is>
      </x:c>
    </x:row>
    <x:row r="478">
      <x:c r="A478" t="n">
        <x:v>476</x:v>
      </x:c>
      <x:c r="B478" t="inlineStr">
        <x:is>
          <x:t xml:space="preserve">ยาละลายเสมหะ (D)</x:t>
        </x:is>
      </x:c>
      <x:c r="C478" t="n">
        <x:v>8046</x:v>
      </x:c>
      <x:c r="D478" t="inlineStr">
        <x:is>
          <x:t xml:space="preserve">Extorant</x:t>
        </x:is>
      </x:c>
      <x:c r="E478" t="inlineStr">
        <x:is>
          <x:t xml:space="preserve">แผง 10 เม็ด</x:t>
        </x:is>
      </x:c>
      <x:c r="F478" t="inlineStr">
        <x:is>
          <x:t xml:space="preserve">Bromhexine HCl 4 mg+Guaifenesin 100 mg</x:t>
        </x:is>
      </x:c>
      <x:c r="G478" t="inlineStr">
        <x:is>
          <x:t xml:space="preserve">BDS008046</x:t>
        </x:is>
      </x:c>
      <x:c r="H478" t="inlineStr">
        <x:is>
          <x:t xml:space="preserve">Extorant (10 tabs)</x:t>
        </x:is>
      </x:c>
      <x:c r="I478" t="inlineStr">
        <x:is>
          <x:t xml:space="preserve">รับประทานครั้งละ 1-2 เม็ด วันละ 3-4 ครั้ง </x:t>
        </x:is>
      </x:c>
      <x:c r="P478" t="inlineStr">
        <x:is>
          <x:t xml:space="preserve">Cough medicines / mucolytics / expectorants</x:t>
        </x:is>
      </x:c>
    </x:row>
    <x:row r="479">
      <x:c r="A479" t="n">
        <x:v>477</x:v>
      </x:c>
      <x:c r="B479" t="inlineStr">
        <x:is>
          <x:t xml:space="preserve">ยาละลายเสมหะ (D)</x:t>
        </x:is>
      </x:c>
      <x:c r="C479" t="n">
        <x:v>7196</x:v>
      </x:c>
      <x:c r="D479" t="inlineStr">
        <x:is>
          <x:t xml:space="preserve">Mucoxine-F</x:t>
        </x:is>
      </x:c>
      <x:c r="E479" t="inlineStr">
        <x:is>
          <x:t xml:space="preserve">แผง 10 เม็ด</x:t>
        </x:is>
      </x:c>
      <x:c r="F479" t="inlineStr">
        <x:is>
          <x:t xml:space="preserve">Ambroxol HCl 30 mg.</x:t>
        </x:is>
      </x:c>
      <x:c r="G479" t="inlineStr">
        <x:is>
          <x:t xml:space="preserve">BDS007196</x:t>
        </x:is>
      </x:c>
      <x:c r="H479" t="inlineStr">
        <x:is>
          <x:t xml:space="preserve">Mucoxine-F (10 tabs)</x:t>
        </x:is>
      </x:c>
      <x:c r="I479" t="inlineStr">
        <x:is>
          <x:t xml:space="preserve">รับประทานครั้งละ 1-2 เม็ด วันละ 3 ครั้ง</x:t>
        </x:is>
      </x:c>
      <x:c r="P479" t="inlineStr">
        <x:is>
          <x:t xml:space="preserve">Cough medicines / mucolytics / expectorants</x:t>
        </x:is>
      </x:c>
    </x:row>
    <x:row r="480">
      <x:c r="A480" t="n">
        <x:v>478</x:v>
      </x:c>
      <x:c r="B480" t="inlineStr">
        <x:is>
          <x:t xml:space="preserve">ยาละลายเสมหะ (D)</x:t>
        </x:is>
      </x:c>
      <x:c r="C480" t="n">
        <x:v>7601</x:v>
      </x:c>
      <x:c r="D480" t="inlineStr">
        <x:is>
          <x:t xml:space="preserve">Polibroxol</x:t>
        </x:is>
      </x:c>
      <x:c r="E480" t="inlineStr">
        <x:is>
          <x:t xml:space="preserve">แผง 10 เม็ด</x:t>
        </x:is>
      </x:c>
      <x:c r="F480" t="inlineStr">
        <x:is>
          <x:t xml:space="preserve">Ambroxol HCl 30 mg.</x:t>
        </x:is>
      </x:c>
      <x:c r="G480" t="inlineStr">
        <x:is>
          <x:t xml:space="preserve">BDS007601</x:t>
        </x:is>
      </x:c>
      <x:c r="H480" t="inlineStr">
        <x:is>
          <x:t xml:space="preserve">Polibroxol (10 tabs)</x:t>
        </x:is>
      </x:c>
      <x:c r="I480" t="inlineStr">
        <x:is>
          <x:t xml:space="preserve">รับประทานครั้งละ 1-2 เม็ด วันละ 3 ครั้ง</x:t>
        </x:is>
      </x:c>
      <x:c r="P480" t="inlineStr">
        <x:is>
          <x:t xml:space="preserve">Cough medicines / mucolytics / expectorants</x:t>
        </x:is>
      </x:c>
    </x:row>
    <x:row r="481">
      <x:c r="A481" t="n">
        <x:v>479</x:v>
      </x:c>
      <x:c r="B481" t="inlineStr">
        <x:is>
          <x:t xml:space="preserve">ยาระบาย (D)</x:t>
        </x:is>
      </x:c>
      <x:c r="C481" t="n">
        <x:v>8201</x:v>
      </x:c>
      <x:c r="D481" t="inlineStr">
        <x:is>
          <x:t xml:space="preserve">Bisacod</x:t>
        </x:is>
      </x:c>
      <x:c r="E481" t="inlineStr">
        <x:is>
          <x:t xml:space="preserve">แผง 10 เม็ด</x:t>
        </x:is>
      </x:c>
      <x:c r="F481" t="inlineStr">
        <x:is>
          <x:t xml:space="preserve">Bisacodyl 5 mg.</x:t>
        </x:is>
      </x:c>
      <x:c r="G481" t="inlineStr">
        <x:is>
          <x:t xml:space="preserve">BDS008201</x:t>
        </x:is>
      </x:c>
      <x:c r="H481" t="inlineStr">
        <x:is>
          <x:t xml:space="preserve">Bisacod (10 tabs)</x:t>
        </x:is>
      </x:c>
      <x:c r="I481" t="inlineStr">
        <x:is>
          <x:t xml:space="preserve">รับประทานครั้งละ 2-4 เม็ด วันละ 1 ครั้ง ก่อนนอน</x:t>
        </x:is>
      </x:c>
    </x:row>
    <x:row r="482">
      <x:c r="A482" t="n">
        <x:v>480</x:v>
      </x:c>
      <x:c r="B482" t="inlineStr">
        <x:is>
          <x:t xml:space="preserve">ยาระบาย (D)</x:t>
        </x:is>
      </x:c>
      <x:c r="C482" t="n">
        <x:v>7554</x:v>
      </x:c>
      <x:c r="D482" t="inlineStr">
        <x:is>
          <x:t xml:space="preserve">Losalac Syrup</x:t>
        </x:is>
      </x:c>
      <x:c r="E482" t="inlineStr">
        <x:is>
          <x:t xml:space="preserve">ขวด 100 ml.</x:t>
        </x:is>
      </x:c>
      <x:c r="F482" t="inlineStr">
        <x:is>
          <x:t xml:space="preserve">Lactulose 66.7 g./100 ml.</x:t>
        </x:is>
      </x:c>
      <x:c r="G482" t="inlineStr">
        <x:is>
          <x:t xml:space="preserve">BDS007554</x:t>
        </x:is>
      </x:c>
      <x:c r="H482" t="inlineStr">
        <x:is>
          <x:t xml:space="preserve">Losalac Syrup (100 ml.)</x:t>
        </x:is>
      </x:c>
      <x:c r="I482" t="inlineStr">
        <x:is>
          <x:t xml:space="preserve">เด็กเล็กรับประทานครั้งละ 1-2 ช้อนชา วันละ 1 ครั้ง</x:t>
        </x:is>
      </x:c>
    </x:row>
    <x:row r="483">
      <x:c r="A483" t="n">
        <x:v>481</x:v>
      </x:c>
      <x:c r="B483" t="inlineStr">
        <x:is>
          <x:t xml:space="preserve">ยาระบาย (D)</x:t>
        </x:is>
      </x:c>
      <x:c r="C483" t="n">
        <x:v>8768</x:v>
      </x:c>
      <x:c r="D483" t="inlineStr">
        <x:is>
          <x:t xml:space="preserve">T.Man-Lax</x:t>
        </x:is>
      </x:c>
      <x:c r="E483" t="inlineStr">
        <x:is>
          <x:t xml:space="preserve">แผง 10 เม็ด</x:t>
        </x:is>
      </x:c>
      <x:c r="F483" t="inlineStr">
        <x:is>
          <x:t xml:space="preserve">Bisacodyl 5 mg.+Dioctyl sodium sulfosuccinate 15 mg.</x:t>
        </x:is>
      </x:c>
      <x:c r="G483" t="inlineStr">
        <x:is>
          <x:t xml:space="preserve">BDS008768</x:t>
        </x:is>
      </x:c>
      <x:c r="H483" t="inlineStr">
        <x:is>
          <x:t xml:space="preserve">T.Man-Lax (10 tabs)</x:t>
        </x:is>
      </x:c>
      <x:c r="I483" t="inlineStr">
        <x:is>
          <x:t xml:space="preserve">รับประทานครั้งละ 2-4 เม็ด วันละ 1 ครั้ง ก่อนนอน</x:t>
        </x:is>
      </x:c>
    </x:row>
    <x:row r="484">
      <x:c r="A484" t="n">
        <x:v>482</x:v>
      </x:c>
      <x:c r="B484" t="inlineStr">
        <x:is>
          <x:t xml:space="preserve">ยารักษาอาการผมร่วง (D)</x:t>
        </x:is>
      </x:c>
      <x:c r="C484" t="n">
        <x:v>1975</x:v>
      </x:c>
      <x:c r="D484" t="inlineStr">
        <x:is>
          <x:t xml:space="preserve">Firide 1 mg</x:t>
        </x:is>
      </x:c>
      <x:c r="E484" t="inlineStr">
        <x:is>
          <x:t xml:space="preserve">แผง 10 เม็ด</x:t>
        </x:is>
      </x:c>
      <x:c r="F484" t="inlineStr">
        <x:is>
          <x:t xml:space="preserve">Finasteride 1 mg.</x:t>
        </x:is>
      </x:c>
      <x:c r="G484" t="inlineStr">
        <x:is>
          <x:t xml:space="preserve">BDS001975</x:t>
        </x:is>
      </x:c>
      <x:c r="H484" t="inlineStr">
        <x:is>
          <x:t xml:space="preserve">Firide 1 mg (10 tabs)</x:t>
        </x:is>
      </x:c>
      <x:c r="I484" t="inlineStr">
        <x:is>
          <x:t xml:space="preserve">รับประทานครั้งละ 1 เม็ด วันละ 1 ครั้ง</x:t>
        </x:is>
      </x:c>
    </x:row>
    <x:row r="485">
      <x:c r="A485" t="n">
        <x:v>483</x:v>
      </x:c>
      <x:c r="B485" t="inlineStr">
        <x:is>
          <x:t xml:space="preserve">ยาฆ่าเชื้อพยาธิในช่องคลอด (D)</x:t>
        </x:is>
      </x:c>
      <x:c r="C485" t="n">
        <x:v>40003</x:v>
      </x:c>
      <x:c r="D485" t="inlineStr">
        <x:is>
          <x:t xml:space="preserve">Asiazole-T.N. tabslets</x:t>
        </x:is>
      </x:c>
      <x:c r="E485" t="inlineStr">
        <x:is>
          <x:t xml:space="preserve">กล่อง 4 เม็ด</x:t>
        </x:is>
      </x:c>
      <x:c r="F485" t="inlineStr">
        <x:is>
          <x:t xml:space="preserve">Tinidazole 500 mg.</x:t>
        </x:is>
      </x:c>
      <x:c r="G485" t="inlineStr">
        <x:is>
          <x:t xml:space="preserve">BDS040003</x:t>
        </x:is>
      </x:c>
      <x:c r="H485" t="inlineStr">
        <x:is>
          <x:t xml:space="preserve">Asiazole-T.N. tabslets (4 tabs)</x:t>
        </x:is>
      </x:c>
      <x:c r="I485" t="inlineStr">
        <x:is>
          <x:t xml:space="preserve">รับประทานครั้งละ 4 เม็ด  วันละ 1 ครั้ง ก่อนนอน</x:t>
        </x:is>
      </x:c>
      <x:c r="P485" t="inlineStr">
        <x:is>
          <x:t xml:space="preserve">Vaginal antiparasitic/anti-infective</x:t>
        </x:is>
      </x:c>
    </x:row>
    <x:row r="486">
      <x:c r="A486" t="n">
        <x:v>484</x:v>
      </x:c>
      <x:c r="B486" t="inlineStr">
        <x:is>
          <x:t xml:space="preserve">ยาฆ่าเชื้อพยาธิในช่องคลอด (D)</x:t>
        </x:is>
      </x:c>
      <x:c r="C486" t="n">
        <x:v>7954</x:v>
      </x:c>
      <x:c r="D486" t="inlineStr">
        <x:is>
          <x:t xml:space="preserve">Gyno Gena-500</x:t>
        </x:is>
      </x:c>
      <x:c r="E486" t="inlineStr">
        <x:is>
          <x:t xml:space="preserve">กล่อง 4 เม็ด</x:t>
        </x:is>
      </x:c>
      <x:c r="F486" t="inlineStr">
        <x:is>
          <x:t xml:space="preserve">Tinidazole 500 mg.</x:t>
        </x:is>
      </x:c>
      <x:c r="G486" t="inlineStr">
        <x:is>
          <x:t xml:space="preserve">BDS007954</x:t>
        </x:is>
      </x:c>
      <x:c r="H486" t="inlineStr">
        <x:is>
          <x:t xml:space="preserve">Gyno Gena-500 (4 tabs)</x:t>
        </x:is>
      </x:c>
      <x:c r="I486" t="inlineStr">
        <x:is>
          <x:t xml:space="preserve">รับประทานครั้งละ 4 เม็ด วันละ 1 ครั้ง ก่อนนอน</x:t>
        </x:is>
      </x:c>
      <x:c r="P486" t="inlineStr">
        <x:is>
          <x:t xml:space="preserve">Vaginal antiparasitic/anti-infective</x:t>
        </x:is>
      </x:c>
    </x:row>
    <x:row r="487">
      <x:c r="A487" t="n">
        <x:v>485</x:v>
      </x:c>
      <x:c r="B487" t="inlineStr">
        <x:is>
          <x:t xml:space="preserve">ยาแก้เมารถ, เมาเรือ</x:t>
        </x:is>
      </x:c>
      <x:c r="C487" t="n">
        <x:v>45662</x:v>
      </x:c>
      <x:c r="D487" t="inlineStr">
        <x:is>
          <x:t xml:space="preserve">Navamed</x:t>
        </x:is>
      </x:c>
      <x:c r="E487" t="inlineStr">
        <x:is>
          <x:t xml:space="preserve">แผง 2 เม็ด</x:t>
        </x:is>
      </x:c>
      <x:c r="F487" t="inlineStr">
        <x:is>
          <x:t xml:space="preserve">Dimenhydrinate 50 mg</x:t>
        </x:is>
      </x:c>
      <x:c r="G487" t="inlineStr">
        <x:is>
          <x:t xml:space="preserve">BDS045662</x:t>
        </x:is>
      </x:c>
      <x:c r="H487" t="inlineStr">
        <x:is>
          <x:t xml:space="preserve">Navamed (2 tabs)</x:t>
        </x:is>
      </x:c>
      <x:c r="I487" t="inlineStr">
        <x:is>
          <x:t xml:space="preserve">รับประทานครั้งละ 1 เม็ด วันละ 3 ครั้ง หรือก่อนเดินทาง 30 นาที </x:t>
        </x:is>
      </x:c>
    </x:row>
    <x:row r="488">
      <x:c r="A488" t="n">
        <x:v>486</x:v>
      </x:c>
      <x:c r="B488" t="inlineStr">
        <x:is>
          <x:t xml:space="preserve">ยาขับเสมหะ</x:t>
        </x:is>
      </x:c>
      <x:c r="C488" t="n">
        <x:v>48649</x:v>
      </x:c>
      <x:c r="D488" t="inlineStr">
        <x:is>
          <x:t xml:space="preserve">Tavipec cap</x:t>
        </x:is>
      </x:c>
      <x:c r="E488" t="inlineStr">
        <x:is>
          <x:t xml:space="preserve">แผง 10 แคปซูล</x:t>
        </x:is>
      </x:c>
      <x:c r="F488" t="inlineStr">
        <x:is>
          <x:t xml:space="preserve">Spike Lavender Oil 150 mg.</x:t>
        </x:is>
      </x:c>
      <x:c r="G488" t="inlineStr">
        <x:is>
          <x:t xml:space="preserve">BDS048649</x:t>
        </x:is>
      </x:c>
      <x:c r="H488" t="inlineStr">
        <x:is>
          <x:t xml:space="preserve">Tavipec cap (10 cap)</x:t>
        </x:is>
      </x:c>
      <x:c r="I488" t="inlineStr">
        <x:is>
          <x:t xml:space="preserve">รับประทานครั้งละ 1-2 แคปซูล วันละ 3 ครั้ง ก่อนอาหาร</x:t>
        </x:is>
      </x:c>
      <x:c r="P488" t="inlineStr">
        <x:is>
          <x:t xml:space="preserve">Cough medicines / mucolytics / expectorants</x:t>
        </x:is>
      </x:c>
    </x:row>
    <x:row r="489">
      <x:c r="A489" t="n">
        <x:v>487</x:v>
      </x:c>
      <x:c r="B489" t="inlineStr">
        <x:is>
          <x:t xml:space="preserve">ยาแก้ปวด, ลดไข้ (OTC)</x:t>
        </x:is>
      </x:c>
      <x:c r="C489" t="n">
        <x:v>40613</x:v>
      </x:c>
      <x:c r="D489" t="inlineStr">
        <x:is>
          <x:t xml:space="preserve">Bakamol 500 mg strip 10s</x:t>
        </x:is>
      </x:c>
      <x:c r="E489" t="inlineStr">
        <x:is>
          <x:t xml:space="preserve">แผง 10 เม็ด</x:t>
        </x:is>
      </x:c>
      <x:c r="F489" t="inlineStr">
        <x:is>
          <x:t xml:space="preserve">Paracetamol 500 mg.</x:t>
        </x:is>
      </x:c>
      <x:c r="G489" t="inlineStr">
        <x:is>
          <x:t xml:space="preserve">BDS040613</x:t>
        </x:is>
      </x:c>
      <x:c r="H489" t="inlineStr">
        <x:is>
          <x:t xml:space="preserve">Bakamol 500 mg strip 10s (10 tabs)</x:t>
        </x:is>
      </x:c>
      <x:c r="I489" t="inlineStr">
        <x:is>
          <x:t xml:space="preserve">รับประทานครั้งละ 1-2 เม็ด ทุก 4-6 ชั่วโมง</x:t>
        </x:is>
      </x:c>
      <x:c r="J489" t="inlineStr">
        <x:is>
          <x:t xml:space="preserve">Take 1-2 tablets every 4-6 hours</x:t>
        </x:is>
      </x:c>
      <x:c r="P489" t="inlineStr">
        <x:is>
          <x:t xml:space="preserve">General analgesics/antipyretics</x:t>
        </x:is>
      </x:c>
    </x:row>
    <x:row r="490">
      <x:c r="A490" t="n">
        <x:v>488</x:v>
      </x:c>
      <x:c r="B490" t="inlineStr">
        <x:is>
          <x:t xml:space="preserve">ยาแก้ปวด, ลดไข้ (OTC)</x:t>
        </x:is>
      </x:c>
      <x:c r="C490" t="n">
        <x:v>7044</x:v>
      </x:c>
      <x:c r="D490" t="inlineStr">
        <x:is>
          <x:t xml:space="preserve">Cemol 500 mg strip 10s เม็ดรี</x:t>
        </x:is>
      </x:c>
      <x:c r="E490" t="inlineStr">
        <x:is>
          <x:t xml:space="preserve">แผง 10 เม็ด</x:t>
        </x:is>
      </x:c>
      <x:c r="F490" t="inlineStr">
        <x:is>
          <x:t xml:space="preserve">Paracetamol 500 mg.</x:t>
        </x:is>
      </x:c>
      <x:c r="G490" t="inlineStr">
        <x:is>
          <x:t xml:space="preserve">BDS007044</x:t>
        </x:is>
      </x:c>
      <x:c r="H490" t="inlineStr">
        <x:is>
          <x:t xml:space="preserve">Cemol 500 mg strip 10s เม็ดรี (10 tabs)</x:t>
        </x:is>
      </x:c>
      <x:c r="I490" t="inlineStr">
        <x:is>
          <x:t xml:space="preserve">รับประทานครั้งละ 1-2 เม็ด ทุก 4 ชั่วโมง หรือเมื่อมีอาการ</x:t>
        </x:is>
      </x:c>
      <x:c r="J490" t="inlineStr">
        <x:is>
          <x:t xml:space="preserve">Take 1-2 tablets every 4 hours or if symptoms occur</x:t>
        </x:is>
      </x:c>
      <x:c r="P490" t="inlineStr">
        <x:is>
          <x:t xml:space="preserve">General analgesics/antipyretics</x:t>
        </x:is>
      </x:c>
    </x:row>
    <x:row r="491">
      <x:c r="A491" t="n">
        <x:v>489</x:v>
      </x:c>
      <x:c r="B491" t="inlineStr">
        <x:is>
          <x:t xml:space="preserve">ยาแก้ปวด, ลดไข้ (OTC)</x:t>
        </x:is>
      </x:c>
      <x:c r="C491" t="n">
        <x:v>3108</x:v>
      </x:c>
      <x:c r="D491" t="inlineStr">
        <x:is>
          <x:t xml:space="preserve">Para Cap strip 10s</x:t>
        </x:is>
      </x:c>
      <x:c r="E491" t="inlineStr">
        <x:is>
          <x:t xml:space="preserve">แผง 10 เม็ด</x:t>
        </x:is>
      </x:c>
      <x:c r="F491" t="inlineStr">
        <x:is>
          <x:t xml:space="preserve">Paracetamol 500 mg.</x:t>
        </x:is>
      </x:c>
      <x:c r="G491" t="inlineStr">
        <x:is>
          <x:t xml:space="preserve">BDS003108</x:t>
        </x:is>
      </x:c>
      <x:c r="H491" t="inlineStr">
        <x:is>
          <x:t xml:space="preserve">Para Cap strip 10s (10 tabs)</x:t>
        </x:is>
      </x:c>
      <x:c r="I491" t="inlineStr">
        <x:is>
          <x:t xml:space="preserve">รับประทานครั้งละ 1-2 เม็ด ทุก 4-6 ชั่วโมง</x:t>
        </x:is>
      </x:c>
      <x:c r="J491" t="inlineStr">
        <x:is>
          <x:t xml:space="preserve">Take 1-2 tablets every 4-6 hours</x:t>
        </x:is>
      </x:c>
      <x:c r="P491" t="inlineStr">
        <x:is>
          <x:t xml:space="preserve">General analgesics/antipyretics</x:t>
        </x:is>
      </x:c>
    </x:row>
    <x:row r="492">
      <x:c r="A492" t="n">
        <x:v>490</x:v>
      </x:c>
      <x:c r="B492" t="inlineStr">
        <x:is>
          <x:t xml:space="preserve">ยาแก้ปวด, ลดไข้ (OTC)</x:t>
        </x:is>
      </x:c>
      <x:c r="C492" t="n">
        <x:v>3503</x:v>
      </x:c>
      <x:c r="D492" t="inlineStr">
        <x:is>
          <x:t xml:space="preserve">Sara เม็ดกลม แผง 10s</x:t>
        </x:is>
      </x:c>
      <x:c r="E492" t="inlineStr">
        <x:is>
          <x:t xml:space="preserve">แผง 10 เม็ด</x:t>
        </x:is>
      </x:c>
      <x:c r="F492" t="inlineStr">
        <x:is>
          <x:t xml:space="preserve">Paracetamol 500 mg.</x:t>
        </x:is>
      </x:c>
      <x:c r="G492" t="inlineStr">
        <x:is>
          <x:t xml:space="preserve">BDS003503</x:t>
        </x:is>
      </x:c>
      <x:c r="H492" t="inlineStr">
        <x:is>
          <x:t xml:space="preserve">Sara เม็ดกลม แผง 10s (10 tabs)</x:t>
        </x:is>
      </x:c>
      <x:c r="I492" t="inlineStr">
        <x:is>
          <x:t xml:space="preserve">รับประทานครั้งละ 1-2 เม็ด ทุก 4-6 ชั่วโมง</x:t>
        </x:is>
      </x:c>
      <x:c r="J492" t="inlineStr">
        <x:is>
          <x:t xml:space="preserve">Take 1-2 tablets every 4-6 hours</x:t>
        </x:is>
      </x:c>
      <x:c r="P492" t="inlineStr">
        <x:is>
          <x:t xml:space="preserve">General analgesics/antipyretics</x:t>
        </x:is>
      </x:c>
    </x:row>
    <x:row r="493">
      <x:c r="A493" t="n">
        <x:v>491</x:v>
      </x:c>
      <x:c r="B493" t="inlineStr">
        <x:is>
          <x:t xml:space="preserve">ยาแก้ปวด, ลดไข้ (OTC)</x:t>
        </x:is>
      </x:c>
      <x:c r="C493" t="n">
        <x:v>3654</x:v>
      </x:c>
      <x:c r="D493" t="inlineStr">
        <x:is>
          <x:t xml:space="preserve">Sara เม็ดรี แผง 10s</x:t>
        </x:is>
      </x:c>
      <x:c r="E493" t="inlineStr">
        <x:is>
          <x:t xml:space="preserve">แผง 10 เม็ด</x:t>
        </x:is>
      </x:c>
      <x:c r="F493" t="inlineStr">
        <x:is>
          <x:t xml:space="preserve">Paracetamol 500 mg.</x:t>
        </x:is>
      </x:c>
      <x:c r="G493" t="inlineStr">
        <x:is>
          <x:t xml:space="preserve">BDS003654</x:t>
        </x:is>
      </x:c>
      <x:c r="H493" t="inlineStr">
        <x:is>
          <x:t xml:space="preserve">Sara เม็ดรี แผง 10s (10 tabs)</x:t>
        </x:is>
      </x:c>
      <x:c r="I493" t="inlineStr">
        <x:is>
          <x:t xml:space="preserve">รับประทานครั้งละ1-2 เม็ด  ทุก 4-6 ชั่วโมง</x:t>
        </x:is>
      </x:c>
      <x:c r="J493" t="inlineStr">
        <x:is>
          <x:t xml:space="preserve">Take 1-2 tablets every 4-6 hours</x:t>
        </x:is>
      </x:c>
      <x:c r="P493" t="inlineStr">
        <x:is>
          <x:t xml:space="preserve">General analgesics/antipyretics</x:t>
        </x:is>
      </x:c>
    </x:row>
    <x:row r="494">
      <x:c r="A494" t="n">
        <x:v>492</x:v>
      </x:c>
      <x:c r="B494" t="inlineStr">
        <x:is>
          <x:t xml:space="preserve">ยาแก้ปวด, ลดไข้ (OTC)</x:t>
        </x:is>
      </x:c>
      <x:c r="C494" t="n">
        <x:v>3762</x:v>
      </x:c>
      <x:c r="D494" t="inlineStr">
        <x:is>
          <x:t xml:space="preserve">Tylenol 500 mg strip 10s</x:t>
        </x:is>
      </x:c>
      <x:c r="E494" t="inlineStr">
        <x:is>
          <x:t xml:space="preserve">แผง 10 เม็ด</x:t>
        </x:is>
      </x:c>
      <x:c r="F494" t="inlineStr">
        <x:is>
          <x:t xml:space="preserve">Paracetamol 500 mg.</x:t>
        </x:is>
      </x:c>
      <x:c r="G494" t="inlineStr">
        <x:is>
          <x:t xml:space="preserve">BDS003762</x:t>
        </x:is>
      </x:c>
      <x:c r="H494" t="inlineStr">
        <x:is>
          <x:t xml:space="preserve">Tylenol 500 mg strip 10s (10 tabs)</x:t>
        </x:is>
      </x:c>
      <x:c r="I494" t="inlineStr">
        <x:is>
          <x:t xml:space="preserve">รับประทานครั้งละ 1-2  เม็ด ทุก 4-6 ชั่วโมง</x:t>
        </x:is>
      </x:c>
      <x:c r="J494" t="inlineStr">
        <x:is>
          <x:t xml:space="preserve">Take 1-2 tablets every 4-6 hours</x:t>
        </x:is>
      </x:c>
      <x:c r="K494" t="n">
        <x:v>36</x:v>
      </x:c>
      <x:c r="L494" t="n">
        <x:v>3.6</x:v>
      </x:c>
      <x:c r="M494" t="inlineStr">
        <x:is>
          <x:t xml:space="preserve">USER</x:t>
        </x:is>
      </x:c>
      <x:c r="N494" t="inlineStr">
        <x:is>
          <x:t xml:space="preserve">2026-02-07</x:t>
        </x:is>
      </x:c>
      <x:c r="O494" t="inlineStr">
        <x:is>
          <x:t xml:space="preserve">User provided price (online). Unit price per tablet (10 tabs strip).</x:t>
        </x:is>
      </x:c>
      <x:c r="P494" t="inlineStr">
        <x:is>
          <x:t xml:space="preserve">General analgesics/antipyretics</x:t>
        </x:is>
      </x:c>
    </x:row>
    <x:row r="495">
      <x:c r="A495" t="n">
        <x:v>493</x:v>
      </x:c>
      <x:c r="B495" t="inlineStr">
        <x:is>
          <x:t xml:space="preserve">ยาขับลม (OTC)</x:t>
        </x:is>
      </x:c>
      <x:c r="C495" t="n">
        <x:v>1014</x:v>
      </x:c>
      <x:c r="D495" t="inlineStr">
        <x:is>
          <x:t xml:space="preserve">Air-X</x:t>
        </x:is>
      </x:c>
      <x:c r="E495" t="inlineStr">
        <x:is>
          <x:t xml:space="preserve">แผง 10 เม็ด</x:t>
        </x:is>
      </x:c>
      <x:c r="F495" t="inlineStr">
        <x:is>
          <x:t xml:space="preserve">Simethicone 80 mg.</x:t>
        </x:is>
      </x:c>
      <x:c r="G495" t="inlineStr">
        <x:is>
          <x:t xml:space="preserve">BDS001014</x:t>
        </x:is>
      </x:c>
      <x:c r="H495" t="inlineStr">
        <x:is>
          <x:t xml:space="preserve">Air-X (10 tabs)</x:t>
        </x:is>
      </x:c>
      <x:c r="I495" t="inlineStr">
        <x:is>
          <x:t xml:space="preserve">รับประทาน (เคี้ยว) ครั้งละ 1-2 เม็ด วันละ 3-4 ครั้ง หลังอาหาร</x:t>
        </x:is>
      </x:c>
      <x:c r="P495" t="inlineStr">
        <x:is>
          <x:t xml:space="preserve">Carminatives (gas relief)</x:t>
        </x:is>
      </x:c>
    </x:row>
    <x:row r="496">
      <x:c r="A496" t="n">
        <x:v>494</x:v>
      </x:c>
      <x:c r="B496" t="inlineStr">
        <x:is>
          <x:t xml:space="preserve">ยาขับลม (OTC)</x:t>
        </x:is>
      </x:c>
      <x:c r="C496" t="n">
        <x:v>1089</x:v>
      </x:c>
      <x:c r="D496" t="inlineStr">
        <x:is>
          <x:t xml:space="preserve">Air-X Lemon</x:t>
        </x:is>
      </x:c>
      <x:c r="E496" t="inlineStr">
        <x:is>
          <x:t xml:space="preserve">แผง 10 เม็ด</x:t>
        </x:is>
      </x:c>
      <x:c r="F496" t="inlineStr">
        <x:is>
          <x:t xml:space="preserve">Simethicone 80 mg.</x:t>
        </x:is>
      </x:c>
      <x:c r="G496" t="inlineStr">
        <x:is>
          <x:t xml:space="preserve">BDS001089</x:t>
        </x:is>
      </x:c>
      <x:c r="H496" t="inlineStr">
        <x:is>
          <x:t xml:space="preserve">Air-X Lemon (10 tabs)</x:t>
        </x:is>
      </x:c>
      <x:c r="I496" t="inlineStr">
        <x:is>
          <x:t xml:space="preserve">รับประทาน (เคี้ยว) ครั้งละ 1-2 เม็ด วันละ 3-4 ครั้ง</x:t>
        </x:is>
      </x:c>
      <x:c r="P496" t="inlineStr">
        <x:is>
          <x:t xml:space="preserve">Carminatives (gas relief)</x:t>
        </x:is>
      </x:c>
    </x:row>
    <x:row r="497">
      <x:c r="A497" t="n">
        <x:v>495</x:v>
      </x:c>
      <x:c r="B497" t="inlineStr">
        <x:is>
          <x:t xml:space="preserve">ยาขับลม (OTC)</x:t>
        </x:is>
      </x:c>
      <x:c r="C497" t="n">
        <x:v>1085</x:v>
      </x:c>
      <x:c r="D497" t="inlineStr">
        <x:is>
          <x:t xml:space="preserve">Air-X Orange</x:t>
        </x:is>
      </x:c>
      <x:c r="E497" t="inlineStr">
        <x:is>
          <x:t xml:space="preserve">แผง 10 เม็ด</x:t>
        </x:is>
      </x:c>
      <x:c r="F497" t="inlineStr">
        <x:is>
          <x:t xml:space="preserve">Simethicone 80 mg.</x:t>
        </x:is>
      </x:c>
      <x:c r="G497" t="inlineStr">
        <x:is>
          <x:t xml:space="preserve">BDS001085</x:t>
        </x:is>
      </x:c>
      <x:c r="H497" t="inlineStr">
        <x:is>
          <x:t xml:space="preserve">Air-X Orange (10 tabs)</x:t>
        </x:is>
      </x:c>
      <x:c r="I497" t="inlineStr">
        <x:is>
          <x:t xml:space="preserve">รับประทาน (เคี้ยว) ครั้งละ 2 เม็ด วันละ 3-4 ครั้ง</x:t>
        </x:is>
      </x:c>
      <x:c r="P497" t="inlineStr">
        <x:is>
          <x:t xml:space="preserve">Carminatives (gas relief)</x:t>
        </x:is>
      </x:c>
    </x:row>
    <x:row r="498">
      <x:c r="A498" t="n">
        <x:v>496</x:v>
      </x:c>
      <x:c r="B498" t="inlineStr">
        <x:is>
          <x:t xml:space="preserve">ยาขับลม (OTC)</x:t>
        </x:is>
      </x:c>
      <x:c r="C498" t="n">
        <x:v>1088</x:v>
      </x:c>
      <x:c r="D498" t="inlineStr">
        <x:is>
          <x:t xml:space="preserve">Air-X Sugar Free</x:t>
        </x:is>
      </x:c>
      <x:c r="E498" t="inlineStr">
        <x:is>
          <x:t xml:space="preserve">แผง 10 เม็ด</x:t>
        </x:is>
      </x:c>
      <x:c r="F498" t="inlineStr">
        <x:is>
          <x:t xml:space="preserve">Simethicone 40 mg.</x:t>
        </x:is>
      </x:c>
      <x:c r="G498" t="inlineStr">
        <x:is>
          <x:t xml:space="preserve">BDS001088</x:t>
        </x:is>
      </x:c>
      <x:c r="H498" t="inlineStr">
        <x:is>
          <x:t xml:space="preserve">Air-X Sugar Free (10 tabs)</x:t>
        </x:is>
      </x:c>
      <x:c r="I498" t="inlineStr">
        <x:is>
          <x:t xml:space="preserve">รับประทาน (เคี้ยว) ครั้งละ 1-2 เม็ด วันละ 3-4 ครั้ง หลังอาหาร</x:t>
        </x:is>
      </x:c>
      <x:c r="P498" t="inlineStr">
        <x:is>
          <x:t xml:space="preserve">Carminatives (gas relief)</x:t>
        </x:is>
      </x:c>
    </x:row>
    <x:row r="499">
      <x:c r="A499" t="n">
        <x:v>497</x:v>
      </x:c>
      <x:c r="B499" t="inlineStr">
        <x:is>
          <x:t xml:space="preserve">ยาขับลม (OTC)</x:t>
        </x:is>
      </x:c>
      <x:c r="C499" t="n">
        <x:v>1641</x:v>
      </x:c>
      <x:c r="D499" t="inlineStr">
        <x:is>
          <x:t xml:space="preserve">Dioxzye</x:t>
        </x:is>
      </x:c>
      <x:c r="E499" t="inlineStr">
        <x:is>
          <x:t xml:space="preserve">แผง 10 เม็ด</x:t>
        </x:is>
      </x:c>
      <x:c r="F499" t="inlineStr">
        <x:is>
          <x:t xml:space="preserve">Simethicone 80 mg.</x:t>
        </x:is>
      </x:c>
      <x:c r="G499" t="inlineStr">
        <x:is>
          <x:t xml:space="preserve">BDS001641</x:t>
        </x:is>
      </x:c>
      <x:c r="H499" t="inlineStr">
        <x:is>
          <x:t xml:space="preserve">Dioxzye (10 tabs)</x:t>
        </x:is>
      </x:c>
      <x:c r="I499" t="inlineStr">
        <x:is>
          <x:t xml:space="preserve">รับประทาน (เคี้ยว) ครั้งละ 2 เม็ด วันละ3-4 ครั้ง หลังอาหาร</x:t>
        </x:is>
      </x:c>
      <x:c r="P499" t="inlineStr">
        <x:is>
          <x:t xml:space="preserve">Carminatives (gas relief)</x:t>
        </x:is>
      </x:c>
    </x:row>
    <x:row r="500">
      <x:c r="A500" t="n">
        <x:v>498</x:v>
      </x:c>
      <x:c r="B500" t="inlineStr">
        <x:is>
          <x:t xml:space="preserve">ยาทั่วไปอื่นๆ (D)</x:t>
        </x:is>
      </x:c>
      <x:c r="C500" t="n">
        <x:v>40030</x:v>
      </x:c>
      <x:c r="D500" t="inlineStr">
        <x:is>
          <x:t xml:space="preserve">Amitriptyline 10 mg</x:t>
        </x:is>
      </x:c>
      <x:c r="E500" t="inlineStr">
        <x:is>
          <x:t xml:space="preserve">แผง 10 เม็ด</x:t>
        </x:is>
      </x:c>
      <x:c r="F500" t="inlineStr">
        <x:is>
          <x:t xml:space="preserve">Amitriptyline Hydrochloride 10 mg.</x:t>
        </x:is>
      </x:c>
      <x:c r="G500" t="inlineStr">
        <x:is>
          <x:t xml:space="preserve">BDS040030</x:t>
        </x:is>
      </x:c>
      <x:c r="H500" t="inlineStr">
        <x:is>
          <x:t xml:space="preserve">Amitriptyline 10 mg (10 tabs)</x:t>
        </x:is>
      </x:c>
      <x:c r="I500" t="inlineStr">
        <x:is>
          <x:t xml:space="preserve">รับประทานครั้ง 1 เม็ด วันละ 1 ครั้ง ก่อนนอน หรือตามแพทย์สั่ง</x:t>
        </x:is>
      </x:c>
    </x:row>
    <x:row r="501">
      <x:c r="A501" t="n">
        <x:v>499</x:v>
      </x:c>
      <x:c r="B501" t="inlineStr">
        <x:is>
          <x:t xml:space="preserve">ยาทั่วไปอื่นๆ (D)</x:t>
        </x:is>
      </x:c>
      <x:c r="C501" t="n">
        <x:v>4039</x:v>
      </x:c>
      <x:c r="D501" t="inlineStr">
        <x:is>
          <x:t xml:space="preserve">Rowatinex</x:t>
        </x:is>
      </x:c>
      <x:c r="E501" t="inlineStr">
        <x:is>
          <x:t xml:space="preserve">แผง 10 แคปซูล</x:t>
        </x:is>
      </x:c>
      <x:c r="F501" t="inlineStr">
        <x:is>
          <x:t xml:space="preserve">Pinene (Alpha+Beta) 31 mg.+Camphene 15 mg.+Cineol 3 mg.+Fenchone 4 mg.+Borneol 10 mg.+Anethol 4 mg.+Olive Oil 33 mg.</x:t>
        </x:is>
      </x:c>
      <x:c r="G501" t="inlineStr">
        <x:is>
          <x:t xml:space="preserve">BDS004039</x:t>
        </x:is>
      </x:c>
      <x:c r="H501" t="inlineStr">
        <x:is>
          <x:t xml:space="preserve">Rowatinex (10 cap)</x:t>
        </x:is>
      </x:c>
      <x:c r="I501" t="inlineStr">
        <x:is>
          <x:t xml:space="preserve">รับประทานครั้งละ 1-2 แคปซูล วันละ 3 ครั้ง ก่อนอาหาร หรือตามแพทย์สั่ง</x:t>
        </x:is>
      </x:c>
    </x:row>
    <x:row r="502">
      <x:c r="A502" t="n">
        <x:v>500</x:v>
      </x:c>
      <x:c r="B502" t="inlineStr">
        <x:is>
          <x:t xml:space="preserve">ยาทั่วไปอื่นๆ (D)</x:t>
        </x:is>
      </x:c>
      <x:c r="C502" t="n">
        <x:v>7960</x:v>
      </x:c>
      <x:c r="D502" t="inlineStr">
        <x:is>
          <x:t xml:space="preserve">Tranxic</x:t>
        </x:is>
      </x:c>
      <x:c r="E502" t="inlineStr">
        <x:is>
          <x:t xml:space="preserve">แผง 10 แคปซูล</x:t>
        </x:is>
      </x:c>
      <x:c r="F502" t="inlineStr">
        <x:is>
          <x:t xml:space="preserve">Tranexamic Acid 250 mg.</x:t>
        </x:is>
      </x:c>
      <x:c r="G502" t="inlineStr">
        <x:is>
          <x:t xml:space="preserve">BDS007960</x:t>
        </x:is>
      </x:c>
      <x:c r="H502" t="inlineStr">
        <x:is>
          <x:t xml:space="preserve">Tranxic (10 cap)</x:t>
        </x:is>
      </x:c>
      <x:c r="I502" t="inlineStr">
        <x:is>
          <x:t xml:space="preserve">N/A</x:t>
        </x:is>
      </x:c>
    </x:row>
    <x:row r="503">
      <x:c r="A503" t="n">
        <x:v>501</x:v>
      </x:c>
      <x:c r="B503" t="inlineStr">
        <x:is>
          <x:t xml:space="preserve">ยาลดความดันโลหิต (D)</x:t>
        </x:is>
      </x:c>
      <x:c r="C503" t="n">
        <x:v>6069</x:v>
      </x:c>
      <x:c r="D503" t="inlineStr">
        <x:is>
          <x:t xml:space="preserve">Ambes 10 mg (GPO)</x:t>
        </x:is>
      </x:c>
      <x:c r="E503" t="inlineStr">
        <x:is>
          <x:t xml:space="preserve">แผง 10 เม็ด</x:t>
        </x:is>
      </x:c>
      <x:c r="F503" t="inlineStr">
        <x:is>
          <x:t xml:space="preserve">Amlodipine besylate 10 mg.</x:t>
        </x:is>
      </x:c>
      <x:c r="G503" t="inlineStr">
        <x:is>
          <x:t xml:space="preserve">BDS006069</x:t>
        </x:is>
      </x:c>
      <x:c r="H503" t="inlineStr">
        <x:is>
          <x:t xml:space="preserve">Ambes 10 mg (GPO) (10 tabs)</x:t>
        </x:is>
      </x:c>
      <x:c r="I503" t="inlineStr">
        <x:is>
          <x:t xml:space="preserve">รับประทานครั้งละ 1 เม็ด วันละ 1 ครั้ง หรือตามแพทย์สั่ง</x:t>
        </x:is>
      </x:c>
    </x:row>
    <x:row r="504">
      <x:c r="A504" t="n">
        <x:v>502</x:v>
      </x:c>
      <x:c r="B504" t="inlineStr">
        <x:is>
          <x:t xml:space="preserve">ยาลดความดันโลหิต (D)</x:t>
        </x:is>
      </x:c>
      <x:c r="C504" t="n">
        <x:v>6070</x:v>
      </x:c>
      <x:c r="D504" t="inlineStr">
        <x:is>
          <x:t xml:space="preserve">Ambes 5 mg (GPO)</x:t>
        </x:is>
      </x:c>
      <x:c r="E504" t="inlineStr">
        <x:is>
          <x:t xml:space="preserve">แผง 10 เม็ด</x:t>
        </x:is>
      </x:c>
      <x:c r="F504" t="inlineStr">
        <x:is>
          <x:t xml:space="preserve">Amlodipine besylate 5 mg.</x:t>
        </x:is>
      </x:c>
      <x:c r="G504" t="inlineStr">
        <x:is>
          <x:t xml:space="preserve">BDS006070</x:t>
        </x:is>
      </x:c>
      <x:c r="H504" t="inlineStr">
        <x:is>
          <x:t xml:space="preserve">Ambes 5 mg (GPO) (10 tabs)</x:t>
        </x:is>
      </x:c>
      <x:c r="I504" t="inlineStr">
        <x:is>
          <x:t xml:space="preserve">รับประทานครั้งละ 1 เม็ด วันละ 1 ครั้ง หรือตามแพทย์สั่ง</x:t>
        </x:is>
      </x:c>
    </x:row>
    <x:row r="505">
      <x:c r="A505" t="n">
        <x:v>503</x:v>
      </x:c>
      <x:c r="B505" t="inlineStr">
        <x:is>
          <x:t xml:space="preserve">ยาลดความดันโลหิต (D)</x:t>
        </x:is>
      </x:c>
      <x:c r="C505" t="n">
        <x:v>40008</x:v>
      </x:c>
      <x:c r="D505" t="inlineStr">
        <x:is>
          <x:t xml:space="preserve">Amlodac 10</x:t>
        </x:is>
      </x:c>
      <x:c r="E505" t="inlineStr">
        <x:is>
          <x:t xml:space="preserve">แผง 10 เม็ด</x:t>
        </x:is>
      </x:c>
      <x:c r="F505" t="inlineStr">
        <x:is>
          <x:t xml:space="preserve">Amlodipine besilate 10 mg. (eq. to Amlodipine 10 mg.)</x:t>
        </x:is>
      </x:c>
      <x:c r="G505" t="inlineStr">
        <x:is>
          <x:t xml:space="preserve">BDS040008</x:t>
        </x:is>
      </x:c>
      <x:c r="H505" t="inlineStr">
        <x:is>
          <x:t xml:space="preserve">Amlodac 10 (10 tabs)</x:t>
        </x:is>
      </x:c>
      <x:c r="I505" t="inlineStr">
        <x:is>
          <x:t xml:space="preserve">รับประทานครั้งละ 1 เม็ด วันละ 1 ครั้ง หรือตามแพทย์สั่ง</x:t>
        </x:is>
      </x:c>
    </x:row>
    <x:row r="506">
      <x:c r="A506" t="n">
        <x:v>504</x:v>
      </x:c>
      <x:c r="B506" t="inlineStr">
        <x:is>
          <x:t xml:space="preserve">ยาลดความดันโลหิต (D)</x:t>
        </x:is>
      </x:c>
      <x:c r="C506" t="n">
        <x:v>40007</x:v>
      </x:c>
      <x:c r="D506" t="inlineStr">
        <x:is>
          <x:t xml:space="preserve">Amlodac 5</x:t>
        </x:is>
      </x:c>
      <x:c r="E506" t="inlineStr">
        <x:is>
          <x:t xml:space="preserve">แผง 10 เม็ด</x:t>
        </x:is>
      </x:c>
      <x:c r="F506" t="inlineStr">
        <x:is>
          <x:t xml:space="preserve">Amlodipine besilate 5 mg. (eq. to Amlodipine 5 mg.)</x:t>
        </x:is>
      </x:c>
      <x:c r="G506" t="inlineStr">
        <x:is>
          <x:t xml:space="preserve">BDS040007</x:t>
        </x:is>
      </x:c>
      <x:c r="H506" t="inlineStr">
        <x:is>
          <x:t xml:space="preserve">Amlodac 5 (10 tabs)</x:t>
        </x:is>
      </x:c>
      <x:c r="I506" t="inlineStr">
        <x:is>
          <x:t xml:space="preserve">รับประทานครั้งละ 1 เม็ด วันละ 1 ครั้ง หรือตามแพทย์สั่ง</x:t>
        </x:is>
      </x:c>
    </x:row>
    <x:row r="507">
      <x:c r="A507" t="n">
        <x:v>505</x:v>
      </x:c>
      <x:c r="B507" t="inlineStr">
        <x:is>
          <x:t xml:space="preserve">ยาลดความดันโลหิต (D)</x:t>
        </x:is>
      </x:c>
      <x:c r="C507" t="n">
        <x:v>1106</x:v>
      </x:c>
      <x:c r="D507" t="inlineStr">
        <x:is>
          <x:t xml:space="preserve">Amlopine 10 mg</x:t>
        </x:is>
      </x:c>
      <x:c r="E507" t="inlineStr">
        <x:is>
          <x:t xml:space="preserve">แผง 10 เม็ด</x:t>
        </x:is>
      </x:c>
      <x:c r="F507" t="inlineStr">
        <x:is>
          <x:t xml:space="preserve">Amlodipine besylate 10 mg.</x:t>
        </x:is>
      </x:c>
      <x:c r="G507" t="inlineStr">
        <x:is>
          <x:t xml:space="preserve">BDS001106</x:t>
        </x:is>
      </x:c>
      <x:c r="H507" t="inlineStr">
        <x:is>
          <x:t xml:space="preserve">Amlopine 10 mg (10 tabs)</x:t>
        </x:is>
      </x:c>
      <x:c r="I507" t="inlineStr">
        <x:is>
          <x:t xml:space="preserve">รับประทานครั้งละ 1 เม็ด วันละ 1 ครั้ง หรือตามแพทย์สั่ง</x:t>
        </x:is>
      </x:c>
    </x:row>
    <x:row r="508">
      <x:c r="A508" t="n">
        <x:v>506</x:v>
      </x:c>
      <x:c r="B508" t="inlineStr">
        <x:is>
          <x:t xml:space="preserve">ยาลดความดันโลหิต (D)</x:t>
        </x:is>
      </x:c>
      <x:c r="C508" t="n">
        <x:v>1096</x:v>
      </x:c>
      <x:c r="D508" t="inlineStr">
        <x:is>
          <x:t xml:space="preserve">Amlopine 5 mg</x:t>
        </x:is>
      </x:c>
      <x:c r="E508" t="inlineStr">
        <x:is>
          <x:t xml:space="preserve">แผง 10 เม็ด</x:t>
        </x:is>
      </x:c>
      <x:c r="F508" t="inlineStr">
        <x:is>
          <x:t xml:space="preserve">Amlodipine besylate 5 mg.</x:t>
        </x:is>
      </x:c>
      <x:c r="G508" t="inlineStr">
        <x:is>
          <x:t xml:space="preserve">BDS001096</x:t>
        </x:is>
      </x:c>
      <x:c r="H508" t="inlineStr">
        <x:is>
          <x:t xml:space="preserve">Amlopine 5 mg (10 tabs)</x:t>
        </x:is>
      </x:c>
      <x:c r="I508" t="inlineStr">
        <x:is>
          <x:t xml:space="preserve">รับประทานครั้งละ 1 เม็ด วันละ 1 ครั้ง หรือตามแพทย์สั่ง</x:t>
        </x:is>
      </x:c>
    </x:row>
    <x:row r="509">
      <x:c r="A509" t="n">
        <x:v>507</x:v>
      </x:c>
      <x:c r="B509" t="inlineStr">
        <x:is>
          <x:t xml:space="preserve">ยาลดความดันโลหิต (D)</x:t>
        </x:is>
      </x:c>
      <x:c r="C509" t="n">
        <x:v>1114</x:v>
      </x:c>
      <x:c r="D509" t="inlineStr">
        <x:is>
          <x:t xml:space="preserve">Anapril 20 mg</x:t>
        </x:is>
      </x:c>
      <x:c r="E509" t="inlineStr">
        <x:is>
          <x:t xml:space="preserve">แผง 10 เม็ด</x:t>
        </x:is>
      </x:c>
      <x:c r="F509" t="inlineStr">
        <x:is>
          <x:t xml:space="preserve">Enalapril Maleate 20 mg.</x:t>
        </x:is>
      </x:c>
      <x:c r="G509" t="inlineStr">
        <x:is>
          <x:t xml:space="preserve">BDS001114</x:t>
        </x:is>
      </x:c>
      <x:c r="H509" t="inlineStr">
        <x:is>
          <x:t xml:space="preserve">Anapril 20 mg (10 tabs)</x:t>
        </x:is>
      </x:c>
      <x:c r="I509" t="inlineStr">
        <x:is>
          <x:t xml:space="preserve">รับประทานครั้งละ 1 เม็ด วันละ 1-2 ครั้ง หรือตามแพทย์สั่ง</x:t>
        </x:is>
      </x:c>
    </x:row>
    <x:row r="510">
      <x:c r="A510" t="n">
        <x:v>508</x:v>
      </x:c>
      <x:c r="B510" t="inlineStr">
        <x:is>
          <x:t xml:space="preserve">ยาลดความดันโลหิต (D)</x:t>
        </x:is>
      </x:c>
      <x:c r="C510" t="n">
        <x:v>1113</x:v>
      </x:c>
      <x:c r="D510" t="inlineStr">
        <x:is>
          <x:t xml:space="preserve">Anapril 5 mg</x:t>
        </x:is>
      </x:c>
      <x:c r="E510" t="inlineStr">
        <x:is>
          <x:t xml:space="preserve">แผง 10 เม็ด</x:t>
        </x:is>
      </x:c>
      <x:c r="F510" t="inlineStr">
        <x:is>
          <x:t xml:space="preserve">Enalapril Maleate 5 mg.</x:t>
        </x:is>
      </x:c>
      <x:c r="G510" t="inlineStr">
        <x:is>
          <x:t xml:space="preserve">BDS001113</x:t>
        </x:is>
      </x:c>
      <x:c r="H510" t="inlineStr">
        <x:is>
          <x:t xml:space="preserve">Anapril 5 mg (10 tabs)</x:t>
        </x:is>
      </x:c>
      <x:c r="I510" t="inlineStr">
        <x:is>
          <x:t xml:space="preserve">รับประทานครั้งละ 1-2 เม็ด วันละ 1 ครั้ง หรือตามแพทย์สั่ง</x:t>
        </x:is>
      </x:c>
    </x:row>
    <x:row r="511">
      <x:c r="A511" t="n">
        <x:v>509</x:v>
      </x:c>
      <x:c r="B511" t="inlineStr">
        <x:is>
          <x:t xml:space="preserve">ยาลดความดันโลหิต (D)</x:t>
        </x:is>
      </x:c>
      <x:c r="C511" t="n">
        <x:v>7484</x:v>
      </x:c>
      <x:c r="D511" t="inlineStr">
        <x:is>
          <x:t xml:space="preserve">Annalol-10</x:t>
        </x:is>
      </x:c>
      <x:c r="E511" t="inlineStr">
        <x:is>
          <x:t xml:space="preserve">แผง 10 เม็ด</x:t>
        </x:is>
      </x:c>
      <x:c r="F511" t="inlineStr">
        <x:is>
          <x:t xml:space="preserve">Propranolol HCl 10 mg.</x:t>
        </x:is>
      </x:c>
      <x:c r="G511" t="inlineStr">
        <x:is>
          <x:t xml:space="preserve">BDS007484</x:t>
        </x:is>
      </x:c>
      <x:c r="H511" t="inlineStr">
        <x:is>
          <x:t xml:space="preserve">Annalol-10 (10 tabs)</x:t>
        </x:is>
      </x:c>
      <x:c r="I511" t="inlineStr">
        <x:is>
          <x:t xml:space="preserve">รับประทานครั้งละ 1 เม็ด วันละ 2 ครั้ง</x:t>
        </x:is>
      </x:c>
    </x:row>
    <x:row r="512">
      <x:c r="A512" t="n">
        <x:v>510</x:v>
      </x:c>
      <x:c r="B512" t="inlineStr">
        <x:is>
          <x:t xml:space="preserve">ยาลดความดันโลหิต (D)</x:t>
        </x:is>
      </x:c>
      <x:c r="C512" t="n">
        <x:v>1237</x:v>
      </x:c>
      <x:c r="D512" t="inlineStr">
        <x:is>
          <x:t xml:space="preserve">Betalol 10 mg</x:t>
        </x:is>
      </x:c>
      <x:c r="E512" t="inlineStr">
        <x:is>
          <x:t xml:space="preserve">แผง 10 เม็ด</x:t>
        </x:is>
      </x:c>
      <x:c r="F512" t="inlineStr">
        <x:is>
          <x:t xml:space="preserve">Propranolol 10 mg.</x:t>
        </x:is>
      </x:c>
      <x:c r="G512" t="inlineStr">
        <x:is>
          <x:t xml:space="preserve">BDS001237</x:t>
        </x:is>
      </x:c>
      <x:c r="H512" t="inlineStr">
        <x:is>
          <x:t xml:space="preserve">Betalol 10 mg (10 tabs)</x:t>
        </x:is>
      </x:c>
      <x:c r="I512" t="inlineStr">
        <x:is>
          <x:t xml:space="preserve">รับประทานตามแพทย์สั่ง </x:t>
        </x:is>
      </x:c>
    </x:row>
    <x:row r="513">
      <x:c r="A513" t="n">
        <x:v>511</x:v>
      </x:c>
      <x:c r="B513" t="inlineStr">
        <x:is>
          <x:t xml:space="preserve">ยาลดความดันโลหิต (D)</x:t>
        </x:is>
      </x:c>
      <x:c r="C513" t="n">
        <x:v>1281</x:v>
      </x:c>
      <x:c r="D513" t="inlineStr">
        <x:is>
          <x:t xml:space="preserve">Betalol 40 mg</x:t>
        </x:is>
      </x:c>
      <x:c r="E513" t="inlineStr">
        <x:is>
          <x:t xml:space="preserve">แผง 10 เม็ด</x:t>
        </x:is>
      </x:c>
      <x:c r="F513" t="inlineStr">
        <x:is>
          <x:t xml:space="preserve">Propranolol HCl 40 mg.</x:t>
        </x:is>
      </x:c>
      <x:c r="G513" t="inlineStr">
        <x:is>
          <x:t xml:space="preserve">BDS001281</x:t>
        </x:is>
      </x:c>
      <x:c r="H513" t="inlineStr">
        <x:is>
          <x:t xml:space="preserve">Betalol 40 mg (10 tabs)</x:t>
        </x:is>
      </x:c>
      <x:c r="I513" t="inlineStr">
        <x:is>
          <x:t xml:space="preserve">รับประทานตามแพทย์สั่ง </x:t>
        </x:is>
      </x:c>
    </x:row>
    <x:row r="514">
      <x:c r="A514" t="n">
        <x:v>512</x:v>
      </x:c>
      <x:c r="B514" t="inlineStr">
        <x:is>
          <x:t xml:space="preserve">ยาลดความดันโลหิต (D)</x:t>
        </x:is>
      </x:c>
      <x:c r="C514" t="n">
        <x:v>40634</x:v>
      </x:c>
      <x:c r="D514" t="inlineStr">
        <x:is>
          <x:t xml:space="preserve">Blopress 16 mg</x:t>
        </x:is>
      </x:c>
      <x:c r="E514" t="inlineStr">
        <x:is>
          <x:t xml:space="preserve">กล่อง 28 เม็ด</x:t>
        </x:is>
      </x:c>
      <x:c r="F514" t="inlineStr">
        <x:is>
          <x:t xml:space="preserve">Candesartan Cilexetil 16 mg.</x:t>
        </x:is>
      </x:c>
      <x:c r="G514" t="inlineStr">
        <x:is>
          <x:t xml:space="preserve">BDS040634</x:t>
        </x:is>
      </x:c>
      <x:c r="H514" t="inlineStr">
        <x:is>
          <x:t xml:space="preserve">Blopress 16 mg (28 tabs)</x:t>
        </x:is>
      </x:c>
      <x:c r="I514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15">
      <x:c r="A515" t="n">
        <x:v>513</x:v>
      </x:c>
      <x:c r="B515" t="inlineStr">
        <x:is>
          <x:t xml:space="preserve">ยาลดความดันโลหิต (D)</x:t>
        </x:is>
      </x:c>
      <x:c r="C515" t="n">
        <x:v>1275</x:v>
      </x:c>
      <x:c r="D515" t="inlineStr">
        <x:is>
          <x:t xml:space="preserve">Blopress 8 mg</x:t>
        </x:is>
      </x:c>
      <x:c r="E515" t="inlineStr">
        <x:is>
          <x:t xml:space="preserve">แผง 7 เม็ด</x:t>
        </x:is>
      </x:c>
      <x:c r="F515" t="inlineStr">
        <x:is>
          <x:t xml:space="preserve">Candesartan cilexetil 8 mg.</x:t>
        </x:is>
      </x:c>
      <x:c r="G515" t="inlineStr">
        <x:is>
          <x:t xml:space="preserve">BDS001275</x:t>
        </x:is>
      </x:c>
      <x:c r="H515" t="inlineStr">
        <x:is>
          <x:t xml:space="preserve">Blopress 8 mg (7 tabs)</x:t>
        </x:is>
      </x:c>
      <x:c r="I515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16">
      <x:c r="A516" t="n">
        <x:v>514</x:v>
      </x:c>
      <x:c r="B516" t="inlineStr">
        <x:is>
          <x:t xml:space="preserve">ยาลดความดันโลหิต (D)</x:t>
        </x:is>
      </x:c>
      <x:c r="C516" t="n">
        <x:v>41442</x:v>
      </x:c>
      <x:c r="D516" t="inlineStr">
        <x:is>
          <x:t xml:space="preserve">Caraten 6.25 </x:t>
        </x:is>
      </x:c>
      <x:c r="E516" t="inlineStr">
        <x:is>
          <x:t xml:space="preserve">แผง 10 เม็ด</x:t>
        </x:is>
      </x:c>
      <x:c r="F516" t="inlineStr">
        <x:is>
          <x:t xml:space="preserve">Carvedilol 6.25 mg.</x:t>
        </x:is>
      </x:c>
      <x:c r="G516" t="inlineStr">
        <x:is>
          <x:t xml:space="preserve">BDS041442</x:t>
        </x:is>
      </x:c>
      <x:c r="H516" t="inlineStr">
        <x:is>
          <x:t xml:space="preserve">Caraten 6.25  (10 tabs)</x:t>
        </x:is>
      </x:c>
      <x:c r="I516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17">
      <x:c r="A517" t="n">
        <x:v>515</x:v>
      </x:c>
      <x:c r="B517" t="inlineStr">
        <x:is>
          <x:t xml:space="preserve">ยาลดความดันโลหิต (D)</x:t>
        </x:is>
      </x:c>
      <x:c r="C517" t="n">
        <x:v>1415</x:v>
      </x:c>
      <x:c r="D517" t="inlineStr">
        <x:is>
          <x:t xml:space="preserve">Cardeloc</x:t>
        </x:is>
      </x:c>
      <x:c r="E517" t="inlineStr">
        <x:is>
          <x:t xml:space="preserve">แผง 10 เม็ด</x:t>
        </x:is>
      </x:c>
      <x:c r="F517" t="inlineStr">
        <x:is>
          <x:t xml:space="preserve">Metoprolol Tartrate 100 mg.</x:t>
        </x:is>
      </x:c>
      <x:c r="G517" t="inlineStr">
        <x:is>
          <x:t xml:space="preserve">BDS001415</x:t>
        </x:is>
      </x:c>
      <x:c r="H517" t="inlineStr">
        <x:is>
          <x:t xml:space="preserve">Cardeloc (10 tabs)</x:t>
        </x:is>
      </x:c>
      <x:c r="I517" t="inlineStr">
        <x:is>
          <x:t xml:space="preserve">รับประทานตามแพทย์สั่ง </x:t>
        </x:is>
      </x:c>
    </x:row>
    <x:row r="518">
      <x:c r="A518" t="n">
        <x:v>516</x:v>
      </x:c>
      <x:c r="B518" t="inlineStr">
        <x:is>
          <x:t xml:space="preserve">ยาลดความดันโลหิต (D)</x:t>
        </x:is>
      </x:c>
      <x:c r="C518" t="n">
        <x:v>6702</x:v>
      </x:c>
      <x:c r="D518" t="inlineStr">
        <x:is>
          <x:t xml:space="preserve">Catenol 50 mg</x:t>
        </x:is>
      </x:c>
      <x:c r="E518" t="inlineStr">
        <x:is>
          <x:t xml:space="preserve">แผง 10 เม็ด</x:t>
        </x:is>
      </x:c>
      <x:c r="F518" t="inlineStr">
        <x:is>
          <x:t xml:space="preserve">Atenolol 50 mg.</x:t>
        </x:is>
      </x:c>
      <x:c r="G518" t="inlineStr">
        <x:is>
          <x:t xml:space="preserve">BDS006702</x:t>
        </x:is>
      </x:c>
      <x:c r="H518" t="inlineStr">
        <x:is>
          <x:t xml:space="preserve">Catenol 50 mg (10 tabs)</x:t>
        </x:is>
      </x:c>
      <x:c r="I518" t="inlineStr">
        <x:is>
          <x:t xml:space="preserve">รับประทานตามแพทย์สั่ง </x:t>
        </x:is>
      </x:c>
    </x:row>
    <x:row r="519">
      <x:c r="A519" t="n">
        <x:v>517</x:v>
      </x:c>
      <x:c r="B519" t="inlineStr">
        <x:is>
          <x:t xml:space="preserve">ยาลดความดันโลหิต (D)</x:t>
        </x:is>
      </x:c>
      <x:c r="C519" t="n">
        <x:v>1443</x:v>
      </x:c>
      <x:c r="D519" t="inlineStr">
        <x:is>
          <x:t xml:space="preserve">Cesoline W</x:t>
        </x:is>
      </x:c>
      <x:c r="E519" t="inlineStr">
        <x:is>
          <x:t xml:space="preserve">แผง 10 เม็ด</x:t>
        </x:is>
      </x:c>
      <x:c r="F519" t="inlineStr">
        <x:is>
          <x:t xml:space="preserve">Hydralazine HCl 25 mg.</x:t>
        </x:is>
      </x:c>
      <x:c r="G519" t="inlineStr">
        <x:is>
          <x:t xml:space="preserve">BDS001443</x:t>
        </x:is>
      </x:c>
      <x:c r="H519" t="inlineStr">
        <x:is>
          <x:t xml:space="preserve">Cesoline W (10 tabs)</x:t>
        </x:is>
      </x:c>
      <x:c r="I519" t="inlineStr">
        <x:is>
          <x:t xml:space="preserve">รับประทานครั้งละ 1 เม็ด วันละ 2 ครั้ง หรือตามแพทย์สั่ง</x:t>
        </x:is>
      </x:c>
    </x:row>
    <x:row r="520">
      <x:c r="A520" t="n">
        <x:v>518</x:v>
      </x:c>
      <x:c r="B520" t="inlineStr">
        <x:is>
          <x:t xml:space="preserve">ยาลดความดันโลหิต (D)</x:t>
        </x:is>
      </x:c>
      <x:c r="C520" t="n">
        <x:v>1453</x:v>
      </x:c>
      <x:c r="D520" t="inlineStr">
        <x:is>
          <x:t xml:space="preserve">Concor 2.5 mg</x:t>
        </x:is>
      </x:c>
      <x:c r="E520" t="inlineStr">
        <x:is>
          <x:t xml:space="preserve">แผง 10 เม็ด</x:t>
        </x:is>
      </x:c>
      <x:c r="F520" t="inlineStr">
        <x:is>
          <x:t xml:space="preserve">Bisoprolol fumarate 2.5 mg.</x:t>
        </x:is>
      </x:c>
      <x:c r="G520" t="inlineStr">
        <x:is>
          <x:t xml:space="preserve">BDS001453</x:t>
        </x:is>
      </x:c>
      <x:c r="H520" t="inlineStr">
        <x:is>
          <x:t xml:space="preserve">Concor 2.5 mg (10 tabs)</x:t>
        </x:is>
      </x:c>
      <x:c r="I520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1">
      <x:c r="A521" t="n">
        <x:v>519</x:v>
      </x:c>
      <x:c r="B521" t="inlineStr">
        <x:is>
          <x:t xml:space="preserve">ยาลดความดันโลหิต (D)</x:t>
        </x:is>
      </x:c>
      <x:c r="C521" t="n">
        <x:v>1454</x:v>
      </x:c>
      <x:c r="D521" t="inlineStr">
        <x:is>
          <x:t xml:space="preserve">Concor 5 mg</x:t>
        </x:is>
      </x:c>
      <x:c r="E521" t="inlineStr">
        <x:is>
          <x:t xml:space="preserve">แผง 10 เม็ด</x:t>
        </x:is>
      </x:c>
      <x:c r="F521" t="inlineStr">
        <x:is>
          <x:t xml:space="preserve">Bisoprolol fumarate 5 mg.</x:t>
        </x:is>
      </x:c>
      <x:c r="G521" t="inlineStr">
        <x:is>
          <x:t xml:space="preserve">BDS001454</x:t>
        </x:is>
      </x:c>
      <x:c r="H521" t="inlineStr">
        <x:is>
          <x:t xml:space="preserve">Concor 5 mg (10 tabs)</x:t>
        </x:is>
      </x:c>
      <x:c r="I521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2">
      <x:c r="A522" t="n">
        <x:v>520</x:v>
      </x:c>
      <x:c r="B522" t="inlineStr">
        <x:is>
          <x:t xml:space="preserve">ยาลดความดันโลหิต (D)</x:t>
        </x:is>
      </x:c>
      <x:c r="C522" t="n">
        <x:v>42320</x:v>
      </x:c>
      <x:c r="D522" t="inlineStr">
        <x:is>
          <x:t xml:space="preserve">Diovan 160 mg</x:t>
        </x:is>
      </x:c>
      <x:c r="E522" t="inlineStr">
        <x:is>
          <x:t xml:space="preserve">กล่อง 28 เม็ด</x:t>
        </x:is>
      </x:c>
      <x:c r="F522" t="inlineStr">
        <x:is>
          <x:t xml:space="preserve">Valsartan 160 mg.</x:t>
        </x:is>
      </x:c>
      <x:c r="G522" t="inlineStr">
        <x:is>
          <x:t xml:space="preserve">BDS042320</x:t>
        </x:is>
      </x:c>
      <x:c r="H522" t="inlineStr">
        <x:is>
          <x:t xml:space="preserve">Diovan 160 mg (28 tabs)</x:t>
        </x:is>
      </x:c>
      <x:c r="I522" t="inlineStr">
        <x:is>
          <x:t xml:space="preserve">รับประทานครั้งละ 1 เม็ด วันละ 1 ครั้ง หรือตามแพทย์สั่ง</x:t>
        </x:is>
      </x:c>
    </x:row>
    <x:row r="523">
      <x:c r="A523" t="n">
        <x:v>521</x:v>
      </x:c>
      <x:c r="B523" t="inlineStr">
        <x:is>
          <x:t xml:space="preserve">ยาลดความดันโลหิต (D)</x:t>
        </x:is>
      </x:c>
      <x:c r="C523" t="n">
        <x:v>42319</x:v>
      </x:c>
      <x:c r="D523" t="inlineStr">
        <x:is>
          <x:t xml:space="preserve">Diovan 80 mg</x:t>
        </x:is>
      </x:c>
      <x:c r="E523" t="inlineStr">
        <x:is>
          <x:t xml:space="preserve">กล่อง 28 เม็ด</x:t>
        </x:is>
      </x:c>
      <x:c r="F523" t="inlineStr">
        <x:is>
          <x:t xml:space="preserve">Valsartan 80 mg.</x:t>
        </x:is>
      </x:c>
      <x:c r="G523" t="inlineStr">
        <x:is>
          <x:t xml:space="preserve">BDS042319</x:t>
        </x:is>
      </x:c>
      <x:c r="H523" t="inlineStr">
        <x:is>
          <x:t xml:space="preserve">Diovan 80 mg (28 tabs)</x:t>
        </x:is>
      </x:c>
      <x:c r="I523" t="inlineStr">
        <x:is>
          <x:t xml:space="preserve">รับประทานครั้งละ 1 เม็ด วันละ 1 ครั้ง หรือตามแพทย์สั่ง</x:t>
        </x:is>
      </x:c>
    </x:row>
    <x:row r="524">
      <x:c r="A524" t="n">
        <x:v>522</x:v>
      </x:c>
      <x:c r="B524" t="inlineStr">
        <x:is>
          <x:t xml:space="preserve">ยาลดความดันโลหิต (D)</x:t>
        </x:is>
      </x:c>
      <x:c r="C524" t="n">
        <x:v>1845</x:v>
      </x:c>
      <x:c r="D524" t="inlineStr">
        <x:is>
          <x:t xml:space="preserve">Enaril 20 mg</x:t>
        </x:is>
      </x:c>
      <x:c r="E524" t="inlineStr">
        <x:is>
          <x:t xml:space="preserve">แผง 10 เม็ด</x:t>
        </x:is>
      </x:c>
      <x:c r="F524" t="inlineStr">
        <x:is>
          <x:t xml:space="preserve">Enalapril Maleate 20 mg.</x:t>
        </x:is>
      </x:c>
      <x:c r="G524" t="inlineStr">
        <x:is>
          <x:t xml:space="preserve">BDS001845</x:t>
        </x:is>
      </x:c>
      <x:c r="H524" t="inlineStr">
        <x:is>
          <x:t xml:space="preserve">Enaril 20 mg (10 tabs)</x:t>
        </x:is>
      </x:c>
      <x:c r="I524" t="inlineStr">
        <x:is>
          <x:t xml:space="preserve">รับประทานครั้งละ 1 เม็ด วันละ 1-2 ครั้ง หรือตามแพทย์สั่ง</x:t>
        </x:is>
      </x:c>
    </x:row>
    <x:row r="525">
      <x:c r="A525" t="n">
        <x:v>523</x:v>
      </x:c>
      <x:c r="B525" t="inlineStr">
        <x:is>
          <x:t xml:space="preserve">ยาลดความดันโลหิต (D)</x:t>
        </x:is>
      </x:c>
      <x:c r="C525" t="n">
        <x:v>1812</x:v>
      </x:c>
      <x:c r="D525" t="inlineStr">
        <x:is>
          <x:t xml:space="preserve">Enaril 5 mg</x:t>
        </x:is>
      </x:c>
      <x:c r="E525" t="inlineStr">
        <x:is>
          <x:t xml:space="preserve">แผง 10 เม็ด</x:t>
        </x:is>
      </x:c>
      <x:c r="F525" t="inlineStr">
        <x:is>
          <x:t xml:space="preserve">Enalapril Maleate 5 mg.</x:t>
        </x:is>
      </x:c>
      <x:c r="G525" t="inlineStr">
        <x:is>
          <x:t xml:space="preserve">BDS001812</x:t>
        </x:is>
      </x:c>
      <x:c r="H525" t="inlineStr">
        <x:is>
          <x:t xml:space="preserve">Enaril 5 mg (10 tabs)</x:t>
        </x:is>
      </x:c>
      <x:c r="I525" t="inlineStr">
        <x:is>
          <x:t xml:space="preserve">รับประทานครั้งละ 1-2 เม็ด  วันละ 1 ครั้ง หรือตามแพทย์สั่ง</x:t>
        </x:is>
      </x:c>
    </x:row>
    <x:row r="526">
      <x:c r="A526" t="n">
        <x:v>524</x:v>
      </x:c>
      <x:c r="B526" t="inlineStr">
        <x:is>
          <x:t xml:space="preserve">ยาลดความดันโลหิต (D)</x:t>
        </x:is>
      </x:c>
      <x:c r="C526" t="n">
        <x:v>42814</x:v>
      </x:c>
      <x:c r="D526" t="inlineStr">
        <x:is>
          <x:t xml:space="preserve">Exforge 5 mg/160 mg</x:t>
        </x:is>
      </x:c>
      <x:c r="E526" t="inlineStr">
        <x:is>
          <x:t xml:space="preserve">กล่อง 28 เม็ด</x:t>
        </x:is>
      </x:c>
      <x:c r="F526" t="inlineStr">
        <x:is>
          <x:t xml:space="preserve">Amlodipine 5 mg.+Valsartan 160 mg.</x:t>
        </x:is>
      </x:c>
      <x:c r="G526" t="inlineStr">
        <x:is>
          <x:t xml:space="preserve">BDS042814</x:t>
        </x:is>
      </x:c>
      <x:c r="H526" t="inlineStr">
        <x:is>
          <x:t xml:space="preserve">Exforge 5 mg/160 mg (28 tabs)</x:t>
        </x:is>
      </x:c>
      <x:c r="I526" t="inlineStr">
        <x:is>
          <x:t xml:space="preserve">รับประทานครั้งละ 1 เม็ด วันละ 1 ครั้ง หรือตามแพทย์สั่ง</x:t>
        </x:is>
      </x:c>
    </x:row>
    <x:row r="527">
      <x:c r="A527" t="n">
        <x:v>525</x:v>
      </x:c>
      <x:c r="B527" t="inlineStr">
        <x:is>
          <x:t xml:space="preserve">ยาลดความดันโลหิต (D)</x:t>
        </x:is>
      </x:c>
      <x:c r="C527" t="n">
        <x:v>43130</x:v>
      </x:c>
      <x:c r="D527" t="inlineStr">
        <x:is>
          <x:t xml:space="preserve">Felopine 5</x:t>
        </x:is>
      </x:c>
      <x:c r="E527" t="inlineStr">
        <x:is>
          <x:t xml:space="preserve">กล่อง 3 แผง</x:t>
        </x:is>
      </x:c>
      <x:c r="F527" t="inlineStr">
        <x:is>
          <x:t xml:space="preserve">Felodipine 5 mg.</x:t>
        </x:is>
      </x:c>
      <x:c r="G527" t="inlineStr">
        <x:is>
          <x:t xml:space="preserve">BDS043130</x:t>
        </x:is>
      </x:c>
      <x:c r="H527" t="inlineStr">
        <x:is>
          <x:t xml:space="preserve">Felopine 5 (3 blister)</x:t>
        </x:is>
      </x:c>
      <x:c r="I527" t="inlineStr">
        <x:is>
          <x:t xml:space="preserve">รับประทานครั้งละ 1 เม็ด วันละ 1 ครั้ง หรือตามแพทย์สั่ง</x:t>
        </x:is>
      </x:c>
    </x:row>
    <x:row r="528">
      <x:c r="A528" t="n">
        <x:v>526</x:v>
      </x:c>
      <x:c r="B528" t="inlineStr">
        <x:is>
          <x:t xml:space="preserve">ยาลดความดันโลหิต (D)</x:t>
        </x:is>
      </x:c>
      <x:c r="C528" t="n">
        <x:v>44317</x:v>
      </x:c>
      <x:c r="D528" t="inlineStr">
        <x:is>
          <x:t xml:space="preserve">Kerdica 20 mg</x:t>
        </x:is>
      </x:c>
      <x:c r="E528" t="inlineStr">
        <x:is>
          <x:t xml:space="preserve">แผง 10 เม็ด</x:t>
        </x:is>
      </x:c>
      <x:c r="F528" t="inlineStr">
        <x:is>
          <x:t xml:space="preserve">Manidipine HCl 20 mg.</x:t>
        </x:is>
      </x:c>
      <x:c r="G528" t="inlineStr">
        <x:is>
          <x:t xml:space="preserve">BDS044317</x:t>
        </x:is>
      </x:c>
      <x:c r="H528" t="inlineStr">
        <x:is>
          <x:t xml:space="preserve">Kerdica 20 mg (10 tabs)</x:t>
        </x:is>
      </x:c>
      <x:c r="I528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9">
      <x:c r="A529" t="n">
        <x:v>527</x:v>
      </x:c>
      <x:c r="B529" t="inlineStr">
        <x:is>
          <x:t xml:space="preserve">ยาลดความดันโลหิต (D)</x:t>
        </x:is>
      </x:c>
      <x:c r="C529" t="n">
        <x:v>44532</x:v>
      </x:c>
      <x:c r="D529" t="inlineStr">
        <x:is>
          <x:t xml:space="preserve">Lanzaar 100 mg </x:t>
        </x:is>
      </x:c>
      <x:c r="E529" t="inlineStr">
        <x:is>
          <x:t xml:space="preserve">กล่อง 3 แผง</x:t>
        </x:is>
      </x:c>
      <x:c r="F529" t="inlineStr">
        <x:is>
          <x:t xml:space="preserve">Losartan potassium 100 mg.</x:t>
        </x:is>
      </x:c>
      <x:c r="G529" t="inlineStr">
        <x:is>
          <x:t xml:space="preserve">BDS044532</x:t>
        </x:is>
      </x:c>
      <x:c r="H529" t="inlineStr">
        <x:is>
          <x:t xml:space="preserve">Lanzaar 100 mg  (3 blister)</x:t>
        </x:is>
      </x:c>
      <x:c r="I529" t="inlineStr">
        <x:is>
          <x:t xml:space="preserve">รับประทานตามแพทย์สั่ง</x:t>
        </x:is>
      </x:c>
    </x:row>
    <x:row r="530">
      <x:c r="A530" t="n">
        <x:v>528</x:v>
      </x:c>
      <x:c r="B530" t="inlineStr">
        <x:is>
          <x:t xml:space="preserve">ยาลดความดันโลหิต (D)</x:t>
        </x:is>
      </x:c>
      <x:c r="C530" t="n">
        <x:v>44546</x:v>
      </x:c>
      <x:c r="D530" t="inlineStr">
        <x:is>
          <x:t xml:space="preserve">Lanzaar 50</x:t>
        </x:is>
      </x:c>
      <x:c r="E530" t="inlineStr">
        <x:is>
          <x:t xml:space="preserve">แผง 10  เม็ด</x:t>
        </x:is>
      </x:c>
      <x:c r="F530" t="inlineStr">
        <x:is>
          <x:t xml:space="preserve">Losartan potassium 50 mg.</x:t>
        </x:is>
      </x:c>
      <x:c r="G530" t="inlineStr">
        <x:is>
          <x:t xml:space="preserve">BDS044546</x:t>
        </x:is>
      </x:c>
      <x:c r="H530" t="inlineStr">
        <x:is>
          <x:t xml:space="preserve">Lanzaar 50 (10 tabs)</x:t>
        </x:is>
      </x:c>
      <x:c r="I530" t="inlineStr">
        <x:is>
          <x:t xml:space="preserve">รับประทานตามแพทย์สั่ง</x:t>
        </x:is>
      </x:c>
    </x:row>
    <x:row r="531">
      <x:c r="A531" t="n">
        <x:v>529</x:v>
      </x:c>
      <x:c r="B531" t="inlineStr">
        <x:is>
          <x:t xml:space="preserve">ยาลดความดันโลหิต (D)</x:t>
        </x:is>
      </x:c>
      <x:c r="C531" t="n">
        <x:v>2549</x:v>
      </x:c>
      <x:c r="D531" t="inlineStr">
        <x:is>
          <x:t xml:space="preserve">Loranta 100 mg</x:t>
        </x:is>
      </x:c>
      <x:c r="E531" t="inlineStr">
        <x:is>
          <x:t xml:space="preserve">แผง 10 เม็ด</x:t>
        </x:is>
      </x:c>
      <x:c r="F531" t="inlineStr">
        <x:is>
          <x:t xml:space="preserve">Losartan potassium 100 mg.</x:t>
        </x:is>
      </x:c>
      <x:c r="G531" t="inlineStr">
        <x:is>
          <x:t xml:space="preserve">BDS002549</x:t>
        </x:is>
      </x:c>
      <x:c r="H531" t="inlineStr">
        <x:is>
          <x:t xml:space="preserve">Loranta 100 mg (10 tabs)</x:t>
        </x:is>
      </x:c>
      <x:c r="I531" t="inlineStr">
        <x:is>
          <x:t xml:space="preserve">รับประทานตามแพทย์สั่ง</x:t>
        </x:is>
      </x:c>
    </x:row>
    <x:row r="532">
      <x:c r="A532" t="n">
        <x:v>530</x:v>
      </x:c>
      <x:c r="B532" t="inlineStr">
        <x:is>
          <x:t xml:space="preserve">ยาลดความดันโลหิต (D)</x:t>
        </x:is>
      </x:c>
      <x:c r="C532" t="n">
        <x:v>2522</x:v>
      </x:c>
      <x:c r="D532" t="inlineStr">
        <x:is>
          <x:t xml:space="preserve">Loranta 50 mg</x:t>
        </x:is>
      </x:c>
      <x:c r="E532" t="inlineStr">
        <x:is>
          <x:t xml:space="preserve">แผง 10 เม็ด</x:t>
        </x:is>
      </x:c>
      <x:c r="F532" t="inlineStr">
        <x:is>
          <x:t xml:space="preserve">Losartan potassium 50 mg.</x:t>
        </x:is>
      </x:c>
      <x:c r="G532" t="inlineStr">
        <x:is>
          <x:t xml:space="preserve">BDS002522</x:t>
        </x:is>
      </x:c>
      <x:c r="H532" t="inlineStr">
        <x:is>
          <x:t xml:space="preserve">Loranta 50 mg (10 tabs)</x:t>
        </x:is>
      </x:c>
      <x:c r="I532" t="inlineStr">
        <x:is>
          <x:t xml:space="preserve">รับประทานตามแพทย์สั่ง</x:t>
        </x:is>
      </x:c>
    </x:row>
    <x:row r="533">
      <x:c r="A533" t="n">
        <x:v>531</x:v>
      </x:c>
      <x:c r="B533" t="inlineStr">
        <x:is>
          <x:t xml:space="preserve">ยาลดความดันโลหิต (D)</x:t>
        </x:is>
      </x:c>
      <x:c r="C533" t="n">
        <x:v>6044</x:v>
      </x:c>
      <x:c r="D533" t="inlineStr">
        <x:is>
          <x:t xml:space="preserve">Losartan 50 mg (GPO)</x:t>
        </x:is>
      </x:c>
      <x:c r="E533" t="inlineStr">
        <x:is>
          <x:t xml:space="preserve">แผง 15 เม็ด</x:t>
        </x:is>
      </x:c>
      <x:c r="F533" t="inlineStr">
        <x:is>
          <x:t xml:space="preserve">Losartan potassium 50 mg.</x:t>
        </x:is>
      </x:c>
      <x:c r="G533" t="inlineStr">
        <x:is>
          <x:t xml:space="preserve">BDS006044</x:t>
        </x:is>
      </x:c>
      <x:c r="H533" t="inlineStr">
        <x:is>
          <x:t xml:space="preserve">Losartan 50 mg (GPO) (15 tabs)</x:t>
        </x:is>
      </x:c>
      <x:c r="I533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34">
      <x:c r="A534" t="n">
        <x:v>532</x:v>
      </x:c>
      <x:c r="B534" t="inlineStr">
        <x:is>
          <x:t xml:space="preserve">ยาลดความดันโลหิต (D)</x:t>
        </x:is>
      </x:c>
      <x:c r="C534" t="n">
        <x:v>7556</x:v>
      </x:c>
      <x:c r="D534" t="inlineStr">
        <x:is>
          <x:t xml:space="preserve">Loxidil 5 mg 100s</x:t>
        </x:is>
      </x:c>
      <x:c r="E534" t="inlineStr">
        <x:is>
          <x:t xml:space="preserve">กระปุก 100 เม็ด</x:t>
        </x:is>
      </x:c>
      <x:c r="F534" t="inlineStr">
        <x:is>
          <x:t xml:space="preserve">Minoxidil 5 mg.</x:t>
        </x:is>
      </x:c>
      <x:c r="G534" t="inlineStr">
        <x:is>
          <x:t xml:space="preserve">BDS007556</x:t>
        </x:is>
      </x:c>
      <x:c r="H534" t="inlineStr">
        <x:is>
          <x:t xml:space="preserve">Loxidil 5 mg 100s (100 tabs)</x:t>
        </x:is>
      </x:c>
      <x:c r="I534" t="inlineStr">
        <x:is>
          <x:t xml:space="preserve">รับประทานครั้งละ 1 เม็ด วันละ 2 ครั้ง</x:t>
        </x:is>
      </x:c>
    </x:row>
    <x:row r="535">
      <x:c r="A535" t="n">
        <x:v>533</x:v>
      </x:c>
      <x:c r="B535" t="inlineStr">
        <x:is>
          <x:t xml:space="preserve">ยาลดความดันโลหิต (D)</x:t>
        </x:is>
      </x:c>
      <x:c r="C535" t="n">
        <x:v>3146</x:v>
      </x:c>
      <x:c r="D535" t="inlineStr">
        <x:is>
          <x:t xml:space="preserve">Madiplot 10 mg</x:t>
        </x:is>
      </x:c>
      <x:c r="E535" t="inlineStr">
        <x:is>
          <x:t xml:space="preserve">แผง 10 เม็ด</x:t>
        </x:is>
      </x:c>
      <x:c r="F535" t="inlineStr">
        <x:is>
          <x:t xml:space="preserve">Manidipine HCl 10 mg.</x:t>
        </x:is>
      </x:c>
      <x:c r="G535" t="inlineStr">
        <x:is>
          <x:t xml:space="preserve">BDS003146</x:t>
        </x:is>
      </x:c>
      <x:c r="H535" t="inlineStr">
        <x:is>
          <x:t xml:space="preserve">Madiplot 10 mg (10 tabs)</x:t>
        </x:is>
      </x:c>
      <x:c r="I535" t="inlineStr">
        <x:is>
          <x:t xml:space="preserve">รับประทานครั้งละ 1-2 เม็ด วันละ 1 ครั้ง หลังอาหาร</x:t>
        </x:is>
      </x:c>
    </x:row>
    <x:row r="536">
      <x:c r="A536" t="n">
        <x:v>534</x:v>
      </x:c>
      <x:c r="B536" t="inlineStr">
        <x:is>
          <x:t xml:space="preserve">ยาลดความดันโลหิต (D)</x:t>
        </x:is>
      </x:c>
      <x:c r="C536" t="n">
        <x:v>2638</x:v>
      </x:c>
      <x:c r="D536" t="inlineStr">
        <x:is>
          <x:t xml:space="preserve">Madiplot 20 mg</x:t>
        </x:is>
      </x:c>
      <x:c r="E536" t="inlineStr">
        <x:is>
          <x:t xml:space="preserve">แผง 10 เม็ด</x:t>
        </x:is>
      </x:c>
      <x:c r="F536" t="inlineStr">
        <x:is>
          <x:t xml:space="preserve">Manidipine HCl 20 mg.</x:t>
        </x:is>
      </x:c>
      <x:c r="G536" t="inlineStr">
        <x:is>
          <x:t xml:space="preserve">BDS002638</x:t>
        </x:is>
      </x:c>
      <x:c r="H536" t="inlineStr">
        <x:is>
          <x:t xml:space="preserve">Madiplot 20 mg (10 tabs)</x:t>
        </x:is>
      </x:c>
      <x:c r="I536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37">
      <x:c r="A537" t="n">
        <x:v>535</x:v>
      </x:c>
      <x:c r="B537" t="inlineStr">
        <x:is>
          <x:t xml:space="preserve">ยาลดความดันโลหิต (D)</x:t>
        </x:is>
      </x:c>
      <x:c r="C537" t="n">
        <x:v>2808</x:v>
      </x:c>
      <x:c r="D537" t="inlineStr">
        <x:is>
          <x:t xml:space="preserve">Nelapine 20 SR</x:t>
        </x:is>
      </x:c>
      <x:c r="E537" t="inlineStr">
        <x:is>
          <x:t xml:space="preserve">กล่อง 3 แผง</x:t>
        </x:is>
      </x:c>
      <x:c r="F537" t="inlineStr">
        <x:is>
          <x:t xml:space="preserve">Nifedipine 20 mg.</x:t>
        </x:is>
      </x:c>
      <x:c r="G537" t="inlineStr">
        <x:is>
          <x:t xml:space="preserve">BDS002808</x:t>
        </x:is>
      </x:c>
      <x:c r="H537" t="inlineStr">
        <x:is>
          <x:t xml:space="preserve">Nelapine 20 SR (3 blister)</x:t>
        </x:is>
      </x:c>
      <x:c r="I537" t="inlineStr">
        <x:is>
          <x:t xml:space="preserve">รับประทานครั้งละ 1 แคปซูล วันละ 2 ครั้ง หรือตามแพทย์สั่ง</x:t>
        </x:is>
      </x:c>
    </x:row>
    <x:row r="538">
      <x:c r="A538" t="n">
        <x:v>536</x:v>
      </x:c>
      <x:c r="B538" t="inlineStr">
        <x:is>
          <x:t xml:space="preserve">ยาลดความดันโลหิต (D)</x:t>
        </x:is>
      </x:c>
      <x:c r="C538" t="n">
        <x:v>2862</x:v>
      </x:c>
      <x:c r="D538" t="inlineStr">
        <x:is>
          <x:t xml:space="preserve">Norvasc 5 mg</x:t>
        </x:is>
      </x:c>
      <x:c r="E538" t="inlineStr">
        <x:is>
          <x:t xml:space="preserve">แผง 10 เม็ด</x:t>
        </x:is>
      </x:c>
      <x:c r="F538" t="inlineStr">
        <x:is>
          <x:t xml:space="preserve">Amlodipine besylate 5 mg.</x:t>
        </x:is>
      </x:c>
      <x:c r="G538" t="inlineStr">
        <x:is>
          <x:t xml:space="preserve">BDS002862</x:t>
        </x:is>
      </x:c>
      <x:c r="H538" t="inlineStr">
        <x:is>
          <x:t xml:space="preserve">Norvasc 5 mg (10 tabs)</x:t>
        </x:is>
      </x:c>
      <x:c r="I538" t="inlineStr">
        <x:is>
          <x:t xml:space="preserve">รับประทานครั้งละ 1 เม็ด วันละ 1 ครั้ง หรือตามแพทย์สั่ง</x:t>
        </x:is>
      </x:c>
    </x:row>
    <x:row r="539">
      <x:c r="A539" t="n">
        <x:v>537</x:v>
      </x:c>
      <x:c r="B539" t="inlineStr">
        <x:is>
          <x:t xml:space="preserve">ยาลดความดันโลหิต (D)</x:t>
        </x:is>
      </x:c>
      <x:c r="C539" t="n">
        <x:v>3174</x:v>
      </x:c>
      <x:c r="D539" t="inlineStr">
        <x:is>
          <x:t xml:space="preserve">Plendil 5 mg</x:t>
        </x:is>
      </x:c>
      <x:c r="E539" t="inlineStr">
        <x:is>
          <x:t xml:space="preserve">ขวด 30 เม็ด</x:t>
        </x:is>
      </x:c>
      <x:c r="F539" t="inlineStr">
        <x:is>
          <x:t xml:space="preserve">Felodipine 5 mg.</x:t>
        </x:is>
      </x:c>
      <x:c r="G539" t="inlineStr">
        <x:is>
          <x:t xml:space="preserve">BDS003174</x:t>
        </x:is>
      </x:c>
      <x:c r="H539" t="inlineStr">
        <x:is>
          <x:t xml:space="preserve">Plendil 5 mg (30 tabs)</x:t>
        </x:is>
      </x:c>
      <x:c r="I539" t="inlineStr">
        <x:is>
          <x:t xml:space="preserve">รับประทานครั้งละ 1 เม็ด วันละ 1 ครั้ง หรือตามแพทย์สั่ง</x:t>
        </x:is>
      </x:c>
    </x:row>
    <x:row r="540">
      <x:c r="A540" t="n">
        <x:v>538</x:v>
      </x:c>
      <x:c r="B540" t="inlineStr">
        <x:is>
          <x:t xml:space="preserve">ยาลดความดันโลหิต (D)</x:t>
        </x:is>
      </x:c>
      <x:c r="C540" t="n">
        <x:v>3144</x:v>
      </x:c>
      <x:c r="D540" t="inlineStr">
        <x:is>
          <x:t xml:space="preserve">Prenolol 100 mg</x:t>
        </x:is>
      </x:c>
      <x:c r="E540" t="inlineStr">
        <x:is>
          <x:t xml:space="preserve">แผง 10 เม็ด</x:t>
        </x:is>
      </x:c>
      <x:c r="F540" t="inlineStr">
        <x:is>
          <x:t xml:space="preserve">Atenolol 100 mg.</x:t>
        </x:is>
      </x:c>
      <x:c r="G540" t="inlineStr">
        <x:is>
          <x:t xml:space="preserve">BDS003144</x:t>
        </x:is>
      </x:c>
      <x:c r="H540" t="inlineStr">
        <x:is>
          <x:t xml:space="preserve">Prenolol 100 mg (10 tabs)</x:t>
        </x:is>
      </x:c>
      <x:c r="I540" t="inlineStr">
        <x:is>
          <x:t xml:space="preserve">รับประทานตามแพทย์สั่ง </x:t>
        </x:is>
      </x:c>
    </x:row>
    <x:row r="541">
      <x:c r="A541" t="n">
        <x:v>539</x:v>
      </x:c>
      <x:c r="B541" t="inlineStr">
        <x:is>
          <x:t xml:space="preserve">ยาลดความดันโลหิต (D)</x:t>
        </x:is>
      </x:c>
      <x:c r="C541" t="n">
        <x:v>3140</x:v>
      </x:c>
      <x:c r="D541" t="inlineStr">
        <x:is>
          <x:t xml:space="preserve">Prenolol 25 mg</x:t>
        </x:is>
      </x:c>
      <x:c r="E541" t="inlineStr">
        <x:is>
          <x:t xml:space="preserve">แผง 10 เม็ด</x:t>
        </x:is>
      </x:c>
      <x:c r="F541" t="inlineStr">
        <x:is>
          <x:t xml:space="preserve">Atenolol 25 mg.</x:t>
        </x:is>
      </x:c>
      <x:c r="G541" t="inlineStr">
        <x:is>
          <x:t xml:space="preserve">BDS003140</x:t>
        </x:is>
      </x:c>
      <x:c r="H541" t="inlineStr">
        <x:is>
          <x:t xml:space="preserve">Prenolol 25 mg (10 tabs)</x:t>
        </x:is>
      </x:c>
      <x:c r="I541" t="inlineStr">
        <x:is>
          <x:t xml:space="preserve">รับประทานตามแพทย์สั่ง </x:t>
        </x:is>
      </x:c>
    </x:row>
    <x:row r="542">
      <x:c r="A542" t="n">
        <x:v>540</x:v>
      </x:c>
      <x:c r="B542" t="inlineStr">
        <x:is>
          <x:t xml:space="preserve">ยาลดความดันโลหิต (D)</x:t>
        </x:is>
      </x:c>
      <x:c r="C542" t="n">
        <x:v>3145</x:v>
      </x:c>
      <x:c r="D542" t="inlineStr">
        <x:is>
          <x:t xml:space="preserve">Prenolol 50 mg</x:t>
        </x:is>
      </x:c>
      <x:c r="E542" t="inlineStr">
        <x:is>
          <x:t xml:space="preserve">แผง 10 เม็ด</x:t>
        </x:is>
      </x:c>
      <x:c r="F542" t="inlineStr">
        <x:is>
          <x:t xml:space="preserve">Atenolol 50 mg.</x:t>
        </x:is>
      </x:c>
      <x:c r="G542" t="inlineStr">
        <x:is>
          <x:t xml:space="preserve">BDS003145</x:t>
        </x:is>
      </x:c>
      <x:c r="H542" t="inlineStr">
        <x:is>
          <x:t xml:space="preserve">Prenolol 50 mg (10 tabs)</x:t>
        </x:is>
      </x:c>
      <x:c r="I542" t="inlineStr">
        <x:is>
          <x:t xml:space="preserve">รับประทานตามแพทย์สั่ง </x:t>
        </x:is>
      </x:c>
    </x:row>
    <x:row r="543">
      <x:c r="A543" t="n">
        <x:v>541</x:v>
      </x:c>
      <x:c r="B543" t="inlineStr">
        <x:is>
          <x:t xml:space="preserve">ยาลดความดันโลหิต (D)</x:t>
        </x:is>
      </x:c>
      <x:c r="C543" t="n">
        <x:v>48635</x:v>
      </x:c>
      <x:c r="D543" t="inlineStr">
        <x:is>
          <x:t xml:space="preserve">Tanzaril 100 mg</x:t>
        </x:is>
      </x:c>
      <x:c r="E543" t="inlineStr">
        <x:is>
          <x:t xml:space="preserve">แผง 10 เม็ด</x:t>
        </x:is>
      </x:c>
      <x:c r="F543" t="inlineStr">
        <x:is>
          <x:t xml:space="preserve">Losartan potassium 100 mg.</x:t>
        </x:is>
      </x:c>
      <x:c r="G543" t="inlineStr">
        <x:is>
          <x:t xml:space="preserve">BDS048635</x:t>
        </x:is>
      </x:c>
      <x:c r="H543" t="inlineStr">
        <x:is>
          <x:t xml:space="preserve">Tanzaril 100 mg (10 tabs)</x:t>
        </x:is>
      </x:c>
      <x:c r="I543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44">
      <x:c r="A544" t="n">
        <x:v>542</x:v>
      </x:c>
      <x:c r="B544" t="inlineStr">
        <x:is>
          <x:t xml:space="preserve">ยาลดความดันโลหิต (D)</x:t>
        </x:is>
      </x:c>
      <x:c r="C544" t="n">
        <x:v>3703</x:v>
      </x:c>
      <x:c r="D544" t="inlineStr">
        <x:is>
          <x:t xml:space="preserve">Tanzaril 50 mg</x:t>
        </x:is>
      </x:c>
      <x:c r="E544" t="inlineStr">
        <x:is>
          <x:t xml:space="preserve">แผง 10 เม็ด</x:t>
        </x:is>
      </x:c>
      <x:c r="F544" t="inlineStr">
        <x:is>
          <x:t xml:space="preserve">Losartan potassium 50 mg.</x:t>
        </x:is>
      </x:c>
      <x:c r="G544" t="inlineStr">
        <x:is>
          <x:t xml:space="preserve">BDS003703</x:t>
        </x:is>
      </x:c>
      <x:c r="H544" t="inlineStr">
        <x:is>
          <x:t xml:space="preserve">Tanzaril 50 mg (10 tabs)</x:t>
        </x:is>
      </x:c>
      <x:c r="I544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45">
      <x:c r="A545" t="n">
        <x:v>543</x:v>
      </x:c>
      <x:c r="B545" t="inlineStr">
        <x:is>
          <x:t xml:space="preserve">ยาลดความดันโลหิต (D)</x:t>
        </x:is>
      </x:c>
      <x:c r="C545" t="n">
        <x:v>6259</x:v>
      </x:c>
      <x:c r="D545" t="inlineStr">
        <x:is>
          <x:t xml:space="preserve">Zanidip 10 mg</x:t>
        </x:is>
      </x:c>
      <x:c r="E545" t="inlineStr">
        <x:is>
          <x:t xml:space="preserve">กล่อง 28 เม็ด</x:t>
        </x:is>
      </x:c>
      <x:c r="F545" t="inlineStr">
        <x:is>
          <x:t xml:space="preserve">Lercanidipine HCl 10 mg.</x:t>
        </x:is>
      </x:c>
      <x:c r="G545" t="inlineStr">
        <x:is>
          <x:t xml:space="preserve">BDS006259</x:t>
        </x:is>
      </x:c>
      <x:c r="H545" t="inlineStr">
        <x:is>
          <x:t xml:space="preserve">Zanidip 10 mg (28 tabs)</x:t>
        </x:is>
      </x:c>
      <x:c r="I545" t="inlineStr">
        <x:is>
          <x:t xml:space="preserve">รับประทานครั้งละ 1 เม็ด วันละ 1 ครั้ง หรือตามแพทย์สั่ง</x:t>
        </x:is>
      </x:c>
    </x:row>
    <x:row r="546">
      <x:c r="A546" t="n">
        <x:v>544</x:v>
      </x:c>
      <x:c r="B546" t="inlineStr">
        <x:is>
          <x:t xml:space="preserve">ยารักษาเบาหวาน (D)</x:t>
        </x:is>
      </x:c>
      <x:c r="C546" t="n">
        <x:v>40006</x:v>
      </x:c>
      <x:c r="D546" t="inlineStr">
        <x:is>
          <x:t xml:space="preserve">Amaryl 2 mg</x:t>
        </x:is>
      </x:c>
      <x:c r="E546" t="inlineStr">
        <x:is>
          <x:t xml:space="preserve">แผง 10 เม็ด</x:t>
        </x:is>
      </x:c>
      <x:c r="F546" t="inlineStr">
        <x:is>
          <x:t xml:space="preserve">Glimepiride 2 mg.</x:t>
        </x:is>
      </x:c>
      <x:c r="G546" t="inlineStr">
        <x:is>
          <x:t xml:space="preserve">BDS040006</x:t>
        </x:is>
      </x:c>
      <x:c r="H546" t="inlineStr">
        <x:is>
          <x:t xml:space="preserve">Amaryl 2 mg (10 tabs)</x:t>
        </x:is>
      </x:c>
      <x:c r="I546" t="inlineStr">
        <x:is>
          <x:t xml:space="preserve">รับประทานตามแพทย์สั่ง </x:t>
        </x:is>
      </x:c>
    </x:row>
    <x:row r="547">
      <x:c r="A547" t="n">
        <x:v>545</x:v>
      </x:c>
      <x:c r="B547" t="inlineStr">
        <x:is>
          <x:t xml:space="preserve">ยารักษาเบาหวาน (D)</x:t>
        </x:is>
      </x:c>
      <x:c r="C547" t="n">
        <x:v>7131</x:v>
      </x:c>
      <x:c r="D547" t="inlineStr">
        <x:is>
          <x:t xml:space="preserve">Benclamide</x:t>
        </x:is>
      </x:c>
      <x:c r="E547" t="inlineStr">
        <x:is>
          <x:t xml:space="preserve">แผง 10 เม็ด</x:t>
        </x:is>
      </x:c>
      <x:c r="F547" t="inlineStr">
        <x:is>
          <x:t xml:space="preserve">Glibenclamide 5 mg.</x:t>
        </x:is>
      </x:c>
      <x:c r="G547" t="inlineStr">
        <x:is>
          <x:t xml:space="preserve">BDS007131</x:t>
        </x:is>
      </x:c>
      <x:c r="H547" t="inlineStr">
        <x:is>
          <x:t xml:space="preserve">Benclamide (10 tabs)</x:t>
        </x:is>
      </x:c>
      <x:c r="I547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48">
      <x:c r="A548" t="n">
        <x:v>546</x:v>
      </x:c>
      <x:c r="B548" t="inlineStr">
        <x:is>
          <x:t xml:space="preserve">ยารักษาเบาหวาน (D)</x:t>
        </x:is>
      </x:c>
      <x:c r="C548" t="n">
        <x:v>1611</x:v>
      </x:c>
      <x:c r="D548" t="inlineStr">
        <x:is>
          <x:t xml:space="preserve">Daonil 5 mg</x:t>
        </x:is>
      </x:c>
      <x:c r="E548" t="inlineStr">
        <x:is>
          <x:t xml:space="preserve">แผง 10 เม็ด</x:t>
        </x:is>
      </x:c>
      <x:c r="F548" t="inlineStr">
        <x:is>
          <x:t xml:space="preserve">Glibenclamide 5 mg.</x:t>
        </x:is>
      </x:c>
      <x:c r="G548" t="inlineStr">
        <x:is>
          <x:t xml:space="preserve">BDS001611</x:t>
        </x:is>
      </x:c>
      <x:c r="H548" t="inlineStr">
        <x:is>
          <x:t xml:space="preserve">Daonil 5 mg (10 tabs)</x:t>
        </x:is>
      </x:c>
      <x:c r="I548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49">
      <x:c r="A549" t="n">
        <x:v>547</x:v>
      </x:c>
      <x:c r="B549" t="inlineStr">
        <x:is>
          <x:t xml:space="preserve">ยารักษาเบาหวาน (D)</x:t>
        </x:is>
      </x:c>
      <x:c r="C549" t="n">
        <x:v>1639</x:v>
      </x:c>
      <x:c r="D549" t="inlineStr">
        <x:is>
          <x:t xml:space="preserve">Diamicron MR 60 mg</x:t>
        </x:is>
      </x:c>
      <x:c r="E549" t="inlineStr">
        <x:is>
          <x:t xml:space="preserve">แผง 15 เม็ด</x:t>
        </x:is>
      </x:c>
      <x:c r="F549" t="inlineStr">
        <x:is>
          <x:t xml:space="preserve">Gliclazide 60 mg.</x:t>
        </x:is>
      </x:c>
      <x:c r="G549" t="inlineStr">
        <x:is>
          <x:t xml:space="preserve">BDS001639</x:t>
        </x:is>
      </x:c>
      <x:c r="H549" t="inlineStr">
        <x:is>
          <x:t xml:space="preserve">Diamicron MR 60 mg (15 tabs)</x:t>
        </x:is>
      </x:c>
      <x:c r="I549" t="inlineStr">
        <x:is>
          <x:t xml:space="preserve">รับประทานตามแพทย์สั่ง (โดยทั่วไปครั้งละ 1 เม็ด วันละ 1 ครั้ง ก่อนอาหาร)</x:t>
        </x:is>
      </x:c>
    </x:row>
    <x:row r="550">
      <x:c r="A550" t="n">
        <x:v>548</x:v>
      </x:c>
      <x:c r="B550" t="inlineStr">
        <x:is>
          <x:t xml:space="preserve">ยารักษาเบาหวาน (D)</x:t>
        </x:is>
      </x:c>
      <x:c r="C550" t="n">
        <x:v>1649</x:v>
      </x:c>
      <x:c r="D550" t="inlineStr">
        <x:is>
          <x:t xml:space="preserve">Dipazide</x:t>
        </x:is>
      </x:c>
      <x:c r="E550" t="inlineStr">
        <x:is>
          <x:t xml:space="preserve">แผง 10 เม็ด</x:t>
        </x:is>
      </x:c>
      <x:c r="F550" t="inlineStr">
        <x:is>
          <x:t xml:space="preserve">Glipizide 5 mg.</x:t>
        </x:is>
      </x:c>
      <x:c r="G550" t="inlineStr">
        <x:is>
          <x:t xml:space="preserve">BDS001649</x:t>
        </x:is>
      </x:c>
      <x:c r="H550" t="inlineStr">
        <x:is>
          <x:t xml:space="preserve">Dipazide (10 tabs)</x:t>
        </x:is>
      </x:c>
      <x:c r="I550" t="inlineStr">
        <x:is>
          <x:t xml:space="preserve">รับประทานตามแพทย์สั่ง (โดยทั่วไปครั้งละ 1 เม็ด วันละ 1 ครั้ง ก่อนอาหาร)</x:t>
        </x:is>
      </x:c>
    </x:row>
    <x:row r="551">
      <x:c r="A551" t="n">
        <x:v>549</x:v>
      </x:c>
      <x:c r="B551" t="inlineStr">
        <x:is>
          <x:t xml:space="preserve">ยารักษาเบาหวาน (D)</x:t>
        </x:is>
      </x:c>
      <x:c r="C551" t="n">
        <x:v>43612</x:v>
      </x:c>
      <x:c r="D551" t="inlineStr">
        <x:is>
          <x:t xml:space="preserve">Galvus 50 mg</x:t>
        </x:is>
      </x:c>
      <x:c r="E551" t="inlineStr">
        <x:is>
          <x:t xml:space="preserve">กล่อง 56 เม็ด</x:t>
        </x:is>
      </x:c>
      <x:c r="F551" t="inlineStr">
        <x:is>
          <x:t xml:space="preserve">Vildagliptin 50 mg.</x:t>
        </x:is>
      </x:c>
      <x:c r="G551" t="inlineStr">
        <x:is>
          <x:t xml:space="preserve">BDS043612</x:t>
        </x:is>
      </x:c>
      <x:c r="H551" t="inlineStr">
        <x:is>
          <x:t xml:space="preserve">Galvus 50 mg (56 tabs)</x:t>
        </x:is>
      </x:c>
      <x:c r="I551" t="inlineStr">
        <x:is>
          <x:t xml:space="preserve">รับประทานวันละ 2 ครั้ง เช้า-เย็นหรือตามแพทย์สั่ง</x:t>
        </x:is>
      </x:c>
    </x:row>
    <x:row r="552">
      <x:c r="A552" t="n">
        <x:v>550</x:v>
      </x:c>
      <x:c r="B552" t="inlineStr">
        <x:is>
          <x:t xml:space="preserve">ยารักษาเบาหวาน (D)</x:t>
        </x:is>
      </x:c>
      <x:c r="C552" t="n">
        <x:v>43603</x:v>
      </x:c>
      <x:c r="D552" t="inlineStr">
        <x:is>
          <x:t xml:space="preserve">Glizide</x:t>
        </x:is>
      </x:c>
      <x:c r="E552" t="inlineStr">
        <x:is>
          <x:t xml:space="preserve">แผง 15 เม็ด</x:t>
        </x:is>
      </x:c>
      <x:c r="F552" t="inlineStr">
        <x:is>
          <x:t xml:space="preserve">Glipizide 5 mg.</x:t>
        </x:is>
      </x:c>
      <x:c r="G552" t="inlineStr">
        <x:is>
          <x:t xml:space="preserve">BDS043603</x:t>
        </x:is>
      </x:c>
      <x:c r="H552" t="inlineStr">
        <x:is>
          <x:t xml:space="preserve">Glizide (15 tabs)</x:t>
        </x:is>
      </x:c>
      <x:c r="I552" t="inlineStr">
        <x:is>
          <x:t xml:space="preserve">รับประทานครั้งละ 1/2-1 เม็ด วันละ 1 ครั้ง ก่อนอาหารเช้า หรือตามแพทย์สั่ง</x:t>
        </x:is>
      </x:c>
    </x:row>
    <x:row r="553">
      <x:c r="A553" t="n">
        <x:v>551</x:v>
      </x:c>
      <x:c r="B553" t="inlineStr">
        <x:is>
          <x:t xml:space="preserve">ยารักษาเบาหวาน (D)</x:t>
        </x:is>
      </x:c>
      <x:c r="C553" t="n">
        <x:v>2021</x:v>
      </x:c>
      <x:c r="D553" t="inlineStr">
        <x:is>
          <x:t xml:space="preserve">Glucophage 500 mg</x:t>
        </x:is>
      </x:c>
      <x:c r="E553" t="inlineStr">
        <x:is>
          <x:t xml:space="preserve">แผง 10 เม็ด</x:t>
        </x:is>
      </x:c>
      <x:c r="F553" t="inlineStr">
        <x:is>
          <x:t xml:space="preserve">Metformin HCI 500 mg.</x:t>
        </x:is>
      </x:c>
      <x:c r="G553" t="inlineStr">
        <x:is>
          <x:t xml:space="preserve">BDS002021</x:t>
        </x:is>
      </x:c>
      <x:c r="H553" t="inlineStr">
        <x:is>
          <x:t xml:space="preserve">Glucophage 500 mg (10 tabs)</x:t>
        </x:is>
      </x:c>
      <x:c r="I553" t="inlineStr">
        <x:is>
          <x:t xml:space="preserve">รับประทานตามแพทย์สั่ง </x:t>
        </x:is>
      </x:c>
    </x:row>
    <x:row r="554">
      <x:c r="A554" t="n">
        <x:v>552</x:v>
      </x:c>
      <x:c r="B554" t="inlineStr">
        <x:is>
          <x:t xml:space="preserve">ยารักษาเบาหวาน (D)</x:t>
        </x:is>
      </x:c>
      <x:c r="C554" t="n">
        <x:v>2035</x:v>
      </x:c>
      <x:c r="D554" t="inlineStr">
        <x:is>
          <x:t xml:space="preserve">Glucophage 850 mg</x:t>
        </x:is>
      </x:c>
      <x:c r="E554" t="inlineStr">
        <x:is>
          <x:t xml:space="preserve">แผง 10 เม็ด</x:t>
        </x:is>
      </x:c>
      <x:c r="F554" t="inlineStr">
        <x:is>
          <x:t xml:space="preserve">Metformin HCl 850 mg.</x:t>
        </x:is>
      </x:c>
      <x:c r="G554" t="inlineStr">
        <x:is>
          <x:t xml:space="preserve">BDS002035</x:t>
        </x:is>
      </x:c>
      <x:c r="H554" t="inlineStr">
        <x:is>
          <x:t xml:space="preserve">Glucophage 850 mg (10 tabs)</x:t>
        </x:is>
      </x:c>
      <x:c r="I554" t="inlineStr">
        <x:is>
          <x:t xml:space="preserve">รับประทานตามแพทย์สั่ง </x:t>
        </x:is>
      </x:c>
    </x:row>
    <x:row r="555">
      <x:c r="A555" t="n">
        <x:v>553</x:v>
      </x:c>
      <x:c r="B555" t="inlineStr">
        <x:is>
          <x:t xml:space="preserve">ยารักษาเบาหวาน (D)</x:t>
        </x:is>
      </x:c>
      <x:c r="C555" t="n">
        <x:v>43610</x:v>
      </x:c>
      <x:c r="D555" t="inlineStr">
        <x:is>
          <x:t xml:space="preserve">Glucophage XR 1000 mg</x:t>
        </x:is>
      </x:c>
      <x:c r="E555" t="inlineStr">
        <x:is>
          <x:t xml:space="preserve">กล่อง 3 แผง</x:t>
        </x:is>
      </x:c>
      <x:c r="F555" t="inlineStr">
        <x:is>
          <x:t xml:space="preserve">Metformin HCl 1000 mg.</x:t>
        </x:is>
      </x:c>
      <x:c r="G555" t="inlineStr">
        <x:is>
          <x:t xml:space="preserve">BDS043610</x:t>
        </x:is>
      </x:c>
      <x:c r="H555" t="inlineStr">
        <x:is>
          <x:t xml:space="preserve">Glucophage XR 1000 mg (3 blister)</x:t>
        </x:is>
      </x:c>
      <x:c r="I555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56">
      <x:c r="A556" t="n">
        <x:v>554</x:v>
      </x:c>
      <x:c r="B556" t="inlineStr">
        <x:is>
          <x:t xml:space="preserve">ยารักษาเบาหวาน (D)</x:t>
        </x:is>
      </x:c>
      <x:c r="C556" t="n">
        <x:v>1959</x:v>
      </x:c>
      <x:c r="D556" t="inlineStr">
        <x:is>
          <x:t xml:space="preserve">Glucophage XR 750 mg</x:t>
        </x:is>
      </x:c>
      <x:c r="E556" t="inlineStr">
        <x:is>
          <x:t xml:space="preserve">แผง 15 เม็ด</x:t>
        </x:is>
      </x:c>
      <x:c r="F556" t="inlineStr">
        <x:is>
          <x:t xml:space="preserve">Metformin HCl 750 mg.</x:t>
        </x:is>
      </x:c>
      <x:c r="G556" t="inlineStr">
        <x:is>
          <x:t xml:space="preserve">BDS001959</x:t>
        </x:is>
      </x:c>
      <x:c r="H556" t="inlineStr">
        <x:is>
          <x:t xml:space="preserve">Glucophage XR 750 mg (15 tabs)</x:t>
        </x:is>
      </x:c>
      <x:c r="I556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57">
      <x:c r="A557" t="n">
        <x:v>555</x:v>
      </x:c>
      <x:c r="B557" t="inlineStr">
        <x:is>
          <x:t xml:space="preserve">ยารักษาเบาหวาน (D)</x:t>
        </x:is>
      </x:c>
      <x:c r="C557" t="n">
        <x:v>43611</x:v>
      </x:c>
      <x:c r="D557" t="inlineStr">
        <x:is>
          <x:t xml:space="preserve">Glycediab 5 mg</x:t>
        </x:is>
      </x:c>
      <x:c r="E557" t="inlineStr">
        <x:is>
          <x:t xml:space="preserve">แผง 10 เม็ด</x:t>
        </x:is>
      </x:c>
      <x:c r="F557" t="inlineStr">
        <x:is>
          <x:t xml:space="preserve">Glipizide 5 mg.</x:t>
        </x:is>
      </x:c>
      <x:c r="G557" t="inlineStr">
        <x:is>
          <x:t xml:space="preserve">BDS043611</x:t>
        </x:is>
      </x:c>
      <x:c r="H557" t="inlineStr">
        <x:is>
          <x:t xml:space="preserve">Glycediab 5 mg (10 tabs)</x:t>
        </x:is>
      </x:c>
      <x:c r="I557" t="inlineStr">
        <x:is>
          <x:t xml:space="preserve">รับประทานครั้งละ 1/2-1 เม็ด วันละ 1 ครั้ง ก่อนอาหารเช้า หรือตามแพทย์สั่ง</x:t>
        </x:is>
      </x:c>
    </x:row>
    <x:row r="558">
      <x:c r="A558" t="n">
        <x:v>556</x:v>
      </x:c>
      <x:c r="B558" t="inlineStr">
        <x:is>
          <x:t xml:space="preserve">ยารักษาเบาหวาน (D)</x:t>
        </x:is>
      </x:c>
      <x:c r="C558" t="n">
        <x:v>44920</x:v>
      </x:c>
      <x:c r="D558" t="inlineStr">
        <x:is>
          <x:t xml:space="preserve">Metfor-500</x:t>
        </x:is>
      </x:c>
      <x:c r="E558" t="inlineStr">
        <x:is>
          <x:t xml:space="preserve">แผง 10 เม็ด</x:t>
        </x:is>
      </x:c>
      <x:c r="F558" t="inlineStr">
        <x:is>
          <x:t xml:space="preserve">Metformin HCl 500 mg.</x:t>
        </x:is>
      </x:c>
      <x:c r="G558" t="inlineStr">
        <x:is>
          <x:t xml:space="preserve">BDS044920</x:t>
        </x:is>
      </x:c>
      <x:c r="H558" t="inlineStr">
        <x:is>
          <x:t xml:space="preserve">Metfor-500 (10 tabs)</x:t>
        </x:is>
      </x:c>
      <x:c r="I558" t="inlineStr">
        <x:is>
          <x:t xml:space="preserve">รับประทานครั้งละ 1-2 เม็ด วันละ 3 ครั้ง หลังอาหาร หรือตามแพทย์สั่ง</x:t>
        </x:is>
      </x:c>
    </x:row>
    <x:row r="559">
      <x:c r="A559" t="n">
        <x:v>557</x:v>
      </x:c>
      <x:c r="B559" t="inlineStr">
        <x:is>
          <x:t xml:space="preserve">ยารักษาเบาหวาน (D)</x:t>
        </x:is>
      </x:c>
      <x:c r="C559" t="n">
        <x:v>6205</x:v>
      </x:c>
      <x:c r="D559" t="inlineStr">
        <x:is>
          <x:t xml:space="preserve">Metformin Hydrochloride 500 mg (GPO)</x:t>
        </x:is>
      </x:c>
      <x:c r="E559" t="inlineStr">
        <x:is>
          <x:t xml:space="preserve">แผง 10 เม็ด</x:t>
        </x:is>
      </x:c>
      <x:c r="F559" t="inlineStr">
        <x:is>
          <x:t xml:space="preserve">Metformin HCl 500 mg.</x:t>
        </x:is>
      </x:c>
      <x:c r="G559" t="inlineStr">
        <x:is>
          <x:t xml:space="preserve">BDS006205</x:t>
        </x:is>
      </x:c>
      <x:c r="H559" t="inlineStr">
        <x:is>
          <x:t xml:space="preserve">Metformin Hydrochloride 500 mg (GPO) (10 tabs)</x:t>
        </x:is>
      </x:c>
      <x:c r="I559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0">
      <x:c r="A560" t="n">
        <x:v>558</x:v>
      </x:c>
      <x:c r="B560" t="inlineStr">
        <x:is>
          <x:t xml:space="preserve">ยารักษาเบาหวาน (D)</x:t>
        </x:is>
      </x:c>
      <x:c r="C560" t="n">
        <x:v>44902</x:v>
      </x:c>
      <x:c r="D560" t="inlineStr">
        <x:is>
          <x:t xml:space="preserve">Miformin 500 mg</x:t>
        </x:is>
      </x:c>
      <x:c r="E560" t="inlineStr">
        <x:is>
          <x:t xml:space="preserve">แผง 10 เม็ด</x:t>
        </x:is>
      </x:c>
      <x:c r="F560" t="inlineStr">
        <x:is>
          <x:t xml:space="preserve">Metformin HCl 500 mg.</x:t>
        </x:is>
      </x:c>
      <x:c r="G560" t="inlineStr">
        <x:is>
          <x:t xml:space="preserve">BDS044902</x:t>
        </x:is>
      </x:c>
      <x:c r="H560" t="inlineStr">
        <x:is>
          <x:t xml:space="preserve">Miformin 500 mg (10 tabs)</x:t>
        </x:is>
      </x:c>
      <x:c r="I560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1">
      <x:c r="A561" t="n">
        <x:v>559</x:v>
      </x:c>
      <x:c r="B561" t="inlineStr">
        <x:is>
          <x:t xml:space="preserve">ยารักษาเบาหวาน (D)</x:t>
        </x:is>
      </x:c>
      <x:c r="C561" t="n">
        <x:v>2628</x:v>
      </x:c>
      <x:c r="D561" t="inlineStr">
        <x:is>
          <x:t xml:space="preserve">Minidiab</x:t>
        </x:is>
      </x:c>
      <x:c r="E561" t="inlineStr">
        <x:is>
          <x:t xml:space="preserve">แผง 15 เม็ด</x:t>
        </x:is>
      </x:c>
      <x:c r="F561" t="inlineStr">
        <x:is>
          <x:t xml:space="preserve">Glipizide 5 mg.</x:t>
        </x:is>
      </x:c>
      <x:c r="G561" t="inlineStr">
        <x:is>
          <x:t xml:space="preserve">BDS002628</x:t>
        </x:is>
      </x:c>
      <x:c r="H561" t="inlineStr">
        <x:is>
          <x:t xml:space="preserve">Minidiab (15 tabs)</x:t>
        </x:is>
      </x:c>
      <x:c r="I561" t="inlineStr">
        <x:is>
          <x:t xml:space="preserve">รับประทานครั้งละ 1/2-1 เม็ด วันละ 1 ครั้ง ก่อนอาหารเช้าหรืออาหารกลางวัน หรือตามแพทย์สั่ง</x:t>
        </x:is>
      </x:c>
    </x:row>
    <x:row r="562">
      <x:c r="A562" t="n">
        <x:v>560</x:v>
      </x:c>
      <x:c r="B562" t="inlineStr">
        <x:is>
          <x:t xml:space="preserve">ยารักษาเบาหวาน (D)</x:t>
        </x:is>
      </x:c>
      <x:c r="C562" t="n">
        <x:v>3612</x:v>
      </x:c>
      <x:c r="D562" t="inlineStr">
        <x:is>
          <x:t xml:space="preserve">Siamformet 500 mg</x:t>
        </x:is>
      </x:c>
      <x:c r="E562" t="inlineStr">
        <x:is>
          <x:t xml:space="preserve">แผง 10 เม็ด</x:t>
        </x:is>
      </x:c>
      <x:c r="F562" t="inlineStr">
        <x:is>
          <x:t xml:space="preserve">Metformin HCl 500 mg.</x:t>
        </x:is>
      </x:c>
      <x:c r="G562" t="inlineStr">
        <x:is>
          <x:t xml:space="preserve">BDS003612</x:t>
        </x:is>
      </x:c>
      <x:c r="H562" t="inlineStr">
        <x:is>
          <x:t xml:space="preserve">Siamformet 500 mg (10 tabs)</x:t>
        </x:is>
      </x:c>
      <x:c r="I562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3">
      <x:c r="A563" t="n">
        <x:v>561</x:v>
      </x:c>
      <x:c r="B563" t="inlineStr">
        <x:is>
          <x:t xml:space="preserve">ยารักษาเบาหวาน (D)</x:t>
        </x:is>
      </x:c>
      <x:c r="C563" t="n">
        <x:v>3614</x:v>
      </x:c>
      <x:c r="D563" t="inlineStr">
        <x:is>
          <x:t xml:space="preserve">Siamformet 850 mg</x:t>
        </x:is>
      </x:c>
      <x:c r="E563" t="inlineStr">
        <x:is>
          <x:t xml:space="preserve">แผง 10 เม็ด</x:t>
        </x:is>
      </x:c>
      <x:c r="F563" t="inlineStr">
        <x:is>
          <x:t xml:space="preserve">Metformin HCl 850 mg.</x:t>
        </x:is>
      </x:c>
      <x:c r="G563" t="inlineStr">
        <x:is>
          <x:t xml:space="preserve">BDS003614</x:t>
        </x:is>
      </x:c>
      <x:c r="H563" t="inlineStr">
        <x:is>
          <x:t xml:space="preserve">Siamformet 850 mg (10 tabs)</x:t>
        </x:is>
      </x:c>
      <x:c r="I563" t="inlineStr">
        <x:is>
          <x:t xml:space="preserve">รับประทานตามแพทย์สั่ง (โดยทั่วไปครั้งละ 1 เม็ด วันละ 1-2 ครั้ง หลังอาหาร)</x:t>
        </x:is>
      </x:c>
    </x:row>
    <x:row r="564">
      <x:c r="A564" t="n">
        <x:v>562</x:v>
      </x:c>
      <x:c r="B564" t="inlineStr">
        <x:is>
          <x:t xml:space="preserve">ยารักษาเบาหวาน (D)</x:t>
        </x:is>
      </x:c>
      <x:c r="C564" t="n">
        <x:v>6734</x:v>
      </x:c>
      <x:c r="D564" t="inlineStr">
        <x:is>
          <x:t xml:space="preserve">Sugril 5 mg</x:t>
        </x:is>
      </x:c>
      <x:c r="E564" t="inlineStr">
        <x:is>
          <x:t xml:space="preserve">แผง 10 เม็ด</x:t>
        </x:is>
      </x:c>
      <x:c r="F564" t="inlineStr">
        <x:is>
          <x:t xml:space="preserve">Glibenclamide 5 mg.</x:t>
        </x:is>
      </x:c>
      <x:c r="G564" t="inlineStr">
        <x:is>
          <x:t xml:space="preserve">BDS006734</x:t>
        </x:is>
      </x:c>
      <x:c r="H564" t="inlineStr">
        <x:is>
          <x:t xml:space="preserve">Sugril 5 mg (10 tabs)</x:t>
        </x:is>
      </x:c>
      <x:c r="I564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65">
      <x:c r="A565" t="n">
        <x:v>563</x:v>
      </x:c>
      <x:c r="B565" t="inlineStr">
        <x:is>
          <x:t xml:space="preserve">ยาลดไขมันในเลือด (D)</x:t>
        </x:is>
      </x:c>
      <x:c r="C565" t="n">
        <x:v>1960</x:v>
      </x:c>
      <x:c r="D565" t="inlineStr">
        <x:is>
          <x:t xml:space="preserve">Atorvastatin Sandoz 10 mg</x:t>
        </x:is>
      </x:c>
      <x:c r="E565" t="inlineStr">
        <x:is>
          <x:t xml:space="preserve">แผง 10 เม็ด</x:t>
        </x:is>
      </x:c>
      <x:c r="F565" t="inlineStr">
        <x:is>
          <x:t xml:space="preserve">Atorvastatin Calcium 10.34 mg. (eq. to Atorvastatin 10 mg.)</x:t>
        </x:is>
      </x:c>
      <x:c r="G565" t="inlineStr">
        <x:is>
          <x:t xml:space="preserve">BDS001960</x:t>
        </x:is>
      </x:c>
      <x:c r="H565" t="inlineStr">
        <x:is>
          <x:t xml:space="preserve">Atorvastatin Sandoz 10 mg (10 tabs)</x:t>
        </x:is>
      </x:c>
      <x:c r="I565" t="inlineStr">
        <x:is>
          <x:t xml:space="preserve">รับประทานตามแพทย์สั่ง </x:t>
        </x:is>
      </x:c>
    </x:row>
    <x:row r="566">
      <x:c r="A566" t="n">
        <x:v>564</x:v>
      </x:c>
      <x:c r="B566" t="inlineStr">
        <x:is>
          <x:t xml:space="preserve">ยาลดไขมันในเลือด (D)</x:t>
        </x:is>
      </x:c>
      <x:c r="C566" t="n">
        <x:v>1945</x:v>
      </x:c>
      <x:c r="D566" t="inlineStr">
        <x:is>
          <x:t xml:space="preserve">Atorvastatin Sandoz 20 mg</x:t>
        </x:is>
      </x:c>
      <x:c r="E566" t="inlineStr">
        <x:is>
          <x:t xml:space="preserve">แผง 10 เม็ด</x:t>
        </x:is>
      </x:c>
      <x:c r="F566" t="inlineStr">
        <x:is>
          <x:t xml:space="preserve">Atorvastatin Calcium 20.68 mg. (eq. to Atorvastatin 20 mg.)</x:t>
        </x:is>
      </x:c>
      <x:c r="G566" t="inlineStr">
        <x:is>
          <x:t xml:space="preserve">BDS001945</x:t>
        </x:is>
      </x:c>
      <x:c r="H566" t="inlineStr">
        <x:is>
          <x:t xml:space="preserve">Atorvastatin Sandoz 20 mg (10 tabs)</x:t>
        </x:is>
      </x:c>
      <x:c r="I566" t="inlineStr">
        <x:is>
          <x:t xml:space="preserve">รับประทานตามแพทย์สั่ง </x:t>
        </x:is>
      </x:c>
    </x:row>
    <x:row r="567">
      <x:c r="A567" t="n">
        <x:v>565</x:v>
      </x:c>
      <x:c r="B567" t="inlineStr">
        <x:is>
          <x:t xml:space="preserve">ยาลดไขมันในเลือด (D)</x:t>
        </x:is>
      </x:c>
      <x:c r="C567" t="n">
        <x:v>1918</x:v>
      </x:c>
      <x:c r="D567" t="inlineStr">
        <x:is>
          <x:t xml:space="preserve">Atorvastatin Sandoz 40 mg</x:t>
        </x:is>
      </x:c>
      <x:c r="E567" t="inlineStr">
        <x:is>
          <x:t xml:space="preserve">แผง 10 เม็ด</x:t>
        </x:is>
      </x:c>
      <x:c r="F567" t="inlineStr">
        <x:is>
          <x:t xml:space="preserve">Atorvastatin Calcium 41.36 mg. (eq. to Atorvastatin 40 mg.)</x:t>
        </x:is>
      </x:c>
      <x:c r="G567" t="inlineStr">
        <x:is>
          <x:t xml:space="preserve">BDS001918</x:t>
        </x:is>
      </x:c>
      <x:c r="H567" t="inlineStr">
        <x:is>
          <x:t xml:space="preserve">Atorvastatin Sandoz 40 mg (10 tabs)</x:t>
        </x:is>
      </x:c>
      <x:c r="I567" t="inlineStr">
        <x:is>
          <x:t xml:space="preserve">รับประทานตามแพทย์สั่ง </x:t>
        </x:is>
      </x:c>
    </x:row>
    <x:row r="568">
      <x:c r="A568" t="n">
        <x:v>566</x:v>
      </x:c>
      <x:c r="B568" t="inlineStr">
        <x:is>
          <x:t xml:space="preserve">ยาลดไขมันในเลือด (D)</x:t>
        </x:is>
      </x:c>
      <x:c r="C568" t="n">
        <x:v>1226</x:v>
      </x:c>
      <x:c r="D568" t="inlineStr">
        <x:is>
          <x:t xml:space="preserve">Bestatin 10 mg</x:t>
        </x:is>
      </x:c>
      <x:c r="E568" t="inlineStr">
        <x:is>
          <x:t xml:space="preserve">แผง 10 เม็ด</x:t>
        </x:is>
      </x:c>
      <x:c r="F568" t="inlineStr">
        <x:is>
          <x:t xml:space="preserve">Simvastatin 10 mg.</x:t>
        </x:is>
      </x:c>
      <x:c r="G568" t="inlineStr">
        <x:is>
          <x:t xml:space="preserve">BDS001226</x:t>
        </x:is>
      </x:c>
      <x:c r="H568" t="inlineStr">
        <x:is>
          <x:t xml:space="preserve">Bestatin 10 mg (10 tabs)</x:t>
        </x:is>
      </x:c>
      <x:c r="I568" t="inlineStr">
        <x:is>
          <x:t xml:space="preserve">รับประทานตามแพทย์สั่ง </x:t>
        </x:is>
      </x:c>
    </x:row>
    <x:row r="569">
      <x:c r="A569" t="n">
        <x:v>567</x:v>
      </x:c>
      <x:c r="B569" t="inlineStr">
        <x:is>
          <x:t xml:space="preserve">ยาลดไขมันในเลือด (D)</x:t>
        </x:is>
      </x:c>
      <x:c r="C569" t="n">
        <x:v>1225</x:v>
      </x:c>
      <x:c r="D569" t="inlineStr">
        <x:is>
          <x:t xml:space="preserve">Bestatin 20 mg</x:t>
        </x:is>
      </x:c>
      <x:c r="E569" t="inlineStr">
        <x:is>
          <x:t xml:space="preserve">แผง 10 เม็ด</x:t>
        </x:is>
      </x:c>
      <x:c r="F569" t="inlineStr">
        <x:is>
          <x:t xml:space="preserve">Simvastatin 20 mg.</x:t>
        </x:is>
      </x:c>
      <x:c r="G569" t="inlineStr">
        <x:is>
          <x:t xml:space="preserve">BDS001225</x:t>
        </x:is>
      </x:c>
      <x:c r="H569" t="inlineStr">
        <x:is>
          <x:t xml:space="preserve">Bestatin 20 mg (10 tabs)</x:t>
        </x:is>
      </x:c>
      <x:c r="I569" t="inlineStr">
        <x:is>
          <x:t xml:space="preserve">รับประทานตามแพทย์สั่ง </x:t>
        </x:is>
      </x:c>
    </x:row>
    <x:row r="570">
      <x:c r="A570" t="n">
        <x:v>568</x:v>
      </x:c>
      <x:c r="B570" t="inlineStr">
        <x:is>
          <x:t xml:space="preserve">ยาลดไขมันในเลือด (D)</x:t>
        </x:is>
      </x:c>
      <x:c r="C570" t="n">
        <x:v>1223</x:v>
      </x:c>
      <x:c r="D570" t="inlineStr">
        <x:is>
          <x:t xml:space="preserve">Bestatin 40 mg</x:t>
        </x:is>
      </x:c>
      <x:c r="E570" t="inlineStr">
        <x:is>
          <x:t xml:space="preserve">แผง 10 เม็ด</x:t>
        </x:is>
      </x:c>
      <x:c r="F570" t="inlineStr">
        <x:is>
          <x:t xml:space="preserve">Simvastatin 40 mg.</x:t>
        </x:is>
      </x:c>
      <x:c r="G570" t="inlineStr">
        <x:is>
          <x:t xml:space="preserve">BDS001223</x:t>
        </x:is>
      </x:c>
      <x:c r="H570" t="inlineStr">
        <x:is>
          <x:t xml:space="preserve">Bestatin 40 mg (10 tabs)</x:t>
        </x:is>
      </x:c>
      <x:c r="I570" t="inlineStr">
        <x:is>
          <x:t xml:space="preserve">รับประทานตามแพทย์สั่ง </x:t>
        </x:is>
      </x:c>
    </x:row>
    <x:row r="571">
      <x:c r="A571" t="n">
        <x:v>569</x:v>
      </x:c>
      <x:c r="B571" t="inlineStr">
        <x:is>
          <x:t xml:space="preserve">ยาลดไขมันในเลือด (D)</x:t>
        </x:is>
      </x:c>
      <x:c r="C571" t="n">
        <x:v>41432</x:v>
      </x:c>
      <x:c r="D571" t="inlineStr">
        <x:is>
          <x:t xml:space="preserve">Chlovas-40 mg.</x:t>
        </x:is>
      </x:c>
      <x:c r="E571" t="inlineStr">
        <x:is>
          <x:t xml:space="preserve">แผง 10 เม็ด</x:t>
        </x:is>
      </x:c>
      <x:c r="F571" t="inlineStr">
        <x:is>
          <x:t xml:space="preserve">Atorvastatin Calcium 43.3 mg. (eq. to Atorvastatin 40 mg.)</x:t>
        </x:is>
      </x:c>
      <x:c r="G571" t="inlineStr">
        <x:is>
          <x:t xml:space="preserve">BDS041432</x:t>
        </x:is>
      </x:c>
      <x:c r="H571" t="inlineStr">
        <x:is>
          <x:t xml:space="preserve">Chlovas-40 mg. (10 tabs)</x:t>
        </x:is>
      </x:c>
      <x:c r="I571" t="inlineStr">
        <x:is>
          <x:t xml:space="preserve">รับประทานตามแพทย์สั่ง </x:t>
        </x:is>
      </x:c>
    </x:row>
    <x:row r="572">
      <x:c r="A572" t="n">
        <x:v>570</x:v>
      </x:c>
      <x:c r="B572" t="inlineStr">
        <x:is>
          <x:t xml:space="preserve">ยาลดไขมันในเลือด (D)</x:t>
        </x:is>
      </x:c>
      <x:c r="C572" t="n">
        <x:v>1922</x:v>
      </x:c>
      <x:c r="D572" t="inlineStr">
        <x:is>
          <x:t xml:space="preserve">Fibril 160</x:t>
        </x:is>
      </x:c>
      <x:c r="E572" t="inlineStr">
        <x:is>
          <x:t xml:space="preserve">แผง 10 แคปซูล</x:t>
        </x:is>
      </x:c>
      <x:c r="F572" t="inlineStr">
        <x:is>
          <x:t xml:space="preserve">Fenofibrate 160 mg.</x:t>
        </x:is>
      </x:c>
      <x:c r="G572" t="inlineStr">
        <x:is>
          <x:t xml:space="preserve">BDS001922</x:t>
        </x:is>
      </x:c>
      <x:c r="H572" t="inlineStr">
        <x:is>
          <x:t xml:space="preserve">Fibril 160 (10 cap)</x:t>
        </x:is>
      </x:c>
      <x:c r="I572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73">
      <x:c r="A573" t="n">
        <x:v>571</x:v>
      </x:c>
      <x:c r="B573" t="inlineStr">
        <x:is>
          <x:t xml:space="preserve">ยาลดไขมันในเลือด (D)</x:t>
        </x:is>
      </x:c>
      <x:c r="C573" t="n">
        <x:v>2132</x:v>
      </x:c>
      <x:c r="D573" t="inlineStr">
        <x:is>
          <x:t xml:space="preserve">Hidil 300 mg</x:t>
        </x:is>
      </x:c>
      <x:c r="E573" t="inlineStr">
        <x:is>
          <x:t xml:space="preserve">แผง 10 แคปซูล</x:t>
        </x:is>
      </x:c>
      <x:c r="F573" t="inlineStr">
        <x:is>
          <x:t xml:space="preserve">Gemfibrozil 300 mg.</x:t>
        </x:is>
      </x:c>
      <x:c r="G573" t="inlineStr">
        <x:is>
          <x:t xml:space="preserve">BDS002132</x:t>
        </x:is>
      </x:c>
      <x:c r="H573" t="inlineStr">
        <x:is>
          <x:t xml:space="preserve">Hidil 300 mg (10 cap)</x:t>
        </x:is>
      </x:c>
      <x:c r="I573" t="inlineStr">
        <x:is>
          <x:t xml:space="preserve">รับประทานครั้งละ 1-2 เม็ด วันละ 2 ครั้ง ก่อนอาหารครึ่งชั่วโมง หรือตามแพทย์สั่ง</x:t>
        </x:is>
      </x:c>
    </x:row>
    <x:row r="574">
      <x:c r="A574" t="n">
        <x:v>572</x:v>
      </x:c>
      <x:c r="B574" t="inlineStr">
        <x:is>
          <x:t xml:space="preserve">ยาลดไขมันในเลือด (D)</x:t>
        </x:is>
      </x:c>
      <x:c r="C574" t="n">
        <x:v>2133</x:v>
      </x:c>
      <x:c r="D574" t="inlineStr">
        <x:is>
          <x:t xml:space="preserve">Hidil 600 mg</x:t>
        </x:is>
      </x:c>
      <x:c r="E574" t="inlineStr">
        <x:is>
          <x:t xml:space="preserve">แผง 10 เม็ด</x:t>
        </x:is>
      </x:c>
      <x:c r="F574" t="inlineStr">
        <x:is>
          <x:t xml:space="preserve">Gemfibrozil 600 mg.</x:t>
        </x:is>
      </x:c>
      <x:c r="G574" t="inlineStr">
        <x:is>
          <x:t xml:space="preserve">BDS002133</x:t>
        </x:is>
      </x:c>
      <x:c r="H574" t="inlineStr">
        <x:is>
          <x:t xml:space="preserve">Hidil 600 mg (10 tabs)</x:t>
        </x:is>
      </x:c>
      <x:c r="I574" t="inlineStr">
        <x:is>
          <x:t xml:space="preserve">รับประทานครั้งละ 1 เม็ด วันละ 2 ครั้ง หรือตามแพทย์สั่ง</x:t>
        </x:is>
      </x:c>
    </x:row>
    <x:row r="575">
      <x:c r="A575" t="n">
        <x:v>573</x:v>
      </x:c>
      <x:c r="B575" t="inlineStr">
        <x:is>
          <x:t xml:space="preserve">ยาลดไขมันในเลือด (D)</x:t>
        </x:is>
      </x:c>
      <x:c r="C575" t="n">
        <x:v>6466</x:v>
      </x:c>
      <x:c r="D575" t="inlineStr">
        <x:is>
          <x:t xml:space="preserve">Supralip NT 145 mg</x:t>
        </x:is>
      </x:c>
      <x:c r="E575" t="inlineStr">
        <x:is>
          <x:t xml:space="preserve">แผง 10 เม็ด</x:t>
        </x:is>
      </x:c>
      <x:c r="F575" t="inlineStr">
        <x:is>
          <x:t xml:space="preserve">Fenofibrate 145 mg.</x:t>
        </x:is>
      </x:c>
      <x:c r="G575" t="inlineStr">
        <x:is>
          <x:t xml:space="preserve">BDS006466</x:t>
        </x:is>
      </x:c>
      <x:c r="H575" t="inlineStr">
        <x:is>
          <x:t xml:space="preserve">Supralip NT 145 mg (10 tabs)</x:t>
        </x:is>
      </x:c>
      <x:c r="I575" t="inlineStr">
        <x:is>
          <x:t xml:space="preserve">รับประทานครั้ง 1 แคปซูล วันละ 1 ครั้ง หรือตามแพทย์สั่ง</x:t>
        </x:is>
      </x:c>
    </x:row>
    <x:row r="576">
      <x:c r="A576" t="n">
        <x:v>574</x:v>
      </x:c>
      <x:c r="B576" t="inlineStr">
        <x:is>
          <x:t xml:space="preserve">ยาลดไขมันในเลือด (D)</x:t>
        </x:is>
      </x:c>
      <x:c r="C576" t="n">
        <x:v>49670</x:v>
      </x:c>
      <x:c r="D576" t="inlineStr">
        <x:is>
          <x:t xml:space="preserve">Xarator 10 mg.</x:t>
        </x:is>
      </x:c>
      <x:c r="E576" t="inlineStr">
        <x:is>
          <x:t xml:space="preserve">กล่อง 30 เม็ด</x:t>
        </x:is>
      </x:c>
      <x:c r="F576" t="inlineStr">
        <x:is>
          <x:t xml:space="preserve">Atorvastatin 10 mg.</x:t>
        </x:is>
      </x:c>
      <x:c r="G576" t="inlineStr">
        <x:is>
          <x:t xml:space="preserve">BDS049670</x:t>
        </x:is>
      </x:c>
      <x:c r="H576" t="inlineStr">
        <x:is>
          <x:t xml:space="preserve">Xarator 10 mg. (30 tabs)</x:t>
        </x:is>
      </x:c>
      <x:c r="I576" t="inlineStr">
        <x:is>
          <x:t xml:space="preserve">รับประทานตามแพทย์สั่ง </x:t>
        </x:is>
      </x:c>
    </x:row>
    <x:row r="577">
      <x:c r="A577" t="n">
        <x:v>575</x:v>
      </x:c>
      <x:c r="B577" t="inlineStr">
        <x:is>
          <x:t xml:space="preserve">ยาลดไขมันในเลือด (D)</x:t>
        </x:is>
      </x:c>
      <x:c r="C577" t="n">
        <x:v>49671</x:v>
      </x:c>
      <x:c r="D577" t="inlineStr">
        <x:is>
          <x:t xml:space="preserve">Xarator 20 mg.</x:t>
        </x:is>
      </x:c>
      <x:c r="E577" t="inlineStr">
        <x:is>
          <x:t xml:space="preserve">กล่อง 30 เม็ด </x:t>
        </x:is>
      </x:c>
      <x:c r="F577" t="inlineStr">
        <x:is>
          <x:t xml:space="preserve">Atorvastatin 20 mg.</x:t>
        </x:is>
      </x:c>
      <x:c r="G577" t="inlineStr">
        <x:is>
          <x:t xml:space="preserve">BDS049671</x:t>
        </x:is>
      </x:c>
      <x:c r="H577" t="inlineStr">
        <x:is>
          <x:t xml:space="preserve">Xarator 20 mg. (30 tabs)</x:t>
        </x:is>
      </x:c>
      <x:c r="I577" t="inlineStr">
        <x:is>
          <x:t xml:space="preserve">รับประทานตามแพทย์สั่ง </x:t>
        </x:is>
      </x:c>
    </x:row>
    <x:row r="578">
      <x:c r="A578" t="n">
        <x:v>576</x:v>
      </x:c>
      <x:c r="B578" t="inlineStr">
        <x:is>
          <x:t xml:space="preserve">ยาลดไขมันในเลือด (D)</x:t>
        </x:is>
      </x:c>
      <x:c r="C578" t="n">
        <x:v>4228</x:v>
      </x:c>
      <x:c r="D578" t="inlineStr">
        <x:is>
          <x:t xml:space="preserve">Zimmex 10 mg</x:t>
        </x:is>
      </x:c>
      <x:c r="E578" t="inlineStr">
        <x:is>
          <x:t xml:space="preserve">แผง 10 เม็ด</x:t>
        </x:is>
      </x:c>
      <x:c r="F578" t="inlineStr">
        <x:is>
          <x:t xml:space="preserve">Simvastatin 10 mg.</x:t>
        </x:is>
      </x:c>
      <x:c r="G578" t="inlineStr">
        <x:is>
          <x:t xml:space="preserve">BDS004228</x:t>
        </x:is>
      </x:c>
      <x:c r="H578" t="inlineStr">
        <x:is>
          <x:t xml:space="preserve">Zimmex 10 mg (10 tabs)</x:t>
        </x:is>
      </x:c>
      <x:c r="I578" t="inlineStr">
        <x:is>
          <x:t xml:space="preserve">รับประทานตามแพทย์สั่ง </x:t>
        </x:is>
      </x:c>
    </x:row>
    <x:row r="579">
      <x:c r="A579" t="n">
        <x:v>577</x:v>
      </x:c>
      <x:c r="B579" t="inlineStr">
        <x:is>
          <x:t xml:space="preserve">ยาลดไขมันในเลือด (D)</x:t>
        </x:is>
      </x:c>
      <x:c r="C579" t="n">
        <x:v>1222</x:v>
      </x:c>
      <x:c r="D579" t="inlineStr">
        <x:is>
          <x:t xml:space="preserve">Zimmex 20 mg</x:t>
        </x:is>
      </x:c>
      <x:c r="E579" t="inlineStr">
        <x:is>
          <x:t xml:space="preserve">แผง 10 เม็ด</x:t>
        </x:is>
      </x:c>
      <x:c r="F579" t="inlineStr">
        <x:is>
          <x:t xml:space="preserve">Simvastatin 20 mg.</x:t>
        </x:is>
      </x:c>
      <x:c r="G579" t="inlineStr">
        <x:is>
          <x:t xml:space="preserve">BDS001222</x:t>
        </x:is>
      </x:c>
      <x:c r="H579" t="inlineStr">
        <x:is>
          <x:t xml:space="preserve">Zimmex 20 mg (10 tabs)</x:t>
        </x:is>
      </x:c>
      <x:c r="I579" t="inlineStr">
        <x:is>
          <x:t xml:space="preserve">รับประทานตามแพทย์สั่ง </x:t>
        </x:is>
      </x:c>
    </x:row>
    <x:row r="580">
      <x:c r="A580" t="n">
        <x:v>578</x:v>
      </x:c>
      <x:c r="B580" t="inlineStr">
        <x:is>
          <x:t xml:space="preserve">ยาลดไขมันในเลือด (D)</x:t>
        </x:is>
      </x:c>
      <x:c r="C580" t="n">
        <x:v>49784</x:v>
      </x:c>
      <x:c r="D580" t="inlineStr">
        <x:is>
          <x:t xml:space="preserve">Zimmex 40 mg</x:t>
        </x:is>
      </x:c>
      <x:c r="E580" t="inlineStr">
        <x:is>
          <x:t xml:space="preserve">แผง 10 เม็ด</x:t>
        </x:is>
      </x:c>
      <x:c r="F580" t="inlineStr">
        <x:is>
          <x:t xml:space="preserve">Simvastatin 40 mg.</x:t>
        </x:is>
      </x:c>
      <x:c r="G580" t="inlineStr">
        <x:is>
          <x:t xml:space="preserve">BDS049784</x:t>
        </x:is>
      </x:c>
      <x:c r="H580" t="inlineStr">
        <x:is>
          <x:t xml:space="preserve">Zimmex 40 mg (10 tabs)</x:t>
        </x:is>
      </x:c>
      <x:c r="I580" t="inlineStr">
        <x:is>
          <x:t xml:space="preserve">รับประทานตามแพทย์สั่ง </x:t>
        </x:is>
      </x:c>
    </x:row>
    <x:row r="581">
      <x:c r="A581" t="n">
        <x:v>579</x:v>
      </x:c>
      <x:c r="B581" t="inlineStr">
        <x:is>
          <x:t xml:space="preserve">ยาลดไขมันในเลือด (D)</x:t>
        </x:is>
      </x:c>
      <x:c r="C581" t="n">
        <x:v>6693</x:v>
      </x:c>
      <x:c r="D581" t="inlineStr">
        <x:is>
          <x:t xml:space="preserve">Zimva 10 mg (GPO)</x:t>
        </x:is>
      </x:c>
      <x:c r="E581" t="inlineStr">
        <x:is>
          <x:t xml:space="preserve">แผง 10 เม็ด</x:t>
        </x:is>
      </x:c>
      <x:c r="F581" t="inlineStr">
        <x:is>
          <x:t xml:space="preserve">Simvastatin 10 mg.</x:t>
        </x:is>
      </x:c>
      <x:c r="G581" t="inlineStr">
        <x:is>
          <x:t xml:space="preserve">BDS006693</x:t>
        </x:is>
      </x:c>
      <x:c r="H581" t="inlineStr">
        <x:is>
          <x:t xml:space="preserve">Zimva 10 mg (GPO) (10 tabs)</x:t>
        </x:is>
      </x:c>
      <x:c r="I581" t="inlineStr">
        <x:is>
          <x:t xml:space="preserve">รับประทานตามแพทย์สั่ง </x:t>
        </x:is>
      </x:c>
    </x:row>
    <x:row r="582">
      <x:c r="A582" t="n">
        <x:v>580</x:v>
      </x:c>
      <x:c r="B582" t="inlineStr">
        <x:is>
          <x:t xml:space="preserve">ยาลดไขมันในเลือด (D)</x:t>
        </x:is>
      </x:c>
      <x:c r="C582" t="n">
        <x:v>6691</x:v>
      </x:c>
      <x:c r="D582" t="inlineStr">
        <x:is>
          <x:t xml:space="preserve">Zimva 20 mg (GPO)</x:t>
        </x:is>
      </x:c>
      <x:c r="E582" t="inlineStr">
        <x:is>
          <x:t xml:space="preserve">แผง 10 เม็ด</x:t>
        </x:is>
      </x:c>
      <x:c r="F582" t="inlineStr">
        <x:is>
          <x:t xml:space="preserve">Simvastatin 20 mg.</x:t>
        </x:is>
      </x:c>
      <x:c r="G582" t="inlineStr">
        <x:is>
          <x:t xml:space="preserve">BDS006691</x:t>
        </x:is>
      </x:c>
      <x:c r="H582" t="inlineStr">
        <x:is>
          <x:t xml:space="preserve">Zimva 20 mg (GPO) (10 tabs)</x:t>
        </x:is>
      </x:c>
      <x:c r="I582" t="inlineStr">
        <x:is>
          <x:t xml:space="preserve">รับประทานตามแพทย์สั่ง </x:t>
        </x:is>
      </x:c>
    </x:row>
    <x:row r="583">
      <x:c r="A583" t="n">
        <x:v>581</x:v>
      </x:c>
      <x:c r="B583" t="inlineStr">
        <x:is>
          <x:t xml:space="preserve">ยาขับปัสสาวะและลดความดัน (D)</x:t>
        </x:is>
      </x:c>
      <x:c r="C583" t="n">
        <x:v>7005</x:v>
      </x:c>
      <x:c r="D583" t="inlineStr">
        <x:is>
          <x:t xml:space="preserve">Altone</x:t>
        </x:is>
      </x:c>
      <x:c r="E583" t="inlineStr">
        <x:is>
          <x:t xml:space="preserve">แผง 10 เม็ด</x:t>
        </x:is>
      </x:c>
      <x:c r="F583" t="inlineStr">
        <x:is>
          <x:t xml:space="preserve">Spironolactone 25 mg.</x:t>
        </x:is>
      </x:c>
      <x:c r="G583" t="inlineStr">
        <x:is>
          <x:t xml:space="preserve">BDS007005</x:t>
        </x:is>
      </x:c>
      <x:c r="H583" t="inlineStr">
        <x:is>
          <x:t xml:space="preserve">Altone (10 tabs)</x:t>
        </x:is>
      </x:c>
      <x:c r="I583" t="inlineStr">
        <x:is>
          <x:t xml:space="preserve">รับประทานตามแพทย์สั่ง (ทั่วไปครั้งละ 1 เม็ด ตอนเช้า)</x:t>
        </x:is>
      </x:c>
    </x:row>
    <x:row r="584">
      <x:c r="A584" t="n">
        <x:v>582</x:v>
      </x:c>
      <x:c r="B584" t="inlineStr">
        <x:is>
          <x:t xml:space="preserve">ยาขับปัสสาวะและลดความดัน (D)</x:t>
        </x:is>
      </x:c>
      <x:c r="C584" t="n">
        <x:v>1987</x:v>
      </x:c>
      <x:c r="D584" t="inlineStr">
        <x:is>
          <x:t xml:space="preserve">Furetic 40 mg</x:t>
        </x:is>
      </x:c>
      <x:c r="E584" t="inlineStr">
        <x:is>
          <x:t xml:space="preserve">แผง 10 เม็ด</x:t>
        </x:is>
      </x:c>
      <x:c r="F584" t="inlineStr">
        <x:is>
          <x:t xml:space="preserve">Furosemide 40 mg.</x:t>
        </x:is>
      </x:c>
      <x:c r="G584" t="inlineStr">
        <x:is>
          <x:t xml:space="preserve">BDS001987</x:t>
        </x:is>
      </x:c>
      <x:c r="H584" t="inlineStr">
        <x:is>
          <x:t xml:space="preserve">Furetic 40 mg (10 tabs)</x:t>
        </x:is>
      </x:c>
      <x:c r="I584" t="inlineStr">
        <x:is>
          <x:t xml:space="preserve">รับประทานตามแพทย์สั่ง (โดยทั่วไปครั้งละ 1 เม็ด วันละ 1-2 ครั้ง)</x:t>
        </x:is>
      </x:c>
    </x:row>
    <x:row r="585">
      <x:c r="A585" t="n">
        <x:v>583</x:v>
      </x:c>
      <x:c r="B585" t="inlineStr">
        <x:is>
          <x:t xml:space="preserve">ยาขับปัสสาวะและลดความดัน (D)</x:t>
        </x:is>
      </x:c>
      <x:c r="C585" t="n">
        <x:v>6802</x:v>
      </x:c>
      <x:c r="D585" t="inlineStr">
        <x:is>
          <x:t xml:space="preserve">GPO - HCTZ 25</x:t>
        </x:is>
      </x:c>
      <x:c r="E585" t="inlineStr">
        <x:is>
          <x:t xml:space="preserve">แผง 10 เม็ด</x:t>
        </x:is>
      </x:c>
      <x:c r="F585" t="inlineStr">
        <x:is>
          <x:t xml:space="preserve">Hydrochlorothiazide 25 mg.</x:t>
        </x:is>
      </x:c>
      <x:c r="G585" t="inlineStr">
        <x:is>
          <x:t xml:space="preserve">BDS006802</x:t>
        </x:is>
      </x:c>
      <x:c r="H585" t="inlineStr">
        <x:is>
          <x:t xml:space="preserve">GPO - HCTZ 25 (10 tabs)</x:t>
        </x:is>
      </x:c>
      <x:c r="I585" t="inlineStr">
        <x:is>
          <x:t xml:space="preserve">รับประทานครั้งละ 1 เม็ด วันละ 1 ครั้ง หรือตามแพทย์สั่ง</x:t>
        </x:is>
      </x:c>
    </x:row>
    <x:row r="586">
      <x:c r="A586" t="n">
        <x:v>584</x:v>
      </x:c>
      <x:c r="B586" t="inlineStr">
        <x:is>
          <x:t xml:space="preserve">ยาขับปัสสาวะและลดความดัน (D)</x:t>
        </x:is>
      </x:c>
      <x:c r="C586" t="n">
        <x:v>6801</x:v>
      </x:c>
      <x:c r="D586" t="inlineStr">
        <x:is>
          <x:t xml:space="preserve">GPO - HCTZ 50</x:t>
        </x:is>
      </x:c>
      <x:c r="E586" t="inlineStr">
        <x:is>
          <x:t xml:space="preserve">แผง 10 เม็ด</x:t>
        </x:is>
      </x:c>
      <x:c r="F586" t="inlineStr">
        <x:is>
          <x:t xml:space="preserve">Hydrochlorothiazide 50 mg.</x:t>
        </x:is>
      </x:c>
      <x:c r="G586" t="inlineStr">
        <x:is>
          <x:t xml:space="preserve">BDS006801</x:t>
        </x:is>
      </x:c>
      <x:c r="H586" t="inlineStr">
        <x:is>
          <x:t xml:space="preserve">GPO - HCTZ 50 (10 tabs)</x:t>
        </x:is>
      </x:c>
      <x:c r="I586" t="inlineStr">
        <x:is>
          <x:t xml:space="preserve">รับประทานครั้งละ 1 เม็ด วันละ 1-2 ครั้ง หลังอาหารหรือตามแพทย์สั่ง</x:t>
        </x:is>
      </x:c>
    </x:row>
    <x:row r="587">
      <x:c r="A587" t="n">
        <x:v>585</x:v>
      </x:c>
      <x:c r="B587" t="inlineStr">
        <x:is>
          <x:t xml:space="preserve">ยาขับปัสสาวะและลดความดัน (D)</x:t>
        </x:is>
      </x:c>
      <x:c r="C587" t="n">
        <x:v>1480</x:v>
      </x:c>
      <x:c r="D587" t="inlineStr">
        <x:is>
          <x:t xml:space="preserve">HCTZ 25</x:t>
        </x:is>
      </x:c>
      <x:c r="E587" t="inlineStr">
        <x:is>
          <x:t xml:space="preserve">แผง 10 เม็ด</x:t>
        </x:is>
      </x:c>
      <x:c r="F587" t="inlineStr">
        <x:is>
          <x:t xml:space="preserve">Hydrochlorothiazide 25 mg.</x:t>
        </x:is>
      </x:c>
      <x:c r="G587" t="inlineStr">
        <x:is>
          <x:t xml:space="preserve">BDS001480</x:t>
        </x:is>
      </x:c>
      <x:c r="H587" t="inlineStr">
        <x:is>
          <x:t xml:space="preserve">HCTZ 25 (10 tabs)</x:t>
        </x:is>
      </x:c>
      <x:c r="I587" t="inlineStr">
        <x:is>
          <x:t xml:space="preserve">รับประทานครั้งละ 1 เม็ด วันละ 1 ครั้ง ตอนเช้า หรือตามแพทย์สั่ง</x:t>
        </x:is>
      </x:c>
    </x:row>
    <x:row r="588">
      <x:c r="A588" t="n">
        <x:v>586</x:v>
      </x:c>
      <x:c r="B588" t="inlineStr">
        <x:is>
          <x:t xml:space="preserve">ยาขับปัสสาวะและลดความดัน (D)</x:t>
        </x:is>
      </x:c>
      <x:c r="C588" t="n">
        <x:v>2633</x:v>
      </x:c>
      <x:c r="D588" t="inlineStr">
        <x:is>
          <x:t xml:space="preserve">Moduretic</x:t>
        </x:is>
      </x:c>
      <x:c r="E588" t="inlineStr">
        <x:is>
          <x:t xml:space="preserve">แผง 10 เม็ด</x:t>
        </x:is>
      </x:c>
      <x:c r="F588" t="inlineStr">
        <x:is>
          <x:t xml:space="preserve">Hydrochlorothiazide 50 mg.+ Amiloride HCl 5 mg</x:t>
        </x:is>
      </x:c>
      <x:c r="G588" t="inlineStr">
        <x:is>
          <x:t xml:space="preserve">BDS002633</x:t>
        </x:is>
      </x:c>
      <x:c r="H588" t="inlineStr">
        <x:is>
          <x:t xml:space="preserve">Moduretic (10 tabs)</x:t>
        </x:is>
      </x:c>
      <x:c r="I588" t="inlineStr">
        <x:is>
          <x:t xml:space="preserve">รับประทานตามแพทย์สั่ง </x:t>
        </x:is>
      </x:c>
    </x:row>
    <x:row r="589">
      <x:c r="A589" t="n">
        <x:v>587</x:v>
      </x:c>
      <x:c r="B589" t="inlineStr">
        <x:is>
          <x:t xml:space="preserve">ยารักษาต่อมลูกหมากโต (D)</x:t>
        </x:is>
      </x:c>
      <x:c r="C589" t="n">
        <x:v>1439</x:v>
      </x:c>
      <x:c r="D589" t="inlineStr">
        <x:is>
          <x:t xml:space="preserve">Cardura XL 4 mg</x:t>
        </x:is>
      </x:c>
      <x:c r="E589" t="inlineStr">
        <x:is>
          <x:t xml:space="preserve">แผง 10 เม็ด</x:t>
        </x:is>
      </x:c>
      <x:c r="F589" t="inlineStr">
        <x:is>
          <x:t xml:space="preserve">Doxazosin 4 mg.</x:t>
        </x:is>
      </x:c>
      <x:c r="G589" t="inlineStr">
        <x:is>
          <x:t xml:space="preserve">BDS001439</x:t>
        </x:is>
      </x:c>
      <x:c r="H589" t="inlineStr">
        <x:is>
          <x:t xml:space="preserve">Cardura XL 4 mg (10 tabs)</x:t>
        </x:is>
      </x:c>
      <x:c r="I589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90">
      <x:c r="A590" t="n">
        <x:v>588</x:v>
      </x:c>
      <x:c r="B590" t="inlineStr">
        <x:is>
          <x:t xml:space="preserve">ยารักษาต่อมลูกหมากโต (D)</x:t>
        </x:is>
      </x:c>
      <x:c r="C590" t="n">
        <x:v>1429</x:v>
      </x:c>
      <x:c r="D590" t="inlineStr">
        <x:is>
          <x:t xml:space="preserve">Cazosin 2 mg</x:t>
        </x:is>
      </x:c>
      <x:c r="E590" t="inlineStr">
        <x:is>
          <x:t xml:space="preserve">แผง 10 เม็ด</x:t>
        </x:is>
      </x:c>
      <x:c r="F590" t="inlineStr">
        <x:is>
          <x:t xml:space="preserve">Doxazosin mesylate 2 mg.</x:t>
        </x:is>
      </x:c>
      <x:c r="G590" t="inlineStr">
        <x:is>
          <x:t xml:space="preserve">BDS001429</x:t>
        </x:is>
      </x:c>
      <x:c r="H590" t="inlineStr">
        <x:is>
          <x:t xml:space="preserve">Cazosin 2 mg (10 tabs)</x:t>
        </x:is>
      </x:c>
      <x:c r="I590" t="inlineStr">
        <x:is>
          <x:t xml:space="preserve">รับประทานตามแพทย์สั่ง </x:t>
        </x:is>
      </x:c>
    </x:row>
    <x:row r="591">
      <x:c r="A591" t="n">
        <x:v>589</x:v>
      </x:c>
      <x:c r="B591" t="inlineStr">
        <x:is>
          <x:t xml:space="preserve">ยารักษาต่อมลูกหมากโต (D)</x:t>
        </x:is>
      </x:c>
      <x:c r="C591" t="n">
        <x:v>2016</x:v>
      </x:c>
      <x:c r="D591" t="inlineStr">
        <x:is>
          <x:t xml:space="preserve">Firide 5 mg</x:t>
        </x:is>
      </x:c>
      <x:c r="E591" t="inlineStr">
        <x:is>
          <x:t xml:space="preserve">แผง 10 เม็ด</x:t>
        </x:is>
      </x:c>
      <x:c r="F591" t="inlineStr">
        <x:is>
          <x:t xml:space="preserve">Finasteride 5 mg.</x:t>
        </x:is>
      </x:c>
      <x:c r="G591" t="inlineStr">
        <x:is>
          <x:t xml:space="preserve">BDS002016</x:t>
        </x:is>
      </x:c>
      <x:c r="H591" t="inlineStr">
        <x:is>
          <x:t xml:space="preserve">Firide 5 mg (10 tabs)</x:t>
        </x:is>
      </x:c>
      <x:c r="I591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92">
      <x:c r="A592" t="n">
        <x:v>590</x:v>
      </x:c>
      <x:c r="B592" t="inlineStr">
        <x:is>
          <x:t xml:space="preserve">ยารักษาต่อมลูกหมากโต (D)</x:t>
        </x:is>
      </x:c>
      <x:c r="C592" t="n">
        <x:v>46561</x:v>
      </x:c>
      <x:c r="D592" t="inlineStr">
        <x:is>
          <x:t xml:space="preserve">Pencor 2 </x:t>
        </x:is>
      </x:c>
      <x:c r="E592" t="inlineStr">
        <x:is>
          <x:t xml:space="preserve">แผง 10 เม็ด</x:t>
        </x:is>
      </x:c>
      <x:c r="F592" t="inlineStr">
        <x:is>
          <x:t xml:space="preserve">Doxazosin 2 mg.</x:t>
        </x:is>
      </x:c>
      <x:c r="G592" t="inlineStr">
        <x:is>
          <x:t xml:space="preserve">BDS046561</x:t>
        </x:is>
      </x:c>
      <x:c r="H592" t="inlineStr">
        <x:is>
          <x:t xml:space="preserve">Pencor 2  (10 tabs)</x:t>
        </x:is>
      </x:c>
      <x:c r="I592" t="inlineStr">
        <x:is>
          <x:t xml:space="preserve">รับประทานครั้งละ 1 เม็ด วันละ 1 ครั้ง หรือตามแพทย์สั่ง</x:t>
        </x:is>
      </x:c>
    </x:row>
    <x:row r="593">
      <x:c r="A593" t="n">
        <x:v>591</x:v>
      </x:c>
      <x:c r="B593" t="inlineStr">
        <x:is>
          <x:t xml:space="preserve">ยากันชัก (D)</x:t>
        </x:is>
      </x:c>
      <x:c r="C593" t="n">
        <x:v>1666</x:v>
      </x:c>
      <x:c r="D593" t="inlineStr">
        <x:is>
          <x:t xml:space="preserve">Dilantin</x:t>
        </x:is>
      </x:c>
      <x:c r="E593" t="inlineStr">
        <x:is>
          <x:t xml:space="preserve">กระปุก 100 แคปซูล</x:t>
        </x:is>
      </x:c>
      <x:c r="F593" t="inlineStr">
        <x:is>
          <x:t xml:space="preserve">Phenytoin Sodium 100 mg.</x:t>
        </x:is>
      </x:c>
      <x:c r="G593" t="inlineStr">
        <x:is>
          <x:t xml:space="preserve">BDS001666</x:t>
        </x:is>
      </x:c>
      <x:c r="H593" t="inlineStr">
        <x:is>
          <x:t xml:space="preserve">Dilantin (100 cap)</x:t>
        </x:is>
      </x:c>
      <x:c r="I593" t="inlineStr">
        <x:is>
          <x:t xml:space="preserve">รับประทานครั้งละ 1 แคปซูล วันละ 3-4 ครั้ง หรือตามแพทย์สั่ง</x:t>
        </x:is>
      </x:c>
    </x:row>
    <x:row r="594">
      <x:c r="A594" t="n">
        <x:v>592</x:v>
      </x:c>
      <x:c r="B594" t="inlineStr">
        <x:is>
          <x:t xml:space="preserve">ยากันชัก (D)</x:t>
        </x:is>
      </x:c>
      <x:c r="C594" t="n">
        <x:v>2047</x:v>
      </x:c>
      <x:c r="D594" t="inlineStr">
        <x:is>
          <x:t xml:space="preserve">Gabutin 100 mg</x:t>
        </x:is>
      </x:c>
      <x:c r="E594" t="inlineStr">
        <x:is>
          <x:t xml:space="preserve">แผง 10 แคปซูล</x:t>
        </x:is>
      </x:c>
      <x:c r="F594" t="inlineStr">
        <x:is>
          <x:t xml:space="preserve">Gabapentin 100 mg.</x:t>
        </x:is>
      </x:c>
      <x:c r="G594" t="inlineStr">
        <x:is>
          <x:t xml:space="preserve">BDS002047</x:t>
        </x:is>
      </x:c>
      <x:c r="H594" t="inlineStr">
        <x:is>
          <x:t xml:space="preserve">Gabutin 100 mg (10 cap)</x:t>
        </x:is>
      </x:c>
      <x:c r="I594" t="inlineStr">
        <x:is>
          <x:t xml:space="preserve">รับประทานครั้งละ 1 แคปซูล วันละ 3 ครั้ง หรือตามแพทย์สั่ง</x:t>
        </x:is>
      </x:c>
    </x:row>
    <x:row r="595">
      <x:c r="A595" t="n">
        <x:v>593</x:v>
      </x:c>
      <x:c r="B595" t="inlineStr">
        <x:is>
          <x:t xml:space="preserve">ยากันชัก (D)</x:t>
        </x:is>
      </x:c>
      <x:c r="C595" t="n">
        <x:v>2046</x:v>
      </x:c>
      <x:c r="D595" t="inlineStr">
        <x:is>
          <x:t xml:space="preserve">Gabutin 300 mg</x:t>
        </x:is>
      </x:c>
      <x:c r="E595" t="inlineStr">
        <x:is>
          <x:t xml:space="preserve">แผง 10 แคปซูล</x:t>
        </x:is>
      </x:c>
      <x:c r="F595" t="inlineStr">
        <x:is>
          <x:t xml:space="preserve">Gabapentin 300 mg.</x:t>
        </x:is>
      </x:c>
      <x:c r="G595" t="inlineStr">
        <x:is>
          <x:t xml:space="preserve">BDS002046</x:t>
        </x:is>
      </x:c>
      <x:c r="H595" t="inlineStr">
        <x:is>
          <x:t xml:space="preserve">Gabutin 300 mg (10 cap)</x:t>
        </x:is>
      </x:c>
      <x:c r="I595" t="inlineStr">
        <x:is>
          <x:t xml:space="preserve">รับประทานครั้งละ 1 แคปซูล วันละ 3 ครั้ง หรือตามแพทย์สั่ง</x:t>
        </x:is>
      </x:c>
    </x:row>
    <x:row r="596">
      <x:c r="A596" t="n">
        <x:v>594</x:v>
      </x:c>
      <x:c r="B596" t="inlineStr">
        <x:is>
          <x:t xml:space="preserve">ยากันชัก (D)</x:t>
        </x:is>
      </x:c>
      <x:c r="C596" t="n">
        <x:v>2561</x:v>
      </x:c>
      <x:c r="D596" t="inlineStr">
        <x:is>
          <x:t xml:space="preserve">Lyrica 25 mg</x:t>
        </x:is>
      </x:c>
      <x:c r="E596" t="inlineStr">
        <x:is>
          <x:t xml:space="preserve">แผง 14 แคปซูล</x:t>
        </x:is>
      </x:c>
      <x:c r="F596" t="inlineStr">
        <x:is>
          <x:t xml:space="preserve">Pregabalin 25 mg.</x:t>
        </x:is>
      </x:c>
      <x:c r="G596" t="inlineStr">
        <x:is>
          <x:t xml:space="preserve">BDS002561</x:t>
        </x:is>
      </x:c>
      <x:c r="H596" t="inlineStr">
        <x:is>
          <x:t xml:space="preserve">Lyrica 25 mg (14 cap)</x:t>
        </x:is>
      </x:c>
      <x:c r="I596" t="inlineStr">
        <x:is>
          <x:t xml:space="preserve">รับประทานตามแพทย์สั่ง </x:t>
        </x:is>
      </x:c>
    </x:row>
    <x:row r="597">
      <x:c r="A597" t="n">
        <x:v>595</x:v>
      </x:c>
      <x:c r="B597" t="inlineStr">
        <x:is>
          <x:t xml:space="preserve">ยากันชัก (D)</x:t>
        </x:is>
      </x:c>
      <x:c r="C597" t="n">
        <x:v>2591</x:v>
      </x:c>
      <x:c r="D597" t="inlineStr">
        <x:is>
          <x:t xml:space="preserve">Lyrica 75 mg</x:t>
        </x:is>
      </x:c>
      <x:c r="E597" t="inlineStr">
        <x:is>
          <x:t xml:space="preserve">แผง 14 แคปซูล</x:t>
        </x:is>
      </x:c>
      <x:c r="F597" t="inlineStr">
        <x:is>
          <x:t xml:space="preserve">Pregabalin 75 mg.</x:t>
        </x:is>
      </x:c>
      <x:c r="G597" t="inlineStr">
        <x:is>
          <x:t xml:space="preserve">BDS002591</x:t>
        </x:is>
      </x:c>
      <x:c r="H597" t="inlineStr">
        <x:is>
          <x:t xml:space="preserve">Lyrica 75 mg (14 cap)</x:t>
        </x:is>
      </x:c>
      <x:c r="I597" t="inlineStr">
        <x:is>
          <x:t xml:space="preserve">รับประทานตามแพทย์สั่ง </x:t>
        </x:is>
      </x:c>
    </x:row>
    <x:row r="598">
      <x:c r="A598" t="n">
        <x:v>596</x:v>
      </x:c>
      <x:c r="B598" t="inlineStr">
        <x:is>
          <x:t xml:space="preserve">ยากันชัก (D)</x:t>
        </x:is>
      </x:c>
      <x:c r="C598" t="n">
        <x:v>2863</x:v>
      </x:c>
      <x:c r="D598" t="inlineStr">
        <x:is>
          <x:t xml:space="preserve">Neurontin 100 mg</x:t>
        </x:is>
      </x:c>
      <x:c r="E598" t="inlineStr">
        <x:is>
          <x:t xml:space="preserve">แผง 10 แคปซูล</x:t>
        </x:is>
      </x:c>
      <x:c r="F598" t="inlineStr">
        <x:is>
          <x:t xml:space="preserve">Gabapentin 100 mg.</x:t>
        </x:is>
      </x:c>
      <x:c r="G598" t="inlineStr">
        <x:is>
          <x:t xml:space="preserve">BDS002863</x:t>
        </x:is>
      </x:c>
      <x:c r="H598" t="inlineStr">
        <x:is>
          <x:t xml:space="preserve">Neurontin 100 mg (10 cap)</x:t>
        </x:is>
      </x:c>
      <x:c r="I598" t="inlineStr">
        <x:is>
          <x:t xml:space="preserve">รับประทานตามแพทย์สั่ง (โดยทั่วไปครั้งละ 1 แคปซูล วันละ 1 ครั้ง ก่อนอาหาร)</x:t>
        </x:is>
      </x:c>
    </x:row>
    <x:row r="599">
      <x:c r="A599" t="n">
        <x:v>597</x:v>
      </x:c>
      <x:c r="B599" t="inlineStr">
        <x:is>
          <x:t xml:space="preserve">ยากันชัก (D)</x:t>
        </x:is>
      </x:c>
      <x:c r="C599" t="n">
        <x:v>2823</x:v>
      </x:c>
      <x:c r="D599" t="inlineStr">
        <x:is>
          <x:t xml:space="preserve">Neurontin 300 mg</x:t>
        </x:is>
      </x:c>
      <x:c r="E599" t="inlineStr">
        <x:is>
          <x:t xml:space="preserve">แผง 10 แคปซูล</x:t>
        </x:is>
      </x:c>
      <x:c r="F599" t="inlineStr">
        <x:is>
          <x:t xml:space="preserve">Gabapentin 300 mg.</x:t>
        </x:is>
      </x:c>
      <x:c r="G599" t="inlineStr">
        <x:is>
          <x:t xml:space="preserve">BDS002823</x:t>
        </x:is>
      </x:c>
      <x:c r="H599" t="inlineStr">
        <x:is>
          <x:t xml:space="preserve">Neurontin 300 mg (10 cap)</x:t>
        </x:is>
      </x:c>
      <x:c r="I599" t="inlineStr">
        <x:is>
          <x:t xml:space="preserve">รับประทานตามแพทย์สั่ง </x:t>
        </x:is>
      </x:c>
    </x:row>
    <x:row r="600">
      <x:c r="A600" t="n">
        <x:v>598</x:v>
      </x:c>
      <x:c r="B600" t="inlineStr">
        <x:is>
          <x:t xml:space="preserve">ยากันชัก (D)</x:t>
        </x:is>
      </x:c>
      <x:c r="C600" t="n">
        <x:v>46516</x:v>
      </x:c>
      <x:c r="D600" t="inlineStr">
        <x:is>
          <x:t xml:space="preserve">Pregabalin Sandoz 25 mg</x:t>
        </x:is>
      </x:c>
      <x:c r="E600" t="inlineStr">
        <x:is>
          <x:t xml:space="preserve">แผง 7 แคปซูล</x:t>
        </x:is>
      </x:c>
      <x:c r="F600" t="inlineStr">
        <x:is>
          <x:t xml:space="preserve">Pregabalin 25 mg.</x:t>
        </x:is>
      </x:c>
      <x:c r="G600" t="inlineStr">
        <x:is>
          <x:t xml:space="preserve">BDS046516</x:t>
        </x:is>
      </x:c>
      <x:c r="H600" t="inlineStr">
        <x:is>
          <x:t xml:space="preserve">Pregabalin Sandoz 25 mg (7 cap)</x:t>
        </x:is>
      </x:c>
      <x:c r="I600" t="inlineStr">
        <x:is>
          <x:t xml:space="preserve">รับประทานตามแพทย์สั่ง (ทั่วไปครั้งละ 1 เม็ด ก่อนนอน)</x:t>
        </x:is>
      </x:c>
    </x:row>
    <x:row r="601">
      <x:c r="A601" t="n">
        <x:v>599</x:v>
      </x:c>
      <x:c r="B601" t="inlineStr">
        <x:is>
          <x:t xml:space="preserve">ยากันชัก (D)</x:t>
        </x:is>
      </x:c>
      <x:c r="C601" t="n">
        <x:v>46517</x:v>
      </x:c>
      <x:c r="D601" t="inlineStr">
        <x:is>
          <x:t xml:space="preserve">Pregabalin Sandoz 75 mg</x:t>
        </x:is>
      </x:c>
      <x:c r="E601" t="inlineStr">
        <x:is>
          <x:t xml:space="preserve">แผง 7 แคปซูล</x:t>
        </x:is>
      </x:c>
      <x:c r="F601" t="inlineStr">
        <x:is>
          <x:t xml:space="preserve">Pregabalin 75 mg.</x:t>
        </x:is>
      </x:c>
      <x:c r="G601" t="inlineStr">
        <x:is>
          <x:t xml:space="preserve">BDS046517</x:t>
        </x:is>
      </x:c>
      <x:c r="H601" t="inlineStr">
        <x:is>
          <x:t xml:space="preserve">Pregabalin Sandoz 75 mg (7 cap)</x:t>
        </x:is>
      </x:c>
      <x:c r="I601" t="inlineStr">
        <x:is>
          <x:t xml:space="preserve">รับประทานครั้ง 1 แคปซูล วันละ 1 ครั้ง ก่อนนอน</x:t>
        </x:is>
      </x:c>
    </x:row>
    <x:row r="602">
      <x:c r="A602" t="n">
        <x:v>600</x:v>
      </x:c>
      <x:c r="B602" t="inlineStr">
        <x:is>
          <x:t xml:space="preserve">ยารักษาไทรอยด์ (D)</x:t>
        </x:is>
      </x:c>
      <x:c r="C602" t="n">
        <x:v>42823</x:v>
      </x:c>
      <x:c r="D602" t="inlineStr">
        <x:is>
          <x:t xml:space="preserve">Euthyrox 100 mcg สูตรปรับปรุง</x:t>
        </x:is>
      </x:c>
      <x:c r="E602" t="inlineStr">
        <x:is>
          <x:t xml:space="preserve">กล่อง 100 เม็ด</x:t>
        </x:is>
      </x:c>
      <x:c r="F602" t="inlineStr">
        <x:is>
          <x:t xml:space="preserve">Levothyroxine Sodium 100 mcg.</x:t>
        </x:is>
      </x:c>
      <x:c r="G602" t="inlineStr">
        <x:is>
          <x:t xml:space="preserve">BDS042823</x:t>
        </x:is>
      </x:c>
      <x:c r="H602" t="inlineStr">
        <x:is>
          <x:t xml:space="preserve">Euthyrox 100 mcg สูตรปรับปรุง (100 tabs)</x:t>
        </x:is>
      </x:c>
      <x:c r="I602" t="inlineStr">
        <x:is>
          <x:t xml:space="preserve">รับประทานตามแพทย์สั่ง (โดยทั่วไปครั้งละ ครึ่ง-1 เม็ด วันละ 1 ครั้ง ก่อนอาหารเช้า)</x:t>
        </x:is>
      </x:c>
    </x:row>
    <x:row r="603">
      <x:c r="A603" t="n">
        <x:v>601</x:v>
      </x:c>
      <x:c r="B603" t="inlineStr">
        <x:is>
          <x:t xml:space="preserve">ยารักษาไทรอยด์ (D)</x:t>
        </x:is>
      </x:c>
      <x:c r="C603" t="n">
        <x:v>42824</x:v>
      </x:c>
      <x:c r="D603" t="inlineStr">
        <x:is>
          <x:t xml:space="preserve">Euthyrox 50 mcg สูตรปรับปรุง</x:t>
        </x:is>
      </x:c>
      <x:c r="E603" t="inlineStr">
        <x:is>
          <x:t xml:space="preserve">กล่อง 100 เม็ด</x:t>
        </x:is>
      </x:c>
      <x:c r="F603" t="inlineStr">
        <x:is>
          <x:t xml:space="preserve">Levothyroxine Sodium 50 mcg.</x:t>
        </x:is>
      </x:c>
      <x:c r="G603" t="inlineStr">
        <x:is>
          <x:t xml:space="preserve">BDS042824</x:t>
        </x:is>
      </x:c>
      <x:c r="H603" t="inlineStr">
        <x:is>
          <x:t xml:space="preserve">Euthyrox 50 mcg สูตรปรับปรุง (100 tabs)</x:t>
        </x:is>
      </x:c>
      <x:c r="I603" t="inlineStr">
        <x:is>
          <x:t xml:space="preserve">รับประทานตามแพทย์สั่ง (โดยทั่วไปครั้งละ ครึ่ง-1 เม็ด วันละ 1 ครั้ง ก่อนอาหารเช้า)</x:t>
        </x:is>
      </x:c>
    </x:row>
    <x:row r="604">
      <x:c r="A604" t="n">
        <x:v>602</x:v>
      </x:c>
      <x:c r="B604" t="inlineStr">
        <x:is>
          <x:t xml:space="preserve">ยารักษาไทรอยด์ (D)</x:t>
        </x:is>
      </x:c>
      <x:c r="C604" t="n">
        <x:v>46506</x:v>
      </x:c>
      <x:c r="D604" t="inlineStr">
        <x:is>
          <x:t xml:space="preserve">Pyroid</x:t>
        </x:is>
      </x:c>
      <x:c r="E604" t="inlineStr">
        <x:is>
          <x:t xml:space="preserve">แผง 10 เม็ด</x:t>
        </x:is>
      </x:c>
      <x:c r="F604" t="inlineStr">
        <x:is>
          <x:t xml:space="preserve">Propylthiouracil 50 mg</x:t>
        </x:is>
      </x:c>
      <x:c r="G604" t="inlineStr">
        <x:is>
          <x:t xml:space="preserve">BDS046506</x:t>
        </x:is>
      </x:c>
      <x:c r="H604" t="inlineStr">
        <x:is>
          <x:t xml:space="preserve">Pyroid (10 tabs)</x:t>
        </x:is>
      </x:c>
      <x:c r="I604" t="inlineStr">
        <x:is>
          <x:t xml:space="preserve">รับประทานตามแพทย์สั่ง </x:t>
        </x:is>
      </x:c>
    </x:row>
    <x:row r="605">
      <x:c r="A605" t="n">
        <x:v>603</x:v>
      </x:c>
      <x:c r="B605" t="inlineStr">
        <x:is>
          <x:t xml:space="preserve">ยารักษาไทรอยด์ (D)</x:t>
        </x:is>
      </x:c>
      <x:c r="C605" t="n">
        <x:v>3746</x:v>
      </x:c>
      <x:c r="D605" t="inlineStr">
        <x:is>
          <x:t xml:space="preserve">Timazol</x:t>
        </x:is>
      </x:c>
      <x:c r="E605" t="inlineStr">
        <x:is>
          <x:t xml:space="preserve">แผง 10 เม็ด</x:t>
        </x:is>
      </x:c>
      <x:c r="F605" t="inlineStr">
        <x:is>
          <x:t xml:space="preserve">Methimazole 5 mg.</x:t>
        </x:is>
      </x:c>
      <x:c r="G605" t="inlineStr">
        <x:is>
          <x:t xml:space="preserve">BDS003746</x:t>
        </x:is>
      </x:c>
      <x:c r="H605" t="inlineStr">
        <x:is>
          <x:t xml:space="preserve">Timazol (10 tabs)</x:t>
        </x:is>
      </x:c>
      <x:c r="I605" t="inlineStr">
        <x:is>
          <x:t xml:space="preserve">รับประทานตามแพทย์สั่ง </x:t>
        </x:is>
      </x:c>
    </x:row>
    <x:row r="606">
      <x:c r="A606" t="n">
        <x:v>604</x:v>
      </x:c>
      <x:c r="B606" t="inlineStr">
        <x:is>
          <x:t xml:space="preserve">ยารักษาเกาต์ (D)</x:t>
        </x:is>
      </x:c>
      <x:c r="C606" t="n">
        <x:v>7004</x:v>
      </x:c>
      <x:c r="D606" t="inlineStr">
        <x:is>
          <x:t xml:space="preserve">Alinol 100 mg</x:t>
        </x:is>
      </x:c>
      <x:c r="E606" t="inlineStr">
        <x:is>
          <x:t xml:space="preserve">แผง 10 เม็ด</x:t>
        </x:is>
      </x:c>
      <x:c r="F606" t="inlineStr">
        <x:is>
          <x:t xml:space="preserve">Allopurinol 100 mg.</x:t>
        </x:is>
      </x:c>
      <x:c r="G606" t="inlineStr">
        <x:is>
          <x:t xml:space="preserve">BDS007004</x:t>
        </x:is>
      </x:c>
      <x:c r="H606" t="inlineStr">
        <x:is>
          <x:t xml:space="preserve">Alinol 100 mg (10 tabs)</x:t>
        </x:is>
      </x:c>
      <x:c r="I606" t="inlineStr">
        <x:is>
          <x:t xml:space="preserve">รับประทานครั้งละ 1 เม็ด วันละ 1-3 ครั้ง หลังอาหาร</x:t>
        </x:is>
      </x:c>
    </x:row>
    <x:row r="607">
      <x:c r="A607" t="n">
        <x:v>605</x:v>
      </x:c>
      <x:c r="B607" t="inlineStr">
        <x:is>
          <x:t xml:space="preserve">ยารักษาเกาต์ (D)</x:t>
        </x:is>
      </x:c>
      <x:c r="C607" t="n">
        <x:v>1460</x:v>
      </x:c>
      <x:c r="D607" t="inlineStr">
        <x:is>
          <x:t xml:space="preserve">Colchicine 0.6 mg</x:t>
        </x:is>
      </x:c>
      <x:c r="E607" t="inlineStr">
        <x:is>
          <x:t xml:space="preserve">แผง 10 เม็ด</x:t>
        </x:is>
      </x:c>
      <x:c r="F607" t="inlineStr">
        <x:is>
          <x:t xml:space="preserve">Colchicine 0.6 mg.</x:t>
        </x:is>
      </x:c>
      <x:c r="G607" t="inlineStr">
        <x:is>
          <x:t xml:space="preserve">BDS001460</x:t>
        </x:is>
      </x:c>
      <x:c r="H607" t="inlineStr">
        <x:is>
          <x:t xml:space="preserve">Colchicine 0.6 mg (10 tabs)</x:t>
        </x:is>
      </x:c>
      <x:c r="I607" t="inlineStr">
        <x:is>
          <x:t xml:space="preserve">รับประทานครั้งละ 1 เม็ด วันละ 3 ครั้ง</x:t>
        </x:is>
      </x:c>
    </x:row>
    <x:row r="608">
      <x:c r="A608" t="n">
        <x:v>606</x:v>
      </x:c>
      <x:c r="B608" t="inlineStr">
        <x:is>
          <x:t xml:space="preserve">ยารักษาเกาต์ (D)</x:t>
        </x:is>
      </x:c>
      <x:c r="C608" t="n">
        <x:v>8731</x:v>
      </x:c>
      <x:c r="D608" t="inlineStr">
        <x:is>
          <x:t xml:space="preserve">Colchimex</x:t>
        </x:is>
      </x:c>
      <x:c r="E608" t="inlineStr">
        <x:is>
          <x:t xml:space="preserve">แผง 10 เม็ด</x:t>
        </x:is>
      </x:c>
      <x:c r="F608" t="inlineStr">
        <x:is>
          <x:t xml:space="preserve">Colchicine 0.6 mg.</x:t>
        </x:is>
      </x:c>
      <x:c r="G608" t="inlineStr">
        <x:is>
          <x:t xml:space="preserve">BDS008731</x:t>
        </x:is>
      </x:c>
      <x:c r="H608" t="inlineStr">
        <x:is>
          <x:t xml:space="preserve">Colchimex (10 tabs)</x:t>
        </x:is>
      </x:c>
      <x:c r="I608" t="inlineStr">
        <x:is>
          <x:t xml:space="preserve">รับประทานครั้งละ 1 เม็ด วันละ 3 ครั้ง หลังอาหาร</x:t>
        </x:is>
      </x:c>
    </x:row>
    <x:row r="609">
      <x:c r="A609" t="n">
        <x:v>607</x:v>
      </x:c>
      <x:c r="B609" t="inlineStr">
        <x:is>
          <x:t xml:space="preserve">ยารักษาเกาต์ (D)</x:t>
        </x:is>
      </x:c>
      <x:c r="C609" t="n">
        <x:v>7613</x:v>
      </x:c>
      <x:c r="D609" t="inlineStr">
        <x:is>
          <x:t xml:space="preserve">Puride 100 mg</x:t>
        </x:is>
      </x:c>
      <x:c r="E609" t="inlineStr">
        <x:is>
          <x:t xml:space="preserve">แผง 10 เม็ด</x:t>
        </x:is>
      </x:c>
      <x:c r="F609" t="inlineStr">
        <x:is>
          <x:t xml:space="preserve">Allopurinol 100 mg.</x:t>
        </x:is>
      </x:c>
      <x:c r="G609" t="inlineStr">
        <x:is>
          <x:t xml:space="preserve">BDS007613</x:t>
        </x:is>
      </x:c>
      <x:c r="H609" t="inlineStr">
        <x:is>
          <x:t xml:space="preserve">Puride 100 mg (10 tabs)</x:t>
        </x:is>
      </x:c>
      <x:c r="I609" t="inlineStr">
        <x:is>
          <x:t xml:space="preserve">รับประทานครั้งละ 1 เม็ด วันละ 1-3  ครั้ง หลังอาหาร</x:t>
        </x:is>
      </x:c>
    </x:row>
    <x:row r="610">
      <x:c r="A610" t="n">
        <x:v>608</x:v>
      </x:c>
      <x:c r="B610" t="inlineStr">
        <x:is>
          <x:t xml:space="preserve">ยารักษาเกาต์ (D)</x:t>
        </x:is>
      </x:c>
      <x:c r="C610" t="n">
        <x:v>7611</x:v>
      </x:c>
      <x:c r="D610" t="inlineStr">
        <x:is>
          <x:t xml:space="preserve">Puride 300 mg</x:t>
        </x:is>
      </x:c>
      <x:c r="E610" t="inlineStr">
        <x:is>
          <x:t xml:space="preserve">แผง 10 เม็ด</x:t>
        </x:is>
      </x:c>
      <x:c r="F610" t="inlineStr">
        <x:is>
          <x:t xml:space="preserve">Allopurinol 300 mg.</x:t>
        </x:is>
      </x:c>
      <x:c r="G610" t="inlineStr">
        <x:is>
          <x:t xml:space="preserve">BDS007611</x:t>
        </x:is>
      </x:c>
      <x:c r="H610" t="inlineStr">
        <x:is>
          <x:t xml:space="preserve">Puride 300 mg (10 tabs)</x:t>
        </x:is>
      </x:c>
      <x:c r="I610" t="inlineStr">
        <x:is>
          <x:t xml:space="preserve">รับประทานครั้งละ 1 เม็ด วันละ 1 ครั้ง หลังอาหาร</x:t>
        </x:is>
      </x:c>
    </x:row>
    <x:row r="611">
      <x:c r="A611" t="n">
        <x:v>609</x:v>
      </x:c>
      <x:c r="B611" t="inlineStr">
        <x:is>
          <x:t xml:space="preserve">ยารักษาเกาต์ (D)</x:t>
        </x:is>
      </x:c>
      <x:c r="C611" t="n">
        <x:v>3732</x:v>
      </x:c>
      <x:c r="D611" t="inlineStr">
        <x:is>
          <x:t xml:space="preserve">Tolchicine T.O.</x:t>
        </x:is>
      </x:c>
      <x:c r="E611" t="inlineStr">
        <x:is>
          <x:t xml:space="preserve">แผง 10 เม็ด</x:t>
        </x:is>
      </x:c>
      <x:c r="F611" t="inlineStr">
        <x:is>
          <x:t xml:space="preserve">Colchicine 0.6 mg.</x:t>
        </x:is>
      </x:c>
      <x:c r="G611" t="inlineStr">
        <x:is>
          <x:t xml:space="preserve">BDS003732</x:t>
        </x:is>
      </x:c>
      <x:c r="H611" t="inlineStr">
        <x:is>
          <x:t xml:space="preserve">Tolchicine T.O. (10 tabs)</x:t>
        </x:is>
      </x:c>
      <x:c r="I611" t="inlineStr">
        <x:is>
          <x:t xml:space="preserve">รับประทานครั้งละ 1 เม็ด  วันละ 3 ครั้ง</x:t>
        </x:is>
      </x:c>
    </x:row>
    <x:row r="612">
      <x:c r="A612" t="n">
        <x:v>610</x:v>
      </x:c>
      <x:c r="B612" t="inlineStr">
        <x:is>
          <x:t xml:space="preserve">ยารักษาเกาต์ (D)</x:t>
        </x:is>
      </x:c>
      <x:c r="C612" t="n">
        <x:v>7312</x:v>
      </x:c>
      <x:c r="D612" t="inlineStr">
        <x:is>
          <x:t xml:space="preserve">Xanol</x:t>
        </x:is>
      </x:c>
      <x:c r="E612" t="inlineStr">
        <x:is>
          <x:t xml:space="preserve">แผง 10 เม็ด</x:t>
        </x:is>
      </x:c>
      <x:c r="F612" t="inlineStr">
        <x:is>
          <x:t xml:space="preserve">Allopurinol 300 mg.</x:t>
        </x:is>
      </x:c>
      <x:c r="G612" t="inlineStr">
        <x:is>
          <x:t xml:space="preserve">BDS007312</x:t>
        </x:is>
      </x:c>
      <x:c r="H612" t="inlineStr">
        <x:is>
          <x:t xml:space="preserve">Xanol (10 tabs)</x:t>
        </x:is>
      </x:c>
      <x:c r="I612" t="inlineStr">
        <x:is>
          <x:t xml:space="preserve">รับประทานครั้งละ 1 เม็ด วันละ 1 ครั้ง หลังอาหาร</x:t>
        </x:is>
      </x:c>
    </x:row>
    <x:row r="613">
      <x:c r="A613" t="n">
        <x:v>611</x:v>
      </x:c>
      <x:c r="B613" t="inlineStr">
        <x:is>
          <x:t xml:space="preserve">ยาป้องกันการแข็งตัวของเลือด (D)</x:t>
        </x:is>
      </x:c>
      <x:c r="C613" t="n">
        <x:v>1107</x:v>
      </x:c>
      <x:c r="D613" t="inlineStr">
        <x:is>
          <x:t xml:space="preserve">Apolets</x:t>
        </x:is>
      </x:c>
      <x:c r="E613" t="inlineStr">
        <x:is>
          <x:t xml:space="preserve">แผง 10 เม็ด</x:t>
        </x:is>
      </x:c>
      <x:c r="F613" t="inlineStr">
        <x:is>
          <x:t xml:space="preserve">Clopidogrel 75 mg.</x:t>
        </x:is>
      </x:c>
      <x:c r="G613" t="inlineStr">
        <x:is>
          <x:t xml:space="preserve">BDS001107</x:t>
        </x:is>
      </x:c>
      <x:c r="H613" t="inlineStr">
        <x:is>
          <x:t xml:space="preserve">Apolets (10 tabs)</x:t>
        </x:is>
      </x:c>
      <x:c r="I613" t="inlineStr">
        <x:is>
          <x:t xml:space="preserve">รับประทานครั้งละ 1 เม็ด วันละ 1 ครั้ง หรือตามแพทย์สั่ง</x:t>
        </x:is>
      </x:c>
    </x:row>
    <x:row r="614">
      <x:c r="A614" t="n">
        <x:v>612</x:v>
      </x:c>
      <x:c r="B614" t="inlineStr">
        <x:is>
          <x:t xml:space="preserve">ยาป้องกันการแข็งตัวของเลือด (D)</x:t>
        </x:is>
      </x:c>
      <x:c r="C614" t="n">
        <x:v>1070</x:v>
      </x:c>
      <x:c r="D614" t="inlineStr">
        <x:is>
          <x:t xml:space="preserve">Asa-tabs</x:t>
        </x:is>
      </x:c>
      <x:c r="E614" t="inlineStr">
        <x:is>
          <x:t xml:space="preserve">แผง 10 เม็ด</x:t>
        </x:is>
      </x:c>
      <x:c r="F614" t="inlineStr">
        <x:is>
          <x:t xml:space="preserve">Aspirin 81 mg.</x:t>
        </x:is>
      </x:c>
      <x:c r="G614" t="inlineStr">
        <x:is>
          <x:t xml:space="preserve">BDS001070</x:t>
        </x:is>
      </x:c>
      <x:c r="H614" t="inlineStr">
        <x:is>
          <x:t xml:space="preserve">Asa-tabs (10 tabs)</x:t>
        </x:is>
      </x:c>
      <x:c r="I614" t="inlineStr">
        <x:is>
          <x:t xml:space="preserve">รับประทานตามแพทย์สั่ง </x:t>
        </x:is>
      </x:c>
    </x:row>
    <x:row r="615">
      <x:c r="A615" t="n">
        <x:v>613</x:v>
      </x:c>
      <x:c r="B615" t="inlineStr">
        <x:is>
          <x:t xml:space="preserve">ยาป้องกันการแข็งตัวของเลือด (D)</x:t>
        </x:is>
      </x:c>
      <x:c r="C615" t="n">
        <x:v>1077</x:v>
      </x:c>
      <x:c r="D615" t="inlineStr">
        <x:is>
          <x:t xml:space="preserve">Aspilets</x:t>
        </x:is>
      </x:c>
      <x:c r="E615" t="inlineStr">
        <x:is>
          <x:t xml:space="preserve">แผง 10 เม็ด</x:t>
        </x:is>
      </x:c>
      <x:c r="F615" t="inlineStr">
        <x:is>
          <x:t xml:space="preserve">Aspirin 81 mg.</x:t>
        </x:is>
      </x:c>
      <x:c r="G615" t="inlineStr">
        <x:is>
          <x:t xml:space="preserve">BDS001077</x:t>
        </x:is>
      </x:c>
      <x:c r="H615" t="inlineStr">
        <x:is>
          <x:t xml:space="preserve">Aspilets (10 tabs)</x:t>
        </x:is>
      </x:c>
      <x:c r="I615" t="inlineStr">
        <x:is>
          <x:t xml:space="preserve">รับประทานตามแพทย์สั่ง </x:t>
        </x:is>
      </x:c>
    </x:row>
    <x:row r="616">
      <x:c r="A616" t="n">
        <x:v>614</x:v>
      </x:c>
      <x:c r="B616" t="inlineStr">
        <x:is>
          <x:t xml:space="preserve">ยาเฉพาะทางอื่นๆ (D)</x:t>
        </x:is>
      </x:c>
      <x:c r="C616" t="n">
        <x:v>3651</x:v>
      </x:c>
      <x:c r="D616" t="inlineStr">
        <x:is>
          <x:t xml:space="preserve">Sermion 10 mg</x:t>
        </x:is>
      </x:c>
      <x:c r="E616" t="inlineStr">
        <x:is>
          <x:t xml:space="preserve">แผง 25 เม็ด</x:t>
        </x:is>
      </x:c>
      <x:c r="F616" t="inlineStr">
        <x:is>
          <x:t xml:space="preserve">Nicergoline 10 mg.</x:t>
        </x:is>
      </x:c>
      <x:c r="G616" t="inlineStr">
        <x:is>
          <x:t xml:space="preserve">BDS003651</x:t>
        </x:is>
      </x:c>
      <x:c r="H616" t="inlineStr">
        <x:is>
          <x:t xml:space="preserve">Sermion 10 mg (25 tabs)</x:t>
        </x:is>
      </x:c>
      <x:c r="I616" t="inlineStr">
        <x:is>
          <x:t xml:space="preserve">รับประทานครั้งละ 1 เม็ด วันละ 2 ครั้ง หลังอาหาร หรือตามแพทย์สั่ง </x:t>
        </x:is>
      </x:c>
    </x:row>
    <x:row r="617">
      <x:c r="A617" t="n">
        <x:v>615</x:v>
      </x:c>
      <x:c r="B617" t="inlineStr">
        <x:is>
          <x:t xml:space="preserve">ยาเฉพาะทางอื่นๆ (D)</x:t>
        </x:is>
      </x:c>
      <x:c r="C617" t="n">
        <x:v>3652</x:v>
      </x:c>
      <x:c r="D617" t="inlineStr">
        <x:is>
          <x:t xml:space="preserve">Sermion 30 mg</x:t>
        </x:is>
      </x:c>
      <x:c r="E617" t="inlineStr">
        <x:is>
          <x:t xml:space="preserve">แผง 15 เม็ด</x:t>
        </x:is>
      </x:c>
      <x:c r="F617" t="inlineStr">
        <x:is>
          <x:t xml:space="preserve">Nicergoline 30 mg.</x:t>
        </x:is>
      </x:c>
      <x:c r="G617" t="inlineStr">
        <x:is>
          <x:t xml:space="preserve">BDS003652</x:t>
        </x:is>
      </x:c>
      <x:c r="H617" t="inlineStr">
        <x:is>
          <x:t xml:space="preserve">Sermion 30 mg (15 tabs)</x:t>
        </x:is>
      </x:c>
      <x:c r="I617" t="inlineStr">
        <x:is>
          <x:t xml:space="preserve">รับประทานครั้งละ 1 เม็ด วันละ 2 ครั้ง หลังอาหาร หรือตามแพทย์สั่ง </x:t>
        </x:is>
      </x:c>
    </x:row>
    <x:row r="618">
      <x:c r="A618" t="n">
        <x:v>616</x:v>
      </x:c>
      <x:c r="B618" t="inlineStr">
        <x:is>
          <x:t xml:space="preserve">ยาเฉพาะทางอื่นๆ (D)</x:t>
        </x:is>
      </x:c>
      <x:c r="C618" t="n">
        <x:v>4151</x:v>
      </x:c>
      <x:c r="D618" t="inlineStr">
        <x:is>
          <x:t xml:space="preserve">Xenical</x:t>
        </x:is>
      </x:c>
      <x:c r="E618" t="inlineStr">
        <x:is>
          <x:t xml:space="preserve">กล่อง 21 แคปซูล</x:t>
        </x:is>
      </x:c>
      <x:c r="F618" t="inlineStr">
        <x:is>
          <x:t xml:space="preserve">Orlistat 120 mg.</x:t>
        </x:is>
      </x:c>
      <x:c r="G618" t="inlineStr">
        <x:is>
          <x:t xml:space="preserve">BDS004151</x:t>
        </x:is>
      </x:c>
      <x:c r="H618" t="inlineStr">
        <x:is>
          <x:t xml:space="preserve">Xenical (21 cap)</x:t>
        </x:is>
      </x:c>
      <x:c r="I618" t="inlineStr">
        <x:is>
          <x:t xml:space="preserve">รับประทานครั้งละ 1 แคปซูล วันละ 2 ครั้ง ก่อนอาหารเที่ยง-เย็น</x:t>
        </x:is>
      </x:c>
    </x:row>
    <x:row r="619">
      <x:c r="A619" t="n">
        <x:v>617</x:v>
      </x:c>
      <x:c r="B619" t="inlineStr">
        <x:is>
          <x:t xml:space="preserve">วิตามินบำรุงโลหิต</x:t>
        </x:is>
      </x:c>
      <x:c r="C619" t="n">
        <x:v>43159</x:v>
      </x:c>
      <x:c r="D619" t="inlineStr">
        <x:is>
          <x:t xml:space="preserve">Ferli-6</x:t>
        </x:is>
      </x:c>
      <x:c r="E619" t="inlineStr">
        <x:is>
          <x:t xml:space="preserve">แผง 30 เม็ด</x:t>
        </x:is>
      </x:c>
      <x:c r="F619" t="inlineStr">
        <x:is>
          <x:t xml:space="preserve">Ferrous fumarate 200 mg +Folic 0.5 mg +Pyridoxine hydrochloride 5 mg</x:t>
        </x:is>
      </x:c>
      <x:c r="G619" t="inlineStr">
        <x:is>
          <x:t xml:space="preserve">BDS043159</x:t>
        </x:is>
      </x:c>
      <x:c r="H619" t="inlineStr">
        <x:is>
          <x:t xml:space="preserve">Ferli-6 (30 tabs)</x:t>
        </x:is>
      </x:c>
      <x:c r="I619" t="inlineStr">
        <x:is>
          <x:t xml:space="preserve">รับประทานครั้งละ 1 เม็ด วันละ 3 ครั้ง หลังอาหาร หรือตามแพทย์สั่ง กรณีรับประทานเพื่อป้องกัน รับประทานครั้งละ 1 เม็ด วันละ 1 ครั้ง</x:t>
        </x:is>
      </x:c>
    </x:row>
    <x:row r="620">
      <x:c r="A620" t="n">
        <x:v>618</x:v>
      </x:c>
      <x:c r="B620" t="inlineStr">
        <x:is>
          <x:t xml:space="preserve">วิตามินบำรุงโลหิต</x:t>
        </x:is>
      </x:c>
      <x:c r="C620" t="n">
        <x:v>8045</x:v>
      </x:c>
      <x:c r="D620" t="inlineStr">
        <x:is>
          <x:t xml:space="preserve">Ferropro</x:t>
        </x:is>
      </x:c>
      <x:c r="E620" t="inlineStr">
        <x:is>
          <x:t xml:space="preserve">ขวด 100 เม็ด</x:t>
        </x:is>
      </x:c>
      <x:c r="F620" t="inlineStr">
        <x:is>
          <x:t xml:space="preserve">Ferrous Fumarate 200 mg.+Thiamine Mononitrate (B1) 2 mg.+Riboflavin (B2) 2 mg.+Cyanocobalamin (B12) 5 mcg.+Niacin (B3) 10 mg.+.Ascorbic Acid 20 mg.+Folic Acid 100 mcg.+Calcium Phosphate Tribasic 100 mg.</x:t>
        </x:is>
      </x:c>
      <x:c r="G620" t="inlineStr">
        <x:is>
          <x:t xml:space="preserve">BDS008045</x:t>
        </x:is>
      </x:c>
      <x:c r="H620" t="inlineStr">
        <x:is>
          <x:t xml:space="preserve">Ferropro (100 tabs)</x:t>
        </x:is>
      </x:c>
      <x:c r="I620" t="inlineStr">
        <x:is>
          <x:t xml:space="preserve">รับประทานครั้งละ 1 เม็ด วันละ 3 ครั้ง หลังอาหาร หรือตามแพทย์สั่ง </x:t>
        </x:is>
      </x:c>
    </x:row>
    <x:row r="621">
      <x:c r="A621" t="n">
        <x:v>619</x:v>
      </x:c>
      <x:c r="B621" t="inlineStr">
        <x:is>
          <x:t xml:space="preserve">วิตามินบำรุงโลหิต</x:t>
        </x:is>
      </x:c>
      <x:c r="C621" t="n">
        <x:v>7123</x:v>
      </x:c>
      <x:c r="D621" t="inlineStr">
        <x:is>
          <x:t xml:space="preserve">Folic Acid</x:t>
        </x:is>
      </x:c>
      <x:c r="E621" t="inlineStr">
        <x:is>
          <x:t xml:space="preserve">แผง 10 เม็ด</x:t>
        </x:is>
      </x:c>
      <x:c r="F621" t="inlineStr">
        <x:is>
          <x:t xml:space="preserve">Folic Acid 5 mg.</x:t>
        </x:is>
      </x:c>
      <x:c r="G621" t="inlineStr">
        <x:is>
          <x:t xml:space="preserve">BDS007123</x:t>
        </x:is>
      </x:c>
      <x:c r="H621" t="inlineStr">
        <x:is>
          <x:t xml:space="preserve">Folic Acid (10 tabs)</x:t>
        </x:is>
      </x:c>
      <x:c r="I621" t="inlineStr">
        <x:is>
          <x:t xml:space="preserve">รับประทานครั้งละ 1 เม็ด วันละ 1 ครั้ง หรือตามแพทย์สั่ง</x:t>
        </x:is>
      </x:c>
    </x:row>
    <x:row r="622">
      <x:c r="A622" t="n">
        <x:v>620</x:v>
      </x:c>
      <x:c r="B622" t="inlineStr">
        <x:is>
          <x:t xml:space="preserve">วิตามินบำรุงโลหิต</x:t>
        </x:is>
      </x:c>
      <x:c r="C622" t="n">
        <x:v>6704</x:v>
      </x:c>
      <x:c r="D622" t="inlineStr">
        <x:is>
          <x:t xml:space="preserve">Folivit tabslet</x:t>
        </x:is>
      </x:c>
      <x:c r="E622" t="inlineStr">
        <x:is>
          <x:t xml:space="preserve">ขวด 100 เม็ด</x:t>
        </x:is>
      </x:c>
      <x:c r="F622" t="inlineStr">
        <x:is>
          <x:t xml:space="preserve">Folic Acid 5 mg.</x:t>
        </x:is>
      </x:c>
      <x:c r="G622" t="inlineStr">
        <x:is>
          <x:t xml:space="preserve">BDS006704</x:t>
        </x:is>
      </x:c>
      <x:c r="H622" t="inlineStr">
        <x:is>
          <x:t xml:space="preserve">Folivit tabslet (100 tabs)</x:t>
        </x:is>
      </x:c>
      <x:c r="I622" t="inlineStr">
        <x:is>
          <x:t xml:space="preserve">รับประทานครั้งละ 1-2 เม็ด วันละ 1 ครั้ง หรือตามแพทย์สั่ง</x:t>
        </x:is>
      </x:c>
    </x:row>
    <x:row r="623">
      <x:c r="A623" t="n">
        <x:v>621</x:v>
      </x:c>
      <x:c r="B623" t="inlineStr">
        <x:is>
          <x:t xml:space="preserve">วิตามินบำรุงโลหิต</x:t>
        </x:is>
      </x:c>
      <x:c r="C623" t="n">
        <x:v>2101</x:v>
      </x:c>
      <x:c r="D623" t="inlineStr">
        <x:is>
          <x:t xml:space="preserve">Haemo-Vit ยาบำรุง</x:t>
        </x:is>
      </x:c>
      <x:c r="E623" t="inlineStr">
        <x:is>
          <x:t xml:space="preserve">กล่อง 100 เม็ด</x:t>
        </x:is>
      </x:c>
      <x:c r="F623" t="inlineStr">
        <x:is>
          <x:t xml:space="preserve">Dried Ferrous Sulfate 135 mg.+Aneurine HCl 2 mg.+Pyridoxine HCl (B6) 0.5 mg.+Cyanocobalamin (B12) 5 mcg.</x:t>
        </x:is>
      </x:c>
      <x:c r="G623" t="inlineStr">
        <x:is>
          <x:t xml:space="preserve">BDS002101</x:t>
        </x:is>
      </x:c>
      <x:c r="H623" t="inlineStr">
        <x:is>
          <x:t xml:space="preserve">Haemo-Vit ยาบำรุง (100 tabs)</x:t>
        </x:is>
      </x:c>
      <x:c r="I623" t="inlineStr">
        <x:is>
          <x:t xml:space="preserve">รับประทานครั้งละ 1-2 เม็ด วันละ 3 ครั้ง หลังอาหาร</x:t>
        </x:is>
      </x:c>
    </x:row>
    <x:row r="624">
      <x:c r="A624" t="n">
        <x:v>622</x:v>
      </x:c>
      <x:c r="B624" t="inlineStr">
        <x:is>
          <x:t xml:space="preserve">วิตามินบำรุงโลหิต</x:t>
        </x:is>
      </x:c>
      <x:c r="C624" t="n">
        <x:v>3027</x:v>
      </x:c>
      <x:c r="D624" t="inlineStr">
        <x:is>
          <x:t xml:space="preserve">Obimin-AZ</x:t>
        </x:is>
      </x:c>
      <x:c r="E624" t="inlineStr">
        <x:is>
          <x:t xml:space="preserve">ขวด 60 เม็ด</x:t>
        </x:is>
      </x:c>
      <x:c r="F624" t="inlineStr">
        <x:is>
          <x:t xml:space="preserve">Vit.A 5,000 IU+Vit.D 400 IU+Vit.E 10 IU+Vit. C 75 mg.+Vit.B1 2 mg.+Vit.B2 3 mg.+Vit.B6 2.5 mg.+Vit.B12 3 mcg.+Nicotinamide 20 mg.+Folic Acid 1 mg.+Ferrous Fumarate 200 mg.+Calcium Lactate 250 mg.+Potassium Iodine 0.2 mg.+Zinc Sulfate 20 mg.</x:t>
        </x:is>
      </x:c>
      <x:c r="G624" t="inlineStr">
        <x:is>
          <x:t xml:space="preserve">BDS003027</x:t>
        </x:is>
      </x:c>
      <x:c r="H624" t="inlineStr">
        <x:is>
          <x:t xml:space="preserve">Obimin-AZ (60 tabs)</x:t>
        </x:is>
      </x:c>
      <x:c r="I624" t="inlineStr">
        <x:is>
          <x:t xml:space="preserve">รับประทานครั้งละ 1 เม็ด  วันละ 1 ครั้ง</x:t>
        </x:is>
      </x:c>
    </x:row>
    <x:row r="625">
      <x:c r="A625" t="n">
        <x:v>623</x:v>
      </x:c>
      <x:c r="B625" t="inlineStr">
        <x:is>
          <x:t xml:space="preserve">วิตามินซี</x:t>
        </x:is>
      </x:c>
      <x:c r="C625" t="n">
        <x:v>40014</x:v>
      </x:c>
      <x:c r="D625" t="inlineStr">
        <x:is>
          <x:t xml:space="preserve">Amsel Nature C</x:t>
        </x:is>
      </x:c>
      <x:c r="E625" t="inlineStr">
        <x:is>
          <x:t xml:space="preserve">ขวด 30 แคปซูล</x:t>
        </x:is>
      </x:c>
      <x:c r="F625" t="inlineStr">
        <x:is>
          <x:t xml:space="preserve">Acerola Cherry Extract 360 mg. + Rosehips Extract 100 mg. + Cranberry Extract 50 mg. + Ascorbic Acid 35 mg. + Citrus Bioflavonoid 6.5 mg. + Rutin 5 mg. </x:t>
        </x:is>
      </x:c>
      <x:c r="G625" t="inlineStr">
        <x:is>
          <x:t xml:space="preserve">BDS040014</x:t>
        </x:is>
      </x:c>
      <x:c r="H625" t="inlineStr">
        <x:is>
          <x:t xml:space="preserve">Amsel Nature C (30 cap)</x:t>
        </x:is>
      </x:c>
      <x:c r="I625" t="inlineStr">
        <x:is>
          <x:t xml:space="preserve">รับประทานครั้งละ 1 แคปซูล วันละ 1 ครั้ง หลังอาหาร </x:t>
        </x:is>
      </x:c>
    </x:row>
    <x:row r="626">
      <x:c r="A626" t="n">
        <x:v>624</x:v>
      </x:c>
      <x:c r="B626" t="inlineStr">
        <x:is>
          <x:t xml:space="preserve">วิตามินซี</x:t>
        </x:is>
      </x:c>
      <x:c r="C626" t="n">
        <x:v>8321</x:v>
      </x:c>
      <x:c r="D626" t="inlineStr">
        <x:is>
          <x:t xml:space="preserve">Bio-C-Vitamin</x:t>
        </x:is>
      </x:c>
      <x:c r="E626" t="inlineStr">
        <x:is>
          <x:t xml:space="preserve">แผง 30 เม็ด</x:t>
        </x:is>
      </x:c>
      <x:c r="F626" t="inlineStr">
        <x:is>
          <x:t xml:space="preserve">Vitamin C 750 mg.+Calcium 85 mg.</x:t>
        </x:is>
      </x:c>
      <x:c r="G626" t="inlineStr">
        <x:is>
          <x:t xml:space="preserve">BDS008321</x:t>
        </x:is>
      </x:c>
      <x:c r="H626" t="inlineStr">
        <x:is>
          <x:t xml:space="preserve">Bio-C-Vitamin (30 tabs)</x:t>
        </x:is>
      </x:c>
      <x:c r="I626" t="inlineStr">
        <x:is>
          <x:t xml:space="preserve">รับประทานครั้งละ 1 เม็ด วันละ 1  ครั้ง หลังอาหาร</x:t>
        </x:is>
      </x:c>
    </x:row>
    <x:row r="627">
      <x:c r="A627" t="n">
        <x:v>625</x:v>
      </x:c>
      <x:c r="B627" t="inlineStr">
        <x:is>
          <x:t xml:space="preserve">วิตามินซี</x:t>
        </x:is>
      </x:c>
      <x:c r="C627" t="n">
        <x:v>1309</x:v>
      </x:c>
      <x:c r="D627" t="inlineStr">
        <x:is>
          <x:t xml:space="preserve">Blackmores Bio C กลาง</x:t>
        </x:is>
      </x:c>
      <x:c r="E627" t="inlineStr">
        <x:is>
          <x:t xml:space="preserve">ขวด 62 เม็ด</x:t>
        </x:is>
      </x:c>
      <x:c r="F627" t="inlineStr">
        <x:is>
          <x:t xml:space="preserve">Ascorbic acid 400 mg.+Sodium ascorbate 350 mg.+Calcium ascorbate 400 mg.+Bioflavonoids 25 mg.</x:t>
        </x:is>
      </x:c>
      <x:c r="G627" t="inlineStr">
        <x:is>
          <x:t xml:space="preserve">BDS001309</x:t>
        </x:is>
      </x:c>
      <x:c r="H627" t="inlineStr">
        <x:is>
          <x:t xml:space="preserve">Blackmores Bio C กลาง (62 tabs)</x:t>
        </x:is>
      </x:c>
      <x:c r="I627" t="inlineStr">
        <x:is>
          <x:t xml:space="preserve">รับประทานครั้งละ 1 เม็ด วันละ 1 ครั้ง หลังอาหาร</x:t>
        </x:is>
      </x:c>
    </x:row>
    <x:row r="628">
      <x:c r="A628" t="n">
        <x:v>626</x:v>
      </x:c>
      <x:c r="B628" t="inlineStr">
        <x:is>
          <x:t xml:space="preserve">วิตามินซี</x:t>
        </x:is>
      </x:c>
      <x:c r="C628" t="n">
        <x:v>1308</x:v>
      </x:c>
      <x:c r="D628" t="inlineStr">
        <x:is>
          <x:t xml:space="preserve">Blackmores Bio C เล็ก</x:t>
        </x:is>
      </x:c>
      <x:c r="E628" t="inlineStr">
        <x:is>
          <x:t xml:space="preserve">ขวด 31 เม็ด</x:t>
        </x:is>
      </x:c>
      <x:c r="F628" t="inlineStr">
        <x:is>
          <x:t xml:space="preserve">Ascorbic acid 400 mg.+Sodium ascorbate 350 mg.+Calcium ascorbate 400 mg.+Bioflavonoids 25 mg.</x:t>
        </x:is>
      </x:c>
      <x:c r="G628" t="inlineStr">
        <x:is>
          <x:t xml:space="preserve">BDS001308</x:t>
        </x:is>
      </x:c>
      <x:c r="H628" t="inlineStr">
        <x:is>
          <x:t xml:space="preserve">Blackmores Bio C เล็ก (31 tabs)</x:t>
        </x:is>
      </x:c>
      <x:c r="I628" t="inlineStr">
        <x:is>
          <x:t xml:space="preserve">รับประทานครั้งละ 1 เม็ด วันละ 1 ครั้ง หลังอาหาร</x:t>
        </x:is>
      </x:c>
    </x:row>
    <x:row r="629">
      <x:c r="A629" t="n">
        <x:v>627</x:v>
      </x:c>
      <x:c r="B629" t="inlineStr">
        <x:is>
          <x:t xml:space="preserve">วิตามินซี</x:t>
        </x:is>
      </x:c>
      <x:c r="C629" t="n">
        <x:v>40622</x:v>
      </x:c>
      <x:c r="D629" t="inlineStr">
        <x:is>
          <x:t xml:space="preserve">Blackmores Naturetime Buffered C</x:t>
        </x:is>
      </x:c>
      <x:c r="E629" t="inlineStr">
        <x:is>
          <x:t xml:space="preserve">ขวด 31 เม็ด</x:t>
        </x:is>
      </x:c>
      <x:c r="F629" t="inlineStr">
        <x:is>
          <x:t xml:space="preserve">Vitamin C 500 mg.(Ascorbic acid 280 mg.+Calcium ascorbate 266 mg.) +Bioflavonoids 25 mg.+Hesperidin 25 mg.+Rutin 50 mg.+Rosehips extract equiv. to dry fruit 250 mg. </x:t>
        </x:is>
      </x:c>
      <x:c r="G629" t="inlineStr">
        <x:is>
          <x:t xml:space="preserve">BDS040622</x:t>
        </x:is>
      </x:c>
      <x:c r="H629" t="inlineStr">
        <x:is>
          <x:t xml:space="preserve">Blackmores Naturetime Buffered C (31 tabs)</x:t>
        </x:is>
      </x:c>
      <x:c r="I629" t="inlineStr">
        <x:is>
          <x:t xml:space="preserve">รับประทานครั้งละ 1 เม็ด วันละ 1-2 ครั้ง พร้อมอาหาร</x:t>
        </x:is>
      </x:c>
    </x:row>
    <x:row r="630">
      <x:c r="A630" t="n">
        <x:v>628</x:v>
      </x:c>
      <x:c r="B630" t="inlineStr">
        <x:is>
          <x:t xml:space="preserve">วิตามินซี</x:t>
        </x:is>
      </x:c>
      <x:c r="C630" t="n">
        <x:v>41434</x:v>
      </x:c>
      <x:c r="D630" t="inlineStr">
        <x:is>
          <x:t xml:space="preserve">C-Force 1000</x:t>
        </x:is>
      </x:c>
      <x:c r="E630" t="inlineStr">
        <x:is>
          <x:t xml:space="preserve">แผง 6 เม็ด</x:t>
        </x:is>
      </x:c>
      <x:c r="F630" t="inlineStr">
        <x:is>
          <x:t xml:space="preserve">Vit.C 1000 mg. (Ascorbic acid 524 mg.+Sodium Ascorbate 476 mg.)</x:t>
        </x:is>
      </x:c>
      <x:c r="G630" t="inlineStr">
        <x:is>
          <x:t xml:space="preserve">BDS041434</x:t>
        </x:is>
      </x:c>
      <x:c r="H630" t="inlineStr">
        <x:is>
          <x:t xml:space="preserve">C-Force 1000 (6 tabs)</x:t>
        </x:is>
      </x:c>
      <x:c r="I630" t="inlineStr">
        <x:is>
          <x:t xml:space="preserve">รับประทานครั้งละ 1 เม็ด วันละ 1 ครั้ง หลังอาหารเช้า</x:t>
        </x:is>
      </x:c>
    </x:row>
    <x:row r="631">
      <x:c r="A631" t="n">
        <x:v>629</x:v>
      </x:c>
      <x:c r="B631" t="inlineStr">
        <x:is>
          <x:t xml:space="preserve">น้ำเกลือ</x:t>
        </x:is>
      </x:c>
      <x:c r="C631" t="n">
        <x:v>44313</x:v>
      </x:c>
      <x:c r="D631" t="inlineStr">
        <x:is>
          <x:t xml:space="preserve">Klean &amp; Kare Saline (ANB)</x:t>
        </x:is>
      </x:c>
      <x:c r="E631" t="inlineStr">
        <x:is>
          <x:t xml:space="preserve">ขวด 200 ml.</x:t>
        </x:is>
      </x:c>
      <x:c r="F631" t="inlineStr">
        <x:is>
          <x:t xml:space="preserve">Sodium Chloride 0.9 g./100 ml.</x:t>
        </x:is>
      </x:c>
      <x:c r="G631" t="inlineStr">
        <x:is>
          <x:t xml:space="preserve">BDS044313</x:t>
        </x:is>
      </x:c>
      <x:c r="H631" t="inlineStr">
        <x:is>
          <x:t xml:space="preserve">Klean &amp; Kare Saline (ANB) (200 ml.)</x:t>
        </x:is>
      </x:c>
      <x:c r="I631" t="inlineStr">
        <x:is>
          <x:t xml:space="preserve">ล้างทำความสะอาดในบริเวณที่ต้องการ </x:t>
        </x:is>
      </x:c>
      <x:c r="P631" t="inlineStr">
        <x:is>
          <x:t xml:space="preserve">Normal saline / irrigation</x:t>
        </x:is>
      </x:c>
    </x:row>
    <x:row r="632">
      <x:c r="A632" t="n">
        <x:v>630</x:v>
      </x:c>
      <x:c r="B632" t="inlineStr">
        <x:is>
          <x:t xml:space="preserve">น้ำเกลือ</x:t>
        </x:is>
      </x:c>
      <x:c r="C632" t="n">
        <x:v>44321</x:v>
      </x:c>
      <x:c r="D632" t="inlineStr">
        <x:is>
          <x:t xml:space="preserve">Klean &amp; Kare Saline กลาง</x:t>
        </x:is>
      </x:c>
      <x:c r="E632" t="inlineStr">
        <x:is>
          <x:t xml:space="preserve">ขวด 500 ml.</x:t>
        </x:is>
      </x:c>
      <x:c r="F632" t="inlineStr">
        <x:is>
          <x:t xml:space="preserve">Sodium Chloride 0.9 g./100 ml.</x:t>
        </x:is>
      </x:c>
      <x:c r="G632" t="inlineStr">
        <x:is>
          <x:t xml:space="preserve">BDS044321</x:t>
        </x:is>
      </x:c>
      <x:c r="H632" t="inlineStr">
        <x:is>
          <x:t xml:space="preserve">Klean &amp; Kare Saline กลาง (500 ml.)</x:t>
        </x:is>
      </x:c>
      <x:c r="I632" t="inlineStr">
        <x:is>
          <x:t xml:space="preserve">ล้างทำความสะอาดในบริเวณที่ต้องการ </x:t>
        </x:is>
      </x:c>
      <x:c r="P632" t="inlineStr">
        <x:is>
          <x:t xml:space="preserve">Normal saline / irrigation</x:t>
        </x:is>
      </x:c>
    </x:row>
    <x:row r="633">
      <x:c r="A633" t="n">
        <x:v>631</x:v>
      </x:c>
      <x:c r="B633" t="inlineStr">
        <x:is>
          <x:t xml:space="preserve">น้ำเกลือ</x:t>
        </x:is>
      </x:c>
      <x:c r="C633" t="n">
        <x:v>44320</x:v>
      </x:c>
      <x:c r="D633" t="inlineStr">
        <x:is>
          <x:t xml:space="preserve">Klean &amp; Kare Saline เล็ก</x:t>
        </x:is>
      </x:c>
      <x:c r="E633" t="inlineStr">
        <x:is>
          <x:t xml:space="preserve">ขวด 100 ml.</x:t>
        </x:is>
      </x:c>
      <x:c r="F633" t="inlineStr">
        <x:is>
          <x:t xml:space="preserve">Sodium Chloride 0.9 g./100 ml.</x:t>
        </x:is>
      </x:c>
      <x:c r="G633" t="inlineStr">
        <x:is>
          <x:t xml:space="preserve">BDS044320</x:t>
        </x:is>
      </x:c>
      <x:c r="H633" t="inlineStr">
        <x:is>
          <x:t xml:space="preserve">Klean &amp; Kare Saline เล็ก (100 ml.)</x:t>
        </x:is>
      </x:c>
      <x:c r="I633" t="inlineStr">
        <x:is>
          <x:t xml:space="preserve">ล้างทำความสะอาดในบริเวณที่ต้องการ </x:t>
        </x:is>
      </x:c>
      <x:c r="P633" t="inlineStr">
        <x:is>
          <x:t xml:space="preserve">Normal saline / irrigation</x:t>
        </x:is>
      </x:c>
    </x:row>
    <x:row r="634">
      <x:c r="A634" t="n">
        <x:v>632</x:v>
      </x:c>
      <x:c r="B634" t="inlineStr">
        <x:is>
          <x:t xml:space="preserve">น้ำเกลือ</x:t>
        </x:is>
      </x:c>
      <x:c r="C634" t="n">
        <x:v>44322</x:v>
      </x:c>
      <x:c r="D634" t="inlineStr">
        <x:is>
          <x:t xml:space="preserve">Klean &amp; Kare Saline ใหญ่</x:t>
        </x:is>
      </x:c>
      <x:c r="E634" t="inlineStr">
        <x:is>
          <x:t xml:space="preserve">ขวด 1000 ml.</x:t>
        </x:is>
      </x:c>
      <x:c r="F634" t="inlineStr">
        <x:is>
          <x:t xml:space="preserve">Sodium Chloride 0.9 g./100 ml.</x:t>
        </x:is>
      </x:c>
      <x:c r="G634" t="inlineStr">
        <x:is>
          <x:t xml:space="preserve">BDS044322</x:t>
        </x:is>
      </x:c>
      <x:c r="H634" t="inlineStr">
        <x:is>
          <x:t xml:space="preserve">Klean &amp; Kare Saline ใหญ่ (1000 ml.)</x:t>
        </x:is>
      </x:c>
      <x:c r="I634" t="inlineStr">
        <x:is>
          <x:t xml:space="preserve">ล้างทำความสะอาดในบริเวณที่ต้องการ </x:t>
        </x:is>
      </x:c>
      <x:c r="P634" t="inlineStr">
        <x:is>
          <x:t xml:space="preserve">Normal saline / irrigation</x:t>
        </x:is>
      </x:c>
    </x:row>
    <x:row r="635">
      <x:c r="A635" t="n">
        <x:v>633</x:v>
      </x:c>
      <x:c r="B635" t="inlineStr">
        <x:is>
          <x:t xml:space="preserve">น้ำเกลือ</x:t>
        </x:is>
      </x:c>
      <x:c r="C635" t="n">
        <x:v>4868</x:v>
      </x:c>
      <x:c r="D635" t="inlineStr">
        <x:is>
          <x:t xml:space="preserve">Normal Saline (Otsuka)</x:t>
        </x:is>
      </x:c>
      <x:c r="E635" t="inlineStr">
        <x:is>
          <x:t xml:space="preserve">ขวด 1000 ml.</x:t>
        </x:is>
      </x:c>
      <x:c r="F635" t="inlineStr">
        <x:is>
          <x:t xml:space="preserve">Sodium Chloride 0.9 g./100 ml.</x:t>
        </x:is>
      </x:c>
      <x:c r="G635" t="inlineStr">
        <x:is>
          <x:t xml:space="preserve">BDS004868</x:t>
        </x:is>
      </x:c>
      <x:c r="H635" t="inlineStr">
        <x:is>
          <x:t xml:space="preserve">Normal Saline (Otsuka) (1000 ml.)</x:t>
        </x:is>
      </x:c>
      <x:c r="I635" t="inlineStr">
        <x:is>
          <x:t xml:space="preserve">ทำความสะอาดในบริเวณที่ต้องการ </x:t>
        </x:is>
      </x:c>
      <x:c r="P635" t="inlineStr">
        <x:is>
          <x:t xml:space="preserve">Normal saline / irrigation</x:t>
        </x:is>
      </x:c>
    </x:row>
    <x:row r="636">
      <x:c r="A636" t="n">
        <x:v>634</x:v>
      </x:c>
      <x:c r="B636" t="inlineStr">
        <x:is>
          <x:t xml:space="preserve">น้ำเกลือ</x:t>
        </x:is>
      </x:c>
      <x:c r="C636" t="n">
        <x:v>45626</x:v>
      </x:c>
      <x:c r="D636" t="inlineStr">
        <x:is>
          <x:t xml:space="preserve">Normal Saline (Thai Nakorn Patana)</x:t>
        </x:is>
      </x:c>
      <x:c r="E636" t="inlineStr">
        <x:is>
          <x:t xml:space="preserve">ขวด 1000 ml.</x:t>
        </x:is>
      </x:c>
      <x:c r="F636" t="inlineStr">
        <x:is>
          <x:t xml:space="preserve">Sodium Chloride 0.9 g./100 ml.</x:t>
        </x:is>
      </x:c>
      <x:c r="G636" t="inlineStr">
        <x:is>
          <x:t xml:space="preserve">BDS045626</x:t>
        </x:is>
      </x:c>
      <x:c r="H636" t="inlineStr">
        <x:is>
          <x:t xml:space="preserve">Normal Saline (Thai Nakorn Patana) (1000 ml.)</x:t>
        </x:is>
      </x:c>
      <x:c r="I636" t="inlineStr">
        <x:is>
          <x:t xml:space="preserve">ทำความสะอาดในบริเวณที่ต้องการ </x:t>
        </x:is>
      </x:c>
      <x:c r="P636" t="inlineStr">
        <x:is>
          <x:t xml:space="preserve">Normal saline / irrigation</x:t>
        </x:is>
      </x:c>
    </x:row>
    <x:row r="637">
      <x:c r="A637" t="n">
        <x:v>635</x:v>
      </x:c>
      <x:c r="B637" t="inlineStr">
        <x:is>
          <x:t xml:space="preserve">น้ำเกลือ</x:t>
        </x:is>
      </x:c>
      <x:c r="C637" t="n">
        <x:v>47669</x:v>
      </x:c>
      <x:c r="D637" t="inlineStr">
        <x:is>
          <x:t xml:space="preserve">Sofclens Normal Saline Solution</x:t>
        </x:is>
      </x:c>
      <x:c r="E637" t="inlineStr">
        <x:is>
          <x:t xml:space="preserve">ขวด 100 ml.</x:t>
        </x:is>
      </x:c>
      <x:c r="F637" t="inlineStr">
        <x:is>
          <x:t xml:space="preserve">Sodium Chloride 0.9 % w/v</x:t>
        </x:is>
      </x:c>
      <x:c r="G637" t="inlineStr">
        <x:is>
          <x:t xml:space="preserve">BDS047669</x:t>
        </x:is>
      </x:c>
      <x:c r="H637" t="inlineStr">
        <x:is>
          <x:t xml:space="preserve">Sofclens Normal Saline Solution (100 ml.)</x:t>
        </x:is>
      </x:c>
      <x:c r="I637" t="inlineStr">
        <x:is>
          <x:t xml:space="preserve">ล้างทำความสะอาดในบริเวณที่ต้องการ </x:t>
        </x:is>
      </x:c>
      <x:c r="P637" t="inlineStr">
        <x:is>
          <x:t xml:space="preserve">Normal saline / irrigation</x:t>
        </x:is>
      </x:c>
    </x:row>
    <x:row r="638">
      <x:c r="A638" t="n">
        <x:v>636</x:v>
      </x:c>
      <x:c r="B638" t="inlineStr">
        <x:is>
          <x:t xml:space="preserve">น้ำเกลือ</x:t>
        </x:is>
      </x:c>
      <x:c r="C638" t="n">
        <x:v>4870</x:v>
      </x:c>
      <x:c r="D638" t="inlineStr">
        <x:is>
          <x:t xml:space="preserve">น้ำเกลือล้างแผล (วิทยาศรม)</x:t>
        </x:is>
      </x:c>
      <x:c r="E638" t="inlineStr">
        <x:is>
          <x:t xml:space="preserve">ขวด 120 ml.</x:t>
        </x:is>
      </x:c>
      <x:c r="F638" t="inlineStr">
        <x:is>
          <x:t xml:space="preserve">Sodium Chloride 0.9 g./100 ml.</x:t>
        </x:is>
      </x:c>
      <x:c r="G638" t="inlineStr">
        <x:is>
          <x:t xml:space="preserve">BDS004870</x:t>
        </x:is>
      </x:c>
      <x:c r="H638" t="inlineStr">
        <x:is>
          <x:t xml:space="preserve">น้ำเกลือล้างแผล (วิทยาศรม) (120 ml.)</x:t>
        </x:is>
      </x:c>
      <x:c r="I638" t="inlineStr">
        <x:is>
          <x:t xml:space="preserve">เช็ดทำความสะอาด วันละ 2-3 ครั้ง</x:t>
        </x:is>
      </x:c>
      <x:c r="P638" t="inlineStr">
        <x:is>
          <x:t xml:space="preserve">Normal saline / irrigation</x:t>
        </x:is>
      </x:c>
    </x:row>
    <x:row r="639">
      <x:c r="A639" t="n">
        <x:v>637</x:v>
      </x:c>
      <x:c r="B639" t="inlineStr">
        <x:is>
          <x:t xml:space="preserve">ยาทาและยาพ่นแก้ปวดเมื่อย </x:t>
        </x:is>
      </x:c>
      <x:c r="C639" t="n">
        <x:v>1032</x:v>
      </x:c>
      <x:c r="D639" t="inlineStr">
        <x:is>
          <x:t xml:space="preserve">Ammeltz เล็ก</x:t>
        </x:is>
      </x:c>
      <x:c r="E639" t="inlineStr">
        <x:is>
          <x:t xml:space="preserve">ขวด 48 ml.</x:t>
        </x:is>
      </x:c>
      <x:c r="F639" t="inlineStr">
        <x:is>
          <x:t xml:space="preserve">L-Menthol+DL-Campher+Methyl Salicylate+Vanillylamide</x:t>
        </x:is>
      </x:c>
      <x:c r="G639" t="inlineStr">
        <x:is>
          <x:t xml:space="preserve">BDS001032</x:t>
        </x:is>
      </x:c>
      <x:c r="H639" t="inlineStr">
        <x:is>
          <x:t xml:space="preserve">Ammeltz เล็ก (48 ml.)</x:t>
        </x:is>
      </x:c>
      <x:c r="I639" t="inlineStr">
        <x:is>
          <x:t xml:space="preserve">ทาบริเวณที่มีอาการปวด วันละ 2-3 ครั้ง</x:t>
        </x:is>
      </x:c>
      <x:c r="P639" t="inlineStr">
        <x:is>
          <x:t xml:space="preserve">Topical pain relief / topical NSAIDs</x:t>
        </x:is>
      </x:c>
    </x:row>
    <x:row r="640">
      <x:c r="A640" t="n">
        <x:v>638</x:v>
      </x:c>
      <x:c r="B640" t="inlineStr">
        <x:is>
          <x:t xml:space="preserve">ยาทาและยาพ่นแก้ปวดเมื่อย </x:t>
        </x:is>
      </x:c>
      <x:c r="C640" t="n">
        <x:v>1031</x:v>
      </x:c>
      <x:c r="D640" t="inlineStr">
        <x:is>
          <x:t xml:space="preserve">Ammeltz ใหญ่</x:t>
        </x:is>
      </x:c>
      <x:c r="E640" t="inlineStr">
        <x:is>
          <x:t xml:space="preserve">ขวด 82 ml.</x:t>
        </x:is>
      </x:c>
      <x:c r="F640" t="inlineStr">
        <x:is>
          <x:t xml:space="preserve">L-Menthol+DL-Campher+Methyl Salicylate+Vanillylamide</x:t>
        </x:is>
      </x:c>
      <x:c r="G640" t="inlineStr">
        <x:is>
          <x:t xml:space="preserve">BDS001031</x:t>
        </x:is>
      </x:c>
      <x:c r="H640" t="inlineStr">
        <x:is>
          <x:t xml:space="preserve">Ammeltz ใหญ่ (82 ml.)</x:t>
        </x:is>
      </x:c>
      <x:c r="I640" t="inlineStr">
        <x:is>
          <x:t xml:space="preserve">ทาบริเวณที่ปวด วันละ 2-3 ครั้ง</x:t>
        </x:is>
      </x:c>
      <x:c r="P640" t="inlineStr">
        <x:is>
          <x:t xml:space="preserve">Topical pain relief / topical NSAIDs</x:t>
        </x:is>
      </x:c>
    </x:row>
    <x:row r="641">
      <x:c r="A641" t="n">
        <x:v>639</x:v>
      </x:c>
      <x:c r="B641" t="inlineStr">
        <x:is>
          <x:t xml:space="preserve">ยาทาและยาพ่นแก้ปวดเมื่อย </x:t>
        </x:is>
      </x:c>
      <x:c r="C641" t="n">
        <x:v>40020</x:v>
      </x:c>
      <x:c r="D641" t="inlineStr">
        <x:is>
          <x:t xml:space="preserve">Arotika Rub</x:t>
        </x:is>
      </x:c>
      <x:c r="E641" t="inlineStr">
        <x:is>
          <x:t xml:space="preserve">หลอด 35 g.</x:t>
        </x:is>
      </x:c>
      <x:c r="F641" t="inlineStr">
        <x:is>
          <x:t xml:space="preserve">Capsicum Tincture 0.05% w/v 4.5 g.+Methyl Salicylate 10.2 g.+ Menthol 5.44 g.+Clove Oil 1.36 g./100 g.</x:t>
        </x:is>
      </x:c>
      <x:c r="G641" t="inlineStr">
        <x:is>
          <x:t xml:space="preserve">BDS040020</x:t>
        </x:is>
      </x:c>
      <x:c r="H641" t="inlineStr">
        <x:is>
          <x:t xml:space="preserve">Arotika Rub (35 g.)</x:t>
        </x:is>
      </x:c>
      <x:c r="I641" t="inlineStr">
        <x:is>
          <x:t xml:space="preserve">ทาบริเวณที่ปวดบางๆ  วันละ 2-3 ครั้ง</x:t>
        </x:is>
      </x:c>
      <x:c r="P641" t="inlineStr">
        <x:is>
          <x:t xml:space="preserve">Topical pain relief / topical NSAIDs</x:t>
        </x:is>
      </x:c>
    </x:row>
    <x:row r="642">
      <x:c r="A642" t="n">
        <x:v>640</x:v>
      </x:c>
      <x:c r="B642" t="inlineStr">
        <x:is>
          <x:t xml:space="preserve">ยาทาและยาพ่นแก้ปวดเมื่อย </x:t>
        </x:is>
      </x:c>
      <x:c r="C642" t="n">
        <x:v>7711</x:v>
      </x:c>
      <x:c r="D642" t="inlineStr">
        <x:is>
          <x:t xml:space="preserve">Capsika Gel</x:t>
        </x:is>
      </x:c>
      <x:c r="E642" t="inlineStr">
        <x:is>
          <x:t xml:space="preserve">หลอด 35 g.</x:t>
        </x:is>
      </x:c>
      <x:c r="F642" t="inlineStr">
        <x:is>
          <x:t xml:space="preserve">Capsaicin 0.0125%/100 g.</x:t>
        </x:is>
      </x:c>
      <x:c r="G642" t="inlineStr">
        <x:is>
          <x:t xml:space="preserve">BDS007711</x:t>
        </x:is>
      </x:c>
      <x:c r="H642" t="inlineStr">
        <x:is>
          <x:t xml:space="preserve">Capsika Gel (35 g.)</x:t>
        </x:is>
      </x:c>
      <x:c r="I642" t="inlineStr">
        <x:is>
          <x:t xml:space="preserve">ทาเจลบางๆ บริเวณที่มีอาการ วันละ 2-3 ครั้ง</x:t>
        </x:is>
      </x:c>
      <x:c r="P642" t="inlineStr">
        <x:is>
          <x:t xml:space="preserve">Topical pain relief / topical NSAIDs</x:t>
        </x:is>
      </x:c>
    </x:row>
    <x:row r="643">
      <x:c r="A643" t="n">
        <x:v>641</x:v>
      </x:c>
      <x:c r="B643" t="inlineStr">
        <x:is>
          <x:t xml:space="preserve">ยาทาและยาพ่นแก้ปวดเมื่อย </x:t>
        </x:is>
      </x:c>
      <x:c r="C643" t="n">
        <x:v>1541</x:v>
      </x:c>
      <x:c r="D643" t="inlineStr">
        <x:is>
          <x:t xml:space="preserve">Capsika-25 Gel</x:t>
        </x:is>
      </x:c>
      <x:c r="E643" t="inlineStr">
        <x:is>
          <x:t xml:space="preserve">หลอด 35 g.</x:t>
        </x:is>
      </x:c>
      <x:c r="F643" t="inlineStr">
        <x:is>
          <x:t xml:space="preserve">Capsaicin 0.025%</x:t>
        </x:is>
      </x:c>
      <x:c r="G643" t="inlineStr">
        <x:is>
          <x:t xml:space="preserve">BDS001541</x:t>
        </x:is>
      </x:c>
      <x:c r="H643" t="inlineStr">
        <x:is>
          <x:t xml:space="preserve">Capsika-25 Gel (35 g.)</x:t>
        </x:is>
      </x:c>
      <x:c r="I643" t="inlineStr">
        <x:is>
          <x:t xml:space="preserve">ทาเจลบางๆ บริเวณที่มีอาการ วันละ 3-4 ครั้ง</x:t>
        </x:is>
      </x:c>
      <x:c r="P643" t="inlineStr">
        <x:is>
          <x:t xml:space="preserve">Topical pain relief / topical NSAIDs</x:t>
        </x:is>
      </x:c>
    </x:row>
    <x:row r="644">
      <x:c r="A644" t="n">
        <x:v>642</x:v>
      </x:c>
      <x:c r="B644" t="inlineStr">
        <x:is>
          <x:t xml:space="preserve">ยาทาและยาพ่นแก้ปวดเมื่อย </x:t>
        </x:is>
      </x:c>
      <x:c r="C644" t="n">
        <x:v>1475</x:v>
      </x:c>
      <x:c r="D644" t="inlineStr">
        <x:is>
          <x:t xml:space="preserve">Counterpain Cool กลาง</x:t>
        </x:is>
      </x:c>
      <x:c r="E644" t="inlineStr">
        <x:is>
          <x:t xml:space="preserve">หลอด 60 g.</x:t>
        </x:is>
      </x:c>
      <x:c r="F644" t="inlineStr">
        <x:is>
          <x:t xml:space="preserve">Menthol 4%</x:t>
        </x:is>
      </x:c>
      <x:c r="G644" t="inlineStr">
        <x:is>
          <x:t xml:space="preserve">BDS001475</x:t>
        </x:is>
      </x:c>
      <x:c r="H644" t="inlineStr">
        <x:is>
          <x:t xml:space="preserve">Counterpain Cool กลาง (60 g.)</x:t>
        </x:is>
      </x:c>
      <x:c r="I644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4" t="inlineStr">
        <x:is>
          <x:t xml:space="preserve">Topical pain relief / topical NSAIDs</x:t>
        </x:is>
      </x:c>
    </x:row>
    <x:row r="645">
      <x:c r="A645" t="n">
        <x:v>643</x:v>
      </x:c>
      <x:c r="B645" t="inlineStr">
        <x:is>
          <x:t xml:space="preserve">ยาทาและยาพ่นแก้ปวดเมื่อย </x:t>
        </x:is>
      </x:c>
      <x:c r="C645" t="n">
        <x:v>1474</x:v>
      </x:c>
      <x:c r="D645" t="inlineStr">
        <x:is>
          <x:t xml:space="preserve">Counterpain Cool เล็ก</x:t>
        </x:is>
      </x:c>
      <x:c r="E645" t="inlineStr">
        <x:is>
          <x:t xml:space="preserve">หลอด 30 g.</x:t>
        </x:is>
      </x:c>
      <x:c r="F645" t="inlineStr">
        <x:is>
          <x:t xml:space="preserve">Menthol 4%</x:t>
        </x:is>
      </x:c>
      <x:c r="G645" t="inlineStr">
        <x:is>
          <x:t xml:space="preserve">BDS001474</x:t>
        </x:is>
      </x:c>
      <x:c r="H645" t="inlineStr">
        <x:is>
          <x:t xml:space="preserve">Counterpain Cool เล็ก (30 g.)</x:t>
        </x:is>
      </x:c>
      <x:c r="I645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5" t="inlineStr">
        <x:is>
          <x:t xml:space="preserve">Topical pain relief / topical NSAIDs</x:t>
        </x:is>
      </x:c>
    </x:row>
    <x:row r="646">
      <x:c r="A646" t="n">
        <x:v>644</x:v>
      </x:c>
      <x:c r="B646" t="inlineStr">
        <x:is>
          <x:t xml:space="preserve">ยาทาและยาพ่นแก้ปวดเมื่อย </x:t>
        </x:is>
      </x:c>
      <x:c r="C646" t="n">
        <x:v>1476</x:v>
      </x:c>
      <x:c r="D646" t="inlineStr">
        <x:is>
          <x:t xml:space="preserve">Counterpain Cool ใหญ่</x:t>
        </x:is>
      </x:c>
      <x:c r="E646" t="inlineStr">
        <x:is>
          <x:t xml:space="preserve">หลอด 120 g.</x:t>
        </x:is>
      </x:c>
      <x:c r="F646" t="inlineStr">
        <x:is>
          <x:t xml:space="preserve">Menthol 4%</x:t>
        </x:is>
      </x:c>
      <x:c r="G646" t="inlineStr">
        <x:is>
          <x:t xml:space="preserve">BDS001476</x:t>
        </x:is>
      </x:c>
      <x:c r="H646" t="inlineStr">
        <x:is>
          <x:t xml:space="preserve">Counterpain Cool ใหญ่ (120 g.)</x:t>
        </x:is>
      </x:c>
      <x:c r="I646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6" t="inlineStr">
        <x:is>
          <x:t xml:space="preserve">Topical pain relief / topical NSAIDs</x:t>
        </x:is>
      </x:c>
    </x:row>
    <x:row r="647">
      <x:c r="A647" t="n">
        <x:v>645</x:v>
      </x:c>
      <x:c r="B647" t="inlineStr">
        <x:is>
          <x:t xml:space="preserve">ยาทาและยาพ่นแก้ปวดเมื่อย </x:t>
        </x:is>
      </x:c>
      <x:c r="C647" t="n">
        <x:v>1472</x:v>
      </x:c>
      <x:c r="D647" t="inlineStr">
        <x:is>
          <x:t xml:space="preserve">Counterpain กลาง</x:t>
        </x:is>
      </x:c>
      <x:c r="E647" t="inlineStr">
        <x:is>
          <x:t xml:space="preserve">หลอด 60 g.</x:t>
        </x:is>
      </x:c>
      <x:c r="F647" t="inlineStr">
        <x:is>
          <x:t xml:space="preserve">Methyl Salicylate 10.2%+Eugenol 1.36%+Menthol 5.44%</x:t>
        </x:is>
      </x:c>
      <x:c r="G647" t="inlineStr">
        <x:is>
          <x:t xml:space="preserve">BDS001472</x:t>
        </x:is>
      </x:c>
      <x:c r="H647" t="inlineStr">
        <x:is>
          <x:t xml:space="preserve">Counterpain กลาง (60 g.)</x:t>
        </x:is>
      </x:c>
      <x:c r="I647" t="inlineStr">
        <x:is>
          <x:t xml:space="preserve">ทาครีมบริเวณที่ปวด จนกระทั่งยาซึมเข้าผิวหนัง วันละ 2-3 ครั้ง</x:t>
        </x:is>
      </x:c>
      <x:c r="P647" t="inlineStr">
        <x:is>
          <x:t xml:space="preserve">Topical pain relief / topical NSAIDs</x:t>
        </x:is>
      </x:c>
    </x:row>
    <x:row r="648">
      <x:c r="A648" t="n">
        <x:v>646</x:v>
      </x:c>
      <x:c r="B648" t="inlineStr">
        <x:is>
          <x:t xml:space="preserve">ยาทาและยาพ่นแก้ปวดเมื่อย </x:t>
        </x:is>
      </x:c>
      <x:c r="C648" t="n">
        <x:v>1471</x:v>
      </x:c>
      <x:c r="D648" t="inlineStr">
        <x:is>
          <x:t xml:space="preserve">Counterpain เล็ก</x:t>
        </x:is>
      </x:c>
      <x:c r="E648" t="inlineStr">
        <x:is>
          <x:t xml:space="preserve">หลอด 30 g.</x:t>
        </x:is>
      </x:c>
      <x:c r="F648" t="inlineStr">
        <x:is>
          <x:t xml:space="preserve">Menthol 5.44%+Methyl Salicylate 10.2%+Eugenol 1.36%</x:t>
        </x:is>
      </x:c>
      <x:c r="G648" t="inlineStr">
        <x:is>
          <x:t xml:space="preserve">BDS001471</x:t>
        </x:is>
      </x:c>
      <x:c r="H648" t="inlineStr">
        <x:is>
          <x:t xml:space="preserve">Counterpain เล็ก (30 g.)</x:t>
        </x:is>
      </x:c>
      <x:c r="I648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8" t="inlineStr">
        <x:is>
          <x:t xml:space="preserve">Topical pain relief / topical NSAIDs</x:t>
        </x:is>
      </x:c>
    </x:row>
    <x:row r="649">
      <x:c r="A649" t="n">
        <x:v>647</x:v>
      </x:c>
      <x:c r="B649" t="inlineStr">
        <x:is>
          <x:t xml:space="preserve">ยาทาและยาพ่นแก้ปวดเมื่อย </x:t>
        </x:is>
      </x:c>
      <x:c r="C649" t="n">
        <x:v>1473</x:v>
      </x:c>
      <x:c r="D649" t="inlineStr">
        <x:is>
          <x:t xml:space="preserve">Counterpain ใหญ่</x:t>
        </x:is>
      </x:c>
      <x:c r="E649" t="inlineStr">
        <x:is>
          <x:t xml:space="preserve">หลอด 120 g.</x:t>
        </x:is>
      </x:c>
      <x:c r="F649" t="inlineStr">
        <x:is>
          <x:t xml:space="preserve">Menthol 5.44%+Methyl Salicylate 10.2%+Eugenol 1.36%</x:t>
        </x:is>
      </x:c>
      <x:c r="G649" t="inlineStr">
        <x:is>
          <x:t xml:space="preserve">BDS001473</x:t>
        </x:is>
      </x:c>
      <x:c r="H649" t="inlineStr">
        <x:is>
          <x:t xml:space="preserve">Counterpain ใหญ่ (120 g.)</x:t>
        </x:is>
      </x:c>
      <x:c r="I649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K649" t="n">
        <x:v>300</x:v>
      </x:c>
      <x:c r="L649" t="n">
        <x:v>2.5</x:v>
      </x:c>
      <x:c r="M649" t="inlineStr">
        <x:is>
          <x:t xml:space="preserve">USER</x:t>
        </x:is>
      </x:c>
      <x:c r="N649" t="inlineStr">
        <x:is>
          <x:t xml:space="preserve">2026-02-07</x:t>
        </x:is>
      </x:c>
      <x:c r="O649" t="inlineStr">
        <x:is>
          <x:t xml:space="preserve">User provided price (Counterpain 120 g).</x:t>
        </x:is>
      </x:c>
      <x:c r="P649" t="inlineStr">
        <x:is>
          <x:t xml:space="preserve">Topical pain relief / topical NSAIDs</x:t>
        </x:is>
      </x:c>
    </x:row>
    <x:row r="650">
      <x:c r="A650" t="n">
        <x:v>648</x:v>
      </x:c>
      <x:c r="B650" t="inlineStr">
        <x:is>
          <x:t xml:space="preserve">ยาทาและยาพ่นแก้ปวดเมื่อย </x:t>
        </x:is>
      </x:c>
      <x:c r="C650" t="n">
        <x:v>1924</x:v>
      </x:c>
      <x:c r="D650" t="inlineStr">
        <x:is>
          <x:t xml:space="preserve">Flanil</x:t>
        </x:is>
      </x:c>
      <x:c r="E650" t="inlineStr">
        <x:is>
          <x:t xml:space="preserve">หลอด 30 g.</x:t>
        </x:is>
      </x:c>
      <x:c r="F650" t="inlineStr">
        <x:is>
          <x:t xml:space="preserve">Menthol 5.44 g.+Methyl Salicylate 10.20 g.+Eugenol 1.36 g./100 g.</x:t>
        </x:is>
      </x:c>
      <x:c r="G650" t="inlineStr">
        <x:is>
          <x:t xml:space="preserve">BDS001924</x:t>
        </x:is>
      </x:c>
      <x:c r="H650" t="inlineStr">
        <x:is>
          <x:t xml:space="preserve">Flanil (30 g.)</x:t>
        </x:is>
      </x:c>
      <x:c r="I65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0" t="inlineStr">
        <x:is>
          <x:t xml:space="preserve">Topical pain relief / topical NSAIDs</x:t>
        </x:is>
      </x:c>
    </x:row>
    <x:row r="651">
      <x:c r="A651" t="n">
        <x:v>649</x:v>
      </x:c>
      <x:c r="B651" t="inlineStr">
        <x:is>
          <x:t xml:space="preserve">ยาทาและยาพ่นแก้ปวดเมื่อย </x:t>
        </x:is>
      </x:c>
      <x:c r="C651" t="n">
        <x:v>8608</x:v>
      </x:c>
      <x:c r="D651" t="inlineStr">
        <x:is>
          <x:t xml:space="preserve">Muscort Cream</x:t>
        </x:is>
      </x:c>
      <x:c r="E651" t="inlineStr">
        <x:is>
          <x:t xml:space="preserve">หลอด 25 g.</x:t>
        </x:is>
      </x:c>
      <x:c r="F651" t="inlineStr">
        <x:is>
          <x:t xml:space="preserve">Menthol 5.44%+Methyl Salicylate 10.12%+Eugenol 1.36%</x:t>
        </x:is>
      </x:c>
      <x:c r="G651" t="inlineStr">
        <x:is>
          <x:t xml:space="preserve">BDS008608</x:t>
        </x:is>
      </x:c>
      <x:c r="H651" t="inlineStr">
        <x:is>
          <x:t xml:space="preserve">Muscort Cream (25 g.)</x:t>
        </x:is>
      </x:c>
      <x:c r="I651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51" t="inlineStr">
        <x:is>
          <x:t xml:space="preserve">Topical pain relief / topical NSAIDs</x:t>
        </x:is>
      </x:c>
    </x:row>
    <x:row r="652">
      <x:c r="A652" t="n">
        <x:v>650</x:v>
      </x:c>
      <x:c r="B652" t="inlineStr">
        <x:is>
          <x:t xml:space="preserve">ยาทาและยาพ่นแก้ปวดเมื่อย </x:t>
        </x:is>
      </x:c>
      <x:c r="C652" t="n">
        <x:v>2817</x:v>
      </x:c>
      <x:c r="D652" t="inlineStr">
        <x:is>
          <x:t xml:space="preserve">Neotica Balm เล็ก</x:t>
        </x:is>
      </x:c>
      <x:c r="E652" t="inlineStr">
        <x:is>
          <x:t xml:space="preserve">หลอด 30 g.</x:t>
        </x:is>
      </x:c>
      <x:c r="F652" t="inlineStr">
        <x:is>
          <x:t xml:space="preserve">Menthol 5.64 g.+Camphor 1.8 g.+Methyl Salicylate 12.5 g.+Eucalyptus oil 1.8 g.+Eugenol 1.36 g./100 g</x:t>
        </x:is>
      </x:c>
      <x:c r="G652" t="inlineStr">
        <x:is>
          <x:t xml:space="preserve">BDS002817</x:t>
        </x:is>
      </x:c>
      <x:c r="H652" t="inlineStr">
        <x:is>
          <x:t xml:space="preserve">Neotica Balm เล็ก (30 g.)</x:t>
        </x:is>
      </x:c>
      <x:c r="I65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2" t="inlineStr">
        <x:is>
          <x:t xml:space="preserve">Topical pain relief / topical NSAIDs</x:t>
        </x:is>
      </x:c>
    </x:row>
    <x:row r="653">
      <x:c r="A653" t="n">
        <x:v>651</x:v>
      </x:c>
      <x:c r="B653" t="inlineStr">
        <x:is>
          <x:t xml:space="preserve">ยาทาและยาพ่นแก้ปวดเมื่อย </x:t>
        </x:is>
      </x:c>
      <x:c r="C653" t="n">
        <x:v>2819</x:v>
      </x:c>
      <x:c r="D653" t="inlineStr">
        <x:is>
          <x:t xml:space="preserve">Neotica Balm ใหญ่</x:t>
        </x:is>
      </x:c>
      <x:c r="E653" t="inlineStr">
        <x:is>
          <x:t xml:space="preserve">หลอด 100 g.</x:t>
        </x:is>
      </x:c>
      <x:c r="F653" t="inlineStr">
        <x:is>
          <x:t xml:space="preserve">Menthol 5.64 g.+Camphor 1.8 g.+Methyl Salicylate 12.5 g.+Eucalyptus oil 1.8 g.+Eugenol 1.36 g./100 g</x:t>
        </x:is>
      </x:c>
      <x:c r="G653" t="inlineStr">
        <x:is>
          <x:t xml:space="preserve">BDS002819</x:t>
        </x:is>
      </x:c>
      <x:c r="H653" t="inlineStr">
        <x:is>
          <x:t xml:space="preserve">Neotica Balm ใหญ่ (100 g.)</x:t>
        </x:is>
      </x:c>
      <x:c r="I653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3" t="inlineStr">
        <x:is>
          <x:t xml:space="preserve">Topical pain relief / topical NSAIDs</x:t>
        </x:is>
      </x:c>
    </x:row>
    <x:row r="654">
      <x:c r="A654" t="n">
        <x:v>652</x:v>
      </x:c>
      <x:c r="B654" t="inlineStr">
        <x:is>
          <x:t xml:space="preserve">ยาทาและยาพ่นแก้ปวดเมื่อย </x:t>
        </x:is>
      </x:c>
      <x:c r="C654" t="n">
        <x:v>3118</x:v>
      </x:c>
      <x:c r="D654" t="inlineStr">
        <x:is>
          <x:t xml:space="preserve">Perskindol Classic Gel</x:t>
        </x:is>
      </x:c>
      <x:c r="E654" t="inlineStr">
        <x:is>
          <x:t xml:space="preserve">กล่อง 100 ml.</x:t>
        </x:is>
      </x:c>
      <x:c r="F654" t="inlineStr">
        <x:is>
          <x:t xml:space="preserve">Menthol 1.5%+Pine Needle Oil 1.35%+Wintergreen Oil 0.35%+Orange Oil 0.4%</x:t>
        </x:is>
      </x:c>
      <x:c r="G654" t="inlineStr">
        <x:is>
          <x:t xml:space="preserve">BDS003118</x:t>
        </x:is>
      </x:c>
      <x:c r="H654" t="inlineStr">
        <x:is>
          <x:t xml:space="preserve">Perskindol Classic Gel (100 ml.)</x:t>
        </x:is>
      </x:c>
      <x:c r="I654" t="inlineStr">
        <x:is>
          <x:t xml:space="preserve">ทาบริเวณที่มีอาการ วันละ 3-4 ครั้ง นวดเบาๆ จนเนื้อเจลซึมเข้าสู่ผิวหนัง</x:t>
        </x:is>
      </x:c>
      <x:c r="P654" t="inlineStr">
        <x:is>
          <x:t xml:space="preserve">Topical pain relief / topical NSAIDs</x:t>
        </x:is>
      </x:c>
    </x:row>
    <x:row r="655">
      <x:c r="A655" t="n">
        <x:v>653</x:v>
      </x:c>
      <x:c r="B655" t="inlineStr">
        <x:is>
          <x:t xml:space="preserve">ยาทาและยาพ่นแก้ปวดเมื่อย </x:t>
        </x:is>
      </x:c>
      <x:c r="C655" t="n">
        <x:v>3119</x:v>
      </x:c>
      <x:c r="D655" t="inlineStr">
        <x:is>
          <x:t xml:space="preserve">Perskindol Classic Spray</x:t>
        </x:is>
      </x:c>
      <x:c r="E655" t="inlineStr">
        <x:is>
          <x:t xml:space="preserve">กระป๋อง 150 ml.</x:t>
        </x:is>
      </x:c>
      <x:c r="F655" t="inlineStr">
        <x:is>
          <x:t xml:space="preserve">Menthol 1.5%+Pine Needle Oil 1.35%+Wintergreen Oil 0.35%+Orange Oil 0.4%+Lemon Oil 0.1%</x:t>
        </x:is>
      </x:c>
      <x:c r="G655" t="inlineStr">
        <x:is>
          <x:t xml:space="preserve">BDS003119</x:t>
        </x:is>
      </x:c>
      <x:c r="H655" t="inlineStr">
        <x:is>
          <x:t xml:space="preserve">Perskindol Classic Spray (150 ml.)</x:t>
        </x:is>
      </x:c>
      <x:c r="I655" t="inlineStr">
        <x:is>
          <x:t xml:space="preserve">ฉีดพ่นบริเวณที่มีอาการ วันละ 3-4 ครั้ง นวดเบาๆ</x:t>
        </x:is>
      </x:c>
      <x:c r="P655" t="inlineStr">
        <x:is>
          <x:t xml:space="preserve">Topical pain relief / topical NSAIDs</x:t>
        </x:is>
      </x:c>
    </x:row>
    <x:row r="656">
      <x:c r="A656" t="n">
        <x:v>654</x:v>
      </x:c>
      <x:c r="B656" t="inlineStr">
        <x:is>
          <x:t xml:space="preserve">ยาทาและยาพ่นแก้ปวดเมื่อย </x:t>
        </x:is>
      </x:c>
      <x:c r="C656" t="n">
        <x:v>3117</x:v>
      </x:c>
      <x:c r="D656" t="inlineStr">
        <x:is>
          <x:t xml:space="preserve">Perskindol Cool Spray</x:t>
        </x:is>
      </x:c>
      <x:c r="E656" t="inlineStr">
        <x:is>
          <x:t xml:space="preserve">กระป๋อง 250 ml.</x:t>
        </x:is>
      </x:c>
      <x:c r="F656" t="inlineStr">
        <x:is>
          <x:t xml:space="preserve">I-Menthol 5 mg./1 g.</x:t>
        </x:is>
      </x:c>
      <x:c r="G656" t="inlineStr">
        <x:is>
          <x:t xml:space="preserve">BDS003117</x:t>
        </x:is>
      </x:c>
      <x:c r="H656" t="inlineStr">
        <x:is>
          <x:t xml:space="preserve">Perskindol Cool Spray (250 ml.)</x:t>
        </x:is>
      </x:c>
      <x:c r="I656" t="inlineStr">
        <x:is>
          <x:t xml:space="preserve">ฉีดพ่นบริเวณที่มีอาการ ได้บ่อยครั้งตามต้องการ</x:t>
        </x:is>
      </x:c>
      <x:c r="P656" t="inlineStr">
        <x:is>
          <x:t xml:space="preserve">Topical pain relief / topical NSAIDs</x:t>
        </x:is>
      </x:c>
    </x:row>
    <x:row r="657">
      <x:c r="A657" t="n">
        <x:v>655</x:v>
      </x:c>
      <x:c r="B657" t="inlineStr">
        <x:is>
          <x:t xml:space="preserve">ยาทาและยาพ่นแก้ปวดเมื่อย </x:t>
        </x:is>
      </x:c>
      <x:c r="C657" t="n">
        <x:v>46527</x:v>
      </x:c>
      <x:c r="D657" t="inlineStr">
        <x:is>
          <x:t xml:space="preserve">Plaivana Cream</x:t>
        </x:is>
      </x:c>
      <x:c r="E657" t="inlineStr">
        <x:is>
          <x:t xml:space="preserve">หลอด 35 g.</x:t>
        </x:is>
      </x:c>
      <x:c r="F657" t="inlineStr">
        <x:is>
          <x:t xml:space="preserve">น้ำมันไพล 14 g./100 g.</x:t>
        </x:is>
      </x:c>
      <x:c r="G657" t="inlineStr">
        <x:is>
          <x:t xml:space="preserve">BDS046527</x:t>
        </x:is>
      </x:c>
      <x:c r="H657" t="inlineStr">
        <x:is>
          <x:t xml:space="preserve">Plaivana Cream (35 g.)</x:t>
        </x:is>
      </x:c>
      <x:c r="I657" t="inlineStr">
        <x:is>
          <x:t xml:space="preserve">นวดหรือทาบริเวณที่มีอาการ วันละ 2-3 ครั้ง</x:t>
        </x:is>
      </x:c>
      <x:c r="P657" t="inlineStr">
        <x:is>
          <x:t xml:space="preserve">Topical pain relief / topical NSAIDs</x:t>
        </x:is>
      </x:c>
    </x:row>
    <x:row r="658">
      <x:c r="A658" t="n">
        <x:v>656</x:v>
      </x:c>
      <x:c r="B658" t="inlineStr">
        <x:is>
          <x:t xml:space="preserve">ยาทาและยาพ่นแก้ปวดเมื่อย </x:t>
        </x:is>
      </x:c>
      <x:c r="C658" t="n">
        <x:v>2875</x:v>
      </x:c>
      <x:c r="D658" t="inlineStr">
        <x:is>
          <x:t xml:space="preserve">Reparil Ice Spray</x:t>
        </x:is>
      </x:c>
      <x:c r="E658" t="inlineStr">
        <x:is>
          <x:t xml:space="preserve">กระป๋อง 200 ml.</x:t>
        </x:is>
      </x:c>
      <x:c r="F658" t="inlineStr">
        <x:is>
          <x:t xml:space="preserve">Butane+Pentane+Isobutane+Propane+Isopropyl alcohol+Menthol+Camphor</x:t>
        </x:is>
      </x:c>
      <x:c r="G658" t="inlineStr">
        <x:is>
          <x:t xml:space="preserve">BDS002875</x:t>
        </x:is>
      </x:c>
      <x:c r="H658" t="inlineStr">
        <x:is>
          <x:t xml:space="preserve">Reparil Ice Spray (200 ml.)</x:t>
        </x:is>
      </x:c>
      <x:c r="I658" t="inlineStr">
        <x:is>
          <x:t xml:space="preserve"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x:t>
        </x:is>
      </x:c>
      <x:c r="P658" t="inlineStr">
        <x:is>
          <x:t xml:space="preserve">Topical pain relief / topical NSAIDs</x:t>
        </x:is>
      </x:c>
    </x:row>
    <x:row r="659">
      <x:c r="A659" t="n">
        <x:v>657</x:v>
      </x:c>
      <x:c r="B659" t="inlineStr">
        <x:is>
          <x:t xml:space="preserve">ยาทาและยาพ่นแก้ปวดเมื่อย </x:t>
        </x:is>
      </x:c>
      <x:c r="C659" t="n">
        <x:v>3602</x:v>
      </x:c>
      <x:c r="D659" t="inlineStr">
        <x:is>
          <x:t xml:space="preserve">Salonpas Cream</x:t>
        </x:is>
      </x:c>
      <x:c r="E659" t="inlineStr">
        <x:is>
          <x:t xml:space="preserve">หลอด 30 g.</x:t>
        </x:is>
      </x:c>
      <x:c r="F659" t="inlineStr">
        <x:is>
          <x:t xml:space="preserve">Methyl salicylate 15 g.+Menthol 7 g./100 g. </x:t>
        </x:is>
      </x:c>
      <x:c r="G659" t="inlineStr">
        <x:is>
          <x:t xml:space="preserve">BDS003602</x:t>
        </x:is>
      </x:c>
      <x:c r="H659" t="inlineStr">
        <x:is>
          <x:t xml:space="preserve">Salonpas Cream (30 g.)</x:t>
        </x:is>
      </x:c>
      <x:c r="I659" t="inlineStr">
        <x:is>
          <x:t xml:space="preserve">ทาบริเวณที่มีอาการ ไม่เกินวันละ 3-4 ครั้ง </x:t>
        </x:is>
      </x:c>
      <x:c r="P659" t="inlineStr">
        <x:is>
          <x:t xml:space="preserve">Topical pain relief / topical NSAIDs</x:t>
        </x:is>
      </x:c>
    </x:row>
    <x:row r="660">
      <x:c r="A660" t="n">
        <x:v>658</x:v>
      </x:c>
      <x:c r="B660" t="inlineStr">
        <x:is>
          <x:t xml:space="preserve">ยาทาฆ่าเชี้อแบคทีเรีย</x:t>
        </x:is>
      </x:c>
      <x:c r="C660" t="n">
        <x:v>1991</x:v>
      </x:c>
      <x:c r="D660" t="inlineStr">
        <x:is>
          <x:t xml:space="preserve">Fucidin Cream</x:t>
        </x:is>
      </x:c>
      <x:c r="E660" t="inlineStr">
        <x:is>
          <x:t xml:space="preserve">หลอด 5 g.</x:t>
        </x:is>
      </x:c>
      <x:c r="F660" t="inlineStr">
        <x:is>
          <x:t xml:space="preserve">Fusidic acid 20 mg./1 g.</x:t>
        </x:is>
      </x:c>
      <x:c r="G660" t="inlineStr">
        <x:is>
          <x:t xml:space="preserve">BDS001991</x:t>
        </x:is>
      </x:c>
      <x:c r="H660" t="inlineStr">
        <x:is>
          <x:t xml:space="preserve">Fucidin Cream (5 g.)</x:t>
        </x:is>
      </x:c>
      <x:c r="I660" t="inlineStr">
        <x:is>
          <x:t xml:space="preserve">ทาบริเวณผิวหนังที่ติดเชื้อ วันละ 2-3 ครั้ง โดยทั่วไปใช้ในระยะเวลา 7 วัน</x:t>
        </x:is>
      </x:c>
    </x:row>
    <x:row r="661">
      <x:c r="A661" t="n">
        <x:v>659</x:v>
      </x:c>
      <x:c r="B661" t="inlineStr">
        <x:is>
          <x:t xml:space="preserve">ยาทาฆ่าเชี้อแบคทีเรีย</x:t>
        </x:is>
      </x:c>
      <x:c r="C661" t="n">
        <x:v>1923</x:v>
      </x:c>
      <x:c r="D661" t="inlineStr">
        <x:is>
          <x:t xml:space="preserve">Fucidin Ointment</x:t>
        </x:is>
      </x:c>
      <x:c r="E661" t="inlineStr">
        <x:is>
          <x:t xml:space="preserve">หลอด 5 g.</x:t>
        </x:is>
      </x:c>
      <x:c r="F661" t="inlineStr">
        <x:is>
          <x:t xml:space="preserve">Sodium fusidate 20 mg./1 g.</x:t>
        </x:is>
      </x:c>
      <x:c r="G661" t="inlineStr">
        <x:is>
          <x:t xml:space="preserve">BDS001923</x:t>
        </x:is>
      </x:c>
      <x:c r="H661" t="inlineStr">
        <x:is>
          <x:t xml:space="preserve">Fucidin Ointment (5 g.)</x:t>
        </x:is>
      </x:c>
      <x:c r="I661" t="inlineStr">
        <x:is>
          <x:t xml:space="preserve">ทาบริเวณผิวหนังที่ติดเชื้อ วันละ 2-3 ครั้ง</x:t>
        </x:is>
      </x:c>
    </x:row>
    <x:row r="662">
      <x:c r="A662" t="n">
        <x:v>660</x:v>
      </x:c>
      <x:c r="B662" t="inlineStr">
        <x:is>
          <x:t xml:space="preserve">ยาทาฆ่าเชี้อแบคทีเรีย</x:t>
        </x:is>
      </x:c>
      <x:c r="C662" t="n">
        <x:v>2038</x:v>
      </x:c>
      <x:c r="D662" t="inlineStr">
        <x:is>
          <x:t xml:space="preserve">Gentrex Cream</x:t>
        </x:is>
      </x:c>
      <x:c r="E662" t="inlineStr">
        <x:is>
          <x:t xml:space="preserve">หลอด 5 g.</x:t>
        </x:is>
      </x:c>
      <x:c r="F662" t="inlineStr">
        <x:is>
          <x:t xml:space="preserve">Gentamicin Sulfate (eq. to Gentamicin 1 mg/1 g)</x:t>
        </x:is>
      </x:c>
      <x:c r="G662" t="inlineStr">
        <x:is>
          <x:t xml:space="preserve">BDS002038</x:t>
        </x:is>
      </x:c>
      <x:c r="H662" t="inlineStr">
        <x:is>
          <x:t xml:space="preserve">Gentrex Cream (5 g.)</x:t>
        </x:is>
      </x:c>
      <x:c r="I662" t="inlineStr">
        <x:is>
          <x:t xml:space="preserve">ทาบริเวณที่เป็นแผล วันละ 3-4 ครั้ง</x:t>
        </x:is>
      </x:c>
    </x:row>
    <x:row r="663">
      <x:c r="A663" t="n">
        <x:v>661</x:v>
      </x:c>
      <x:c r="B663" t="inlineStr">
        <x:is>
          <x:t xml:space="preserve">ยาทาฆ่าเชี้อแบคทีเรีย</x:t>
        </x:is>
      </x:c>
      <x:c r="C663" t="n">
        <x:v>8231</x:v>
      </x:c>
      <x:c r="D663" t="inlineStr">
        <x:is>
          <x:t xml:space="preserve">Mulacin Ointment</x:t>
        </x:is>
      </x:c>
      <x:c r="E663" t="inlineStr">
        <x:is>
          <x:t xml:space="preserve">หลอด 5 g.</x:t>
        </x:is>
      </x:c>
      <x:c r="F663" t="inlineStr">
        <x:is>
          <x:t xml:space="preserve">Mupirocin 2% w/w</x:t>
        </x:is>
      </x:c>
      <x:c r="G663" t="inlineStr">
        <x:is>
          <x:t xml:space="preserve">BDS008231</x:t>
        </x:is>
      </x:c>
      <x:c r="H663" t="inlineStr">
        <x:is>
          <x:t xml:space="preserve">Mulacin Ointment (5 g.)</x:t>
        </x:is>
      </x:c>
      <x:c r="I663" t="inlineStr">
        <x:is>
          <x:t xml:space="preserve">ทาบริเวณผิวหนังที่ติดเชื้อ วันละ 2-3 ครั้ง</x:t>
        </x:is>
      </x:c>
    </x:row>
    <x:row r="664">
      <x:c r="A664" t="n">
        <x:v>662</x:v>
      </x:c>
      <x:c r="B664" t="inlineStr">
        <x:is>
          <x:t xml:space="preserve">ยาทาฆ่าเชี้อแบคทีเรีย</x:t>
        </x:is>
      </x:c>
      <x:c r="C664" t="n">
        <x:v>7768</x:v>
      </x:c>
      <x:c r="D664" t="inlineStr">
        <x:is>
          <x:t xml:space="preserve">Skinfect Cream เล็ก</x:t>
        </x:is>
      </x:c>
      <x:c r="E664" t="inlineStr">
        <x:is>
          <x:t xml:space="preserve">หลอด 5 g.</x:t>
        </x:is>
      </x:c>
      <x:c r="F664" t="inlineStr">
        <x:is>
          <x:t xml:space="preserve">Gentamicin 1 mg./1 g.</x:t>
        </x:is>
      </x:c>
      <x:c r="G664" t="inlineStr">
        <x:is>
          <x:t xml:space="preserve">BDS007768</x:t>
        </x:is>
      </x:c>
      <x:c r="H664" t="inlineStr">
        <x:is>
          <x:t xml:space="preserve">Skinfect Cream เล็ก (5 g.)</x:t>
        </x:is>
      </x:c>
      <x:c r="I664" t="inlineStr">
        <x:is>
          <x:t xml:space="preserve">ทาบางๆ บริเวณบาดแผล หรือผิวหนังที่มีอาการติดเชื้อ เป็นหนอง </x:t>
        </x:is>
      </x:c>
    </x:row>
    <x:row r="665">
      <x:c r="A665" t="n">
        <x:v>663</x:v>
      </x:c>
      <x:c r="B665" t="inlineStr">
        <x:is>
          <x:t xml:space="preserve">ยาทาฆ่าเชี้อแบคทีเรีย</x:t>
        </x:is>
      </x:c>
      <x:c r="C665" t="n">
        <x:v>7766</x:v>
      </x:c>
      <x:c r="D665" t="inlineStr">
        <x:is>
          <x:t xml:space="preserve">Skinfect Cream ใหญ่</x:t>
        </x:is>
      </x:c>
      <x:c r="E665" t="inlineStr">
        <x:is>
          <x:t xml:space="preserve">หลอด 15 g.</x:t>
        </x:is>
      </x:c>
      <x:c r="F665" t="inlineStr">
        <x:is>
          <x:t xml:space="preserve">Gentamicin 1 mg./1 g.</x:t>
        </x:is>
      </x:c>
      <x:c r="G665" t="inlineStr">
        <x:is>
          <x:t xml:space="preserve">BDS007766</x:t>
        </x:is>
      </x:c>
      <x:c r="H665" t="inlineStr">
        <x:is>
          <x:t xml:space="preserve">Skinfect Cream ใหญ่ (15 g.)</x:t>
        </x:is>
      </x:c>
      <x:c r="I665" t="inlineStr">
        <x:is>
          <x:t xml:space="preserve">ทาบางๆ บริเวณบาดแผล หรือผิวหนังที่มีอาการติดเชื้อ เป็นหนอง </x:t>
        </x:is>
      </x:c>
    </x:row>
    <x:row r="666">
      <x:c r="A666" t="n">
        <x:v>664</x:v>
      </x:c>
      <x:c r="B666" t="inlineStr">
        <x:is>
          <x:t xml:space="preserve">ยาทาฆ่าเชี้อรา</x:t>
        </x:is>
      </x:c>
      <x:c r="C666" t="n">
        <x:v>6059</x:v>
      </x:c>
      <x:c r="D666" t="inlineStr">
        <x:is>
          <x:t xml:space="preserve">Candix Solution</x:t>
        </x:is>
      </x:c>
      <x:c r="E666" t="inlineStr">
        <x:is>
          <x:t xml:space="preserve">ขวด 15 ml.</x:t>
        </x:is>
      </x:c>
      <x:c r="F666" t="inlineStr">
        <x:is>
          <x:t xml:space="preserve">Clotrimazole 1 g./100 ml.</x:t>
        </x:is>
      </x:c>
      <x:c r="G666" t="inlineStr">
        <x:is>
          <x:t xml:space="preserve">BDS006059</x:t>
        </x:is>
      </x:c>
      <x:c r="H666" t="inlineStr">
        <x:is>
          <x:t xml:space="preserve">Candix Solution (15 ml.)</x:t>
        </x:is>
      </x:c>
      <x:c r="I666" t="inlineStr">
        <x:is>
          <x:t xml:space="preserve">ทาบางๆ บริเวณที่มีอาการ วันละ 2-3 ครั้ง </x:t>
        </x:is>
      </x:c>
    </x:row>
    <x:row r="667">
      <x:c r="A667" t="n">
        <x:v>665</x:v>
      </x:c>
      <x:c r="B667" t="inlineStr">
        <x:is>
          <x:t xml:space="preserve">ยาทาฆ่าเชี้อรา</x:t>
        </x:is>
      </x:c>
      <x:c r="C667" t="n">
        <x:v>1489</x:v>
      </x:c>
      <x:c r="D667" t="inlineStr">
        <x:is>
          <x:t xml:space="preserve">Canesten Cream 10 g</x:t>
        </x:is>
      </x:c>
      <x:c r="E667" t="inlineStr">
        <x:is>
          <x:t xml:space="preserve">หลอด 10 g.</x:t>
        </x:is>
      </x:c>
      <x:c r="F667" t="inlineStr">
        <x:is>
          <x:t xml:space="preserve">Clotrimazole 1 g./100 g.</x:t>
        </x:is>
      </x:c>
      <x:c r="G667" t="inlineStr">
        <x:is>
          <x:t xml:space="preserve">BDS001489</x:t>
        </x:is>
      </x:c>
      <x:c r="H667" t="inlineStr">
        <x:is>
          <x:t xml:space="preserve">Canesten Cream 10 g (10 g.)</x:t>
        </x:is>
      </x:c>
      <x:c r="I667" t="inlineStr">
        <x:is>
          <x:t xml:space="preserve">ทาครีมบางๆ บริเวณที่ติดเชื้อ วันละ 2-3 ครั้ง</x:t>
        </x:is>
      </x:c>
    </x:row>
    <x:row r="668">
      <x:c r="A668" t="n">
        <x:v>666</x:v>
      </x:c>
      <x:c r="B668" t="inlineStr">
        <x:is>
          <x:t xml:space="preserve">ยาทาฆ่าเชี้อรา</x:t>
        </x:is>
      </x:c>
      <x:c r="C668" t="n">
        <x:v>1422</x:v>
      </x:c>
      <x:c r="D668" t="inlineStr">
        <x:is>
          <x:t xml:space="preserve">Canesten Cream 20 g</x:t>
        </x:is>
      </x:c>
      <x:c r="E668" t="inlineStr">
        <x:is>
          <x:t xml:space="preserve">หลอด 20 g.</x:t>
        </x:is>
      </x:c>
      <x:c r="F668" t="inlineStr">
        <x:is>
          <x:t xml:space="preserve">Clotrimazole 1 g./100 g.</x:t>
        </x:is>
      </x:c>
      <x:c r="G668" t="inlineStr">
        <x:is>
          <x:t xml:space="preserve">BDS001422</x:t>
        </x:is>
      </x:c>
      <x:c r="H668" t="inlineStr">
        <x:is>
          <x:t xml:space="preserve">Canesten Cream 20 g (20 g.)</x:t>
        </x:is>
      </x:c>
      <x:c r="I668" t="inlineStr">
        <x:is>
          <x:t xml:space="preserve">ทาครีมบางๆ บริเวณที่ติดเชื้อ วันละ 2-3 ครั้ง</x:t>
        </x:is>
      </x:c>
    </x:row>
    <x:row r="669">
      <x:c r="A669" t="n">
        <x:v>667</x:v>
      </x:c>
      <x:c r="B669" t="inlineStr">
        <x:is>
          <x:t xml:space="preserve">ยาทาฆ่าเชี้อรา</x:t>
        </x:is>
      </x:c>
      <x:c r="C669" t="n">
        <x:v>41433</x:v>
      </x:c>
      <x:c r="D669" t="inlineStr">
        <x:is>
          <x:t xml:space="preserve">Canesten Cream O.D.</x:t>
        </x:is>
      </x:c>
      <x:c r="E669" t="inlineStr">
        <x:is>
          <x:t xml:space="preserve">หลอด 10 g.</x:t>
        </x:is>
      </x:c>
      <x:c r="F669" t="inlineStr">
        <x:is>
          <x:t xml:space="preserve">Bifonazole 1 g./100 g.</x:t>
        </x:is>
      </x:c>
      <x:c r="G669" t="inlineStr">
        <x:is>
          <x:t xml:space="preserve">BDS041433</x:t>
        </x:is>
      </x:c>
      <x:c r="H669" t="inlineStr">
        <x:is>
          <x:t xml:space="preserve">Canesten Cream O.D. (10 g.)</x:t>
        </x:is>
      </x:c>
      <x:c r="I669" t="inlineStr">
        <x:is>
          <x:t xml:space="preserve">ทาครีมบางๆ บริเวณที่ติดเชื้อ วันละ 1 ครั้ง ควรทาตอนเย็นก่อนเข้านอน</x:t>
        </x:is>
      </x:c>
    </x:row>
    <x:row r="670">
      <x:c r="A670" t="n">
        <x:v>668</x:v>
      </x:c>
      <x:c r="B670" t="inlineStr">
        <x:is>
          <x:t xml:space="preserve">ยาทาฆ่าเชี้อรา</x:t>
        </x:is>
      </x:c>
      <x:c r="C670" t="n">
        <x:v>7735</x:v>
      </x:c>
      <x:c r="D670" t="inlineStr">
        <x:is>
          <x:t xml:space="preserve">Fango Cream เล็ก</x:t>
        </x:is>
      </x:c>
      <x:c r="E670" t="inlineStr">
        <x:is>
          <x:t xml:space="preserve">หลอด 5 g.</x:t>
        </x:is>
      </x:c>
      <x:c r="F670" t="inlineStr">
        <x:is>
          <x:t xml:space="preserve">Clotrimazole 1 g/100 g</x:t>
        </x:is>
      </x:c>
      <x:c r="G670" t="inlineStr">
        <x:is>
          <x:t xml:space="preserve">BDS007735</x:t>
        </x:is>
      </x:c>
      <x:c r="H670" t="inlineStr">
        <x:is>
          <x:t xml:space="preserve">Fango Cream เล็ก (5 g.)</x:t>
        </x:is>
      </x:c>
      <x:c r="I670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x:t>
        </x:is>
      </x:c>
    </x:row>
    <x:row r="671">
      <x:c r="A671" t="n">
        <x:v>669</x:v>
      </x:c>
      <x:c r="B671" t="inlineStr">
        <x:is>
          <x:t xml:space="preserve">ยาทาฆ่าเชี้อรา</x:t>
        </x:is>
      </x:c>
      <x:c r="C671" t="n">
        <x:v>43117</x:v>
      </x:c>
      <x:c r="D671" t="inlineStr">
        <x:is>
          <x:t xml:space="preserve">Fango Cream ใหญ่</x:t>
        </x:is>
      </x:c>
      <x:c r="E671" t="inlineStr">
        <x:is>
          <x:t xml:space="preserve">หลอด 15 g.</x:t>
        </x:is>
      </x:c>
      <x:c r="F671" t="inlineStr">
        <x:is>
          <x:t xml:space="preserve">Clotrimazole 1 g/100 g</x:t>
        </x:is>
      </x:c>
      <x:c r="G671" t="inlineStr">
        <x:is>
          <x:t xml:space="preserve">BDS043117</x:t>
        </x:is>
      </x:c>
      <x:c r="H671" t="inlineStr">
        <x:is>
          <x:t xml:space="preserve">Fango Cream ใหญ่ (15 g.)</x:t>
        </x:is>
      </x:c>
      <x:c r="I671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x:t>
        </x:is>
      </x:c>
    </x:row>
    <x:row r="672">
      <x:c r="A672" t="n">
        <x:v>670</x:v>
      </x:c>
      <x:c r="B672" t="inlineStr">
        <x:is>
          <x:t xml:space="preserve">ยาทาฆ่าเชี้อรา</x:t>
        </x:is>
      </x:c>
      <x:c r="C672" t="n">
        <x:v>7542</x:v>
      </x:c>
      <x:c r="D672" t="inlineStr">
        <x:is>
          <x:t xml:space="preserve">Fungasin Cream เล็ก</x:t>
        </x:is>
      </x:c>
      <x:c r="E672" t="inlineStr">
        <x:is>
          <x:t xml:space="preserve">หลอด 5 g.</x:t>
        </x:is>
      </x:c>
      <x:c r="F672" t="inlineStr">
        <x:is>
          <x:t xml:space="preserve">Ketoconazole 20 mg./1 g.</x:t>
        </x:is>
      </x:c>
      <x:c r="G672" t="inlineStr">
        <x:is>
          <x:t xml:space="preserve">BDS007542</x:t>
        </x:is>
      </x:c>
      <x:c r="H672" t="inlineStr">
        <x:is>
          <x:t xml:space="preserve">Fungasin Cream เล็ก (5 g.)</x:t>
        </x:is>
      </x:c>
      <x:c r="I672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1-2 ครั้ง</x:t>
        </x:is>
      </x:c>
    </x:row>
    <x:row r="673">
      <x:c r="A673" t="n">
        <x:v>671</x:v>
      </x:c>
      <x:c r="B673" t="inlineStr">
        <x:is>
          <x:t xml:space="preserve">ยาทาฆ่าเชี้อรา</x:t>
        </x:is>
      </x:c>
      <x:c r="C673" t="n">
        <x:v>7543</x:v>
      </x:c>
      <x:c r="D673" t="inlineStr">
        <x:is>
          <x:t xml:space="preserve">Fungasin Cream ใหญ่</x:t>
        </x:is>
      </x:c>
      <x:c r="E673" t="inlineStr">
        <x:is>
          <x:t xml:space="preserve">หลอด 20 g.</x:t>
        </x:is>
      </x:c>
      <x:c r="F673" t="inlineStr">
        <x:is>
          <x:t xml:space="preserve">Ketoconazole 20 mg./1 g.</x:t>
        </x:is>
      </x:c>
      <x:c r="G673" t="inlineStr">
        <x:is>
          <x:t xml:space="preserve">BDS007543</x:t>
        </x:is>
      </x:c>
      <x:c r="H673" t="inlineStr">
        <x:is>
          <x:t xml:space="preserve">Fungasin Cream ใหญ่ (20 g.)</x:t>
        </x:is>
      </x:c>
      <x:c r="I673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1-2 ครั้ง</x:t>
        </x:is>
      </x:c>
    </x:row>
    <x:row r="674">
      <x:c r="A674" t="n">
        <x:v>672</x:v>
      </x:c>
      <x:c r="B674" t="inlineStr">
        <x:is>
          <x:t xml:space="preserve">ยาทาฆ่าเชี้อรา</x:t>
        </x:is>
      </x:c>
      <x:c r="C674" t="n">
        <x:v>8451</x:v>
      </x:c>
      <x:c r="D674" t="inlineStr">
        <x:is>
          <x:t xml:space="preserve">Funginox Solution</x:t>
        </x:is>
      </x:c>
      <x:c r="E674" t="inlineStr">
        <x:is>
          <x:t xml:space="preserve">ขวด 25 ml.</x:t>
        </x:is>
      </x:c>
      <x:c r="F674" t="inlineStr">
        <x:is>
          <x:t xml:space="preserve">Ketoconazole 2%</x:t>
        </x:is>
      </x:c>
      <x:c r="G674" t="inlineStr">
        <x:is>
          <x:t xml:space="preserve">BDS008451</x:t>
        </x:is>
      </x:c>
      <x:c r="H674" t="inlineStr">
        <x:is>
          <x:t xml:space="preserve">Funginox Solution (25 ml.)</x:t>
        </x:is>
      </x:c>
      <x:c r="I674" t="inlineStr">
        <x:is>
          <x:t xml:space="preserve">สเปรย์ลงบนผิวหนังโดยไม่ต้องล้างออก วันละ 1-2 ครั้ง</x:t>
        </x:is>
      </x:c>
    </x:row>
    <x:row r="675">
      <x:c r="A675" t="n">
        <x:v>673</x:v>
      </x:c>
      <x:c r="B675" t="inlineStr">
        <x:is>
          <x:t xml:space="preserve">ยาทาฆ่าเชี้อรา</x:t>
        </x:is>
      </x:c>
      <x:c r="C675" t="n">
        <x:v>2562</x:v>
      </x:c>
      <x:c r="D675" t="inlineStr">
        <x:is>
          <x:t xml:space="preserve">Lamazone Cream</x:t>
        </x:is>
      </x:c>
      <x:c r="E675" t="inlineStr">
        <x:is>
          <x:t xml:space="preserve">หลอด 10 g.</x:t>
        </x:is>
      </x:c>
      <x:c r="F675" t="inlineStr">
        <x:is>
          <x:t xml:space="preserve">Clotrimazole 1 g./100 g.</x:t>
        </x:is>
      </x:c>
      <x:c r="G675" t="inlineStr">
        <x:is>
          <x:t xml:space="preserve">BDS002562</x:t>
        </x:is>
      </x:c>
      <x:c r="H675" t="inlineStr">
        <x:is>
          <x:t xml:space="preserve">Lamazone Cream (10 g.)</x:t>
        </x:is>
      </x:c>
      <x:c r="I675" t="inlineStr">
        <x:is>
          <x:t xml:space="preserve">ทาครีมบางๆ บริเวณที่ติดเชื้อ วันละ 2-3 ครั้ง</x:t>
        </x:is>
      </x:c>
    </x:row>
    <x:row r="676">
      <x:c r="A676" t="n">
        <x:v>674</x:v>
      </x:c>
      <x:c r="B676" t="inlineStr">
        <x:is>
          <x:t xml:space="preserve">ยาทาฆ่าเชี้อรา</x:t>
        </x:is>
      </x:c>
      <x:c r="C676" t="n">
        <x:v>2563</x:v>
      </x:c>
      <x:c r="D676" t="inlineStr">
        <x:is>
          <x:t xml:space="preserve">Lamisil Cream</x:t>
        </x:is>
      </x:c>
      <x:c r="E676" t="inlineStr">
        <x:is>
          <x:t xml:space="preserve">หลอด 5 g.</x:t>
        </x:is>
      </x:c>
      <x:c r="F676" t="inlineStr">
        <x:is>
          <x:t xml:space="preserve">Terbinafine HCl 10 mg./1 g.</x:t>
        </x:is>
      </x:c>
      <x:c r="G676" t="inlineStr">
        <x:is>
          <x:t xml:space="preserve">BDS002563</x:t>
        </x:is>
      </x:c>
      <x:c r="H676" t="inlineStr">
        <x:is>
          <x:t xml:space="preserve">Lamisil Cream (5 g.)</x:t>
        </x:is>
      </x:c>
      <x:c r="I676" t="inlineStr">
        <x:is>
          <x:t xml:space="preserve">ทาครีมบางๆ บริเวณที่ติดเชื้อวันละ 1-2 ครั้ง</x:t>
        </x:is>
      </x:c>
    </x:row>
    <x:row r="677">
      <x:c r="A677" t="n">
        <x:v>675</x:v>
      </x:c>
      <x:c r="B677" t="inlineStr">
        <x:is>
          <x:t xml:space="preserve">ยาทาฆ่าเชี้อรา</x:t>
        </x:is>
      </x:c>
      <x:c r="C677" t="n">
        <x:v>2648</x:v>
      </x:c>
      <x:c r="D677" t="inlineStr">
        <x:is>
          <x:t xml:space="preserve">Mycoderm-C 1%</x:t>
        </x:is>
      </x:c>
      <x:c r="E677" t="inlineStr">
        <x:is>
          <x:t xml:space="preserve">ขวด 75 g.</x:t>
        </x:is>
      </x:c>
      <x:c r="F677" t="inlineStr">
        <x:is>
          <x:t xml:space="preserve">Clotrimazole BP 1% w/w</x:t>
        </x:is>
      </x:c>
      <x:c r="G677" t="inlineStr">
        <x:is>
          <x:t xml:space="preserve">BDS002648</x:t>
        </x:is>
      </x:c>
      <x:c r="H677" t="inlineStr">
        <x:is>
          <x:t xml:space="preserve">Mycoderm-C 1% (75 g.)</x:t>
        </x:is>
      </x:c>
      <x:c r="I677" t="inlineStr">
        <x:is>
          <x:t xml:space="preserve">โรยผิวหนังบริเวณที่มีการติดเชื้อราที่ใกล้จะหายแล้วหลังจากการทาด้วยโคลไตรมาโซลชนิดครีม </x:t>
        </x:is>
      </x:c>
    </x:row>
    <x:row r="678">
      <x:c r="A678" t="n">
        <x:v>676</x:v>
      </x:c>
      <x:c r="B678" t="inlineStr">
        <x:is>
          <x:t xml:space="preserve">ยาทาฆ่าเชี้อรา</x:t>
        </x:is>
      </x:c>
      <x:c r="C678" t="n">
        <x:v>45665</x:v>
      </x:c>
      <x:c r="D678" t="inlineStr">
        <x:is>
          <x:t xml:space="preserve">Nizoral Cream 15 g.</x:t>
        </x:is>
      </x:c>
      <x:c r="E678" t="inlineStr">
        <x:is>
          <x:t xml:space="preserve">หลอด 15 g.</x:t>
        </x:is>
      </x:c>
      <x:c r="F678" t="inlineStr">
        <x:is>
          <x:t xml:space="preserve">Ketoconazole 20 g.</x:t>
        </x:is>
      </x:c>
      <x:c r="G678" t="inlineStr">
        <x:is>
          <x:t xml:space="preserve">BDS045665</x:t>
        </x:is>
      </x:c>
      <x:c r="H678" t="inlineStr">
        <x:is>
          <x:t xml:space="preserve">Nizoral Cream 15 g. (15 g.)</x:t>
        </x:is>
      </x:c>
      <x:c r="I678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 ครั้ง </x:t>
        </x:is>
      </x:c>
    </x:row>
    <x:row r="679">
      <x:c r="A679" t="n">
        <x:v>677</x:v>
      </x:c>
      <x:c r="B679" t="inlineStr">
        <x:is>
          <x:t xml:space="preserve">ยาทาฆ่าเชี้อรา</x:t>
        </x:is>
      </x:c>
      <x:c r="C679" t="n">
        <x:v>2829</x:v>
      </x:c>
      <x:c r="D679" t="inlineStr">
        <x:is>
          <x:t xml:space="preserve">Nizoral Cream เล็ก</x:t>
        </x:is>
      </x:c>
      <x:c r="E679" t="inlineStr">
        <x:is>
          <x:t xml:space="preserve">หลอด 5 g.</x:t>
        </x:is>
      </x:c>
      <x:c r="F679" t="inlineStr">
        <x:is>
          <x:t xml:space="preserve">Ketoconazole 20 mg./1 g.</x:t>
        </x:is>
      </x:c>
      <x:c r="G679" t="inlineStr">
        <x:is>
          <x:t xml:space="preserve">BDS002829</x:t>
        </x:is>
      </x:c>
      <x:c r="H679" t="inlineStr">
        <x:is>
          <x:t xml:space="preserve">Nizoral Cream เล็ก (5 g.)</x:t>
        </x:is>
      </x:c>
      <x:c r="I679" t="inlineStr">
        <x:is>
          <x:t xml:space="preserve">ทาครีมบางๆ บริเวณผิวหนังที่มีการติดเชื้อและบริเวณรอบๆ ที่มีการติดเชื้อ วันละ 1 ครั้ง</x:t>
        </x:is>
      </x:c>
    </x:row>
    <x:row r="680">
      <x:c r="A680" t="n">
        <x:v>678</x:v>
      </x:c>
      <x:c r="B680" t="inlineStr">
        <x:is>
          <x:t xml:space="preserve">ยาทาฆ่าเชี้อรา</x:t>
        </x:is>
      </x:c>
      <x:c r="C680" t="n">
        <x:v>4205</x:v>
      </x:c>
      <x:c r="D680" t="inlineStr">
        <x:is>
          <x:t xml:space="preserve">Zema Lotion</x:t>
        </x:is>
      </x:c>
      <x:c r="E680" t="inlineStr">
        <x:is>
          <x:t xml:space="preserve">ขวด 15 ml.</x:t>
        </x:is>
      </x:c>
      <x:c r="F680" t="inlineStr">
        <x:is>
          <x:t xml:space="preserve">Salicylic Acid 11.8%+Resorcinol 3.8%+Phenylic Acid 0.285%</x:t>
        </x:is>
      </x:c>
      <x:c r="G680" t="inlineStr">
        <x:is>
          <x:t xml:space="preserve">BDS004205</x:t>
        </x:is>
      </x:c>
      <x:c r="H680" t="inlineStr">
        <x:is>
          <x:t xml:space="preserve">Zema Lotion (15 ml.)</x:t>
        </x:is>
      </x:c>
      <x:c r="I680" t="inlineStr">
        <x:is>
          <x:t xml:space="preserve">ทาโลชั่นบางๆ บริเวณที่ติดเชื้อ วันละ 1-2 ครั้ง</x:t>
        </x:is>
      </x:c>
    </x:row>
    <x:row r="681">
      <x:c r="A681" t="n">
        <x:v>679</x:v>
      </x:c>
      <x:c r="B681" t="inlineStr">
        <x:is>
          <x:t xml:space="preserve">ยาทาแก้แพ้, แก้คัน (D)</x:t>
        </x:is>
      </x:c>
      <x:c r="C681" t="n">
        <x:v>6745</x:v>
      </x:c>
      <x:c r="D681" t="inlineStr">
        <x:is>
          <x:t xml:space="preserve">Antergan Cream</x:t>
        </x:is>
      </x:c>
      <x:c r="E681" t="inlineStr">
        <x:is>
          <x:t xml:space="preserve">หลอด 10 g.</x:t>
        </x:is>
      </x:c>
      <x:c r="F681" t="inlineStr">
        <x:is>
          <x:t xml:space="preserve">Hydrocortisone Acetate 5 mg+Mepyramine Maleate 20 mg/1 g</x:t>
        </x:is>
      </x:c>
      <x:c r="G681" t="inlineStr">
        <x:is>
          <x:t xml:space="preserve">BDS006745</x:t>
        </x:is>
      </x:c>
      <x:c r="H681" t="inlineStr">
        <x:is>
          <x:t xml:space="preserve">Antergan Cream (10 g.)</x:t>
        </x:is>
      </x:c>
      <x:c r="I681" t="inlineStr">
        <x:is>
          <x:t xml:space="preserve">ทาบางๆ วันละ 2-3 ครั้ง  หรือตามแพทย์สั่ง</x:t>
        </x:is>
      </x:c>
      <x:c r="P681" t="inlineStr">
        <x:is>
          <x:t xml:space="preserve">Eczema/diaper rash / anti-itch topicals</x:t>
        </x:is>
      </x:c>
    </x:row>
    <x:row r="682">
      <x:c r="A682" t="n">
        <x:v>680</x:v>
      </x:c>
      <x:c r="B682" t="inlineStr">
        <x:is>
          <x:t xml:space="preserve">ยาทาแก้แพ้, แก้คัน (D)</x:t>
        </x:is>
      </x:c>
      <x:c r="C682" t="n">
        <x:v>1057</x:v>
      </x:c>
      <x:c r="D682" t="inlineStr">
        <x:is>
          <x:t xml:space="preserve">Aristocort 0.02%</x:t>
        </x:is>
      </x:c>
      <x:c r="E682" t="inlineStr">
        <x:is>
          <x:t xml:space="preserve">หลอด 15 g.</x:t>
        </x:is>
      </x:c>
      <x:c r="F682" t="inlineStr">
        <x:is>
          <x:t xml:space="preserve">Triamcinolone Acetonide 0.02%</x:t>
        </x:is>
      </x:c>
      <x:c r="G682" t="inlineStr">
        <x:is>
          <x:t xml:space="preserve">BDS001057</x:t>
        </x:is>
      </x:c>
      <x:c r="H682" t="inlineStr">
        <x:is>
          <x:t xml:space="preserve">Aristocort 0.02% (15 g.)</x:t>
        </x:is>
      </x:c>
      <x:c r="I682" t="inlineStr">
        <x:is>
          <x:t xml:space="preserve">ทาครีมบางๆ บริเวณที่มีอาการ วันละ 3-4 ครั้ง</x:t>
        </x:is>
      </x:c>
      <x:c r="P682" t="inlineStr">
        <x:is>
          <x:t xml:space="preserve">Eczema/diaper rash / anti-itch topicals</x:t>
        </x:is>
      </x:c>
    </x:row>
    <x:row r="683">
      <x:c r="A683" t="n">
        <x:v>681</x:v>
      </x:c>
      <x:c r="B683" t="inlineStr">
        <x:is>
          <x:t xml:space="preserve">ยาทาแก้แพ้, แก้คัน (D)</x:t>
        </x:is>
      </x:c>
      <x:c r="C683" t="n">
        <x:v>1058</x:v>
      </x:c>
      <x:c r="D683" t="inlineStr">
        <x:is>
          <x:t xml:space="preserve">Aristocort 0.1%</x:t>
        </x:is>
      </x:c>
      <x:c r="E683" t="inlineStr">
        <x:is>
          <x:t xml:space="preserve">หลอด 15 g.</x:t>
        </x:is>
      </x:c>
      <x:c r="F683" t="inlineStr">
        <x:is>
          <x:t xml:space="preserve">Triamcinolone Acetonide 1 mg/1 g (0.1%)+Preservative (Benzyl alcohol 2.0%)</x:t>
        </x:is>
      </x:c>
      <x:c r="G683" t="inlineStr">
        <x:is>
          <x:t xml:space="preserve">BDS001058</x:t>
        </x:is>
      </x:c>
      <x:c r="H683" t="inlineStr">
        <x:is>
          <x:t xml:space="preserve">Aristocort 0.1% (15 g.)</x:t>
        </x:is>
      </x:c>
      <x:c r="I683" t="inlineStr">
        <x:is>
          <x:t xml:space="preserve">ทาครีมบางๆ บริเวณที่มีอาการ วันละ 3-4 ครั้ง</x:t>
        </x:is>
      </x:c>
      <x:c r="P683" t="inlineStr">
        <x:is>
          <x:t xml:space="preserve">Eczema/diaper rash / anti-itch topicals</x:t>
        </x:is>
      </x:c>
    </x:row>
    <x:row r="684">
      <x:c r="A684" t="n">
        <x:v>682</x:v>
      </x:c>
      <x:c r="B684" t="inlineStr">
        <x:is>
          <x:t xml:space="preserve">ยาทาแก้แพ้, แก้คัน (D)</x:t>
        </x:is>
      </x:c>
      <x:c r="C684" t="n">
        <x:v>7501</x:v>
      </x:c>
      <x:c r="D684" t="inlineStr">
        <x:is>
          <x:t xml:space="preserve">Betatone Cream เล็ก</x:t>
        </x:is>
      </x:c>
      <x:c r="E684" t="inlineStr">
        <x:is>
          <x:t xml:space="preserve">หลอด 5 g.</x:t>
        </x:is>
      </x:c>
      <x:c r="F684" t="inlineStr">
        <x:is>
          <x:t xml:space="preserve">Betamethasone Valerate (eq. to Betamethasone 0.10 g/100 g)</x:t>
        </x:is>
      </x:c>
      <x:c r="G684" t="inlineStr">
        <x:is>
          <x:t xml:space="preserve">BDS007501</x:t>
        </x:is>
      </x:c>
      <x:c r="H684" t="inlineStr">
        <x:is>
          <x:t xml:space="preserve">Betatone Cream เล็ก (5 g.)</x:t>
        </x:is>
      </x:c>
      <x:c r="I684" t="inlineStr">
        <x:is>
          <x:t xml:space="preserve">ทาครีมบางๆ บริเวณที่มีอาการ วันละ 2-3 ครั้ง</x:t>
        </x:is>
      </x:c>
      <x:c r="P684" t="inlineStr">
        <x:is>
          <x:t xml:space="preserve">Eczema/diaper rash / anti-itch topicals</x:t>
        </x:is>
      </x:c>
    </x:row>
    <x:row r="685">
      <x:c r="A685" t="n">
        <x:v>683</x:v>
      </x:c>
      <x:c r="B685" t="inlineStr">
        <x:is>
          <x:t xml:space="preserve">ยาทาแก้แพ้, แก้คัน (D)</x:t>
        </x:is>
      </x:c>
      <x:c r="C685" t="n">
        <x:v>7502</x:v>
      </x:c>
      <x:c r="D685" t="inlineStr">
        <x:is>
          <x:t xml:space="preserve">Betatone Cream ใหญ่</x:t>
        </x:is>
      </x:c>
      <x:c r="E685" t="inlineStr">
        <x:is>
          <x:t xml:space="preserve">หลอด 15 g.</x:t>
        </x:is>
      </x:c>
      <x:c r="F685" t="inlineStr">
        <x:is>
          <x:t xml:space="preserve">Betamethasone Valerate (eq. to Betamethasone 0.10 g/100 g)</x:t>
        </x:is>
      </x:c>
      <x:c r="G685" t="inlineStr">
        <x:is>
          <x:t xml:space="preserve">BDS007502</x:t>
        </x:is>
      </x:c>
      <x:c r="H685" t="inlineStr">
        <x:is>
          <x:t xml:space="preserve">Betatone Cream ใหญ่ (15 g.)</x:t>
        </x:is>
      </x:c>
      <x:c r="I685" t="inlineStr">
        <x:is>
          <x:t xml:space="preserve">ทาครีมบางๆ บริเวณที่มีอาการ วันละ 2-3 ครั้ง</x:t>
        </x:is>
      </x:c>
      <x:c r="P685" t="inlineStr">
        <x:is>
          <x:t xml:space="preserve">Eczema/diaper rash / anti-itch topicals</x:t>
        </x:is>
      </x:c>
    </x:row>
    <x:row r="686">
      <x:c r="A686" t="n">
        <x:v>684</x:v>
      </x:c>
      <x:c r="B686" t="inlineStr">
        <x:is>
          <x:t xml:space="preserve">ยาทาแก้แพ้, แก้คัน (D)</x:t>
        </x:is>
      </x:c>
      <x:c r="C686" t="n">
        <x:v>1246</x:v>
      </x:c>
      <x:c r="D686" t="inlineStr">
        <x:is>
          <x:t xml:space="preserve">Betnovate Cream ใหญ่</x:t>
        </x:is>
      </x:c>
      <x:c r="E686" t="inlineStr">
        <x:is>
          <x:t xml:space="preserve">หลอด 15 g.</x:t>
        </x:is>
      </x:c>
      <x:c r="F686" t="inlineStr">
        <x:is>
          <x:t xml:space="preserve">Betamethasone 17-Valerate 0.122 %w/w</x:t>
        </x:is>
      </x:c>
      <x:c r="G686" t="inlineStr">
        <x:is>
          <x:t xml:space="preserve">BDS001246</x:t>
        </x:is>
      </x:c>
      <x:c r="H686" t="inlineStr">
        <x:is>
          <x:t xml:space="preserve">Betnovate Cream ใหญ่ (15 g.)</x:t>
        </x:is>
      </x:c>
      <x:c r="I686" t="inlineStr">
        <x:is>
          <x:t xml:space="preserve">ทาครีมบางๆ บริเวณที่มีอาการ วันละ 2-3 ครั้ง</x:t>
        </x:is>
      </x:c>
      <x:c r="P686" t="inlineStr">
        <x:is>
          <x:t xml:space="preserve">Eczema/diaper rash / anti-itch topicals</x:t>
        </x:is>
      </x:c>
    </x:row>
    <x:row r="687">
      <x:c r="A687" t="n">
        <x:v>685</x:v>
      </x:c>
      <x:c r="B687" t="inlineStr">
        <x:is>
          <x:t xml:space="preserve">ยาทาแก้แพ้, แก้คัน (D)</x:t>
        </x:is>
      </x:c>
      <x:c r="C687" t="n">
        <x:v>1216</x:v>
      </x:c>
      <x:c r="D687" t="inlineStr">
        <x:is>
          <x:t xml:space="preserve">Betnovate Scalp</x:t>
        </x:is>
      </x:c>
      <x:c r="E687" t="inlineStr">
        <x:is>
          <x:t xml:space="preserve">ขวด 30 ml.</x:t>
        </x:is>
      </x:c>
      <x:c r="F687" t="inlineStr">
        <x:is>
          <x:t xml:space="preserve">Betamethasone 17-Valerate 0.122 % w/w</x:t>
        </x:is>
      </x:c>
      <x:c r="G687" t="inlineStr">
        <x:is>
          <x:t xml:space="preserve">BDS001216</x:t>
        </x:is>
      </x:c>
      <x:c r="H687" t="inlineStr">
        <x:is>
          <x:t xml:space="preserve">Betnovate Scalp (30 ml.)</x:t>
        </x:is>
      </x:c>
      <x:c r="I687" t="inlineStr">
        <x:is>
          <x:t xml:space="preserve">ทาบางๆ บริเวณที่มีอาการ วันละ 2 ครั้ง </x:t>
        </x:is>
      </x:c>
      <x:c r="P687" t="inlineStr">
        <x:is>
          <x:t xml:space="preserve">Eczema/diaper rash / anti-itch topicals</x:t>
        </x:is>
      </x:c>
    </x:row>
    <x:row r="688">
      <x:c r="A688" t="n">
        <x:v>686</x:v>
      </x:c>
      <x:c r="B688" t="inlineStr">
        <x:is>
          <x:t xml:space="preserve">ยาทาแก้แพ้, แก้คัน (D)</x:t>
        </x:is>
      </x:c>
      <x:c r="C688" t="n">
        <x:v>41408</x:v>
      </x:c>
      <x:c r="D688" t="inlineStr">
        <x:is>
          <x:t xml:space="preserve">Clinivate Cream ใหญ่</x:t>
        </x:is>
      </x:c>
      <x:c r="E688" t="inlineStr">
        <x:is>
          <x:t xml:space="preserve">หลอด 15 g.</x:t>
        </x:is>
      </x:c>
      <x:c r="F688" t="inlineStr">
        <x:is>
          <x:t xml:space="preserve">Betamethasone Valerate (eq. to Betamethasone 1 mg./1 g.</x:t>
        </x:is>
      </x:c>
      <x:c r="G688" t="inlineStr">
        <x:is>
          <x:t xml:space="preserve">BDS041408</x:t>
        </x:is>
      </x:c>
      <x:c r="H688" t="inlineStr">
        <x:is>
          <x:t xml:space="preserve">Clinivate Cream ใหญ่ (15 g.)</x:t>
        </x:is>
      </x:c>
      <x:c r="I688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688" t="inlineStr">
        <x:is>
          <x:t xml:space="preserve">Eczema/diaper rash / anti-itch topicals</x:t>
        </x:is>
      </x:c>
    </x:row>
    <x:row r="689">
      <x:c r="A689" t="n">
        <x:v>687</x:v>
      </x:c>
      <x:c r="B689" t="inlineStr">
        <x:is>
          <x:t xml:space="preserve">ยาทาแก้แพ้, แก้คัน (D)</x:t>
        </x:is>
      </x:c>
      <x:c r="C689" t="n">
        <x:v>6198</x:v>
      </x:c>
      <x:c r="D689" t="inlineStr">
        <x:is>
          <x:t xml:space="preserve">Clinoderm Cream</x:t>
        </x:is>
      </x:c>
      <x:c r="E689" t="inlineStr">
        <x:is>
          <x:t xml:space="preserve">หลอด 15 g.</x:t>
        </x:is>
      </x:c>
      <x:c r="F689" t="inlineStr">
        <x:is>
          <x:t xml:space="preserve">Clobetasol Propionate 0.05 g/100 g (0.05%)</x:t>
        </x:is>
      </x:c>
      <x:c r="G689" t="inlineStr">
        <x:is>
          <x:t xml:space="preserve">BDS006198</x:t>
        </x:is>
      </x:c>
      <x:c r="H689" t="inlineStr">
        <x:is>
          <x:t xml:space="preserve">Clinoderm Cream (15 g.)</x:t>
        </x:is>
      </x:c>
      <x:c r="I689" t="inlineStr">
        <x:is>
          <x:t xml:space="preserve">ทาครีมบางๆ บริเวณที่มีอาการ วันละ 1-2 ครั้ง </x:t>
        </x:is>
      </x:c>
      <x:c r="P689" t="inlineStr">
        <x:is>
          <x:t xml:space="preserve">Eczema/diaper rash / anti-itch topicals</x:t>
        </x:is>
      </x:c>
    </x:row>
    <x:row r="690">
      <x:c r="A690" t="n">
        <x:v>688</x:v>
      </x:c>
      <x:c r="B690" t="inlineStr">
        <x:is>
          <x:t xml:space="preserve">ยาทาแก้แพ้, แก้คัน (D)</x:t>
        </x:is>
      </x:c>
      <x:c r="C690" t="n">
        <x:v>7514</x:v>
      </x:c>
      <x:c r="D690" t="inlineStr">
        <x:is>
          <x:t xml:space="preserve">Clobevate Cream เล็ก</x:t>
        </x:is>
      </x:c>
      <x:c r="E690" t="inlineStr">
        <x:is>
          <x:t xml:space="preserve">หลอด 5 g.</x:t>
        </x:is>
      </x:c>
      <x:c r="F690" t="inlineStr">
        <x:is>
          <x:t xml:space="preserve">Clobetasol Propionate 0.05 g/100 g (0.05%)</x:t>
        </x:is>
      </x:c>
      <x:c r="G690" t="inlineStr">
        <x:is>
          <x:t xml:space="preserve">BDS007514</x:t>
        </x:is>
      </x:c>
      <x:c r="H690" t="inlineStr">
        <x:is>
          <x:t xml:space="preserve">Clobevate Cream เล็ก (5 g.)</x:t>
        </x:is>
      </x:c>
      <x:c r="I690" t="inlineStr">
        <x:is>
          <x:t xml:space="preserve">ทาครีมบางๆ บริเวณที่มีอาการ วันละ 2-3 ครั้ง</x:t>
        </x:is>
      </x:c>
      <x:c r="P690" t="inlineStr">
        <x:is>
          <x:t xml:space="preserve">Eczema/diaper rash / anti-itch topicals</x:t>
        </x:is>
      </x:c>
    </x:row>
    <x:row r="691">
      <x:c r="A691" t="n">
        <x:v>689</x:v>
      </x:c>
      <x:c r="B691" t="inlineStr">
        <x:is>
          <x:t xml:space="preserve">ยาทาแก้แพ้, แก้คัน (D)</x:t>
        </x:is>
      </x:c>
      <x:c r="C691" t="n">
        <x:v>7515</x:v>
      </x:c>
      <x:c r="D691" t="inlineStr">
        <x:is>
          <x:t xml:space="preserve">Clobevate Cream ใหญ่</x:t>
        </x:is>
      </x:c>
      <x:c r="E691" t="inlineStr">
        <x:is>
          <x:t xml:space="preserve">หลอด 15 g.</x:t>
        </x:is>
      </x:c>
      <x:c r="F691" t="inlineStr">
        <x:is>
          <x:t xml:space="preserve">Clobetasol Propionate 0.05 g/100 g (0.05%)</x:t>
        </x:is>
      </x:c>
      <x:c r="G691" t="inlineStr">
        <x:is>
          <x:t xml:space="preserve">BDS007515</x:t>
        </x:is>
      </x:c>
      <x:c r="H691" t="inlineStr">
        <x:is>
          <x:t xml:space="preserve">Clobevate Cream ใหญ่ (15 g.)</x:t>
        </x:is>
      </x:c>
      <x:c r="I691" t="inlineStr">
        <x:is>
          <x:t xml:space="preserve">ทาครีมบางๆ บริเวณที่มีอาการ วันละ 2-3 ครั้ง</x:t>
        </x:is>
      </x:c>
      <x:c r="P691" t="inlineStr">
        <x:is>
          <x:t xml:space="preserve">Eczema/diaper rash / anti-itch topicals</x:t>
        </x:is>
      </x:c>
    </x:row>
    <x:row r="692">
      <x:c r="A692" t="n">
        <x:v>690</x:v>
      </x:c>
      <x:c r="B692" t="inlineStr">
        <x:is>
          <x:t xml:space="preserve">ยาทาแก้แพ้, แก้คัน (D)</x:t>
        </x:is>
      </x:c>
      <x:c r="C692" t="n">
        <x:v>1621</x:v>
      </x:c>
      <x:c r="D692" t="inlineStr">
        <x:is>
          <x:t xml:space="preserve">Dermatop Cream เล็ก</x:t>
        </x:is>
      </x:c>
      <x:c r="E692" t="inlineStr">
        <x:is>
          <x:t xml:space="preserve">หลอด 5 g.</x:t>
        </x:is>
      </x:c>
      <x:c r="F692" t="inlineStr">
        <x:is>
          <x:t xml:space="preserve">Prednicarbate 2.5 mg/1 g (0.25%)</x:t>
        </x:is>
      </x:c>
      <x:c r="G692" t="inlineStr">
        <x:is>
          <x:t xml:space="preserve">BDS001621</x:t>
        </x:is>
      </x:c>
      <x:c r="H692" t="inlineStr">
        <x:is>
          <x:t xml:space="preserve">Dermatop Cream เล็ก (5 g.)</x:t>
        </x:is>
      </x:c>
      <x:c r="I692" t="inlineStr">
        <x:is>
          <x:t xml:space="preserve">ทาครีมบางๆ บริเวณที่มีอาการ วันละ 2-3 ครั้ง</x:t>
        </x:is>
      </x:c>
      <x:c r="P692" t="inlineStr">
        <x:is>
          <x:t xml:space="preserve">Eczema/diaper rash / anti-itch topicals</x:t>
        </x:is>
      </x:c>
    </x:row>
    <x:row r="693">
      <x:c r="A693" t="n">
        <x:v>691</x:v>
      </x:c>
      <x:c r="B693" t="inlineStr">
        <x:is>
          <x:t xml:space="preserve">ยาทาแก้แพ้, แก้คัน (D)</x:t>
        </x:is>
      </x:c>
      <x:c r="C693" t="n">
        <x:v>1622</x:v>
      </x:c>
      <x:c r="D693" t="inlineStr">
        <x:is>
          <x:t xml:space="preserve">Dermovate Cream เล็ก</x:t>
        </x:is>
      </x:c>
      <x:c r="E693" t="inlineStr">
        <x:is>
          <x:t xml:space="preserve">หลอด 5 g.</x:t>
        </x:is>
      </x:c>
      <x:c r="F693" t="inlineStr">
        <x:is>
          <x:t xml:space="preserve">Clobetasol Propionate 0.05% w/w</x:t>
        </x:is>
      </x:c>
      <x:c r="G693" t="inlineStr">
        <x:is>
          <x:t xml:space="preserve">BDS001622</x:t>
        </x:is>
      </x:c>
      <x:c r="H693" t="inlineStr">
        <x:is>
          <x:t xml:space="preserve">Dermovate Cream เล็ก (5 g.)</x:t>
        </x:is>
      </x:c>
      <x:c r="I693" t="inlineStr">
        <x:is>
          <x:t xml:space="preserve">ทาครีมบางๆ บริเวณที่มีอาการวันละ 2-3 ครั้ง</x:t>
        </x:is>
      </x:c>
      <x:c r="P693" t="inlineStr">
        <x:is>
          <x:t xml:space="preserve">Eczema/diaper rash / anti-itch topicals</x:t>
        </x:is>
      </x:c>
    </x:row>
    <x:row r="694">
      <x:c r="A694" t="n">
        <x:v>692</x:v>
      </x:c>
      <x:c r="B694" t="inlineStr">
        <x:is>
          <x:t xml:space="preserve">ยาทาแก้แพ้, แก้คัน (D)</x:t>
        </x:is>
      </x:c>
      <x:c r="C694" t="n">
        <x:v>1623</x:v>
      </x:c>
      <x:c r="D694" t="inlineStr">
        <x:is>
          <x:t xml:space="preserve">Dermovate Cream ใหญ่</x:t>
        </x:is>
      </x:c>
      <x:c r="E694" t="inlineStr">
        <x:is>
          <x:t xml:space="preserve">หลอด 15 g.</x:t>
        </x:is>
      </x:c>
      <x:c r="F694" t="inlineStr">
        <x:is>
          <x:t xml:space="preserve">Clobetasol Propionate 0.05% w/w</x:t>
        </x:is>
      </x:c>
      <x:c r="G694" t="inlineStr">
        <x:is>
          <x:t xml:space="preserve">BDS001623</x:t>
        </x:is>
      </x:c>
      <x:c r="H694" t="inlineStr">
        <x:is>
          <x:t xml:space="preserve">Dermovate Cream ใหญ่ (15 g.)</x:t>
        </x:is>
      </x:c>
      <x:c r="I694" t="inlineStr">
        <x:is>
          <x:t xml:space="preserve">ทาครีมบางๆ บริเวณที่มีอาการวันละ 2-3 ครั้ง</x:t>
        </x:is>
      </x:c>
      <x:c r="P694" t="inlineStr">
        <x:is>
          <x:t xml:space="preserve">Eczema/diaper rash / anti-itch topicals</x:t>
        </x:is>
      </x:c>
    </x:row>
    <x:row r="695">
      <x:c r="A695" t="n">
        <x:v>693</x:v>
      </x:c>
      <x:c r="B695" t="inlineStr">
        <x:is>
          <x:t xml:space="preserve">ยาทาแก้แพ้, แก้คัน (D)</x:t>
        </x:is>
      </x:c>
      <x:c r="C695" t="n">
        <x:v>1630</x:v>
      </x:c>
      <x:c r="D695" t="inlineStr">
        <x:is>
          <x:t xml:space="preserve">Dermovate Ointment</x:t>
        </x:is>
      </x:c>
      <x:c r="E695" t="inlineStr">
        <x:is>
          <x:t xml:space="preserve">หลอด 5 g.</x:t>
        </x:is>
      </x:c>
      <x:c r="F695" t="inlineStr">
        <x:is>
          <x:t xml:space="preserve">Clobetasol Propionate 0.05% w/w</x:t>
        </x:is>
      </x:c>
      <x:c r="G695" t="inlineStr">
        <x:is>
          <x:t xml:space="preserve">BDS001630</x:t>
        </x:is>
      </x:c>
      <x:c r="H695" t="inlineStr">
        <x:is>
          <x:t xml:space="preserve">Dermovate Ointment (5 g.)</x:t>
        </x:is>
      </x:c>
      <x:c r="I695" t="inlineStr">
        <x:is>
          <x:t xml:space="preserve">ทาครีมบางๆ บริเวณที่มีอาการวันละ 2-3 ครั้ง</x:t>
        </x:is>
      </x:c>
      <x:c r="P695" t="inlineStr">
        <x:is>
          <x:t xml:space="preserve">Eczema/diaper rash / anti-itch topicals</x:t>
        </x:is>
      </x:c>
    </x:row>
    <x:row r="696">
      <x:c r="A696" t="n">
        <x:v>694</x:v>
      </x:c>
      <x:c r="B696" t="inlineStr">
        <x:is>
          <x:t xml:space="preserve">ยาทาแก้แพ้, แก้คัน (D)</x:t>
        </x:is>
      </x:c>
      <x:c r="C696" t="n">
        <x:v>1660</x:v>
      </x:c>
      <x:c r="D696" t="inlineStr">
        <x:is>
          <x:t xml:space="preserve">Dermovate Scalp</x:t>
        </x:is>
      </x:c>
      <x:c r="E696" t="inlineStr">
        <x:is>
          <x:t xml:space="preserve">ขวด 30 ml.</x:t>
        </x:is>
      </x:c>
      <x:c r="F696" t="inlineStr">
        <x:is>
          <x:t xml:space="preserve">Clobetasol Propionate 0.05% w/w</x:t>
        </x:is>
      </x:c>
      <x:c r="G696" t="inlineStr">
        <x:is>
          <x:t xml:space="preserve">BDS001660</x:t>
        </x:is>
      </x:c>
      <x:c r="H696" t="inlineStr">
        <x:is>
          <x:t xml:space="preserve">Dermovate Scalp (30 ml.)</x:t>
        </x:is>
      </x:c>
      <x:c r="I696" t="inlineStr">
        <x:is>
          <x:t xml:space="preserve">ทาบางๆ บริเวณที่มีอาการ วันละ 2-3 ครั้ง</x:t>
        </x:is>
      </x:c>
      <x:c r="P696" t="inlineStr">
        <x:is>
          <x:t xml:space="preserve">Eczema/diaper rash / anti-itch topicals</x:t>
        </x:is>
      </x:c>
    </x:row>
    <x:row r="697">
      <x:c r="A697" t="n">
        <x:v>695</x:v>
      </x:c>
      <x:c r="B697" t="inlineStr">
        <x:is>
          <x:t xml:space="preserve">ยาทาแก้แพ้, แก้คัน (D)</x:t>
        </x:is>
      </x:c>
      <x:c r="C697" t="n">
        <x:v>1650</x:v>
      </x:c>
      <x:c r="D697" t="inlineStr">
        <x:is>
          <x:t xml:space="preserve">Diprosalic Ointment</x:t>
        </x:is>
      </x:c>
      <x:c r="E697" t="inlineStr">
        <x:is>
          <x:t xml:space="preserve">หลอด 5 g.</x:t>
        </x:is>
      </x:c>
      <x:c r="F697" t="inlineStr">
        <x:is>
          <x:t xml:space="preserve">Betamethasone Dipropionate (eq. to Betamethasone 0.05%)+Salicylic acid 3%</x:t>
        </x:is>
      </x:c>
      <x:c r="G697" t="inlineStr">
        <x:is>
          <x:t xml:space="preserve">BDS001650</x:t>
        </x:is>
      </x:c>
      <x:c r="H697" t="inlineStr">
        <x:is>
          <x:t xml:space="preserve">Diprosalic Ointment (5 g.)</x:t>
        </x:is>
      </x:c>
      <x:c r="I697" t="inlineStr">
        <x:is>
          <x:t xml:space="preserve">ทาขี้ผึ้งบางๆ ให้ทั่วบริเวณที่มีอาการ วันละ 2 ครั้ง </x:t>
        </x:is>
      </x:c>
      <x:c r="P697" t="inlineStr">
        <x:is>
          <x:t xml:space="preserve">Eczema/diaper rash / anti-itch topicals</x:t>
        </x:is>
      </x:c>
    </x:row>
    <x:row r="698">
      <x:c r="A698" t="n">
        <x:v>696</x:v>
      </x:c>
      <x:c r="B698" t="inlineStr">
        <x:is>
          <x:t xml:space="preserve">ยาทาแก้แพ้, แก้คัน (D)</x:t>
        </x:is>
      </x:c>
      <x:c r="C698" t="n">
        <x:v>1546</x:v>
      </x:c>
      <x:c r="D698" t="inlineStr">
        <x:is>
          <x:t xml:space="preserve">Diprosalic Ointment ใหญ่</x:t>
        </x:is>
      </x:c>
      <x:c r="E698" t="inlineStr">
        <x:is>
          <x:t xml:space="preserve">หลอด 15 g.</x:t>
        </x:is>
      </x:c>
      <x:c r="F698" t="inlineStr">
        <x:is>
          <x:t xml:space="preserve">Betamethasone Dipropionate (eq. to Betamethasone 0.05%)+Salicylic acid 3%</x:t>
        </x:is>
      </x:c>
      <x:c r="G698" t="inlineStr">
        <x:is>
          <x:t xml:space="preserve">BDS001546</x:t>
        </x:is>
      </x:c>
      <x:c r="H698" t="inlineStr">
        <x:is>
          <x:t xml:space="preserve">Diprosalic Ointment ใหญ่ (15 g.)</x:t>
        </x:is>
      </x:c>
      <x:c r="I698" t="inlineStr">
        <x:is>
          <x:t xml:space="preserve">ทาขี้ผึ้งบางๆ ให้ทั่วบริเวณที่มีอาการ วันละ 2 ครั้ง เช้า-ก่อนนอน</x:t>
        </x:is>
      </x:c>
      <x:c r="P698" t="inlineStr">
        <x:is>
          <x:t xml:space="preserve">Eczema/diaper rash / anti-itch topicals</x:t>
        </x:is>
      </x:c>
    </x:row>
    <x:row r="699">
      <x:c r="A699" t="n">
        <x:v>697</x:v>
      </x:c>
      <x:c r="B699" t="inlineStr">
        <x:is>
          <x:t xml:space="preserve">ยาทาแก้แพ้, แก้คัน (D)</x:t>
        </x:is>
      </x:c>
      <x:c r="C699" t="n">
        <x:v>1699</x:v>
      </x:c>
      <x:c r="D699" t="inlineStr">
        <x:is>
          <x:t xml:space="preserve">Diprotop Ointment</x:t>
        </x:is>
      </x:c>
      <x:c r="E699" t="inlineStr">
        <x:is>
          <x:t xml:space="preserve">หลอด 5 g.</x:t>
        </x:is>
      </x:c>
      <x:c r="F699" t="inlineStr">
        <x:is>
          <x:t xml:space="preserve">Betamethasone Dipropionate 0.64 mg (eq. to Betamethasone 0.5 mg)+Propylene Glycol</x:t>
        </x:is>
      </x:c>
      <x:c r="G699" t="inlineStr">
        <x:is>
          <x:t xml:space="preserve">BDS001699</x:t>
        </x:is>
      </x:c>
      <x:c r="H699" t="inlineStr">
        <x:is>
          <x:t xml:space="preserve">Diprotop Ointment (5 g.)</x:t>
        </x:is>
      </x:c>
      <x:c r="I699" t="inlineStr">
        <x:is>
          <x:t xml:space="preserve">ทาบางๆ ให้ทั่วผิวหนังบริเวณที่เป็น วันละ 1 ครั้ง ตอนเช้า</x:t>
        </x:is>
      </x:c>
      <x:c r="P699" t="inlineStr">
        <x:is>
          <x:t xml:space="preserve">Eczema/diaper rash / anti-itch topicals</x:t>
        </x:is>
      </x:c>
    </x:row>
    <x:row r="700">
      <x:c r="A700" t="n">
        <x:v>698</x:v>
      </x:c>
      <x:c r="B700" t="inlineStr">
        <x:is>
          <x:t xml:space="preserve">ยาทาแก้แพ้, แก้คัน (D)</x:t>
        </x:is>
      </x:c>
      <x:c r="C700" t="n">
        <x:v>1803</x:v>
      </x:c>
      <x:c r="D700" t="inlineStr">
        <x:is>
          <x:t xml:space="preserve">Elomet 0.1 %</x:t>
        </x:is>
      </x:c>
      <x:c r="E700" t="inlineStr">
        <x:is>
          <x:t xml:space="preserve">หลอด 5 g.</x:t>
        </x:is>
      </x:c>
      <x:c r="F700" t="inlineStr">
        <x:is>
          <x:t xml:space="preserve">Mometasone Furoate 1 mg/1 g (0.1%)</x:t>
        </x:is>
      </x:c>
      <x:c r="G700" t="inlineStr">
        <x:is>
          <x:t xml:space="preserve">BDS001803</x:t>
        </x:is>
      </x:c>
      <x:c r="H700" t="inlineStr">
        <x:is>
          <x:t xml:space="preserve">Elomet 0.1 % (5 g.)</x:t>
        </x:is>
      </x:c>
      <x:c r="I700" t="inlineStr">
        <x:is>
          <x:t xml:space="preserve">ทาครีมบางๆ บริเวณที่เป็น วันละ 1 ครั้ง จนรอยโรคหายหรือทาติดต่อกัน 3 อาทิตย์ </x:t>
        </x:is>
      </x:c>
      <x:c r="P700" t="inlineStr">
        <x:is>
          <x:t xml:space="preserve">Eczema/diaper rash / anti-itch topicals</x:t>
        </x:is>
      </x:c>
    </x:row>
    <x:row r="701">
      <x:c r="A701" t="n">
        <x:v>699</x:v>
      </x:c>
      <x:c r="B701" t="inlineStr">
        <x:is>
          <x:t xml:space="preserve">ยาทาแก้แพ้, แก้คัน (D)</x:t>
        </x:is>
      </x:c>
      <x:c r="C701" t="n">
        <x:v>1807</x:v>
      </x:c>
      <x:c r="D701" t="inlineStr">
        <x:is>
          <x:t xml:space="preserve">Elomet 0.1%</x:t>
        </x:is>
      </x:c>
      <x:c r="E701" t="inlineStr">
        <x:is>
          <x:t xml:space="preserve">หลอด 15 g.</x:t>
        </x:is>
      </x:c>
      <x:c r="F701" t="inlineStr">
        <x:is>
          <x:t xml:space="preserve">Mometasone Furoate 1 mg/1 g (0.1%)</x:t>
        </x:is>
      </x:c>
      <x:c r="G701" t="inlineStr">
        <x:is>
          <x:t xml:space="preserve">BDS001807</x:t>
        </x:is>
      </x:c>
      <x:c r="H701" t="inlineStr">
        <x:is>
          <x:t xml:space="preserve">Elomet 0.1% (15 g.)</x:t>
        </x:is>
      </x:c>
      <x:c r="I701" t="inlineStr">
        <x:is>
          <x:t xml:space="preserve">ทาครีมบางๆ บริเวณที่เป็น วันละ 1 ครั้ง</x:t>
        </x:is>
      </x:c>
      <x:c r="P701" t="inlineStr">
        <x:is>
          <x:t xml:space="preserve">Eczema/diaper rash / anti-itch topicals</x:t>
        </x:is>
      </x:c>
    </x:row>
    <x:row r="702">
      <x:c r="A702" t="n">
        <x:v>700</x:v>
      </x:c>
      <x:c r="B702" t="inlineStr">
        <x:is>
          <x:t xml:space="preserve">ยาทาแก้แพ้, แก้คัน (D)</x:t>
        </x:is>
      </x:c>
      <x:c r="C702" t="n">
        <x:v>1607</x:v>
      </x:c>
      <x:c r="D702" t="inlineStr">
        <x:is>
          <x:t xml:space="preserve">Elomet Lotion</x:t>
        </x:is>
      </x:c>
      <x:c r="E702" t="inlineStr">
        <x:is>
          <x:t xml:space="preserve">ขวด 30 ml.</x:t>
        </x:is>
      </x:c>
      <x:c r="F702" t="inlineStr">
        <x:is>
          <x:t xml:space="preserve">Mometasone Furoate 1 mg+Isopropyl Alcohol 400 mg/1 g</x:t>
        </x:is>
      </x:c>
      <x:c r="G702" t="inlineStr">
        <x:is>
          <x:t xml:space="preserve">BDS001607</x:t>
        </x:is>
      </x:c>
      <x:c r="H702" t="inlineStr">
        <x:is>
          <x:t xml:space="preserve">Elomet Lotion (30 ml.)</x:t>
        </x:is>
      </x:c>
      <x:c r="I702" t="inlineStr">
        <x:is>
          <x:t xml:space="preserve">ทาโลชั่น 2-3 หยด หรือปริมาณที่เพียงพอกับบริเวณที่เป็น  วันละ 1 ครั้ง</x:t>
        </x:is>
      </x:c>
      <x:c r="P702" t="inlineStr">
        <x:is>
          <x:t xml:space="preserve">Eczema/diaper rash / anti-itch topicals</x:t>
        </x:is>
      </x:c>
    </x:row>
    <x:row r="703">
      <x:c r="A703" t="n">
        <x:v>701</x:v>
      </x:c>
      <x:c r="B703" t="inlineStr">
        <x:is>
          <x:t xml:space="preserve">ยาทาแก้แพ้, แก้คัน (D)</x:t>
        </x:is>
      </x:c>
      <x:c r="C703" t="n">
        <x:v>6023</x:v>
      </x:c>
      <x:c r="D703" t="inlineStr">
        <x:is>
          <x:t xml:space="preserve">Epiklin Skin Ointment</x:t>
        </x:is>
      </x:c>
      <x:c r="E703" t="inlineStr">
        <x:is>
          <x:t xml:space="preserve">หลอด 15 g.</x:t>
        </x:is>
      </x:c>
      <x:c r="F703" t="inlineStr">
        <x:is>
          <x:t xml:space="preserve">Betamethasone Dipropionate 0.64 mg+Salicylic acid 30 mg/1 g</x:t>
        </x:is>
      </x:c>
      <x:c r="G703" t="inlineStr">
        <x:is>
          <x:t xml:space="preserve">BDS006023</x:t>
        </x:is>
      </x:c>
      <x:c r="H703" t="inlineStr">
        <x:is>
          <x:t xml:space="preserve">Epiklin Skin Ointment (15 g.)</x:t>
        </x:is>
      </x:c>
      <x:c r="I703" t="inlineStr">
        <x:is>
          <x:t xml:space="preserve">ทาบางๆ ให้ทั่วบริเวณที่เป็น วันละ 1-2 ครั้ง </x:t>
        </x:is>
      </x:c>
      <x:c r="P703" t="inlineStr">
        <x:is>
          <x:t xml:space="preserve">Eczema/diaper rash / anti-itch topicals</x:t>
        </x:is>
      </x:c>
    </x:row>
    <x:row r="704">
      <x:c r="A704" t="n">
        <x:v>702</x:v>
      </x:c>
      <x:c r="B704" t="inlineStr">
        <x:is>
          <x:t xml:space="preserve">ยาทาแก้แพ้, แก้คัน (D)</x:t>
        </x:is>
      </x:c>
      <x:c r="C704" t="n">
        <x:v>1825</x:v>
      </x:c>
      <x:c r="D704" t="inlineStr">
        <x:is>
          <x:t xml:space="preserve">Esperson</x:t>
        </x:is>
      </x:c>
      <x:c r="E704" t="inlineStr">
        <x:is>
          <x:t xml:space="preserve">หลอด 5 g.</x:t>
        </x:is>
      </x:c>
      <x:c r="F704" t="inlineStr">
        <x:is>
          <x:t xml:space="preserve">Desoximetasone 2.5 mg/1 g (0.25%)</x:t>
        </x:is>
      </x:c>
      <x:c r="G704" t="inlineStr">
        <x:is>
          <x:t xml:space="preserve">BDS001825</x:t>
        </x:is>
      </x:c>
      <x:c r="H704" t="inlineStr">
        <x:is>
          <x:t xml:space="preserve">Esperson (5 g.)</x:t>
        </x:is>
      </x:c>
      <x:c r="I704" t="inlineStr">
        <x:is>
          <x:t xml:space="preserve">ทาครีมบางๆ บริเวณที่มีอาการ วันละ 1-2 ครั้ง</x:t>
        </x:is>
      </x:c>
      <x:c r="P704" t="inlineStr">
        <x:is>
          <x:t xml:space="preserve">Eczema/diaper rash / anti-itch topicals</x:t>
        </x:is>
      </x:c>
    </x:row>
    <x:row r="705">
      <x:c r="A705" t="n">
        <x:v>703</x:v>
      </x:c>
      <x:c r="B705" t="inlineStr">
        <x:is>
          <x:t xml:space="preserve">ยาทาแก้แพ้, แก้คัน (D)</x:t>
        </x:is>
      </x:c>
      <x:c r="C705" t="n">
        <x:v>42807</x:v>
      </x:c>
      <x:c r="D705" t="inlineStr">
        <x:is>
          <x:t xml:space="preserve">Esperson กลาง</x:t>
        </x:is>
      </x:c>
      <x:c r="E705" t="inlineStr">
        <x:is>
          <x:t xml:space="preserve">หลอด 15 g.</x:t>
        </x:is>
      </x:c>
      <x:c r="F705" t="inlineStr">
        <x:is>
          <x:t xml:space="preserve">Desoximetasone 2.5 mg/1 g (0.25%)</x:t>
        </x:is>
      </x:c>
      <x:c r="G705" t="inlineStr">
        <x:is>
          <x:t xml:space="preserve">BDS042807</x:t>
        </x:is>
      </x:c>
      <x:c r="H705" t="inlineStr">
        <x:is>
          <x:t xml:space="preserve">Esperson กลาง (15 g.)</x:t>
        </x:is>
      </x:c>
      <x:c r="I705" t="inlineStr">
        <x:is>
          <x:t xml:space="preserve">ทาครีมบางๆ บริเวณที่มีอาการ วันละ 1-2 ครั้ง</x:t>
        </x:is>
      </x:c>
      <x:c r="P705" t="inlineStr">
        <x:is>
          <x:t xml:space="preserve">Eczema/diaper rash / anti-itch topicals</x:t>
        </x:is>
      </x:c>
    </x:row>
    <x:row r="706">
      <x:c r="A706" t="n">
        <x:v>704</x:v>
      </x:c>
      <x:c r="B706" t="inlineStr">
        <x:is>
          <x:t xml:space="preserve">ยาทาแก้แพ้, แก้คัน (D)</x:t>
        </x:is>
      </x:c>
      <x:c r="C706" t="n">
        <x:v>3719</x:v>
      </x:c>
      <x:c r="D706" t="inlineStr">
        <x:is>
          <x:t xml:space="preserve">T.A.Cream 0.02%</x:t>
        </x:is>
      </x:c>
      <x:c r="E706" t="inlineStr">
        <x:is>
          <x:t xml:space="preserve">หลอด 15 g.</x:t>
        </x:is>
      </x:c>
      <x:c r="F706" t="inlineStr">
        <x:is>
          <x:t xml:space="preserve">Triamcinolone Acetonide 0.02 g/100 g (0.02%)</x:t>
        </x:is>
      </x:c>
      <x:c r="G706" t="inlineStr">
        <x:is>
          <x:t xml:space="preserve">BDS003719</x:t>
        </x:is>
      </x:c>
      <x:c r="H706" t="inlineStr">
        <x:is>
          <x:t xml:space="preserve">T.A.Cream 0.02% (15 g.)</x:t>
        </x:is>
      </x:c>
      <x:c r="I706" t="inlineStr">
        <x:is>
          <x:t xml:space="preserve">ทาครีมบางๆ บริเวณที่มีอาการ วันละ 2 ครั้ง </x:t>
        </x:is>
      </x:c>
      <x:c r="P706" t="inlineStr">
        <x:is>
          <x:t xml:space="preserve">Eczema/diaper rash / anti-itch topicals</x:t>
        </x:is>
      </x:c>
    </x:row>
    <x:row r="707">
      <x:c r="A707" t="n">
        <x:v>705</x:v>
      </x:c>
      <x:c r="B707" t="inlineStr">
        <x:is>
          <x:t xml:space="preserve">ยาทาแก้แพ้, แก้คัน (D)</x:t>
        </x:is>
      </x:c>
      <x:c r="C707" t="n">
        <x:v>3773</x:v>
      </x:c>
      <x:c r="D707" t="inlineStr">
        <x:is>
          <x:t xml:space="preserve">T.A.Cream 0.1% เล็ก</x:t>
        </x:is>
      </x:c>
      <x:c r="E707" t="inlineStr">
        <x:is>
          <x:t xml:space="preserve">หลอด 5 g.</x:t>
        </x:is>
      </x:c>
      <x:c r="F707" t="inlineStr">
        <x:is>
          <x:t xml:space="preserve">Triamcinolone Acetonide 0.1 g/100 g (0.1%)</x:t>
        </x:is>
      </x:c>
      <x:c r="G707" t="inlineStr">
        <x:is>
          <x:t xml:space="preserve">BDS003773</x:t>
        </x:is>
      </x:c>
      <x:c r="H707" t="inlineStr">
        <x:is>
          <x:t xml:space="preserve">T.A.Cream 0.1% เล็ก (5 g.)</x:t>
        </x:is>
      </x:c>
      <x:c r="I707" t="inlineStr">
        <x:is>
          <x:t xml:space="preserve">ทาครีมบางๆ บริเวณที่มีอาการ วันละ 2-3 ครั้ง</x:t>
        </x:is>
      </x:c>
      <x:c r="P707" t="inlineStr">
        <x:is>
          <x:t xml:space="preserve">Eczema/diaper rash / anti-itch topicals</x:t>
        </x:is>
      </x:c>
    </x:row>
    <x:row r="708">
      <x:c r="A708" t="n">
        <x:v>706</x:v>
      </x:c>
      <x:c r="B708" t="inlineStr">
        <x:is>
          <x:t xml:space="preserve">ยาทาแก้แพ้, แก้คัน (D)</x:t>
        </x:is>
      </x:c>
      <x:c r="C708" t="n">
        <x:v>3780</x:v>
      </x:c>
      <x:c r="D708" t="inlineStr">
        <x:is>
          <x:t xml:space="preserve">T.A.Cream 0.1% ใหญ่</x:t>
        </x:is>
      </x:c>
      <x:c r="E708" t="inlineStr">
        <x:is>
          <x:t xml:space="preserve">หลอด 15 g.</x:t>
        </x:is>
      </x:c>
      <x:c r="F708" t="inlineStr">
        <x:is>
          <x:t xml:space="preserve">Triamcinolone Acetonide 0.1 g/100 g (0.1%)</x:t>
        </x:is>
      </x:c>
      <x:c r="G708" t="inlineStr">
        <x:is>
          <x:t xml:space="preserve">BDS003780</x:t>
        </x:is>
      </x:c>
      <x:c r="H708" t="inlineStr">
        <x:is>
          <x:t xml:space="preserve">T.A.Cream 0.1% ใหญ่ (15 g.)</x:t>
        </x:is>
      </x:c>
      <x:c r="I708" t="inlineStr">
        <x:is>
          <x:t xml:space="preserve">ทาครีมบางๆ บริเวณที่มีอาการ วันละ 2-3 ครั้ง</x:t>
        </x:is>
      </x:c>
      <x:c r="P708" t="inlineStr">
        <x:is>
          <x:t xml:space="preserve">Eczema/diaper rash / anti-itch topicals</x:t>
        </x:is>
      </x:c>
    </x:row>
    <x:row r="709">
      <x:c r="A709" t="n">
        <x:v>707</x:v>
      </x:c>
      <x:c r="B709" t="inlineStr">
        <x:is>
          <x:t xml:space="preserve">ยาทาแก้แพ้, แก้คัน (D)</x:t>
        </x:is>
      </x:c>
      <x:c r="C709" t="n">
        <x:v>8756</x:v>
      </x:c>
      <x:c r="D709" t="inlineStr">
        <x:is>
          <x:t xml:space="preserve">Tacinol 0.02 เล็ก</x:t>
        </x:is>
      </x:c>
      <x:c r="E709" t="inlineStr">
        <x:is>
          <x:t xml:space="preserve">หลอด 5 g.</x:t>
        </x:is>
      </x:c>
      <x:c r="F709" t="inlineStr">
        <x:is>
          <x:t xml:space="preserve">Triamcinolone Acetonide 0.02% w/w</x:t>
        </x:is>
      </x:c>
      <x:c r="G709" t="inlineStr">
        <x:is>
          <x:t xml:space="preserve">BDS008756</x:t>
        </x:is>
      </x:c>
      <x:c r="H709" t="inlineStr">
        <x:is>
          <x:t xml:space="preserve">Tacinol 0.02 เล็ก (5 g.)</x:t>
        </x:is>
      </x:c>
      <x:c r="I709" t="inlineStr">
        <x:is>
          <x:t xml:space="preserve">ทาครีมบางๆ บริเวณที่มีอาการ วันละ 2-3 ครั้ง</x:t>
        </x:is>
      </x:c>
      <x:c r="P709" t="inlineStr">
        <x:is>
          <x:t xml:space="preserve">Eczema/diaper rash / anti-itch topicals</x:t>
        </x:is>
      </x:c>
    </x:row>
    <x:row r="710">
      <x:c r="A710" t="n">
        <x:v>708</x:v>
      </x:c>
      <x:c r="B710" t="inlineStr">
        <x:is>
          <x:t xml:space="preserve">ยาทาแก้แพ้, แก้คัน (D)</x:t>
        </x:is>
      </x:c>
      <x:c r="C710" t="n">
        <x:v>8757</x:v>
      </x:c>
      <x:c r="D710" t="inlineStr">
        <x:is>
          <x:t xml:space="preserve">Tacinol 0.02 ใหญ่</x:t>
        </x:is>
      </x:c>
      <x:c r="E710" t="inlineStr">
        <x:is>
          <x:t xml:space="preserve">หลอด 15 g.</x:t>
        </x:is>
      </x:c>
      <x:c r="F710" t="inlineStr">
        <x:is>
          <x:t xml:space="preserve">Triamcinolone Acetonide 0.02% w/w</x:t>
        </x:is>
      </x:c>
      <x:c r="G710" t="inlineStr">
        <x:is>
          <x:t xml:space="preserve">BDS008757</x:t>
        </x:is>
      </x:c>
      <x:c r="H710" t="inlineStr">
        <x:is>
          <x:t xml:space="preserve">Tacinol 0.02 ใหญ่ (15 g.)</x:t>
        </x:is>
      </x:c>
      <x:c r="I710" t="inlineStr">
        <x:is>
          <x:t xml:space="preserve">ทาครีมบางๆ บริเวณที่มีอาการ วันละ 2-3 ครั้ง</x:t>
        </x:is>
      </x:c>
      <x:c r="P710" t="inlineStr">
        <x:is>
          <x:t xml:space="preserve">Eczema/diaper rash / anti-itch topicals</x:t>
        </x:is>
      </x:c>
    </x:row>
    <x:row r="711">
      <x:c r="A711" t="n">
        <x:v>709</x:v>
      </x:c>
      <x:c r="B711" t="inlineStr">
        <x:is>
          <x:t xml:space="preserve">ยาทาแก้แพ้, แก้คัน (D)</x:t>
        </x:is>
      </x:c>
      <x:c r="C711" t="n">
        <x:v>8758</x:v>
      </x:c>
      <x:c r="D711" t="inlineStr">
        <x:is>
          <x:t xml:space="preserve">Tacinol 0.1 เล็ก</x:t>
        </x:is>
      </x:c>
      <x:c r="E711" t="inlineStr">
        <x:is>
          <x:t xml:space="preserve">หลอด 5 g.</x:t>
        </x:is>
      </x:c>
      <x:c r="F711" t="inlineStr">
        <x:is>
          <x:t xml:space="preserve">Triamcinolone Acetonide 0.1 % w/w</x:t>
        </x:is>
      </x:c>
      <x:c r="G711" t="inlineStr">
        <x:is>
          <x:t xml:space="preserve">BDS008758</x:t>
        </x:is>
      </x:c>
      <x:c r="H711" t="inlineStr">
        <x:is>
          <x:t xml:space="preserve">Tacinol 0.1 เล็ก (5 g.)</x:t>
        </x:is>
      </x:c>
      <x:c r="I711" t="inlineStr">
        <x:is>
          <x:t xml:space="preserve">ทาครีมบางๆ บริเวณที่มีอาการ วันละ 2-3 ครั้ง</x:t>
        </x:is>
      </x:c>
      <x:c r="P711" t="inlineStr">
        <x:is>
          <x:t xml:space="preserve">Eczema/diaper rash / anti-itch topicals</x:t>
        </x:is>
      </x:c>
    </x:row>
    <x:row r="712">
      <x:c r="A712" t="n">
        <x:v>710</x:v>
      </x:c>
      <x:c r="B712" t="inlineStr">
        <x:is>
          <x:t xml:space="preserve">ยาทาแก้แพ้, แก้คัน (D)</x:t>
        </x:is>
      </x:c>
      <x:c r="C712" t="n">
        <x:v>8759</x:v>
      </x:c>
      <x:c r="D712" t="inlineStr">
        <x:is>
          <x:t xml:space="preserve">Tacinol 0.1 ใหญ่</x:t>
        </x:is>
      </x:c>
      <x:c r="E712" t="inlineStr">
        <x:is>
          <x:t xml:space="preserve">หลอด 15 g.</x:t>
        </x:is>
      </x:c>
      <x:c r="F712" t="inlineStr">
        <x:is>
          <x:t xml:space="preserve">Triamcinolone Acetonide 0.1 % w/w</x:t>
        </x:is>
      </x:c>
      <x:c r="G712" t="inlineStr">
        <x:is>
          <x:t xml:space="preserve">BDS008759</x:t>
        </x:is>
      </x:c>
      <x:c r="H712" t="inlineStr">
        <x:is>
          <x:t xml:space="preserve">Tacinol 0.1 ใหญ่ (15 g.)</x:t>
        </x:is>
      </x:c>
      <x:c r="I712" t="inlineStr">
        <x:is>
          <x:t xml:space="preserve">ทาครีมบางๆ บริเวณที่มีอาการ วันละ 2-3 ครั้ง</x:t>
        </x:is>
      </x:c>
      <x:c r="P712" t="inlineStr">
        <x:is>
          <x:t xml:space="preserve">Eczema/diaper rash / anti-itch topicals</x:t>
        </x:is>
      </x:c>
    </x:row>
    <x:row r="713">
      <x:c r="A713" t="n">
        <x:v>711</x:v>
      </x:c>
      <x:c r="B713" t="inlineStr">
        <x:is>
          <x:t xml:space="preserve">ยาทาแก้แพ้, แก้คัน (D)</x:t>
        </x:is>
      </x:c>
      <x:c r="C713" t="n">
        <x:v>1831</x:v>
      </x:c>
      <x:c r="D713" t="inlineStr">
        <x:is>
          <x:t xml:space="preserve">Topicort Skin Cream</x:t>
        </x:is>
      </x:c>
      <x:c r="E713" t="inlineStr">
        <x:is>
          <x:t xml:space="preserve">ขวด 15 g.</x:t>
        </x:is>
      </x:c>
      <x:c r="F713" t="inlineStr">
        <x:is>
          <x:t xml:space="preserve">Desoximetasone 2.5 mg/1 g (0.25%)</x:t>
        </x:is>
      </x:c>
      <x:c r="G713" t="inlineStr">
        <x:is>
          <x:t xml:space="preserve">BDS001831</x:t>
        </x:is>
      </x:c>
      <x:c r="H713" t="inlineStr">
        <x:is>
          <x:t xml:space="preserve">Topicort Skin Cream (15 g.)</x:t>
        </x:is>
      </x:c>
      <x:c r="I713" t="inlineStr">
        <x:is>
          <x:t xml:space="preserve">ทาบริเวณที่มีอาการ วันละ 1-4 ครั้ง</x:t>
        </x:is>
      </x:c>
      <x:c r="P713" t="inlineStr">
        <x:is>
          <x:t xml:space="preserve">Eczema/diaper rash / anti-itch topicals</x:t>
        </x:is>
      </x:c>
    </x:row>
    <x:row r="714">
      <x:c r="A714" t="n">
        <x:v>712</x:v>
      </x:c>
      <x:c r="B714" t="inlineStr">
        <x:is>
          <x:t xml:space="preserve">ยาทาแก้แพ้, แก้คัน (D)</x:t>
        </x:is>
      </x:c>
      <x:c r="C714" t="n">
        <x:v>48634</x:v>
      </x:c>
      <x:c r="D714" t="inlineStr">
        <x:is>
          <x:t xml:space="preserve">Topoxy Skin Cream</x:t>
        </x:is>
      </x:c>
      <x:c r="E714" t="inlineStr">
        <x:is>
          <x:t xml:space="preserve">ขวด 10 g.</x:t>
        </x:is>
      </x:c>
      <x:c r="F714" t="inlineStr">
        <x:is>
          <x:t xml:space="preserve">Desoximetasone 0.25%</x:t>
        </x:is>
      </x:c>
      <x:c r="G714" t="inlineStr">
        <x:is>
          <x:t xml:space="preserve">BDS048634</x:t>
        </x:is>
      </x:c>
      <x:c r="H714" t="inlineStr">
        <x:is>
          <x:t xml:space="preserve">Topoxy Skin Cream (10 g.)</x:t>
        </x:is>
      </x:c>
      <x:c r="I714" t="inlineStr">
        <x:is>
          <x:t xml:space="preserve">ทาบางๆ และถูเบาๆ บริเวณที่เป็น วันละ 2 ครั้ง</x:t>
        </x:is>
      </x:c>
      <x:c r="P714" t="inlineStr">
        <x:is>
          <x:t xml:space="preserve">Eczema/diaper rash / anti-itch topicals</x:t>
        </x:is>
      </x:c>
    </x:row>
    <x:row r="715">
      <x:c r="A715" t="n">
        <x:v>713</x:v>
      </x:c>
      <x:c r="B715" t="inlineStr">
        <x:is>
          <x:t xml:space="preserve">ยาทาแก้แพ้, แก้คัน (D)</x:t>
        </x:is>
      </x:c>
      <x:c r="C715" t="n">
        <x:v>7775</x:v>
      </x:c>
      <x:c r="D715" t="inlineStr">
        <x:is>
          <x:t xml:space="preserve">Zyno 0.02%</x:t>
        </x:is>
      </x:c>
      <x:c r="E715" t="inlineStr">
        <x:is>
          <x:t xml:space="preserve">หลอด 5 g.</x:t>
        </x:is>
      </x:c>
      <x:c r="F715" t="inlineStr">
        <x:is>
          <x:t xml:space="preserve">Triamcinolone Acetonide 0.02 g/100 g (0.02%)</x:t>
        </x:is>
      </x:c>
      <x:c r="G715" t="inlineStr">
        <x:is>
          <x:t xml:space="preserve">BDS007775</x:t>
        </x:is>
      </x:c>
      <x:c r="H715" t="inlineStr">
        <x:is>
          <x:t xml:space="preserve">Zyno 0.02% (5 g.)</x:t>
        </x:is>
      </x:c>
      <x:c r="I715" t="inlineStr">
        <x:is>
          <x:t xml:space="preserve">ทาครีมบางๆ บริเวณที่มีอาการ วันละ 2-3 ครั้ง</x:t>
        </x:is>
      </x:c>
      <x:c r="P715" t="inlineStr">
        <x:is>
          <x:t xml:space="preserve">Eczema/diaper rash / anti-itch topicals</x:t>
        </x:is>
      </x:c>
    </x:row>
    <x:row r="716">
      <x:c r="A716" t="n">
        <x:v>714</x:v>
      </x:c>
      <x:c r="B716" t="inlineStr">
        <x:is>
          <x:t xml:space="preserve">ยาทาแก้แพ้, แก้คัน (D)</x:t>
        </x:is>
      </x:c>
      <x:c r="C716" t="n">
        <x:v>7776</x:v>
      </x:c>
      <x:c r="D716" t="inlineStr">
        <x:is>
          <x:t xml:space="preserve">Zyno 0.1%</x:t>
        </x:is>
      </x:c>
      <x:c r="E716" t="inlineStr">
        <x:is>
          <x:t xml:space="preserve">หลอด 5 g.</x:t>
        </x:is>
      </x:c>
      <x:c r="F716" t="inlineStr">
        <x:is>
          <x:t xml:space="preserve">Triamcinolone Acetonide 0.1 g/100 g (0.1%)</x:t>
        </x:is>
      </x:c>
      <x:c r="G716" t="inlineStr">
        <x:is>
          <x:t xml:space="preserve">BDS007776</x:t>
        </x:is>
      </x:c>
      <x:c r="H716" t="inlineStr">
        <x:is>
          <x:t xml:space="preserve">Zyno 0.1% (5 g.)</x:t>
        </x:is>
      </x:c>
      <x:c r="I716" t="inlineStr">
        <x:is>
          <x:t xml:space="preserve">ทาครีมบางๆ บริเวณที่มีอาการ วันละ 2-3 ครั้ง</x:t>
        </x:is>
      </x:c>
      <x:c r="P716" t="inlineStr">
        <x:is>
          <x:t xml:space="preserve">Eczema/diaper rash / anti-itch topicals</x:t>
        </x:is>
      </x:c>
    </x:row>
    <x:row r="717">
      <x:c r="A717" t="n">
        <x:v>715</x:v>
      </x:c>
      <x:c r="B717" t="inlineStr">
        <x:is>
          <x:t xml:space="preserve">ยาทาฆ่าเชื้อราและแก้คัน (D)</x:t>
        </x:is>
      </x:c>
      <x:c r="C717" t="n">
        <x:v>1491</x:v>
      </x:c>
      <x:c r="D717" t="inlineStr">
        <x:is>
          <x:t xml:space="preserve">Canasone C.B. Cream</x:t>
        </x:is>
      </x:c>
      <x:c r="E717" t="inlineStr">
        <x:is>
          <x:t xml:space="preserve">หลอด 15 g.</x:t>
        </x:is>
      </x:c>
      <x:c r="F717" t="inlineStr">
        <x:is>
          <x:t xml:space="preserve">Clotrimazole 1%+Betamethasone Dipropionate (eq. to Betamethasone 0.1%) w/w</x:t>
        </x:is>
      </x:c>
      <x:c r="G717" t="inlineStr">
        <x:is>
          <x:t xml:space="preserve">BDS001491</x:t>
        </x:is>
      </x:c>
      <x:c r="H717" t="inlineStr">
        <x:is>
          <x:t xml:space="preserve">Canasone C.B. Cream (15 g.)</x:t>
        </x:is>
      </x:c>
      <x:c r="I717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717" t="inlineStr">
        <x:is>
          <x:t xml:space="preserve">Antifungals (oral/topical)</x:t>
        </x:is>
      </x:c>
    </x:row>
    <x:row r="718">
      <x:c r="A718" t="n">
        <x:v>716</x:v>
      </x:c>
      <x:c r="B718" t="inlineStr">
        <x:is>
          <x:t xml:space="preserve">ยาทาฆ่าเชื้อราและแก้คัน (D)</x:t>
        </x:is>
      </x:c>
      <x:c r="C718" t="n">
        <x:v>1417</x:v>
      </x:c>
      <x:c r="D718" t="inlineStr">
        <x:is>
          <x:t xml:space="preserve">Canazol-Be Cream ใหญ่</x:t>
        </x:is>
      </x:c>
      <x:c r="E718" t="inlineStr">
        <x:is>
          <x:t xml:space="preserve">หลอด 15 g.</x:t>
        </x:is>
      </x:c>
      <x:c r="F718" t="inlineStr">
        <x:is>
          <x:t xml:space="preserve">Clotrimazole 1 g+Betamethasone Dipropionate (eq. to Betamethasone 0.1 g)/100 g</x:t>
        </x:is>
      </x:c>
      <x:c r="G718" t="inlineStr">
        <x:is>
          <x:t xml:space="preserve">BDS001417</x:t>
        </x:is>
      </x:c>
      <x:c r="H718" t="inlineStr">
        <x:is>
          <x:t xml:space="preserve">Canazol-Be Cream ใหญ่ (15 g.)</x:t>
        </x:is>
      </x:c>
      <x:c r="I718" t="inlineStr">
        <x:is>
          <x:t xml:space="preserve">ทาบางๆ บริเวณที่มีอาการ วันละ 2-3 ครั้ง</x:t>
        </x:is>
      </x:c>
      <x:c r="P718" t="inlineStr">
        <x:is>
          <x:t xml:space="preserve">Antifungals (oral/topical)</x:t>
        </x:is>
      </x:c>
    </x:row>
    <x:row r="719">
      <x:c r="A719" t="n">
        <x:v>717</x:v>
      </x:c>
      <x:c r="B719" t="inlineStr">
        <x:is>
          <x:t xml:space="preserve">ยาทาฆ่าเชื้อราและแก้คัน (D)</x:t>
        </x:is>
      </x:c>
      <x:c r="C719" t="n">
        <x:v>7517</x:v>
      </x:c>
      <x:c r="D719" t="inlineStr">
        <x:is>
          <x:t xml:space="preserve">Clotribet-D Cream เล็ก</x:t>
        </x:is>
      </x:c>
      <x:c r="E719" t="inlineStr">
        <x:is>
          <x:t xml:space="preserve">หลอด 5 g.</x:t>
        </x:is>
      </x:c>
      <x:c r="F719" t="inlineStr">
        <x:is>
          <x:t xml:space="preserve">Clotrimazole 1 g+Betamethasone Dipropionate 0.064 g (eq. to Betamethasone 0.05 g)/100 g</x:t>
        </x:is>
      </x:c>
      <x:c r="G719" t="inlineStr">
        <x:is>
          <x:t xml:space="preserve">BDS007517</x:t>
        </x:is>
      </x:c>
      <x:c r="H719" t="inlineStr">
        <x:is>
          <x:t xml:space="preserve">Clotribet-D Cream เล็ก (5 g.)</x:t>
        </x:is>
      </x:c>
      <x:c r="I719" t="inlineStr">
        <x:is>
          <x:t xml:space="preserve">ทาครีมบางๆ บริเวณที่มีอาการ วันละ 2-3 ครั้ง</x:t>
        </x:is>
      </x:c>
      <x:c r="P719" t="inlineStr">
        <x:is>
          <x:t xml:space="preserve">Antifungals (oral/topical)</x:t>
        </x:is>
      </x:c>
    </x:row>
    <x:row r="720">
      <x:c r="A720" t="n">
        <x:v>718</x:v>
      </x:c>
      <x:c r="B720" t="inlineStr">
        <x:is>
          <x:t xml:space="preserve">ยาทาฆ่าเชื้อราและแก้คัน (D)</x:t>
        </x:is>
      </x:c>
      <x:c r="C720" t="n">
        <x:v>7516</x:v>
      </x:c>
      <x:c r="D720" t="inlineStr">
        <x:is>
          <x:t xml:space="preserve">Clotribet-D Cream ใหญ่</x:t>
        </x:is>
      </x:c>
      <x:c r="E720" t="inlineStr">
        <x:is>
          <x:t xml:space="preserve">หลอด 15 g.</x:t>
        </x:is>
      </x:c>
      <x:c r="F720" t="inlineStr">
        <x:is>
          <x:t xml:space="preserve">Clotrimazole 1 g+Betamethasone Dipropionate 0.064 g (eq. to Betamethasone 0.05 g)/100 g</x:t>
        </x:is>
      </x:c>
      <x:c r="G720" t="inlineStr">
        <x:is>
          <x:t xml:space="preserve">BDS007516</x:t>
        </x:is>
      </x:c>
      <x:c r="H720" t="inlineStr">
        <x:is>
          <x:t xml:space="preserve">Clotribet-D Cream ใหญ่ (15 g.)</x:t>
        </x:is>
      </x:c>
      <x:c r="I720" t="inlineStr">
        <x:is>
          <x:t xml:space="preserve">ทาครีมบางๆ บริเวณที่มีอาการ วันละ 2-3 ครั้ง</x:t>
        </x:is>
      </x:c>
      <x:c r="P720" t="inlineStr">
        <x:is>
          <x:t xml:space="preserve">Antifungals (oral/topical)</x:t>
        </x:is>
      </x:c>
    </x:row>
    <x:row r="721">
      <x:c r="A721" t="n">
        <x:v>719</x:v>
      </x:c>
      <x:c r="B721" t="inlineStr">
        <x:is>
          <x:t xml:space="preserve">ยาทาฆ่าเชื้อราและแก้คัน (D)</x:t>
        </x:is>
      </x:c>
      <x:c r="C721" t="n">
        <x:v>7736</x:v>
      </x:c>
      <x:c r="D721" t="inlineStr">
        <x:is>
          <x:t xml:space="preserve">Fango-B Cream เล็ก</x:t>
        </x:is>
      </x:c>
      <x:c r="E721" t="inlineStr">
        <x:is>
          <x:t xml:space="preserve">หลอด 5 g.</x:t>
        </x:is>
      </x:c>
      <x:c r="F721" t="inlineStr">
        <x:is>
          <x:t xml:space="preserve">Clotrimazole 1 g+Betamethasone Valerate (eq. to Betamethasone 0.1 g)/100 g</x:t>
        </x:is>
      </x:c>
      <x:c r="G721" t="inlineStr">
        <x:is>
          <x:t xml:space="preserve">BDS007736</x:t>
        </x:is>
      </x:c>
      <x:c r="H721" t="inlineStr">
        <x:is>
          <x:t xml:space="preserve">Fango-B Cream เล็ก (5 g.)</x:t>
        </x:is>
      </x:c>
      <x:c r="I721" t="inlineStr">
        <x:is>
          <x:t xml:space="preserve">ทาครีมบางๆ บริเวณที่มีอาการ วันละ 2-3 ครั้ง</x:t>
        </x:is>
      </x:c>
      <x:c r="P721" t="inlineStr">
        <x:is>
          <x:t xml:space="preserve">Antifungals (oral/topical)</x:t>
        </x:is>
      </x:c>
    </x:row>
    <x:row r="722">
      <x:c r="A722" t="n">
        <x:v>720</x:v>
      </x:c>
      <x:c r="B722" t="inlineStr">
        <x:is>
          <x:t xml:space="preserve">ยาทาฆ่าเชื้อราและแก้คัน (D)</x:t>
        </x:is>
      </x:c>
      <x:c r="C722" t="n">
        <x:v>1956</x:v>
      </x:c>
      <x:c r="D722" t="inlineStr">
        <x:is>
          <x:t xml:space="preserve">Fango-B Cream ใหญ่</x:t>
        </x:is>
      </x:c>
      <x:c r="E722" t="inlineStr">
        <x:is>
          <x:t xml:space="preserve">หลอด 15 g.</x:t>
        </x:is>
      </x:c>
      <x:c r="F722" t="inlineStr">
        <x:is>
          <x:t xml:space="preserve">Clotrimazole 1 g+Betamethasone Valerate (eq. to Betamethasone 0.1 g)/100 g</x:t>
        </x:is>
      </x:c>
      <x:c r="G722" t="inlineStr">
        <x:is>
          <x:t xml:space="preserve">BDS001956</x:t>
        </x:is>
      </x:c>
      <x:c r="H722" t="inlineStr">
        <x:is>
          <x:t xml:space="preserve">Fango-B Cream ใหญ่ (15 g.)</x:t>
        </x:is>
      </x:c>
      <x:c r="I722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722" t="inlineStr">
        <x:is>
          <x:t xml:space="preserve">Antifungals (oral/topical)</x:t>
        </x:is>
      </x:c>
    </x:row>
    <x:row r="723">
      <x:c r="A723" t="n">
        <x:v>721</x:v>
      </x:c>
      <x:c r="B723" t="inlineStr">
        <x:is>
          <x:t xml:space="preserve">ยาทาฆ่าเชื้อราและแก้คัน (D)</x:t>
        </x:is>
      </x:c>
      <x:c r="C723" t="n">
        <x:v>1932</x:v>
      </x:c>
      <x:c r="D723" t="inlineStr">
        <x:is>
          <x:t xml:space="preserve">Fungiderm-B</x:t>
        </x:is>
      </x:c>
      <x:c r="E723" t="inlineStr">
        <x:is>
          <x:t xml:space="preserve">หลอด 20 g.</x:t>
        </x:is>
      </x:c>
      <x:c r="F723" t="inlineStr">
        <x:is>
          <x:t xml:space="preserve">Clotrimazole 1 g+Betamethasone Valerate (eq. to Betamethasone 0.1 g)/100 g</x:t>
        </x:is>
      </x:c>
      <x:c r="G723" t="inlineStr">
        <x:is>
          <x:t xml:space="preserve">BDS001932</x:t>
        </x:is>
      </x:c>
      <x:c r="H723" t="inlineStr">
        <x:is>
          <x:t xml:space="preserve">Fungiderm-B (20 g.)</x:t>
        </x:is>
      </x:c>
      <x:c r="I723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723" t="inlineStr">
        <x:is>
          <x:t xml:space="preserve">Antifungals (oral/topical)</x:t>
        </x:is>
      </x:c>
    </x:row>
    <x:row r="724">
      <x:c r="A724" t="n">
        <x:v>722</x:v>
      </x:c>
      <x:c r="B724" t="inlineStr">
        <x:is>
          <x:t xml:space="preserve">ยาทาฆ่าเชื้อราและแก้คัน (D)</x:t>
        </x:is>
      </x:c>
      <x:c r="C724" t="n">
        <x:v>2538</x:v>
      </x:c>
      <x:c r="D724" t="inlineStr">
        <x:is>
          <x:t xml:space="preserve">Lymarin Cream ใหญ่</x:t>
        </x:is>
      </x:c>
      <x:c r="E724" t="inlineStr">
        <x:is>
          <x:t xml:space="preserve">หลอด 15 g.</x:t>
        </x:is>
      </x:c>
      <x:c r="F724" t="inlineStr">
        <x:is>
          <x:t xml:space="preserve">Miconazole Nitrate 2%+Triamcinolone Acetonide 0.2% w/w</x:t>
        </x:is>
      </x:c>
      <x:c r="G724" t="inlineStr">
        <x:is>
          <x:t xml:space="preserve">BDS002538</x:t>
        </x:is>
      </x:c>
      <x:c r="H724" t="inlineStr">
        <x:is>
          <x:t xml:space="preserve">Lymarin Cream ใหญ่ (15 g.)</x:t>
        </x:is>
      </x:c>
      <x:c r="I724" t="inlineStr">
        <x:is>
          <x:t xml:space="preserve">ทาครีมบางๆ บริเวณที่ติดเชื้อ วันละ 2-3 ครั้ง</x:t>
        </x:is>
      </x:c>
      <x:c r="P724" t="inlineStr">
        <x:is>
          <x:t xml:space="preserve">Antifungals (oral/topical)</x:t>
        </x:is>
      </x:c>
    </x:row>
    <x:row r="725">
      <x:c r="A725" t="n">
        <x:v>723</x:v>
      </x:c>
      <x:c r="B725" t="inlineStr">
        <x:is>
          <x:t xml:space="preserve">ยาทาฆ่าเชื้อราและแก้คัน (D)</x:t>
        </x:is>
      </x:c>
      <x:c r="C725" t="n">
        <x:v>2650</x:v>
      </x:c>
      <x:c r="D725" t="inlineStr">
        <x:is>
          <x:t xml:space="preserve">Myda-B Cream เล็ก</x:t>
        </x:is>
      </x:c>
      <x:c r="E725" t="inlineStr">
        <x:is>
          <x:t xml:space="preserve">หลอด 5 g.</x:t>
        </x:is>
      </x:c>
      <x:c r="F725" t="inlineStr">
        <x:is>
          <x:t xml:space="preserve">Clotrimazole 1%+Betamethasone Valerate (eq. to Betamethasone 0.1%) w/w</x:t>
        </x:is>
      </x:c>
      <x:c r="G725" t="inlineStr">
        <x:is>
          <x:t xml:space="preserve">BDS002650</x:t>
        </x:is>
      </x:c>
      <x:c r="H725" t="inlineStr">
        <x:is>
          <x:t xml:space="preserve">Myda-B Cream เล็ก (5 g.)</x:t>
        </x:is>
      </x:c>
      <x:c r="I725" t="inlineStr">
        <x:is>
          <x:t xml:space="preserve">ทาครีมบางๆ บริเวณที่มีอาการ วันละ 2-3 ครั้ง</x:t>
        </x:is>
      </x:c>
      <x:c r="P725" t="inlineStr">
        <x:is>
          <x:t xml:space="preserve">Antifungals (oral/topical)</x:t>
        </x:is>
      </x:c>
    </x:row>
    <x:row r="726">
      <x:c r="A726" t="n">
        <x:v>724</x:v>
      </x:c>
      <x:c r="B726" t="inlineStr">
        <x:is>
          <x:t xml:space="preserve">ยาทาฆ่าเชื้อราและแก้คัน (D)</x:t>
        </x:is>
      </x:c>
      <x:c r="C726" t="n">
        <x:v>2651</x:v>
      </x:c>
      <x:c r="D726" t="inlineStr">
        <x:is>
          <x:t xml:space="preserve">Myda-B Cream ใหญ่</x:t>
        </x:is>
      </x:c>
      <x:c r="E726" t="inlineStr">
        <x:is>
          <x:t xml:space="preserve">หลอด 15 g.</x:t>
        </x:is>
      </x:c>
      <x:c r="F726" t="inlineStr">
        <x:is>
          <x:t xml:space="preserve">Clotrimazole 1%+Betamethasone Valerate (eq. to Betamethasone 0.1%) w/w</x:t>
        </x:is>
      </x:c>
      <x:c r="G726" t="inlineStr">
        <x:is>
          <x:t xml:space="preserve">BDS002651</x:t>
        </x:is>
      </x:c>
      <x:c r="H726" t="inlineStr">
        <x:is>
          <x:t xml:space="preserve">Myda-B Cream ใหญ่ (15 g.)</x:t>
        </x:is>
      </x:c>
      <x:c r="I726" t="inlineStr">
        <x:is>
          <x:t xml:space="preserve">ทาครีมบางๆ บริเวณที่มีอาการ วันละ 2-3 ครั้ง</x:t>
        </x:is>
      </x:c>
      <x:c r="P726" t="inlineStr">
        <x:is>
          <x:t xml:space="preserve">Antifungals (oral/topical)</x:t>
        </x:is>
      </x:c>
    </x:row>
    <x:row r="727">
      <x:c r="A727" t="n">
        <x:v>725</x:v>
      </x:c>
      <x:c r="B727" t="inlineStr">
        <x:is>
          <x:t xml:space="preserve">ยาทาฆ่าเชื้อราและแก้คัน (D)</x:t>
        </x:is>
      </x:c>
      <x:c r="C727" t="n">
        <x:v>8239</x:v>
      </x:c>
      <x:c r="D727" t="inlineStr">
        <x:is>
          <x:t xml:space="preserve">Myrazole-B Cream</x:t>
        </x:is>
      </x:c>
      <x:c r="E727" t="inlineStr">
        <x:is>
          <x:t xml:space="preserve">หลอด 5 g.</x:t>
        </x:is>
      </x:c>
      <x:c r="F727" t="inlineStr">
        <x:is>
          <x:t xml:space="preserve">Clotrimazole 1%+Betamethasone Valerate (eq. to Betamethasone 0.1%) w/w</x:t>
        </x:is>
      </x:c>
      <x:c r="G727" t="inlineStr">
        <x:is>
          <x:t xml:space="preserve">BDS008239</x:t>
        </x:is>
      </x:c>
      <x:c r="H727" t="inlineStr">
        <x:is>
          <x:t xml:space="preserve">Myrazole-B Cream (5 g.)</x:t>
        </x:is>
      </x:c>
      <x:c r="I727" t="inlineStr">
        <x:is>
          <x:t xml:space="preserve">ทาครีมบางๆ บริเวณที่มีอาการ วันละ 2-3 ครั้ง</x:t>
        </x:is>
      </x:c>
      <x:c r="P727" t="inlineStr">
        <x:is>
          <x:t xml:space="preserve">Antifungals (oral/topical)</x:t>
        </x:is>
      </x:c>
    </x:row>
    <x:row r="728">
      <x:c r="A728" t="n">
        <x:v>726</x:v>
      </x:c>
      <x:c r="B728" t="inlineStr">
        <x:is>
          <x:t xml:space="preserve">ยาทาฆ่าเชื้อราและแก้คัน (D)</x:t>
        </x:is>
      </x:c>
      <x:c r="C728" t="n">
        <x:v>8221</x:v>
      </x:c>
      <x:c r="D728" t="inlineStr">
        <x:is>
          <x:t xml:space="preserve">Tara-Plus Cream</x:t>
        </x:is>
      </x:c>
      <x:c r="E728" t="inlineStr">
        <x:is>
          <x:t xml:space="preserve">หลอด 15 g.</x:t>
        </x:is>
      </x:c>
      <x:c r="F728" t="inlineStr">
        <x:is>
          <x:t xml:space="preserve">Miconazole Nitrate 2 g+Triamcinolone Acetonide 0.1 g/100 g </x:t>
        </x:is>
      </x:c>
      <x:c r="G728" t="inlineStr">
        <x:is>
          <x:t xml:space="preserve">BDS008221</x:t>
        </x:is>
      </x:c>
      <x:c r="H728" t="inlineStr">
        <x:is>
          <x:t xml:space="preserve">Tara-Plus Cream (15 g.)</x:t>
        </x:is>
      </x:c>
      <x:c r="I728" t="inlineStr">
        <x:is>
          <x:t xml:space="preserve">ทาบริเวณที่เป็น วันละ 2 ครั้ง เช้า-เย็น</x:t>
        </x:is>
      </x:c>
      <x:c r="P728" t="inlineStr">
        <x:is>
          <x:t xml:space="preserve">Antifungals (oral/topical)</x:t>
        </x:is>
      </x:c>
    </x:row>
    <x:row r="729">
      <x:c r="A729" t="n">
        <x:v>727</x:v>
      </x:c>
      <x:c r="B729" t="inlineStr">
        <x:is>
          <x:t xml:space="preserve">ยาสวนและยาเหน็บช่วยระบาย</x:t>
        </x:is>
      </x:c>
      <x:c r="C729" t="n">
        <x:v>2023</x:v>
      </x:c>
      <x:c r="D729" t="inlineStr">
        <x:is>
          <x:t xml:space="preserve">Glycerin Suppositories For Adults </x:t>
        </x:is>
      </x:c>
      <x:c r="E729" t="inlineStr">
        <x:is>
          <x:t xml:space="preserve">กระปุก 12 แท่ง</x:t>
        </x:is>
      </x:c>
      <x:c r="F729" t="inlineStr">
        <x:is>
          <x:t xml:space="preserve">Glycerol (Glycerin) 91 g.+Sodium Stearate 9 g./100 g.</x:t>
        </x:is>
      </x:c>
      <x:c r="G729" t="inlineStr">
        <x:is>
          <x:t xml:space="preserve">BDS002023</x:t>
        </x:is>
      </x:c>
      <x:c r="H729" t="inlineStr">
        <x:is>
          <x:t xml:space="preserve">Glycerin Suppositories For Adults  (12 sticks)</x:t>
        </x:is>
      </x:c>
      <x:c r="I729" t="inlineStr">
        <x:is>
          <x:t xml:space="preserve">เหน็บทวารครั้งละ 1 แท่ง เมื่อต้องการ รอ 15 นาทีเพื่อให้ตัวยาละลาย ช่วยการถ่าย</x:t>
        </x:is>
      </x:c>
    </x:row>
    <x:row r="730">
      <x:c r="A730" t="n">
        <x:v>728</x:v>
      </x:c>
      <x:c r="B730" t="inlineStr">
        <x:is>
          <x:t xml:space="preserve">ยาสวนและยาเหน็บช่วยระบาย</x:t>
        </x:is>
      </x:c>
      <x:c r="C730" t="n">
        <x:v>2032</x:v>
      </x:c>
      <x:c r="D730" t="inlineStr">
        <x:is>
          <x:t xml:space="preserve">Glycerin Suppositories For Infants</x:t>
        </x:is>
      </x:c>
      <x:c r="E730" t="inlineStr">
        <x:is>
          <x:t xml:space="preserve">กระปุก 12 แท่ง</x:t>
        </x:is>
      </x:c>
      <x:c r="F730" t="inlineStr">
        <x:is>
          <x:t xml:space="preserve">Glycerol 91 g.+Sodium Stearate 9 g./100 g.</x:t>
        </x:is>
      </x:c>
      <x:c r="G730" t="inlineStr">
        <x:is>
          <x:t xml:space="preserve">BDS002032</x:t>
        </x:is>
      </x:c>
      <x:c r="H730" t="inlineStr">
        <x:is>
          <x:t xml:space="preserve">Glycerin Suppositories For Infants (12 sticks)</x:t>
        </x:is>
      </x:c>
      <x:c r="I730" t="inlineStr">
        <x:is>
          <x:t xml:space="preserve">เหน็บทวารครั้งละ 1 แท่ง เมื่อต้องการ  รอ 15 นาที เพื่อให้ตัวยาละลาย ช่วยการถ่าย</x:t>
        </x:is>
      </x:c>
    </x:row>
    <x:row r="731">
      <x:c r="A731" t="n">
        <x:v>729</x:v>
      </x:c>
      <x:c r="B731" t="inlineStr">
        <x:is>
          <x:t xml:space="preserve">ยาสวนและยาเหน็บช่วยระบาย</x:t>
        </x:is>
      </x:c>
      <x:c r="C731" t="n">
        <x:v>6463</x:v>
      </x:c>
      <x:c r="D731" t="inlineStr">
        <x:is>
          <x:t xml:space="preserve">Glymorin Children Suppositories</x:t>
        </x:is>
      </x:c>
      <x:c r="E731" t="inlineStr">
        <x:is>
          <x:t xml:space="preserve">กล่อง 10 แท่ง</x:t>
        </x:is>
      </x:c>
      <x:c r="F731" t="inlineStr">
        <x:is>
          <x:t xml:space="preserve">Glycerin 1365 mg.</x:t>
        </x:is>
      </x:c>
      <x:c r="G731" t="inlineStr">
        <x:is>
          <x:t xml:space="preserve">BDS006463</x:t>
        </x:is>
      </x:c>
      <x:c r="H731" t="inlineStr">
        <x:is>
          <x:t xml:space="preserve">Glymorin Children Suppositories (10 sticks)</x:t>
        </x:is>
      </x:c>
      <x:c r="I731" t="inlineStr">
        <x:is>
          <x:t xml:space="preserve">เหน็บทวารครั้งละ 1 แท่ง เมื่อต้องการ รอ 15 นาทีเพื่อให้ตัวยาละลาย</x:t>
        </x:is>
      </x:c>
    </x:row>
    <x:row r="732">
      <x:c r="A732" t="n">
        <x:v>730</x:v>
      </x:c>
      <x:c r="B732" t="inlineStr">
        <x:is>
          <x:t xml:space="preserve">ยาสวนและยาเหน็บช่วยระบาย</x:t>
        </x:is>
      </x:c>
      <x:c r="C732" t="n">
        <x:v>6743</x:v>
      </x:c>
      <x:c r="D732" t="inlineStr">
        <x:is>
          <x:t xml:space="preserve">Glymorin Suppositories</x:t>
        </x:is>
      </x:c>
      <x:c r="E732" t="inlineStr">
        <x:is>
          <x:t xml:space="preserve">กล่อง 10 แท่ง</x:t>
        </x:is>
      </x:c>
      <x:c r="F732" t="inlineStr">
        <x:is>
          <x:t xml:space="preserve">Glycerin 2320 mg.</x:t>
        </x:is>
      </x:c>
      <x:c r="G732" t="inlineStr">
        <x:is>
          <x:t xml:space="preserve">BDS006743</x:t>
        </x:is>
      </x:c>
      <x:c r="H732" t="inlineStr">
        <x:is>
          <x:t xml:space="preserve">Glymorin Suppositories (10 sticks)</x:t>
        </x:is>
      </x:c>
      <x:c r="I732" t="inlineStr">
        <x:is>
          <x:t xml:space="preserve">เหน็บทวารครั้งละ 1 แท่ง เมื่อต้องการ รอ 15 นาทีเพื่อให้ตัวยาละลาย</x:t>
        </x:is>
      </x:c>
    </x:row>
    <x:row r="733">
      <x:c r="A733" t="n">
        <x:v>731</x:v>
      </x:c>
      <x:c r="B733" t="inlineStr">
        <x:is>
          <x:t xml:space="preserve">ยาสวนและยาเหน็บช่วยระบาย</x:t>
        </x:is>
      </x:c>
      <x:c r="C733" t="n">
        <x:v>3906</x:v>
      </x:c>
      <x:c r="D733" t="inlineStr">
        <x:is>
          <x:t xml:space="preserve">U-Enema</x:t>
        </x:is>
      </x:c>
      <x:c r="E733" t="inlineStr">
        <x:is>
          <x:t xml:space="preserve">หลอด 100 ml.</x:t>
        </x:is>
      </x:c>
      <x:c r="F733" t="inlineStr">
        <x:is>
          <x:t xml:space="preserve">Sodium Chloride 15 g./100 ml</x:t>
        </x:is>
      </x:c>
      <x:c r="G733" t="inlineStr">
        <x:is>
          <x:t xml:space="preserve">BDS003906</x:t>
        </x:is>
      </x:c>
      <x:c r="H733" t="inlineStr">
        <x:is>
          <x:t xml:space="preserve">U-Enema (100 ml.)</x:t>
        </x:is>
      </x:c>
      <x:c r="I733" t="inlineStr">
        <x:is>
          <x:t xml:space="preserve">สวนเข้าทวารหนัก ครั้งละ 1 หลอด เมื่อมีอาการท้องผูก</x:t>
        </x:is>
      </x:c>
    </x:row>
    <x:row r="734">
      <x:c r="A734" t="n">
        <x:v>732</x:v>
      </x:c>
      <x:c r="B734" t="inlineStr">
        <x:is>
          <x:t xml:space="preserve">ยาสวนและยาเหน็บช่วยระบาย</x:t>
        </x:is>
      </x:c>
      <x:c r="C734" t="n">
        <x:v>3907</x:v>
      </x:c>
      <x:c r="D734" t="inlineStr">
        <x:is>
          <x:t xml:space="preserve">Unison Enema เด็ก</x:t>
        </x:is>
      </x:c>
      <x:c r="E734" t="inlineStr">
        <x:is>
          <x:t xml:space="preserve">หลอด 10 ml.</x:t>
        </x:is>
      </x:c>
      <x:c r="F734" t="inlineStr">
        <x:is>
          <x:t xml:space="preserve">Sodium Chloride 15 g./100 ml.</x:t>
        </x:is>
      </x:c>
      <x:c r="G734" t="inlineStr">
        <x:is>
          <x:t xml:space="preserve">BDS003907</x:t>
        </x:is>
      </x:c>
      <x:c r="H734" t="inlineStr">
        <x:is>
          <x:t xml:space="preserve">Unison Enema เด็ก (10 ml.)</x:t>
        </x:is>
      </x:c>
      <x:c r="I734" t="inlineStr">
        <x:is>
          <x:t xml:space="preserve">เด็กโตสวนเข้าทวารหนัก ครั้งละ 10-20 ml. เมื่อมีอาการท้องผูก </x:t>
        </x:is>
      </x:c>
    </x:row>
    <x:row r="735">
      <x:c r="A735" t="n">
        <x:v>733</x:v>
      </x:c>
      <x:c r="B735" t="inlineStr">
        <x:is>
          <x:t xml:space="preserve">ยาสวนและยาเหน็บช่วยระบาย</x:t>
        </x:is>
      </x:c>
      <x:c r="C735" t="n">
        <x:v>3905</x:v>
      </x:c>
      <x:c r="D735" t="inlineStr">
        <x:is>
          <x:t xml:space="preserve">Unison Enema ผู้ใหญ่</x:t>
        </x:is>
      </x:c>
      <x:c r="E735" t="inlineStr">
        <x:is>
          <x:t xml:space="preserve">หลอด 20 ml.</x:t>
        </x:is>
      </x:c>
      <x:c r="F735" t="inlineStr">
        <x:is>
          <x:t xml:space="preserve">Sodium Chloride 15 g./100 ml.</x:t>
        </x:is>
      </x:c>
      <x:c r="G735" t="inlineStr">
        <x:is>
          <x:t xml:space="preserve">BDS003905</x:t>
        </x:is>
      </x:c>
      <x:c r="H735" t="inlineStr">
        <x:is>
          <x:t xml:space="preserve">Unison Enema ผู้ใหญ่ (20 ml.)</x:t>
        </x:is>
      </x:c>
      <x:c r="I735" t="inlineStr">
        <x:is>
          <x:t xml:space="preserve">สวนเข้าทวารหนัก ครั้งละ 20-40 ml. เมื่อมีอาการท้องผูก</x:t>
        </x:is>
      </x:c>
    </x:row>
    <x:row r="736">
      <x:c r="A736" t="n">
        <x:v>734</x:v>
      </x:c>
      <x:c r="B736" t="inlineStr">
        <x:is>
          <x:t xml:space="preserve">ยาหยอดและยาป้ายตาฆ่าเชื้อ</x:t>
        </x:is>
      </x:c>
      <x:c r="C736" t="n">
        <x:v>1437</x:v>
      </x:c>
      <x:c r="D736" t="inlineStr">
        <x:is>
          <x:t xml:space="preserve">ChlorOph Eye Drops</x:t>
        </x:is>
      </x:c>
      <x:c r="E736" t="inlineStr">
        <x:is>
          <x:t xml:space="preserve">ขวด 5 ml.</x:t>
        </x:is>
      </x:c>
      <x:c r="F736" t="inlineStr">
        <x:is>
          <x:t xml:space="preserve">Chloramphenicol 5 mg./1 ml.</x:t>
        </x:is>
      </x:c>
      <x:c r="G736" t="inlineStr">
        <x:is>
          <x:t xml:space="preserve">BDS001437</x:t>
        </x:is>
      </x:c>
      <x:c r="H736" t="inlineStr">
        <x:is>
          <x:t xml:space="preserve">ChlorOph Eye Drops (5 ml.)</x:t>
        </x:is>
      </x:c>
      <x:c r="I736" t="inlineStr">
        <x:is>
          <x:t xml:space="preserve">หยอดตาครั้งละ  2 -3 หยด วันละ 4-5 ครั้ง หรือตามแพทย์สั่ง </x:t>
        </x:is>
      </x:c>
    </x:row>
    <x:row r="737">
      <x:c r="A737" t="n">
        <x:v>735</x:v>
      </x:c>
      <x:c r="B737" t="inlineStr">
        <x:is>
          <x:t xml:space="preserve">ยาหยอดและยาป้ายตาฆ่าเชื้อ</x:t>
        </x:is>
      </x:c>
      <x:c r="C737" t="n">
        <x:v>1515</x:v>
      </x:c>
      <x:c r="D737" t="inlineStr">
        <x:is>
          <x:t xml:space="preserve">ChlorOph Eye Ointment</x:t>
        </x:is>
      </x:c>
      <x:c r="E737" t="inlineStr">
        <x:is>
          <x:t xml:space="preserve">หลอด 5 g.</x:t>
        </x:is>
      </x:c>
      <x:c r="F737" t="inlineStr">
        <x:is>
          <x:t xml:space="preserve">Chloramphenicol 10 mg./1 g.</x:t>
        </x:is>
      </x:c>
      <x:c r="G737" t="inlineStr">
        <x:is>
          <x:t xml:space="preserve">BDS001515</x:t>
        </x:is>
      </x:c>
      <x:c r="H737" t="inlineStr">
        <x:is>
          <x:t xml:space="preserve">ChlorOph Eye Ointment (5 g.)</x:t>
        </x:is>
      </x:c>
      <x:c r="I737" t="inlineStr">
        <x:is>
          <x:t xml:space="preserve">ป้ายตา วันละ 3-4 ครั้ง และก่อนนอน</x:t>
        </x:is>
      </x:c>
    </x:row>
    <x:row r="738">
      <x:c r="A738" t="n">
        <x:v>736</x:v>
      </x:c>
      <x:c r="B738" t="inlineStr">
        <x:is>
          <x:t xml:space="preserve">ยาหยอดและยาป้ายตาฆ่าเชื้อ</x:t>
        </x:is>
      </x:c>
      <x:c r="C738" t="n">
        <x:v>41410</x:v>
      </x:c>
      <x:c r="D738" t="inlineStr">
        <x:is>
          <x:t xml:space="preserve">Cogetine Ointment</x:t>
        </x:is>
      </x:c>
      <x:c r="E738" t="inlineStr">
        <x:is>
          <x:t xml:space="preserve">หลอด 5 g.</x:t>
        </x:is>
      </x:c>
      <x:c r="F738" t="inlineStr">
        <x:is>
          <x:t xml:space="preserve">Chloramphenicol 1% (1 g./100 g.)</x:t>
        </x:is>
      </x:c>
      <x:c r="G738" t="inlineStr">
        <x:is>
          <x:t xml:space="preserve">BDS041410</x:t>
        </x:is>
      </x:c>
      <x:c r="H738" t="inlineStr">
        <x:is>
          <x:t xml:space="preserve">Cogetine Ointment (5 g.)</x:t>
        </x:is>
      </x:c>
      <x:c r="I738" t="inlineStr">
        <x:is>
          <x:t xml:space="preserve">ป้ายตา อย่างน้อยวันละ 2 ครั้ง  </x:t>
        </x:is>
      </x:c>
    </x:row>
    <x:row r="739">
      <x:c r="A739" t="n">
        <x:v>737</x:v>
      </x:c>
      <x:c r="B739" t="inlineStr">
        <x:is>
          <x:t xml:space="preserve">ยาหยอดและยาป้ายตาฆ่าเชื้อ</x:t>
        </x:is>
      </x:c>
      <x:c r="C739" t="n">
        <x:v>1847</x:v>
      </x:c>
      <x:c r="D739" t="inlineStr">
        <x:is>
          <x:t xml:space="preserve">Fucithalmic Eye Drops</x:t>
        </x:is>
      </x:c>
      <x:c r="E739" t="inlineStr">
        <x:is>
          <x:t xml:space="preserve">หลอด 5 g.</x:t>
        </x:is>
      </x:c>
      <x:c r="F739" t="inlineStr">
        <x:is>
          <x:t xml:space="preserve">Fusidic acid 10 mg.+Preservative (Benzalkonium chloride 0.1%)/ 1 g.</x:t>
        </x:is>
      </x:c>
      <x:c r="G739" t="inlineStr">
        <x:is>
          <x:t xml:space="preserve">BDS001847</x:t>
        </x:is>
      </x:c>
      <x:c r="H739" t="inlineStr">
        <x:is>
          <x:t xml:space="preserve">Fucithalmic Eye Drops (5 g.)</x:t>
        </x:is>
      </x:c>
      <x:c r="I739" t="inlineStr">
        <x:is>
          <x:t xml:space="preserve">หยอดตาครั้งละ 1 หยด วันละ 2 ครั้ง หรือตามแพทย์สั่ง </x:t>
        </x:is>
      </x:c>
    </x:row>
    <x:row r="740">
      <x:c r="A740" t="n">
        <x:v>738</x:v>
      </x:c>
      <x:c r="B740" t="inlineStr">
        <x:is>
          <x:t xml:space="preserve">ยาหยอดและยาป้ายตาฆ่าเชื้อ</x:t>
        </x:is>
      </x:c>
      <x:c r="C740" t="n">
        <x:v>3181</x:v>
      </x:c>
      <x:c r="D740" t="inlineStr">
        <x:is>
          <x:t xml:space="preserve">Poly-Oph Eye Drops</x:t>
        </x:is>
      </x:c>
      <x:c r="E740" t="inlineStr">
        <x:is>
          <x:t xml:space="preserve">ขวด 5 ml.</x:t>
        </x:is>
      </x:c>
      <x:c r="F740" t="inlineStr">
        <x:is>
          <x:t xml:space="preserve">Neomycin Sulfate (eq. to Neomycin 2 mg.)+Polymyxin B Sulfate (eq. to Polymyxin B 5,000 Units)+Gramicidin 0.025 mg./1 ml.</x:t>
        </x:is>
      </x:c>
      <x:c r="G740" t="inlineStr">
        <x:is>
          <x:t xml:space="preserve">BDS003181</x:t>
        </x:is>
      </x:c>
      <x:c r="H740" t="inlineStr">
        <x:is>
          <x:t xml:space="preserve">Poly-Oph Eye Drops (5 ml.)</x:t>
        </x:is>
      </x:c>
      <x:c r="I740" t="inlineStr">
        <x:is>
          <x:t xml:space="preserve">หยอดตาครั้งละ 1-2 หยด วันละ 4-5 ครั้ง หรือตามแพทย์สั่ง </x:t>
        </x:is>
      </x:c>
    </x:row>
    <x:row r="741">
      <x:c r="A741" t="n">
        <x:v>739</x:v>
      </x:c>
      <x:c r="B741" t="inlineStr">
        <x:is>
          <x:t xml:space="preserve">ยาหยอดและยาป้ายตาฆ่าเชื้อ</x:t>
        </x:is>
      </x:c>
      <x:c r="C741" t="n">
        <x:v>3721</x:v>
      </x:c>
      <x:c r="D741" t="inlineStr">
        <x:is>
          <x:t xml:space="preserve">Terramycin Ophthalmic Ointment</x:t>
        </x:is>
      </x:c>
      <x:c r="E741" t="inlineStr">
        <x:is>
          <x:t xml:space="preserve">หลอด 3.5 g.</x:t>
        </x:is>
      </x:c>
      <x:c r="F741" t="inlineStr">
        <x:is>
          <x:t xml:space="preserve">Oxytetracycline HCl 5 mg.+Polymyxin B Sulfate 10,000 units/1 g.</x:t>
        </x:is>
      </x:c>
      <x:c r="G741" t="inlineStr">
        <x:is>
          <x:t xml:space="preserve">BDS003721</x:t>
        </x:is>
      </x:c>
      <x:c r="H741" t="inlineStr">
        <x:is>
          <x:t xml:space="preserve">Terramycin Ophthalmic Ointment (3.5 g.)</x:t>
        </x:is>
      </x:c>
      <x:c r="I741" t="inlineStr">
        <x:is>
          <x:t xml:space="preserve">ป้ายบริเวณเปลือกตาด้านนอกหรือด้านใน วันละ 1 ครั้ง ก่อนนอน</x:t>
        </x:is>
      </x:c>
    </x:row>
    <x:row r="742">
      <x:c r="A742" t="n">
        <x:v>740</x:v>
      </x:c>
      <x:c r="B742" t="inlineStr">
        <x:is>
          <x:t xml:space="preserve">ยาหยอดและยาป้ายตาฆ่าเชื้อ</x:t>
        </x:is>
      </x:c>
      <x:c r="C742" t="n">
        <x:v>3861</x:v>
      </x:c>
      <x:c r="D742" t="inlineStr">
        <x:is>
          <x:t xml:space="preserve">Tobrex Ophthalmic Solution</x:t>
        </x:is>
      </x:c>
      <x:c r="E742" t="inlineStr">
        <x:is>
          <x:t xml:space="preserve">ขวด 5 ml.</x:t>
        </x:is>
      </x:c>
      <x:c r="F742" t="inlineStr">
        <x:is>
          <x:t xml:space="preserve">Tobramycin 3 mg.+Preservative (Benzalkonium Chloride 0.1 mg.)/1 ml.</x:t>
        </x:is>
      </x:c>
      <x:c r="G742" t="inlineStr">
        <x:is>
          <x:t xml:space="preserve">BDS003861</x:t>
        </x:is>
      </x:c>
      <x:c r="H742" t="inlineStr">
        <x:is>
          <x:t xml:space="preserve">Tobrex Ophthalmic Solution (5 ml.)</x:t>
        </x:is>
      </x:c>
      <x:c r="I742" t="inlineStr">
        <x:is>
          <x:t xml:space="preserve">หยอดตาครั้งละ 1-2 หยด ทุก 4 ชั่วโมง หรือตามแพทย์สั่ง</x:t>
        </x:is>
      </x:c>
    </x:row>
    <x:row r="743">
      <x:c r="A743" t="n">
        <x:v>741</x:v>
      </x:c>
      <x:c r="B743" t="inlineStr">
        <x:is>
          <x:t xml:space="preserve">ยาหยอดตาแก้แพ้ (D)</x:t>
        </x:is>
      </x:c>
      <x:c r="C743" t="n">
        <x:v>1052</x:v>
      </x:c>
      <x:c r="D743" t="inlineStr">
        <x:is>
          <x:t xml:space="preserve">Allergis</x:t>
        </x:is>
      </x:c>
      <x:c r="E743" t="inlineStr">
        <x:is>
          <x:t xml:space="preserve">ขวด 5 ml.</x:t>
        </x:is>
      </x:c>
      <x:c r="F743" t="inlineStr">
        <x:is>
          <x:t xml:space="preserve">Antazoline HCl 0.5 mg+Tetrahydrozoline HCl 0.4 mg/1 ml</x:t>
        </x:is>
      </x:c>
      <x:c r="G743" t="inlineStr">
        <x:is>
          <x:t xml:space="preserve">BDS001052</x:t>
        </x:is>
      </x:c>
      <x:c r="H743" t="inlineStr">
        <x:is>
          <x:t xml:space="preserve">Allergis (5 ml.)</x:t>
        </x:is>
      </x:c>
      <x:c r="I743" t="inlineStr">
        <x:is>
          <x:t xml:space="preserve">หยอดตาครั้งละ 1-2 หยด วันละ 4 - 6 ครั้ง หรือตามแพทย์สั่ง </x:t>
        </x:is>
      </x:c>
    </x:row>
    <x:row r="744">
      <x:c r="A744" t="n">
        <x:v>742</x:v>
      </x:c>
      <x:c r="B744" t="inlineStr">
        <x:is>
          <x:t xml:space="preserve">ยาหยอดตาแก้แพ้ (D)</x:t>
        </x:is>
      </x:c>
      <x:c r="C744" t="n">
        <x:v>40035</x:v>
      </x:c>
      <x:c r="D744" t="inlineStr">
        <x:is>
          <x:t xml:space="preserve">Antazallerge</x:t>
        </x:is>
      </x:c>
      <x:c r="E744" t="inlineStr">
        <x:is>
          <x:t xml:space="preserve">ขวด 10 ml.</x:t>
        </x:is>
      </x:c>
      <x:c r="F744" t="inlineStr">
        <x:is>
          <x:t xml:space="preserve">Antazoline HCl 0.5 mg.+Tetrahydrozoline HCl  0.4 mg.+Preservative (Benzalkonium Cl 0.1mg.)</x:t>
        </x:is>
      </x:c>
      <x:c r="G744" t="inlineStr">
        <x:is>
          <x:t xml:space="preserve">BDS040035</x:t>
        </x:is>
      </x:c>
      <x:c r="H744" t="inlineStr">
        <x:is>
          <x:t xml:space="preserve">Antazallerge (10 ml.)</x:t>
        </x:is>
      </x:c>
      <x:c r="I744" t="inlineStr">
        <x:is>
          <x:t xml:space="preserve">หยอดตาครั้งละ 1-2 หยด วันละ 3-4 ครั้ง หรือใช้ตามแพทย์สั่ง </x:t>
        </x:is>
      </x:c>
    </x:row>
    <x:row r="745">
      <x:c r="A745" t="n">
        <x:v>743</x:v>
      </x:c>
      <x:c r="B745" t="inlineStr">
        <x:is>
          <x:t xml:space="preserve">ยาหยอดตาแก้แพ้ (D)</x:t>
        </x:is>
      </x:c>
      <x:c r="C745" t="n">
        <x:v>1401</x:v>
      </x:c>
      <x:c r="D745" t="inlineStr">
        <x:is>
          <x:t xml:space="preserve">Cadexcin.N</x:t>
        </x:is>
      </x:c>
      <x:c r="E745" t="inlineStr">
        <x:is>
          <x:t xml:space="preserve">ขวด 4 ml.</x:t>
        </x:is>
      </x:c>
      <x:c r="F745" t="inlineStr">
        <x:is>
          <x:t xml:space="preserve">Dexamethasone 21-(disodium phosphate) (eq. to Dexamethasone 21-phosphate 1 mg.)+Neomycin Sulfate (eq. to Neomycin base 3.5 mg.)/1 ml.</x:t>
        </x:is>
      </x:c>
      <x:c r="G745" t="inlineStr">
        <x:is>
          <x:t xml:space="preserve">BDS001401</x:t>
        </x:is>
      </x:c>
      <x:c r="H745" t="inlineStr">
        <x:is>
          <x:t xml:space="preserve">Cadexcin.N (4 ml.)</x:t>
        </x:is>
      </x:c>
      <x:c r="I745" t="inlineStr">
        <x:is>
          <x:t xml:space="preserve">หยอดตา ครั้งละ 1-2  ทุก 2-3 ชม. ติดต่อกันอย่างน้อย 2-3 วัน หยอดหู ครั้งละ 3-4 หยด วันละ 2-3 ครั้ง หรือตามแพทย์สั่ง</x:t>
        </x:is>
      </x:c>
    </x:row>
    <x:row r="746">
      <x:c r="A746" t="n">
        <x:v>744</x:v>
      </x:c>
      <x:c r="B746" t="inlineStr">
        <x:is>
          <x:t xml:space="preserve">ยาหยอดตาแก้แพ้ (D)</x:t>
        </x:is>
      </x:c>
      <x:c r="C746" t="n">
        <x:v>41404</x:v>
      </x:c>
      <x:c r="D746" t="inlineStr">
        <x:is>
          <x:t xml:space="preserve">CD-Oph Eye Drops</x:t>
        </x:is>
      </x:c>
      <x:c r="E746" t="inlineStr">
        <x:is>
          <x:t xml:space="preserve">ขวด 5 ml.</x:t>
        </x:is>
      </x:c>
      <x:c r="F746" t="inlineStr">
        <x:is>
          <x:t xml:space="preserve">Dexamethasone Sodium Phosphate 1 mg.+Chloramphenicol 5 mg.+Tetrahydrozoline HCl 0.25 mg./1 ml.</x:t>
        </x:is>
      </x:c>
      <x:c r="G746" t="inlineStr">
        <x:is>
          <x:t xml:space="preserve">BDS041404</x:t>
        </x:is>
      </x:c>
      <x:c r="H746" t="inlineStr">
        <x:is>
          <x:t xml:space="preserve">CD-Oph Eye Drops (5 ml.)</x:t>
        </x:is>
      </x:c>
      <x:c r="I746" t="inlineStr">
        <x:is>
          <x:t xml:space="preserve">หยอดตาครั้งละ 1 หยด วันละ 1-4 ครั้ง หรือตามแพทย์สั่ง </x:t>
        </x:is>
      </x:c>
    </x:row>
    <x:row r="747">
      <x:c r="A747" t="n">
        <x:v>745</x:v>
      </x:c>
      <x:c r="B747" t="inlineStr">
        <x:is>
          <x:t xml:space="preserve">ยาหยอดตาแก้แพ้ (D)</x:t>
        </x:is>
      </x:c>
      <x:c r="C747" t="n">
        <x:v>1632</x:v>
      </x:c>
      <x:c r="D747" t="inlineStr">
        <x:is>
          <x:t xml:space="preserve">DexOph Eye-Ear Drops</x:t>
        </x:is>
      </x:c>
      <x:c r="E747" t="inlineStr">
        <x:is>
          <x:t xml:space="preserve">ขวด 4 ml.</x:t>
        </x:is>
      </x:c>
      <x:c r="F747" t="inlineStr">
        <x:is>
          <x:t xml:space="preserve">Dexamethasone Sodium Phosphate (eq. to Dexamethasone Phosphate 0.1 %)+Neomycin Sulfate 0.5% (eq. to Neomycin Base 0.35 %)/1 ml.</x:t>
        </x:is>
      </x:c>
      <x:c r="G747" t="inlineStr">
        <x:is>
          <x:t xml:space="preserve">BDS001632</x:t>
        </x:is>
      </x:c>
      <x:c r="H747" t="inlineStr">
        <x:is>
          <x:t xml:space="preserve">DexOph Eye-Ear Drops (4 ml.)</x:t>
        </x:is>
      </x:c>
      <x:c r="I747" t="inlineStr">
        <x:is>
          <x:t xml:space="preserve">หยอดตา ครั้งละ 1-2 หยด วันละ 4-6 ครั้ง หยอดหู ครั้งละ 3-4 หยด วันละ 2-3 ครั้ง </x:t>
        </x:is>
      </x:c>
      <x:c r="K747" t="n">
        <x:v>120</x:v>
      </x:c>
      <x:c r="L747" t="n">
        <x:v>30</x:v>
      </x:c>
      <x:c r="M747" t="inlineStr">
        <x:is>
          <x:t xml:space="preserve">USER</x:t>
        </x:is>
      </x:c>
      <x:c r="N747" t="inlineStr">
        <x:is>
          <x:t xml:space="preserve">2026-02-07</x:t>
        </x:is>
      </x:c>
      <x:c r="O747" t="inlineStr">
        <x:is>
          <x:t xml:space="preserve">User provided price (DexOph Eye-Ear Drops 4 ml).</x:t>
        </x:is>
      </x:c>
    </x:row>
    <x:row r="748">
      <x:c r="A748" t="n">
        <x:v>746</x:v>
      </x:c>
      <x:c r="B748" t="inlineStr">
        <x:is>
          <x:t xml:space="preserve">ยาหยอดตาแก้แพ้ (D)</x:t>
        </x:is>
      </x:c>
      <x:c r="C748" t="n">
        <x:v>1981</x:v>
      </x:c>
      <x:c r="D748" t="inlineStr">
        <x:is>
          <x:t xml:space="preserve">Flarex</x:t>
        </x:is>
      </x:c>
      <x:c r="E748" t="inlineStr">
        <x:is>
          <x:t xml:space="preserve">ขวด 5 ml.</x:t>
        </x:is>
      </x:c>
      <x:c r="F748" t="inlineStr">
        <x:is>
          <x:t xml:space="preserve">Fluorometholone Acetate 0.1 %+Monobasic Sodium Phosphate+Sodium Chloride+Edetate Disodium+Hydroxyethylcellulose+Tyloxapol+Hydrochloric Acid+Sodium Hydroxide+Preservative (Edetate Disodium+Benzalkonium Chloride 0.01%)/1 ml.</x:t>
        </x:is>
      </x:c>
      <x:c r="G748" t="inlineStr">
        <x:is>
          <x:t xml:space="preserve">BDS001981</x:t>
        </x:is>
      </x:c>
      <x:c r="H748" t="inlineStr">
        <x:is>
          <x:t xml:space="preserve">Flarex (5 ml.)</x:t>
        </x:is>
      </x:c>
      <x:c r="I748" t="inlineStr">
        <x:is>
          <x:t xml:space="preserve">หยอดตาข้างที่มีอาการ ครั้งละ 1-2 หยด วันละ 4 ครั้ง หรือตามแพทย์สั่ง </x:t>
        </x:is>
      </x:c>
    </x:row>
    <x:row r="749">
      <x:c r="A749" t="n">
        <x:v>747</x:v>
      </x:c>
      <x:c r="B749" t="inlineStr">
        <x:is>
          <x:t xml:space="preserve">ยาหยอดตาแก้แพ้ (D)</x:t>
        </x:is>
      </x:c>
      <x:c r="C749" t="n">
        <x:v>6181</x:v>
      </x:c>
      <x:c r="D749" t="inlineStr">
        <x:is>
          <x:t xml:space="preserve">FML Ophthalmic Suspension</x:t>
        </x:is>
      </x:c>
      <x:c r="E749" t="inlineStr">
        <x:is>
          <x:t xml:space="preserve">ขวด 5 ml.</x:t>
        </x:is>
      </x:c>
      <x:c r="F749" t="inlineStr">
        <x:is>
          <x:t xml:space="preserve">Fluorometholone 0.1 %+Polyvinyl Alcohol 14 mg.+Sodium Chloride+Sodium Phosphste Monobasic+Sodium Phosphate Dibasic+Polysorbate 80+Preservative (Edetate Disodium+Benzalkonium Chloride 0.04 mg.)/1 ml.</x:t>
        </x:is>
      </x:c>
      <x:c r="G749" t="inlineStr">
        <x:is>
          <x:t xml:space="preserve">BDS006181</x:t>
        </x:is>
      </x:c>
      <x:c r="H749" t="inlineStr">
        <x:is>
          <x:t xml:space="preserve">FML Ophthalmic Suspension (5 ml.)</x:t>
        </x:is>
      </x:c>
      <x:c r="I749" t="inlineStr">
        <x:is>
          <x:t xml:space="preserve">หยอดตาข้างที่มีอาการ ครั้งละ 1-2 หยด วันละ 2-4 ครั้ง หรือตามแพทย์สั่ง </x:t>
        </x:is>
      </x:c>
    </x:row>
    <x:row r="750">
      <x:c r="A750" t="n">
        <x:v>748</x:v>
      </x:c>
      <x:c r="B750" t="inlineStr">
        <x:is>
          <x:t xml:space="preserve">ยาหยอดตาแก้แพ้ (D)</x:t>
        </x:is>
      </x:c>
      <x:c r="C750" t="n">
        <x:v>2117</x:v>
      </x:c>
      <x:c r="D750" t="inlineStr">
        <x:is>
          <x:t xml:space="preserve">Hista-Oph</x:t>
        </x:is>
      </x:c>
      <x:c r="E750" t="inlineStr">
        <x:is>
          <x:t xml:space="preserve">ขวด 5 ml.</x:t>
        </x:is>
      </x:c>
      <x:c r="F750" t="inlineStr">
        <x:is>
          <x:t xml:space="preserve">Antazoline HCl 0.05 %+Tetrahydrozoline HCl 0.04%+Hydroxypropyl Methylcellulose+Preservative (Benzalkonium Chloride 0.015%)/1 ml.</x:t>
        </x:is>
      </x:c>
      <x:c r="G750" t="inlineStr">
        <x:is>
          <x:t xml:space="preserve">BDS002117</x:t>
        </x:is>
      </x:c>
      <x:c r="H750" t="inlineStr">
        <x:is>
          <x:t xml:space="preserve">Hista-Oph (5 ml.)</x:t>
        </x:is>
      </x:c>
      <x:c r="I750" t="inlineStr">
        <x:is>
          <x:t xml:space="preserve">หยอดตาครั้งละ 1-2 หยด วันละ 4 - 6 ครั้ง หรือตามแพทย์สั่ง </x:t>
        </x:is>
      </x:c>
    </x:row>
    <x:row r="751">
      <x:c r="A751" t="n">
        <x:v>749</x:v>
      </x:c>
      <x:c r="B751" t="inlineStr">
        <x:is>
          <x:t xml:space="preserve">ยาหยอดตาแก้แพ้ (D)</x:t>
        </x:is>
      </x:c>
      <x:c r="C751" t="n">
        <x:v>2804</x:v>
      </x:c>
      <x:c r="D751" t="inlineStr">
        <x:is>
          <x:t xml:space="preserve">Naphcon-A</x:t>
        </x:is>
      </x:c>
      <x:c r="E751" t="inlineStr">
        <x:is>
          <x:t xml:space="preserve">ขวด 15 ml.</x:t>
        </x:is>
      </x:c>
      <x:c r="F751" t="inlineStr">
        <x:is>
          <x:t xml:space="preserve">Naphazoline HCl 0.025%+Pheniramine Maleate 0.3%+Preservative (Benzalkonium Chloride 0.01%)/1 ml</x:t>
        </x:is>
      </x:c>
      <x:c r="G751" t="inlineStr">
        <x:is>
          <x:t xml:space="preserve">BDS002804</x:t>
        </x:is>
      </x:c>
      <x:c r="H751" t="inlineStr">
        <x:is>
          <x:t xml:space="preserve">Naphcon-A (15 ml.)</x:t>
        </x:is>
      </x:c>
      <x:c r="I751" t="inlineStr">
        <x:is>
          <x:t xml:space="preserve">หยอดตาครั้งละ 1-2 หยด ทุก 3-4 ชั่วโมง หรือน้อยครั้งกว่านี้ เฉพาะเมื่อมีอาการ </x:t>
        </x:is>
      </x:c>
    </x:row>
    <x:row r="752">
      <x:c r="A752" t="n">
        <x:v>750</x:v>
      </x:c>
      <x:c r="B752" t="inlineStr">
        <x:is>
          <x:t xml:space="preserve">ยาหยอดตาแก้แพ้ (D)</x:t>
        </x:is>
      </x:c>
      <x:c r="C752" t="n">
        <x:v>3029</x:v>
      </x:c>
      <x:c r="D752" t="inlineStr">
        <x:is>
          <x:t xml:space="preserve">Opsa-His</x:t>
        </x:is>
      </x:c>
      <x:c r="E752" t="inlineStr">
        <x:is>
          <x:t xml:space="preserve">ขวด 5 ml.</x:t>
        </x:is>
      </x:c>
      <x:c r="F752" t="inlineStr">
        <x:is>
          <x:t xml:space="preserve">Antazoline HCl 0.5 mg+Tetrahydrozoline HCl 0.4 mg/1 ml</x:t>
        </x:is>
      </x:c>
      <x:c r="G752" t="inlineStr">
        <x:is>
          <x:t xml:space="preserve">BDS003029</x:t>
        </x:is>
      </x:c>
      <x:c r="H752" t="inlineStr">
        <x:is>
          <x:t xml:space="preserve">Opsa-His (5 ml.)</x:t>
        </x:is>
      </x:c>
      <x:c r="I752" t="inlineStr">
        <x:is>
          <x:t xml:space="preserve">หยอดตา 1 หยด วันละ 2-3 ครั้ง หรือตามแพทย์สั่ง </x:t>
        </x:is>
      </x:c>
    </x:row>
    <x:row r="753">
      <x:c r="A753" t="n">
        <x:v>751</x:v>
      </x:c>
      <x:c r="B753" t="inlineStr">
        <x:is>
          <x:t xml:space="preserve">ยาหยอดตาแก้แพ้ (D)</x:t>
        </x:is>
      </x:c>
      <x:c r="C753" t="n">
        <x:v>3013</x:v>
      </x:c>
      <x:c r="D753" t="inlineStr">
        <x:is>
          <x:t xml:space="preserve">Opsil-A</x:t>
        </x:is>
      </x:c>
      <x:c r="E753" t="inlineStr">
        <x:is>
          <x:t xml:space="preserve">ขวด 10 ml.</x:t>
        </x:is>
      </x:c>
      <x:c r="F753" t="inlineStr">
        <x:is>
          <x:t xml:space="preserve">Antazoline HCl BP 0.05 %+Tetrahydrozoline HCl USP 0.04%+Preservative (Benzalkonium Cl 0.01%)/1 ml</x:t>
        </x:is>
      </x:c>
      <x:c r="G753" t="inlineStr">
        <x:is>
          <x:t xml:space="preserve">BDS003013</x:t>
        </x:is>
      </x:c>
      <x:c r="H753" t="inlineStr">
        <x:is>
          <x:t xml:space="preserve">Opsil-A (10 ml.)</x:t>
        </x:is>
      </x:c>
      <x:c r="I753" t="inlineStr">
        <x:is>
          <x:t xml:space="preserve">หยอดตาครั้งละ 1-2 หยด วันละ 3-4 ครั้ง หรือใช้ตามแพทย์สั่ง </x:t>
        </x:is>
      </x:c>
    </x:row>
    <x:row r="754">
      <x:c r="A754" t="n">
        <x:v>752</x:v>
      </x:c>
      <x:c r="B754" t="inlineStr">
        <x:is>
          <x:t xml:space="preserve">ยาหยอดตาแก้แพ้ (D)</x:t>
        </x:is>
      </x:c>
      <x:c r="C754" t="n">
        <x:v>46500</x:v>
      </x:c>
      <x:c r="D754" t="inlineStr">
        <x:is>
          <x:t xml:space="preserve">Pataday Ophthalmic Solution</x:t>
        </x:is>
      </x:c>
      <x:c r="E754" t="inlineStr">
        <x:is>
          <x:t xml:space="preserve">ขวด 2.5 ml.</x:t>
        </x:is>
      </x:c>
      <x:c r="F754" t="inlineStr">
        <x:is>
          <x:t xml:space="preserve">Olopatadine HCl 2.22 mg (eq. to Olopatadine 2 mg (0.2%)+Povidone+Dibasic Sodium Phosphate+Sodium Chloride+Hydrochloric Acid /Sodium Hydroxide+Preservative (Edetate Disodium+Benzalkonium Chloride 0.01%)/1 ml.</x:t>
        </x:is>
      </x:c>
      <x:c r="G754" t="inlineStr">
        <x:is>
          <x:t xml:space="preserve">BDS046500</x:t>
        </x:is>
      </x:c>
      <x:c r="H754" t="inlineStr">
        <x:is>
          <x:t xml:space="preserve">Pataday Ophthalmic Solution (2.5 ml.)</x:t>
        </x:is>
      </x:c>
      <x:c r="I754" t="inlineStr">
        <x:is>
          <x:t xml:space="preserve">หยอดตาครั้งละ 1 หยด วันละ 1 ครั้ง  </x:t>
        </x:is>
      </x:c>
    </x:row>
    <x:row r="755">
      <x:c r="A755" t="n">
        <x:v>753</x:v>
      </x:c>
      <x:c r="B755" t="inlineStr">
        <x:is>
          <x:t xml:space="preserve">ยาหยอดตาแก้แพ้ (D)</x:t>
        </x:is>
      </x:c>
      <x:c r="C755" t="n">
        <x:v>46553</x:v>
      </x:c>
      <x:c r="D755" t="inlineStr">
        <x:is>
          <x:t xml:space="preserve">Pemirox Ophthalmic Solution</x:t>
        </x:is>
      </x:c>
      <x:c r="E755" t="inlineStr">
        <x:is>
          <x:t xml:space="preserve">ขวด 5 ml.</x:t>
        </x:is>
      </x:c>
      <x:c r="F755" t="inlineStr">
        <x:is>
          <x:t xml:space="preserve">Pemirolast potassium 0.1 %</x:t>
        </x:is>
      </x:c>
      <x:c r="G755" t="inlineStr">
        <x:is>
          <x:t xml:space="preserve">BDS046553</x:t>
        </x:is>
      </x:c>
      <x:c r="H755" t="inlineStr">
        <x:is>
          <x:t xml:space="preserve">Pemirox Ophthalmic Solution (5 ml.)</x:t>
        </x:is>
      </x:c>
      <x:c r="I755" t="inlineStr">
        <x:is>
          <x:t xml:space="preserve">หยอดตาครั้งละ 1 หยด วันละ 2 ครั้ง หรือใช้ตามแพทย์สั่ง </x:t>
        </x:is>
      </x:c>
    </x:row>
    <x:row r="756">
      <x:c r="A756" t="n">
        <x:v>754</x:v>
      </x:c>
      <x:c r="B756" t="inlineStr">
        <x:is>
          <x:t xml:space="preserve">ยาหยอดตาแก้แพ้ (D)</x:t>
        </x:is>
      </x:c>
      <x:c r="C756" t="n">
        <x:v>3862</x:v>
      </x:c>
      <x:c r="D756" t="inlineStr">
        <x:is>
          <x:t xml:space="preserve">Tobradex Ophthalmic Suspension</x:t>
        </x:is>
      </x:c>
      <x:c r="E756" t="inlineStr">
        <x:is>
          <x:t xml:space="preserve">ขวด 5 ml.</x:t>
        </x:is>
      </x:c>
      <x:c r="F756" t="inlineStr">
        <x:is>
          <x:t xml:space="preserve">Tobramycin 3 mg (0.3%)+Dexamethasone 1 mg (0.1%)+Tyloxapol+Sodium Chloride+Hydroxyethylcellulose+Sodium Sulfate+Sulfuric Acid+Sodium Hydroxide+Preservative (Edetate Disodium+Benzalkonium Chloride 0.01%)/1 ml.</x:t>
        </x:is>
      </x:c>
      <x:c r="G756" t="inlineStr">
        <x:is>
          <x:t xml:space="preserve">BDS003862</x:t>
        </x:is>
      </x:c>
      <x:c r="H756" t="inlineStr">
        <x:is>
          <x:t xml:space="preserve">Tobradex Ophthalmic Suspension (5 ml.)</x:t>
        </x:is>
      </x:c>
      <x:c r="I756" t="inlineStr">
        <x:is>
          <x:t xml:space="preserve">หยอดตาครั้งละ 1-2 หยด ทุก 4-6 ชั่วโมง</x:t>
        </x:is>
      </x:c>
    </x:row>
    <x:row r="757">
      <x:c r="A757" t="n">
        <x:v>755</x:v>
      </x:c>
      <x:c r="B757" t="inlineStr">
        <x:is>
          <x:t xml:space="preserve">น้ำตาเทียม</x:t>
        </x:is>
      </x:c>
      <x:c r="C757" t="n">
        <x:v>1552</x:v>
      </x:c>
      <x:c r="D757" t="inlineStr">
        <x:is>
          <x:t xml:space="preserve">Cellufresh</x:t>
        </x:is>
      </x:c>
      <x:c r="E757" t="inlineStr">
        <x:is>
          <x:t xml:space="preserve">กล่อง 30 หลอด</x:t>
        </x:is>
      </x:c>
      <x:c r="F757" t="inlineStr">
        <x:is>
          <x:t xml:space="preserve">Carboxymethylcellulose Sodium (CMC) 0.5%+Calcium Chloride+Magnesium Chloride+Potassium Chloride+Sodium Chloride+Sodium Lactate+Hydrochloric Acid+Sodium Hydroxide</x:t>
        </x:is>
      </x:c>
      <x:c r="G757" t="inlineStr">
        <x:is>
          <x:t xml:space="preserve">BDS001552</x:t>
        </x:is>
      </x:c>
      <x:c r="H757" t="inlineStr">
        <x:is>
          <x:t xml:space="preserve">Cellufresh (30 tubes)</x:t>
        </x:is>
      </x:c>
      <x:c r="I757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57" t="inlineStr">
        <x:is>
          <x:t xml:space="preserve">Artificial tears / eye lubricants</x:t>
        </x:is>
      </x:c>
    </x:row>
    <x:row r="758">
      <x:c r="A758" t="n">
        <x:v>756</x:v>
      </x:c>
      <x:c r="B758" t="inlineStr">
        <x:is>
          <x:t xml:space="preserve">น้ำตาเทียม</x:t>
        </x:is>
      </x:c>
      <x:c r="C758" t="n">
        <x:v>41414</x:v>
      </x:c>
      <x:c r="D758" t="inlineStr">
        <x:is>
          <x:t xml:space="preserve">Cellufresh MD </x:t>
        </x:is>
      </x:c>
      <x:c r="E758" t="inlineStr">
        <x:is>
          <x:t xml:space="preserve">ขวด 3 ml.</x:t>
        </x:is>
      </x:c>
      <x:c r="F758" t="inlineStr">
        <x:is>
          <x:t xml:space="preserve">Carboxymethylcellulose Sodium (CMC) 0.5%+Boric acid+Calcium Chloride+Magnesium Chloride+Potassium Chloride+Sodium Borate+Sodium Chloride+Preservative (Stabilized Oxychloro Complex (Purite) </x:t>
        </x:is>
      </x:c>
      <x:c r="G758" t="inlineStr">
        <x:is>
          <x:t xml:space="preserve">BDS041414</x:t>
        </x:is>
      </x:c>
      <x:c r="H758" t="inlineStr">
        <x:is>
          <x:t xml:space="preserve">Cellufresh MD  (3 ml.)</x:t>
        </x:is>
      </x:c>
      <x:c r="I758" t="inlineStr">
        <x:is>
          <x:t xml:space="preserve">หยอดตาครั้งละ 1-2 หยด วันละ 2-3 ครั้ง ตามต้องการ</x:t>
        </x:is>
      </x:c>
      <x:c r="P758" t="inlineStr">
        <x:is>
          <x:t xml:space="preserve">Artificial tears / eye lubricants</x:t>
        </x:is>
      </x:c>
    </x:row>
    <x:row r="759">
      <x:c r="A759" t="n">
        <x:v>757</x:v>
      </x:c>
      <x:c r="B759" t="inlineStr">
        <x:is>
          <x:t xml:space="preserve">น้ำตาเทียม</x:t>
        </x:is>
      </x:c>
      <x:c r="C759" t="n">
        <x:v>1554</x:v>
      </x:c>
      <x:c r="D759" t="inlineStr">
        <x:is>
          <x:t xml:space="preserve">Cellufresh MD ใหญ่</x:t>
        </x:is>
      </x:c>
      <x:c r="E759" t="inlineStr">
        <x:is>
          <x:t xml:space="preserve">ขวด 15 ml.</x:t>
        </x:is>
      </x:c>
      <x:c r="F759" t="inlineStr">
        <x:is>
          <x:t xml:space="preserve">Carboxymethylcellulose Sodium (CMC) 0.5%+Boric acid+Calcium Chloride dihydrate+Magnesium Chloride+ Potassium Chloride+Sodium Borate+Sodium Chloride+Preservative (Stabilized Oxychloro complex (Purite) </x:t>
        </x:is>
      </x:c>
      <x:c r="G759" t="inlineStr">
        <x:is>
          <x:t xml:space="preserve">BDS001554</x:t>
        </x:is>
      </x:c>
      <x:c r="H759" t="inlineStr">
        <x:is>
          <x:t xml:space="preserve">Cellufresh MD ใหญ่ (15 ml.)</x:t>
        </x:is>
      </x:c>
      <x:c r="I759" t="inlineStr">
        <x:is>
          <x:t xml:space="preserve">หยอดตาครั้งละ 1-2 หยด วันละ 2-3 ครั้ง ตามต้องการ</x:t>
        </x:is>
      </x:c>
      <x:c r="P759" t="inlineStr">
        <x:is>
          <x:t xml:space="preserve">Artificial tears / eye lubricants</x:t>
        </x:is>
      </x:c>
    </x:row>
    <x:row r="760">
      <x:c r="A760" t="n">
        <x:v>758</x:v>
      </x:c>
      <x:c r="B760" t="inlineStr">
        <x:is>
          <x:t xml:space="preserve">น้ำตาเทียม</x:t>
        </x:is>
      </x:c>
      <x:c r="C760" t="n">
        <x:v>1551</x:v>
      </x:c>
      <x:c r="D760" t="inlineStr">
        <x:is>
          <x:t xml:space="preserve">Clens 100 Lens Drops</x:t>
        </x:is>
      </x:c>
      <x:c r="E760" t="inlineStr">
        <x:is>
          <x:t xml:space="preserve">ขวด 8 ml.</x:t>
        </x:is>
      </x:c>
      <x:c r="F760" t="inlineStr">
        <x:is>
          <x:t xml:space="preserve">Citrate/Borate Buffer+Sodium Chloride+Edetate Disodium 0.05%+PEG-11 Lauryl ether Carboxylic acid+Tetronic t1304+Preservative (Edetate Disodium 0.05%+Polidronium Chloride 0.001%)</x:t>
        </x:is>
      </x:c>
      <x:c r="G760" t="inlineStr">
        <x:is>
          <x:t xml:space="preserve">BDS001551</x:t>
        </x:is>
      </x:c>
      <x:c r="H760" t="inlineStr">
        <x:is>
          <x:t xml:space="preserve">Clens 100 Lens Drops (8 ml.)</x:t>
        </x:is>
      </x:c>
      <x:c r="I760" t="inlineStr">
        <x:is>
          <x:t xml:space="preserve">หยดน้ำยา 2 หยด เข้าในตาแต่ละข้าง กะพริบตา 2-3 ครั้ง  </x:t>
        </x:is>
      </x:c>
      <x:c r="P760" t="inlineStr">
        <x:is>
          <x:t xml:space="preserve">Artificial tears / eye lubricants</x:t>
        </x:is>
      </x:c>
    </x:row>
    <x:row r="761">
      <x:c r="A761" t="n">
        <x:v>759</x:v>
      </x:c>
      <x:c r="B761" t="inlineStr">
        <x:is>
          <x:t xml:space="preserve">น้ำตาเทียม</x:t>
        </x:is>
      </x:c>
      <x:c r="C761" t="n">
        <x:v>2107</x:v>
      </x:c>
      <x:c r="D761" t="inlineStr">
        <x:is>
          <x:t xml:space="preserve">Genteal Eye Drop</x:t>
        </x:is>
      </x:c>
      <x:c r="E761" t="inlineStr">
        <x:is>
          <x:t xml:space="preserve">ขวด 10 ml.</x:t>
        </x:is>
      </x:c>
      <x:c r="F761" t="inlineStr">
        <x:is>
          <x:t xml:space="preserve">Hypromellose 3 mg. (0.3%)+Sodium Chloride+Boric Acid+Potassium Chloride+Hydrochloric Acid+Preservative (Sodium Perborate+Phosphonic Acid)</x:t>
        </x:is>
      </x:c>
      <x:c r="G761" t="inlineStr">
        <x:is>
          <x:t xml:space="preserve">BDS002107</x:t>
        </x:is>
      </x:c>
      <x:c r="H761" t="inlineStr">
        <x:is>
          <x:t xml:space="preserve">Genteal Eye Drop (10 ml.)</x:t>
        </x:is>
      </x:c>
      <x:c r="I761" t="inlineStr">
        <x:is>
          <x:t xml:space="preserve">หยอดตาข้างที่เป็นครั้งละ 1-2 หยด ตามต้องการ</x:t>
        </x:is>
      </x:c>
      <x:c r="P761" t="inlineStr">
        <x:is>
          <x:t xml:space="preserve">Artificial tears / eye lubricants</x:t>
        </x:is>
      </x:c>
    </x:row>
    <x:row r="762">
      <x:c r="A762" t="n">
        <x:v>760</x:v>
      </x:c>
      <x:c r="B762" t="inlineStr">
        <x:is>
          <x:t xml:space="preserve">น้ำตาเทียม</x:t>
        </x:is>
      </x:c>
      <x:c r="C762" t="n">
        <x:v>2031</x:v>
      </x:c>
      <x:c r="D762" t="inlineStr">
        <x:is>
          <x:t xml:space="preserve">Genteal Gel</x:t>
        </x:is>
      </x:c>
      <x:c r="E762" t="inlineStr">
        <x:is>
          <x:t xml:space="preserve">หลอด 10 g.</x:t>
        </x:is>
      </x:c>
      <x:c r="F762" t="inlineStr">
        <x:is>
          <x:t xml:space="preserve">Hypromellose 3 mg. (0.3%)+Carbomer 980 2.2 mg.+Sorbitol 35 mg.+Sodium hydroxide 0.787 mg.+Dequest 2060 0.06 mg.+Preservative (Sodium Perborate Tetrahydrate 0.28 mg.)/1 g.</x:t>
        </x:is>
      </x:c>
      <x:c r="G762" t="inlineStr">
        <x:is>
          <x:t xml:space="preserve">BDS002031</x:t>
        </x:is>
      </x:c>
      <x:c r="H762" t="inlineStr">
        <x:is>
          <x:t xml:space="preserve">Genteal Gel (10 g.)</x:t>
        </x:is>
      </x:c>
      <x:c r="I762" t="inlineStr">
        <x:is>
          <x:t xml:space="preserve">หยอดยาลงในเปลือกตาล่างแต่ละข้างครั้งละ 1 หยด และกะพริบตาหลายๆ ครั้ง</x:t>
        </x:is>
      </x:c>
      <x:c r="P762" t="inlineStr">
        <x:is>
          <x:t xml:space="preserve">Artificial tears / eye lubricants</x:t>
        </x:is>
      </x:c>
    </x:row>
    <x:row r="763">
      <x:c r="A763" t="n">
        <x:v>761</x:v>
      </x:c>
      <x:c r="B763" t="inlineStr">
        <x:is>
          <x:t xml:space="preserve">น้ำตาเทียม</x:t>
        </x:is>
      </x:c>
      <x:c r="C763" t="n">
        <x:v>43800</x:v>
      </x:c>
      <x:c r="D763" t="inlineStr">
        <x:is>
          <x:t xml:space="preserve">Hialid 0.1 Opthalmic Solution</x:t>
        </x:is>
      </x:c>
      <x:c r="E763" t="inlineStr">
        <x:is>
          <x:t xml:space="preserve">ขวด 5 ml.</x:t>
        </x:is>
      </x:c>
      <x:c r="F763" t="inlineStr">
        <x:is>
          <x:t xml:space="preserve">Sodium Hyaluronate 0.1%+6-Aminocaproic Acid/1 ml.</x:t>
        </x:is>
      </x:c>
      <x:c r="G763" t="inlineStr">
        <x:is>
          <x:t xml:space="preserve">BDS043800</x:t>
        </x:is>
      </x:c>
      <x:c r="H763" t="inlineStr">
        <x:is>
          <x:t xml:space="preserve">Hialid 0.1 Opthalmic Solution (5 ml.)</x:t>
        </x:is>
      </x:c>
      <x:c r="I763" t="inlineStr">
        <x:is>
          <x:t xml:space="preserve">หยอดครั้งละ 1 หยด วันละ 5-6 ครั้ง หรือตามแพทย์สั่ง </x:t>
        </x:is>
      </x:c>
      <x:c r="P763" t="inlineStr">
        <x:is>
          <x:t xml:space="preserve">Artificial tears / eye lubricants</x:t>
        </x:is>
      </x:c>
    </x:row>
    <x:row r="764">
      <x:c r="A764" t="n">
        <x:v>762</x:v>
      </x:c>
      <x:c r="B764" t="inlineStr">
        <x:is>
          <x:t xml:space="preserve">น้ำตาเทียม</x:t>
        </x:is>
      </x:c>
      <x:c r="C764" t="n">
        <x:v>43847</x:v>
      </x:c>
      <x:c r="D764" t="inlineStr">
        <x:is>
          <x:t xml:space="preserve">Hyatear</x:t>
        </x:is>
      </x:c>
      <x:c r="E764" t="inlineStr">
        <x:is>
          <x:t xml:space="preserve">กล่อง 20 หลอด</x:t>
        </x:is>
      </x:c>
      <x:c r="F764" t="inlineStr">
        <x:is>
          <x:t xml:space="preserve">Sodium Hyaluronate 0.18% (Sodium Hyaluronate 1.8 mg.+Sodium Chloride +Potassium Chloride +Trisodium citrate +Disodium Hydrogenphosphate +Sodium dihydrogen phosphate +Magnesium chloride hexahydrate +Calcium Chloride dihydrate)</x:t>
        </x:is>
      </x:c>
      <x:c r="G764" t="inlineStr">
        <x:is>
          <x:t xml:space="preserve">BDS043847</x:t>
        </x:is>
      </x:c>
      <x:c r="H764" t="inlineStr">
        <x:is>
          <x:t xml:space="preserve">Hyatear (20 tubes)</x:t>
        </x:is>
      </x:c>
      <x:c r="I764" t="inlineStr">
        <x:is>
          <x:t xml:space="preserve">เปิดหลอดโดยการบิดฝา หยอดตาครั้งละ 1-2 หยด ในตาข้างที่เป็น วันละ 4 ครั้ง หรือตามต้องการ</x:t>
        </x:is>
      </x:c>
      <x:c r="P764" t="inlineStr">
        <x:is>
          <x:t xml:space="preserve">Artificial tears / eye lubricants</x:t>
        </x:is>
      </x:c>
    </x:row>
    <x:row r="765">
      <x:c r="A765" t="n">
        <x:v>763</x:v>
      </x:c>
      <x:c r="B765" t="inlineStr">
        <x:is>
          <x:t xml:space="preserve">น้ำตาเทียม</x:t>
        </x:is>
      </x:c>
      <x:c r="C765" t="n">
        <x:v>2886</x:v>
      </x:c>
      <x:c r="D765" t="inlineStr">
        <x:is>
          <x:t xml:space="preserve">Natear</x:t>
        </x:is>
      </x:c>
      <x:c r="E765" t="inlineStr">
        <x:is>
          <x:t xml:space="preserve">ขวด 10 ml.</x:t>
        </x:is>
      </x:c>
      <x:c r="F765" t="inlineStr">
        <x:is>
          <x:t xml:space="preserve">Hydroxypropyl Methylcellulose USP 0.3%+Preservative (Sodium Perborate) </x:t>
        </x:is>
      </x:c>
      <x:c r="G765" t="inlineStr">
        <x:is>
          <x:t xml:space="preserve">BDS002886</x:t>
        </x:is>
      </x:c>
      <x:c r="H765" t="inlineStr">
        <x:is>
          <x:t xml:space="preserve">Natear (10 ml.)</x:t>
        </x:is>
      </x:c>
      <x:c r="I765" t="inlineStr">
        <x:is>
          <x:t xml:space="preserve">หยอดครั้งละ 1-2 หยด วันละ 2-3 ครั้ง หรือเมื่อมีอาการระคายเคืองตา </x:t>
        </x:is>
      </x:c>
      <x:c r="P765" t="inlineStr">
        <x:is>
          <x:t xml:space="preserve">Artificial tears / eye lubricants</x:t>
        </x:is>
      </x:c>
    </x:row>
    <x:row r="766">
      <x:c r="A766" t="n">
        <x:v>764</x:v>
      </x:c>
      <x:c r="B766" t="inlineStr">
        <x:is>
          <x:t xml:space="preserve">น้ำตาเทียม</x:t>
        </x:is>
      </x:c>
      <x:c r="C766" t="n">
        <x:v>45617</x:v>
      </x:c>
      <x:c r="D766" t="inlineStr">
        <x:is>
          <x:t xml:space="preserve">Natear UD Lubricant Eye Drops</x:t>
        </x:is>
      </x:c>
      <x:c r="E766" t="inlineStr">
        <x:is>
          <x:t xml:space="preserve">กล่อง 7 หลอด</x:t>
        </x:is>
      </x:c>
      <x:c r="F766" t="inlineStr">
        <x:is>
          <x:t xml:space="preserve">Hypromellose (Hydroxypropyl Methylcellulose) 0.3% w/v /0.8 ml.</x:t>
        </x:is>
      </x:c>
      <x:c r="G766" t="inlineStr">
        <x:is>
          <x:t xml:space="preserve">BDS045617</x:t>
        </x:is>
      </x:c>
      <x:c r="H766" t="inlineStr">
        <x:is>
          <x:t xml:space="preserve">Natear UD Lubricant Eye Drops (7 tubes)</x:t>
        </x:is>
      </x:c>
      <x:c r="I766" t="inlineStr">
        <x:is>
          <x:t xml:space="preserve">หยอดตาครั้งละ 1-2 หยด วันละ 2-3 ครั้ง หรือเมื่อรู้สึกระคายเคืองตา </x:t>
        </x:is>
      </x:c>
      <x:c r="P766" t="inlineStr">
        <x:is>
          <x:t xml:space="preserve">Artificial tears / eye lubricants</x:t>
        </x:is>
      </x:c>
    </x:row>
    <x:row r="767">
      <x:c r="A767" t="n">
        <x:v>765</x:v>
      </x:c>
      <x:c r="B767" t="inlineStr">
        <x:is>
          <x:t xml:space="preserve">น้ำตาเทียม</x:t>
        </x:is>
      </x:c>
      <x:c r="C767" t="n">
        <x:v>46204</x:v>
      </x:c>
      <x:c r="D767" t="inlineStr">
        <x:is>
          <x:t xml:space="preserve">OcuFreshs Tear Eye Drops</x:t>
        </x:is>
      </x:c>
      <x:c r="E767" t="inlineStr">
        <x:is>
          <x:t xml:space="preserve">ขวด 10 ml.</x:t>
        </x:is>
      </x:c>
      <x:c r="F767" t="inlineStr">
        <x:is>
          <x:t xml:space="preserve">Hypromellose 3 mg. (0.3%)+Preservative (Benzalkonium Chloride 0.02%)/1 ml.</x:t>
        </x:is>
      </x:c>
      <x:c r="G767" t="inlineStr">
        <x:is>
          <x:t xml:space="preserve">BDS046204</x:t>
        </x:is>
      </x:c>
      <x:c r="H767" t="inlineStr">
        <x:is>
          <x:t xml:space="preserve">OcuFreshs Tear Eye Drops (10 ml.)</x:t>
        </x:is>
      </x:c>
      <x:c r="I767" t="inlineStr">
        <x:is>
          <x:t xml:space="preserve">หยอดตาครั้งละ 1-2 หยด วันละ 3-4 ครั้ง หรือตามต้องการ</x:t>
        </x:is>
      </x:c>
      <x:c r="P767" t="inlineStr">
        <x:is>
          <x:t xml:space="preserve">Artificial tears / eye lubricants</x:t>
        </x:is>
      </x:c>
    </x:row>
    <x:row r="768">
      <x:c r="A768" t="n">
        <x:v>766</x:v>
      </x:c>
      <x:c r="B768" t="inlineStr">
        <x:is>
          <x:t xml:space="preserve">น้ำตาเทียม</x:t>
        </x:is>
      </x:c>
      <x:c r="C768" t="n">
        <x:v>3014</x:v>
      </x:c>
      <x:c r="D768" t="inlineStr">
        <x:is>
          <x:t xml:space="preserve">Opsil Tears 0.3%</x:t>
        </x:is>
      </x:c>
      <x:c r="E768" t="inlineStr">
        <x:is>
          <x:t xml:space="preserve">ขวด 10 ml.</x:t>
        </x:is>
      </x:c>
      <x:c r="F768" t="inlineStr">
        <x:is>
          <x:t xml:space="preserve">Hydroxypropyl Methylcellulose USP 0.3%+Preservative (Benzalkonium Chloride) </x:t>
        </x:is>
      </x:c>
      <x:c r="G768" t="inlineStr">
        <x:is>
          <x:t xml:space="preserve">BDS003014</x:t>
        </x:is>
      </x:c>
      <x:c r="H768" t="inlineStr">
        <x:is>
          <x:t xml:space="preserve">Opsil Tears 0.3% (10 ml.)</x:t>
        </x:is>
      </x:c>
      <x:c r="I768" t="inlineStr">
        <x:is>
          <x:t xml:space="preserve">หยอดตาครั้งละ 1-2 หยด วันละ 2-3 ครั้ง หรือเมื่อรู้สึกเคืองตา</x:t>
        </x:is>
      </x:c>
      <x:c r="P768" t="inlineStr">
        <x:is>
          <x:t xml:space="preserve">Artificial tears / eye lubricants</x:t>
        </x:is>
      </x:c>
    </x:row>
    <x:row r="769">
      <x:c r="A769" t="n">
        <x:v>767</x:v>
      </x:c>
      <x:c r="B769" t="inlineStr">
        <x:is>
          <x:t xml:space="preserve">น้ำตาเทียม</x:t>
        </x:is>
      </x:c>
      <x:c r="C769" t="n">
        <x:v>3102</x:v>
      </x:c>
      <x:c r="D769" t="inlineStr">
        <x:is>
          <x:t xml:space="preserve">Opti-Free Rewetting Drops</x:t>
        </x:is>
      </x:c>
      <x:c r="E769" t="inlineStr">
        <x:is>
          <x:t xml:space="preserve">ขวด 10 ml.</x:t>
        </x:is>
      </x:c>
      <x:c r="F769" t="inlineStr">
        <x:is>
          <x:t xml:space="preserve">Citrate buffer+Sodium chloride+Preservative (Edetate Disodium 0.05%+Polyquaternium-1 0.001%)</x:t>
        </x:is>
      </x:c>
      <x:c r="G769" t="inlineStr">
        <x:is>
          <x:t xml:space="preserve">BDS003102</x:t>
        </x:is>
      </x:c>
      <x:c r="H769" t="inlineStr">
        <x:is>
          <x:t xml:space="preserve">Opti-Free Rewetting Drops (10 ml.)</x:t>
        </x:is>
      </x:c>
      <x:c r="I769" t="inlineStr">
        <x:is>
          <x:t xml:space="preserve">หยอดตาครั้งละ 1-2 หยด และกะพริบตา 2-3 ครั้ง เมื่อมีอาการ </x:t>
        </x:is>
      </x:c>
      <x:c r="P769" t="inlineStr">
        <x:is>
          <x:t xml:space="preserve">Artificial tears / eye lubricants</x:t>
        </x:is>
      </x:c>
    </x:row>
    <x:row r="770">
      <x:c r="A770" t="n">
        <x:v>768</x:v>
      </x:c>
      <x:c r="B770" t="inlineStr">
        <x:is>
          <x:t xml:space="preserve">น้ำตาเทียม</x:t>
        </x:is>
      </x:c>
      <x:c r="C770" t="n">
        <x:v>1204</x:v>
      </x:c>
      <x:c r="D770" t="inlineStr">
        <x:is>
          <x:t xml:space="preserve">Renu Multiplus Lubricating &amp; Rewetting Drops</x:t>
        </x:is>
      </x:c>
      <x:c r="E770" t="inlineStr">
        <x:is>
          <x:t xml:space="preserve">ขวด 8 ml.</x:t>
        </x:is>
      </x:c>
      <x:c r="F770" t="inlineStr">
        <x:is>
          <x:t xml:space="preserve">Povidone+Boric acid+Potassium chloride+Sodium chloride+ Sodium borate+Edetate disodium+Sorbic acid+Preservative (Edetate disodium 0.1%+Sorbic acid 0.1%)</x:t>
        </x:is>
      </x:c>
      <x:c r="G770" t="inlineStr">
        <x:is>
          <x:t xml:space="preserve">BDS001204</x:t>
        </x:is>
      </x:c>
      <x:c r="H770" t="inlineStr">
        <x:is>
          <x:t xml:space="preserve">Renu Multiplus Lubricating &amp; Rewetting Drops (8 ml.)</x:t>
        </x:is>
      </x:c>
      <x:c r="I770" t="inlineStr">
        <x:is>
          <x:t xml:space="preserve">หยอดตาครั้งละ 2-3 หยด เมื่อต้องการ และกะพริบตาหลายๆ ครั้ง </x:t>
        </x:is>
      </x:c>
      <x:c r="P770" t="inlineStr">
        <x:is>
          <x:t xml:space="preserve">Artificial tears / eye lubricants</x:t>
        </x:is>
      </x:c>
    </x:row>
    <x:row r="771">
      <x:c r="A771" t="n">
        <x:v>769</x:v>
      </x:c>
      <x:c r="B771" t="inlineStr">
        <x:is>
          <x:t xml:space="preserve">น้ำตาเทียม</x:t>
        </x:is>
      </x:c>
      <x:c r="C771" t="n">
        <x:v>47663</x:v>
      </x:c>
      <x:c r="D771" t="inlineStr">
        <x:is>
          <x:t xml:space="preserve">Seeview Sofs</x:t>
        </x:is>
      </x:c>
      <x:c r="E771" t="inlineStr">
        <x:is>
          <x:t xml:space="preserve">ขวด 10 ml.</x:t>
        </x:is>
      </x:c>
      <x:c r="F771" t="inlineStr">
        <x:is>
          <x:t xml:space="preserve">Hypromellose 3 mg/1 ml.</x:t>
        </x:is>
      </x:c>
      <x:c r="G771" t="inlineStr">
        <x:is>
          <x:t xml:space="preserve">BDS047663</x:t>
        </x:is>
      </x:c>
      <x:c r="H771" t="inlineStr">
        <x:is>
          <x:t xml:space="preserve">Seeview Sofs (10 ml.)</x:t>
        </x:is>
      </x:c>
      <x:c r="I771" t="inlineStr">
        <x:is>
          <x:t xml:space="preserve">หยอดตาครั้งละ 1 หยด เมื่อรู้สึกเคืองตา </x:t>
        </x:is>
      </x:c>
      <x:c r="P771" t="inlineStr">
        <x:is>
          <x:t xml:space="preserve">Artificial tears / eye lubricants</x:t>
        </x:is>
      </x:c>
    </x:row>
    <x:row r="772">
      <x:c r="A772" t="n">
        <x:v>770</x:v>
      </x:c>
      <x:c r="B772" t="inlineStr">
        <x:is>
          <x:t xml:space="preserve">น้ำตาเทียม</x:t>
        </x:is>
      </x:c>
      <x:c r="C772" t="n">
        <x:v>47647</x:v>
      </x:c>
      <x:c r="D772" t="inlineStr">
        <x:is>
          <x:t xml:space="preserve">Sof Tear Eye Drops</x:t>
        </x:is>
      </x:c>
      <x:c r="E772" t="inlineStr">
        <x:is>
          <x:t xml:space="preserve">ขวด 5 ml.</x:t>
        </x:is>
      </x:c>
      <x:c r="F772" t="inlineStr">
        <x:is>
          <x:t xml:space="preserve">Hypromellose USP 3 mg. (0.3% w/v USP)+Preservative (Sodium Perborate 0.28 mg.)/1 ml.</x:t>
        </x:is>
      </x:c>
      <x:c r="G772" t="inlineStr">
        <x:is>
          <x:t xml:space="preserve">BDS047647</x:t>
        </x:is>
      </x:c>
      <x:c r="H772" t="inlineStr">
        <x:is>
          <x:t xml:space="preserve">Sof Tear Eye Drops (5 ml.)</x:t>
        </x:is>
      </x:c>
      <x:c r="I772" t="inlineStr">
        <x:is>
          <x:t xml:space="preserve">หยอดตาครั้งละ 1-2 หยด เมื่อรู้สึกเคืองตา </x:t>
        </x:is>
      </x:c>
      <x:c r="P772" t="inlineStr">
        <x:is>
          <x:t xml:space="preserve">Artificial tears / eye lubricants</x:t>
        </x:is>
      </x:c>
    </x:row>
    <x:row r="773">
      <x:c r="A773" t="n">
        <x:v>771</x:v>
      </x:c>
      <x:c r="B773" t="inlineStr">
        <x:is>
          <x:t xml:space="preserve">น้ำตาเทียม</x:t>
        </x:is>
      </x:c>
      <x:c r="C773" t="n">
        <x:v>47637</x:v>
      </x:c>
      <x:c r="D773" t="inlineStr">
        <x:is>
          <x:t xml:space="preserve">Systane Ultra (UD) Lubricant Eye Drops</x:t>
        </x:is>
      </x:c>
      <x:c r="E773" t="inlineStr">
        <x:is>
          <x:t xml:space="preserve">กล่อง 28 หลอด</x:t>
        </x:is>
      </x:c>
      <x:c r="F773" t="inlineStr">
        <x:is>
          <x:t xml:space="preserve">Polyethylene Glycol 400 0.4%+Propylene Glycol 0.3%+Aminomethylpropanol+Boric Acid+Hydroxypropyl Guar+Potassium Chloride+Sodium Chloride+Sorbitol+Hydrochloric Acid+Sodium Hydroxide/1 ml.</x:t>
        </x:is>
      </x:c>
      <x:c r="G773" t="inlineStr">
        <x:is>
          <x:t xml:space="preserve">BDS047637</x:t>
        </x:is>
      </x:c>
      <x:c r="H773" t="inlineStr">
        <x:is>
          <x:t xml:space="preserve">Systane Ultra (UD) Lubricant Eye Drops (28 tubes)</x:t>
        </x:is>
      </x:c>
      <x:c r="I773" t="inlineStr">
        <x:is>
          <x:t xml:space="preserve">หยอดตาข้างที่เป็น ครั้งละ 1-2 หยด แล้วกะพริบตาต่อเนื่องกันประมาณ 1 นาที </x:t>
        </x:is>
      </x:c>
      <x:c r="P773" t="inlineStr">
        <x:is>
          <x:t xml:space="preserve">Artificial tears / eye lubricants</x:t>
        </x:is>
      </x:c>
    </x:row>
    <x:row r="774">
      <x:c r="A774" t="n">
        <x:v>772</x:v>
      </x:c>
      <x:c r="B774" t="inlineStr">
        <x:is>
          <x:t xml:space="preserve">น้ำตาเทียม</x:t>
        </x:is>
      </x:c>
      <x:c r="C774" t="n">
        <x:v>3679</x:v>
      </x:c>
      <x:c r="D774" t="inlineStr">
        <x:is>
          <x:t xml:space="preserve">Systane Ultra Lubricant Eye Drops</x:t>
        </x:is>
      </x:c>
      <x:c r="E774" t="inlineStr">
        <x:is>
          <x:t xml:space="preserve">ขวด 10 ml.</x:t>
        </x:is>
      </x:c>
      <x:c r="F774" t="inlineStr">
        <x:is>
          <x:t xml:space="preserve">Polyethylene Glycol 400 0.4%+Propylene Glycol 0.3%+Aminomethylpropanol+//Boric Acid+Hydroxypropyl guar+Potassium Chloride+Sodium Chloride+Sorbitol+Hydrochloric Acid+Sodium Hydroxide+Preservative (Polyquaternium-1 0.001%)</x:t>
        </x:is>
      </x:c>
      <x:c r="G774" t="inlineStr">
        <x:is>
          <x:t xml:space="preserve">BDS003679</x:t>
        </x:is>
      </x:c>
      <x:c r="H774" t="inlineStr">
        <x:is>
          <x:t xml:space="preserve">Systane Ultra Lubricant Eye Drops (10 ml.)</x:t>
        </x:is>
      </x:c>
      <x:c r="I774" t="inlineStr">
        <x:is>
          <x:t xml:space="preserve">หยดน้ำยา 1-2 หยด เข้าในตาแต่ละข้าง กะพริบตาต่อเนื่องกันประมาณ 1 นาที </x:t>
        </x:is>
      </x:c>
      <x:c r="P774" t="inlineStr">
        <x:is>
          <x:t xml:space="preserve">Artificial tears / eye lubricants</x:t>
        </x:is>
      </x:c>
    </x:row>
    <x:row r="775">
      <x:c r="A775" t="n">
        <x:v>773</x:v>
      </x:c>
      <x:c r="B775" t="inlineStr">
        <x:is>
          <x:t xml:space="preserve">น้ำตาเทียม</x:t>
        </x:is>
      </x:c>
      <x:c r="C775" t="n">
        <x:v>3765</x:v>
      </x:c>
      <x:c r="D775" t="inlineStr">
        <x:is>
          <x:t xml:space="preserve">Tear Mac Eye Drops</x:t>
        </x:is>
      </x:c>
      <x:c r="E775" t="inlineStr">
        <x:is>
          <x:t xml:space="preserve">ขวด 10 ml.</x:t>
        </x:is>
      </x:c>
      <x:c r="F775" t="inlineStr">
        <x:is>
          <x:t xml:space="preserve">Carboxymethyl Cellulose Sodium (CMC) 0.5%w/v+Preservative (Stabilised Oxychloro Complex  0.005% w/v) </x:t>
        </x:is>
      </x:c>
      <x:c r="G775" t="inlineStr">
        <x:is>
          <x:t xml:space="preserve">BDS003765</x:t>
        </x:is>
      </x:c>
      <x:c r="H775" t="inlineStr">
        <x:is>
          <x:t xml:space="preserve">Tear Mac Eye Drops (10 ml.)</x:t>
        </x:is>
      </x:c>
      <x:c r="I775" t="inlineStr">
        <x:is>
          <x:t xml:space="preserve">หยอดครั้งละ 1-2 หยด วันละ 4 ครั้ง หรือตามต้องการ </x:t>
        </x:is>
      </x:c>
      <x:c r="P775" t="inlineStr">
        <x:is>
          <x:t xml:space="preserve">Artificial tears / eye lubricants</x:t>
        </x:is>
      </x:c>
    </x:row>
    <x:row r="776">
      <x:c r="A776" t="n">
        <x:v>774</x:v>
      </x:c>
      <x:c r="B776" t="inlineStr">
        <x:is>
          <x:t xml:space="preserve">น้ำตาเทียม</x:t>
        </x:is>
      </x:c>
      <x:c r="C776" t="n">
        <x:v>3709</x:v>
      </x:c>
      <x:c r="D776" t="inlineStr">
        <x:is>
          <x:t xml:space="preserve">Tear Natural</x:t>
        </x:is>
      </x:c>
      <x:c r="E776" t="inlineStr">
        <x:is>
          <x:t xml:space="preserve">ขวด 15 ml.</x:t>
        </x:is>
      </x:c>
      <x:c r="F776" t="inlineStr">
        <x:is>
          <x:t xml:space="preserve">Dextran 70 0.1%+Hydroxypropyl Methylcellulose 2910 0.3%+Borax+Potassium Chloride+Sodium Chloride+Hydrochloric acid+Preservative (Polyquaternium-1 0.0011%)/1 ml.</x:t>
        </x:is>
      </x:c>
      <x:c r="G776" t="inlineStr">
        <x:is>
          <x:t xml:space="preserve">BDS003709</x:t>
        </x:is>
      </x:c>
      <x:c r="H776" t="inlineStr">
        <x:is>
          <x:t xml:space="preserve">Tear Natural (15 ml.)</x:t>
        </x:is>
      </x:c>
      <x:c r="I776" t="inlineStr">
        <x:is>
          <x:t xml:space="preserve">หยอดตาข้างที่เป็นครั้งละ 1-2 หยด ตามต้องการ</x:t>
        </x:is>
      </x:c>
      <x:c r="P776" t="inlineStr">
        <x:is>
          <x:t xml:space="preserve">Artificial tears / eye lubricants</x:t>
        </x:is>
      </x:c>
    </x:row>
    <x:row r="777">
      <x:c r="A777" t="n">
        <x:v>775</x:v>
      </x:c>
      <x:c r="B777" t="inlineStr">
        <x:is>
          <x:t xml:space="preserve">น้ำตาเทียม</x:t>
        </x:is>
      </x:c>
      <x:c r="C777" t="n">
        <x:v>3714</x:v>
      </x:c>
      <x:c r="D777" t="inlineStr">
        <x:is>
          <x:t xml:space="preserve">Tears Naturale Free</x:t>
        </x:is>
      </x:c>
      <x:c r="E777" t="inlineStr">
        <x:is>
          <x:t xml:space="preserve">กล่อง 32 หลอด</x:t>
        </x:is>
      </x:c>
      <x:c r="F777" t="inlineStr">
        <x:is>
          <x:t xml:space="preserve">Dextran 70 0.1%+Hydroxypropyl Methylcellulose 2910 0.3%</x:t>
        </x:is>
      </x:c>
      <x:c r="G777" t="inlineStr">
        <x:is>
          <x:t xml:space="preserve">BDS003714</x:t>
        </x:is>
      </x:c>
      <x:c r="H777" t="inlineStr">
        <x:is>
          <x:t xml:space="preserve">Tears Naturale Free (32 tubes)</x:t>
        </x:is>
      </x:c>
      <x:c r="I777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77" t="inlineStr">
        <x:is>
          <x:t xml:space="preserve">Artificial tears / eye lubricants</x:t>
        </x:is>
      </x:c>
    </x:row>
    <x:row r="778">
      <x:c r="A778" t="n">
        <x:v>776</x:v>
      </x:c>
      <x:c r="B778" t="inlineStr">
        <x:is>
          <x:t xml:space="preserve">น้ำตาเทียม</x:t>
        </x:is>
      </x:c>
      <x:c r="C778" t="n">
        <x:v>4035</x:v>
      </x:c>
      <x:c r="D778" t="inlineStr">
        <x:is>
          <x:t xml:space="preserve">Vislube</x:t>
        </x:is>
      </x:c>
      <x:c r="E778" t="inlineStr">
        <x:is>
          <x:t xml:space="preserve">กล่อง 20 หลอด</x:t>
        </x:is>
      </x:c>
      <x:c r="F778" t="inlineStr">
        <x:is>
          <x:t xml:space="preserve">Sodium Hyaluronate 0.18% (Sodium Hyaluronate 1.8 mg.+Sodium Chloride 2.8 mg.+Potassium Chloride 1 mg.+Disodium Hydrogenphosphate 3.2 mg.+Sodium Citrate 0.3 mg.+Magnesium Chloride 0.09 mg.+Calcium Chloride 0.09 mg.)</x:t>
        </x:is>
      </x:c>
      <x:c r="G778" t="inlineStr">
        <x:is>
          <x:t xml:space="preserve">BDS004035</x:t>
        </x:is>
      </x:c>
      <x:c r="H778" t="inlineStr">
        <x:is>
          <x:t xml:space="preserve">Vislube (20 tubes)</x:t>
        </x:is>
      </x:c>
      <x:c r="I778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78" t="inlineStr">
        <x:is>
          <x:t xml:space="preserve">Artificial tears / eye lubricants</x:t>
        </x:is>
      </x:c>
    </x:row>
    <x:row r="779">
      <x:c r="A779" t="n">
        <x:v>777</x:v>
      </x:c>
      <x:c r="B779" t="inlineStr">
        <x:is>
          <x:t xml:space="preserve">ยาทาฆ่าเชื้อแบคทีเรีย (D)</x:t>
        </x:is>
      </x:c>
      <x:c r="C779" t="n">
        <x:v>2003</x:v>
      </x:c>
      <x:c r="D779" t="inlineStr">
        <x:is>
          <x:t xml:space="preserve">Garamycin Cream</x:t>
        </x:is>
      </x:c>
      <x:c r="E779" t="inlineStr">
        <x:is>
          <x:t xml:space="preserve">หลอด 5 g.</x:t>
        </x:is>
      </x:c>
      <x:c r="F779" t="inlineStr">
        <x:is>
          <x:t xml:space="preserve">Gentamicin 1 mg./1 g.</x:t>
        </x:is>
      </x:c>
      <x:c r="G779" t="inlineStr">
        <x:is>
          <x:t xml:space="preserve">BDS002003</x:t>
        </x:is>
      </x:c>
      <x:c r="H779" t="inlineStr">
        <x:is>
          <x:t xml:space="preserve">Garamycin Cream (5 g.)</x:t>
        </x:is>
      </x:c>
      <x:c r="I779" t="inlineStr">
        <x:is>
          <x:t xml:space="preserve">ทาบางๆ บริเวณผิวหนังที่ติดเชื้อ วันละ 3-4 ครั้ง</x:t>
        </x:is>
      </x:c>
      <x:c r="P779" t="inlineStr">
        <x:is>
          <x:t xml:space="preserve">Topical antibiotic / wound care / burn care</x:t>
        </x:is>
      </x:c>
    </x:row>
    <x:row r="780">
      <x:c r="A780" t="n">
        <x:v>778</x:v>
      </x:c>
      <x:c r="B780" t="inlineStr">
        <x:is>
          <x:t xml:space="preserve">ยาทาฆ่าเชื้อแบคทีเรีย (D)</x:t>
        </x:is>
      </x:c>
      <x:c r="C780" t="n">
        <x:v>47636</x:v>
      </x:c>
      <x:c r="D780" t="inlineStr">
        <x:is>
          <x:t xml:space="preserve">Silverzine Cream</x:t>
        </x:is>
      </x:c>
      <x:c r="E780" t="inlineStr">
        <x:is>
          <x:t xml:space="preserve">หลอด 25 g.</x:t>
        </x:is>
      </x:c>
      <x:c r="F780" t="inlineStr">
        <x:is>
          <x:t xml:space="preserve">Micronized Silver Sulfadiazine 1%</x:t>
        </x:is>
      </x:c>
      <x:c r="G780" t="inlineStr">
        <x:is>
          <x:t xml:space="preserve">BDS047636</x:t>
        </x:is>
      </x:c>
      <x:c r="H780" t="inlineStr">
        <x:is>
          <x:t xml:space="preserve">Silverzine Cream (25 g.)</x:t>
        </x:is>
      </x:c>
      <x:c r="I780" t="inlineStr">
        <x:is>
          <x:t xml:space="preserve">ทาบริเวณที่เป็น วันละ 2 ครั้ง </x:t>
        </x:is>
      </x:c>
      <x:c r="P780" t="inlineStr">
        <x:is>
          <x:t xml:space="preserve">Topical antibiotic / wound care / burn care</x:t>
        </x:is>
      </x:c>
    </x:row>
    <x:row r="781">
      <x:c r="A781" t="n">
        <x:v>779</x:v>
      </x:c>
      <x:c r="B781" t="inlineStr">
        <x:is>
          <x:t xml:space="preserve">ยาล้างตา</x:t>
        </x:is>
      </x:c>
      <x:c r="C781" t="n">
        <x:v>46208</x:v>
      </x:c>
      <x:c r="D781" t="inlineStr">
        <x:is>
          <x:t xml:space="preserve">Op-Ize Eye Wash</x:t>
        </x:is>
      </x:c>
      <x:c r="E781" t="inlineStr">
        <x:is>
          <x:t xml:space="preserve">ขวด 110 ml.</x:t>
        </x:is>
      </x:c>
      <x:c r="F781" t="inlineStr">
        <x:is>
          <x:t xml:space="preserve">Boric Acid 2.0 g.+Sodium Borate 0.5 g.+Zinc Sulphate 0.004 g./100 ml.</x:t>
        </x:is>
      </x:c>
      <x:c r="G781" t="inlineStr">
        <x:is>
          <x:t xml:space="preserve">BDS046208</x:t>
        </x:is>
      </x:c>
      <x:c r="H781" t="inlineStr">
        <x:is>
          <x:t xml:space="preserve">Op-Ize Eye Wash (110 ml.)</x:t>
        </x:is>
      </x:c>
      <x:c r="I781" t="inlineStr">
        <x:is>
          <x:t xml:space="preserve">ใช้ล้างตา วันละ 2-3 ครั้ง หรือตามแพทย์สั่ง</x:t>
        </x:is>
      </x:c>
    </x:row>
    <x:row r="782">
      <x:c r="A782" t="n">
        <x:v>780</x:v>
      </x:c>
      <x:c r="B782" t="inlineStr">
        <x:is>
          <x:t xml:space="preserve">ยาล้างตา</x:t>
        </x:is>
      </x:c>
      <x:c r="C782" t="n">
        <x:v>3009</x:v>
      </x:c>
      <x:c r="D782" t="inlineStr">
        <x:is>
          <x:t xml:space="preserve">Opsar กลาง</x:t>
        </x:is>
      </x:c>
      <x:c r="E782" t="inlineStr">
        <x:is>
          <x:t xml:space="preserve">ขวด 120 ml.</x:t>
        </x:is>
      </x:c>
      <x:c r="F782" t="inlineStr">
        <x:is>
          <x:t xml:space="preserve">Sodium Borate 0.02 g.+Boric Acid 1.24 g.+Sodium Chloride+ 0.29 g.+Benzalkonium Chloride 2 mg./100 ml.</x:t>
        </x:is>
      </x:c>
      <x:c r="G782" t="inlineStr">
        <x:is>
          <x:t xml:space="preserve">BDS003009</x:t>
        </x:is>
      </x:c>
      <x:c r="H782" t="inlineStr">
        <x:is>
          <x:t xml:space="preserve">Opsar กลาง (120 ml.)</x:t>
        </x:is>
      </x:c>
      <x:c r="I782" t="inlineStr">
        <x:is>
          <x:t xml:space="preserve">เทน้ำยาล้างตาลงในถ้วยยาล้างตาประมาณ 5 ml. ล้างตา วันละ 1-2 ครั้ง หรือตามแพทย์สั่ง </x:t>
        </x:is>
      </x:c>
    </x:row>
    <x:row r="783">
      <x:c r="A783" t="n">
        <x:v>781</x:v>
      </x:c>
      <x:c r="B783" t="inlineStr">
        <x:is>
          <x:t xml:space="preserve">ยาล้างตา</x:t>
        </x:is>
      </x:c>
      <x:c r="C783" t="n">
        <x:v>3025</x:v>
      </x:c>
      <x:c r="D783" t="inlineStr">
        <x:is>
          <x:t xml:space="preserve">Opsar เล็ก</x:t>
        </x:is>
      </x:c>
      <x:c r="E783" t="inlineStr">
        <x:is>
          <x:t xml:space="preserve">ขวด 75 ml.</x:t>
        </x:is>
      </x:c>
      <x:c r="F783" t="inlineStr">
        <x:is>
          <x:t xml:space="preserve">Sodium Borate 0.02 g.+Boric Acid 1.24 g.+Sodium Chloride+ 0.29 g.+Benzalkonium Chloride 2 mg./100 ml.</x:t>
        </x:is>
      </x:c>
      <x:c r="G783" t="inlineStr">
        <x:is>
          <x:t xml:space="preserve">BDS003025</x:t>
        </x:is>
      </x:c>
      <x:c r="H783" t="inlineStr">
        <x:is>
          <x:t xml:space="preserve">Opsar เล็ก (75 ml.)</x:t>
        </x:is>
      </x:c>
      <x:c r="I783" t="inlineStr">
        <x:is>
          <x:t xml:space="preserve">เทน้ำยาล้างตาลงในถ้วยยาล้างตาประมาณ 5 ml. ล้างตา วันละ 1-2 ครั้ง หรือตามแพทย์สั่ง </x:t>
        </x:is>
      </x:c>
    </x:row>
    <x:row r="784">
      <x:c r="A784" t="n">
        <x:v>782</x:v>
      </x:c>
      <x:c r="B784" t="inlineStr">
        <x:is>
          <x:t xml:space="preserve">ยาล้างตา</x:t>
        </x:is>
      </x:c>
      <x:c r="C784" t="n">
        <x:v>3016</x:v>
      </x:c>
      <x:c r="D784" t="inlineStr">
        <x:is>
          <x:t xml:space="preserve">Optrex เล็ก</x:t>
        </x:is>
      </x:c>
      <x:c r="E784" t="inlineStr">
        <x:is>
          <x:t xml:space="preserve">ขวด 110 ml.</x:t>
        </x:is>
      </x:c>
      <x:c r="F784" t="inlineStr">
        <x:is>
          <x:t xml:space="preserve">Distilled Witch Hazel 13.0% v/v+Benzalkonium Chloride 0.005% w/v+Borax+Boric Acid/100 ml.</x:t>
        </x:is>
      </x:c>
      <x:c r="G784" t="inlineStr">
        <x:is>
          <x:t xml:space="preserve">BDS003016</x:t>
        </x:is>
      </x:c>
      <x:c r="H784" t="inlineStr">
        <x:is>
          <x:t xml:space="preserve">Optrex เล็ก (110 ml.)</x:t>
        </x:is>
      </x:c>
      <x:c r="I784" t="inlineStr">
        <x:is>
          <x:t xml:space="preserve">ล้างตา วันละ 3 ครั้ง หรือบ่อยตามต้องการ </x:t>
        </x:is>
      </x:c>
    </x:row>
    <x:row r="785">
      <x:c r="A785" t="n">
        <x:v>783</x:v>
      </x:c>
      <x:c r="B785" t="inlineStr">
        <x:is>
          <x:t xml:space="preserve">ยาทาฆ่าเชื้อไวรัส (D)</x:t>
        </x:is>
      </x:c>
      <x:c r="C785" t="n">
        <x:v>7001</x:v>
      </x:c>
      <x:c r="D785" t="inlineStr">
        <x:is>
          <x:t xml:space="preserve">Acevax Cream</x:t>
        </x:is>
      </x:c>
      <x:c r="E785" t="inlineStr">
        <x:is>
          <x:t xml:space="preserve">ซอง 1 g.</x:t>
        </x:is>
      </x:c>
      <x:c r="F785" t="inlineStr">
        <x:is>
          <x:t xml:space="preserve">Acyclovir 5 g./100 g.</x:t>
        </x:is>
      </x:c>
      <x:c r="G785" t="inlineStr">
        <x:is>
          <x:t xml:space="preserve">BDS007001</x:t>
        </x:is>
      </x:c>
      <x:c r="H785" t="inlineStr">
        <x:is>
          <x:t xml:space="preserve">Acevax Cream (1 g.)</x:t>
        </x:is>
      </x:c>
      <x:c r="I785" t="inlineStr">
        <x:is>
          <x:t xml:space="preserve">ทาครีมบางๆ บริเวณที่ติดเชื้อหรือบริเวณที่เริ่มแสดงอาการ ทุก 3-4 ชั่วโมง ต่อเนื่อง 5-7 วัน</x:t>
        </x:is>
      </x:c>
      <x:c r="P785" t="inlineStr">
        <x:is>
          <x:t xml:space="preserve">Antivirals (oral/topical)</x:t>
        </x:is>
      </x:c>
    </x:row>
    <x:row r="786">
      <x:c r="A786" t="n">
        <x:v>784</x:v>
      </x:c>
      <x:c r="B786" t="inlineStr">
        <x:is>
          <x:t xml:space="preserve">ยาทาฆ่าเชื้อไวรัส (D)</x:t>
        </x:is>
      </x:c>
      <x:c r="C786" t="n">
        <x:v>7719</x:v>
      </x:c>
      <x:c r="D786" t="inlineStr">
        <x:is>
          <x:t xml:space="preserve">Clinovir Cream</x:t>
        </x:is>
      </x:c>
      <x:c r="E786" t="inlineStr">
        <x:is>
          <x:t xml:space="preserve">หลอด 5 g.</x:t>
        </x:is>
      </x:c>
      <x:c r="F786" t="inlineStr">
        <x:is>
          <x:t xml:space="preserve">Acyclovir 5%w/w</x:t>
        </x:is>
      </x:c>
      <x:c r="G786" t="inlineStr">
        <x:is>
          <x:t xml:space="preserve">BDS007719</x:t>
        </x:is>
      </x:c>
      <x:c r="H786" t="inlineStr">
        <x:is>
          <x:t xml:space="preserve">Clinovir Cream (5 g.)</x:t>
        </x:is>
      </x:c>
      <x:c r="I786" t="inlineStr">
        <x:is>
          <x:t xml:space="preserve">ทาครีมบางๆ บริเวณที่ติดเชื้อหรือบริเวณที่เริ่มแสดงอาการ ทุก 4 ชั่วโมง (วันละ 5 ครั้ง) ต่อเนื่อง 5 วัน</x:t>
        </x:is>
      </x:c>
      <x:c r="P786" t="inlineStr">
        <x:is>
          <x:t xml:space="preserve">Antivirals (oral/topical)</x:t>
        </x:is>
      </x:c>
    </x:row>
    <x:row r="787">
      <x:c r="A787" t="n">
        <x:v>785</x:v>
      </x:c>
      <x:c r="B787" t="inlineStr">
        <x:is>
          <x:t xml:space="preserve">ยาทาฆ่าเชื้อไวรัส (D)</x:t>
        </x:is>
      </x:c>
      <x:c r="C787" t="n">
        <x:v>4046</x:v>
      </x:c>
      <x:c r="D787" t="inlineStr">
        <x:is>
          <x:t xml:space="preserve">Vilerm Cream 5 g</x:t>
        </x:is>
      </x:c>
      <x:c r="E787" t="inlineStr">
        <x:is>
          <x:t xml:space="preserve">หลอด 5 g.</x:t>
        </x:is>
      </x:c>
      <x:c r="F787" t="inlineStr">
        <x:is>
          <x:t xml:space="preserve">Acyclovir 5 g./100 g.</x:t>
        </x:is>
      </x:c>
      <x:c r="G787" t="inlineStr">
        <x:is>
          <x:t xml:space="preserve">BDS004046</x:t>
        </x:is>
      </x:c>
      <x:c r="H787" t="inlineStr">
        <x:is>
          <x:t xml:space="preserve">Vilerm Cream 5 g (5 g.)</x:t>
        </x:is>
      </x:c>
      <x:c r="I787" t="inlineStr">
        <x:is>
          <x:t xml:space="preserve">ทาบริเวณที่ติดเชื้อ วันละ 5 ครั้ง ทุก 4 ชั่วโมง</x:t>
        </x:is>
      </x:c>
      <x:c r="P787" t="inlineStr">
        <x:is>
          <x:t xml:space="preserve">Antivirals (oral/topical)</x:t>
        </x:is>
      </x:c>
    </x:row>
    <x:row r="788">
      <x:c r="A788" t="n">
        <x:v>786</x:v>
      </x:c>
      <x:c r="B788" t="inlineStr">
        <x:is>
          <x:t xml:space="preserve">ยาทาฆ่าเชื้อไวรัส (D)</x:t>
        </x:is>
      </x:c>
      <x:c r="C788" t="n">
        <x:v>4020</x:v>
      </x:c>
      <x:c r="D788" t="inlineStr">
        <x:is>
          <x:t xml:space="preserve">Vilerm Cream sachet 1 g</x:t>
        </x:is>
      </x:c>
      <x:c r="E788" t="inlineStr">
        <x:is>
          <x:t xml:space="preserve">ซอง 1 g.</x:t>
        </x:is>
      </x:c>
      <x:c r="F788" t="inlineStr">
        <x:is>
          <x:t xml:space="preserve">Acyclovir 5 g./100 g.</x:t>
        </x:is>
      </x:c>
      <x:c r="G788" t="inlineStr">
        <x:is>
          <x:t xml:space="preserve">BDS004020</x:t>
        </x:is>
      </x:c>
      <x:c r="H788" t="inlineStr">
        <x:is>
          <x:t xml:space="preserve">Vilerm Cream sachet 1 g (1 g.)</x:t>
        </x:is>
      </x:c>
      <x:c r="I788" t="inlineStr">
        <x:is>
          <x:t xml:space="preserve">ทาบริเวณที่ติดเชื้อ วันละ 5 ครั้ง ทุก 4 ชั่วโมง</x:t>
        </x:is>
      </x:c>
      <x:c r="P788" t="inlineStr">
        <x:is>
          <x:t xml:space="preserve">Antivirals (oral/topical)</x:t>
        </x:is>
      </x:c>
    </x:row>
    <x:row r="789">
      <x:c r="A789" t="n">
        <x:v>787</x:v>
      </x:c>
      <x:c r="B789" t="inlineStr">
        <x:is>
          <x:t xml:space="preserve">ยาทาฆ่าเชื้อไวรัส (D)</x:t>
        </x:is>
      </x:c>
      <x:c r="C789" t="n">
        <x:v>4216</x:v>
      </x:c>
      <x:c r="D789" t="inlineStr">
        <x:is>
          <x:t xml:space="preserve">Zevin Cream</x:t>
        </x:is>
      </x:c>
      <x:c r="E789" t="inlineStr">
        <x:is>
          <x:t xml:space="preserve">หลอด 3 g.</x:t>
        </x:is>
      </x:c>
      <x:c r="F789" t="inlineStr">
        <x:is>
          <x:t xml:space="preserve">Acyclovir 5 g./100 g.</x:t>
        </x:is>
      </x:c>
      <x:c r="G789" t="inlineStr">
        <x:is>
          <x:t xml:space="preserve">BDS004216</x:t>
        </x:is>
      </x:c>
      <x:c r="H789" t="inlineStr">
        <x:is>
          <x:t xml:space="preserve">Zevin Cream (3 g.)</x:t>
        </x:is>
      </x:c>
      <x:c r="I789" t="inlineStr">
        <x:is>
          <x:t xml:space="preserve">ทาบริเวณที่ติดเชื้อ วันละ 5 ครั้ง ทุก 4 ชั่วโมง</x:t>
        </x:is>
      </x:c>
      <x:c r="P789" t="inlineStr">
        <x:is>
          <x:t xml:space="preserve">Antivirals (oral/topical)</x:t>
        </x:is>
      </x:c>
    </x:row>
    <x:row r="790">
      <x:c r="A790" t="n">
        <x:v>788</x:v>
      </x:c>
      <x:c r="B790" t="inlineStr">
        <x:is>
          <x:t xml:space="preserve">ยาสอดช่องคลอด</x:t>
        </x:is>
      </x:c>
      <x:c r="C790" t="n">
        <x:v>1419</x:v>
      </x:c>
      <x:c r="D790" t="inlineStr">
        <x:is>
          <x:t xml:space="preserve">Canesten Vaginal tabs. 1s</x:t>
        </x:is>
      </x:c>
      <x:c r="E790" t="inlineStr">
        <x:is>
          <x:t xml:space="preserve">กล่อง 1 เม็ด</x:t>
        </x:is>
      </x:c>
      <x:c r="F790" t="inlineStr">
        <x:is>
          <x:t xml:space="preserve">Clotrimazole 500 mg.</x:t>
        </x:is>
      </x:c>
      <x:c r="G790" t="inlineStr">
        <x:is>
          <x:t xml:space="preserve">BDS001419</x:t>
        </x:is>
      </x:c>
      <x:c r="H790" t="inlineStr">
        <x:is>
          <x:t xml:space="preserve">Canesten Vaginal tabs. 1s (1 tab)</x:t>
        </x:is>
      </x:c>
      <x:c r="I790" t="inlineStr">
        <x:is>
          <x:t xml:space="preserve">สอดช่องคลอดครั้งละ 1 เม็ด วันละ 1 ครั้ง ก่อนนอน</x:t>
        </x:is>
      </x:c>
    </x:row>
    <x:row r="791">
      <x:c r="A791" t="n">
        <x:v>789</x:v>
      </x:c>
      <x:c r="B791" t="inlineStr">
        <x:is>
          <x:t xml:space="preserve">ยาสอดช่องคลอด</x:t>
        </x:is>
      </x:c>
      <x:c r="C791" t="n">
        <x:v>1420</x:v>
      </x:c>
      <x:c r="D791" t="inlineStr">
        <x:is>
          <x:t xml:space="preserve">Canesten Vaginal tabs. 6s</x:t>
        </x:is>
      </x:c>
      <x:c r="E791" t="inlineStr">
        <x:is>
          <x:t xml:space="preserve">กล่อง 6 เม็ด</x:t>
        </x:is>
      </x:c>
      <x:c r="F791" t="inlineStr">
        <x:is>
          <x:t xml:space="preserve">Clotrimazole 100 mg.</x:t>
        </x:is>
      </x:c>
      <x:c r="G791" t="inlineStr">
        <x:is>
          <x:t xml:space="preserve">BDS001420</x:t>
        </x:is>
      </x:c>
      <x:c r="H791" t="inlineStr">
        <x:is>
          <x:t xml:space="preserve">Canesten Vaginal tabs. 6s (6 tabs)</x:t>
        </x:is>
      </x:c>
      <x:c r="I791" t="inlineStr">
        <x:is>
          <x:t xml:space="preserve">สอดช่องคลอดครั้งละ 1 เม็ด วันละ 1 ครั้ง ก่อนนอน</x:t>
        </x:is>
      </x:c>
    </x:row>
    <x:row r="792">
      <x:c r="A792" t="n">
        <x:v>790</x:v>
      </x:c>
      <x:c r="B792" t="inlineStr">
        <x:is>
          <x:t xml:space="preserve">ยาสอดช่องคลอด</x:t>
        </x:is>
      </x:c>
      <x:c r="C792" t="n">
        <x:v>7056</x:v>
      </x:c>
      <x:c r="D792" t="inlineStr">
        <x:is>
          <x:t xml:space="preserve">Clomaz-Forte</x:t>
        </x:is>
      </x:c>
      <x:c r="E792" t="inlineStr">
        <x:is>
          <x:t xml:space="preserve">กล่อง 1 เม็ด</x:t>
        </x:is>
      </x:c>
      <x:c r="F792" t="inlineStr">
        <x:is>
          <x:t xml:space="preserve">Clotrimazole 500 mg.</x:t>
        </x:is>
      </x:c>
      <x:c r="G792" t="inlineStr">
        <x:is>
          <x:t xml:space="preserve">BDS007056</x:t>
        </x:is>
      </x:c>
      <x:c r="H792" t="inlineStr">
        <x:is>
          <x:t xml:space="preserve">Clomaz-Forte (1 tab)</x:t>
        </x:is>
      </x:c>
      <x:c r="I792" t="inlineStr">
        <x:is>
          <x:t xml:space="preserve">สอดช่องคลอดครั้งละ 1 เม็ด วันละ 1 ครั้ง ก่อนนอน</x:t>
        </x:is>
      </x:c>
    </x:row>
    <x:row r="793">
      <x:c r="A793" t="n">
        <x:v>791</x:v>
      </x:c>
      <x:c r="B793" t="inlineStr">
        <x:is>
          <x:t xml:space="preserve">ยาสอดช่องคลอด</x:t>
        </x:is>
      </x:c>
      <x:c r="C793" t="n">
        <x:v>7953</x:v>
      </x:c>
      <x:c r="D793" t="inlineStr">
        <x:is>
          <x:t xml:space="preserve">Gynosten-500</x:t>
        </x:is>
      </x:c>
      <x:c r="E793" t="inlineStr">
        <x:is>
          <x:t xml:space="preserve">กล่อง 1 เม็ด</x:t>
        </x:is>
      </x:c>
      <x:c r="F793" t="inlineStr">
        <x:is>
          <x:t xml:space="preserve">Clotrimazole 500 mg.</x:t>
        </x:is>
      </x:c>
      <x:c r="G793" t="inlineStr">
        <x:is>
          <x:t xml:space="preserve">BDS007953</x:t>
        </x:is>
      </x:c>
      <x:c r="H793" t="inlineStr">
        <x:is>
          <x:t xml:space="preserve">Gynosten-500 (1 tab)</x:t>
        </x:is>
      </x:c>
      <x:c r="I793" t="inlineStr">
        <x:is>
          <x:t xml:space="preserve">สอดช่องคลอดครั้งละ 1 เม็ด  วันละ 1 ครั้ง ก่อนนอน</x:t>
        </x:is>
      </x:c>
    </x:row>
    <x:row r="794">
      <x:c r="A794" t="n">
        <x:v>792</x:v>
      </x:c>
      <x:c r="B794" t="inlineStr">
        <x:is>
          <x:t xml:space="preserve">ยาสอดช่องคลอด</x:t>
        </x:is>
      </x:c>
      <x:c r="C794" t="n">
        <x:v>49779</x:v>
      </x:c>
      <x:c r="D794" t="inlineStr">
        <x:is>
          <x:t xml:space="preserve">Zalain Vaginal Suppository</x:t>
        </x:is>
      </x:c>
      <x:c r="E794" t="inlineStr">
        <x:is>
          <x:t xml:space="preserve">กล่อง 1 เม็ด</x:t>
        </x:is>
      </x:c>
      <x:c r="F794" t="inlineStr">
        <x:is>
          <x:t xml:space="preserve">Sertaconazole 300 mg.</x:t>
        </x:is>
      </x:c>
      <x:c r="G794" t="inlineStr">
        <x:is>
          <x:t xml:space="preserve">BDS049779</x:t>
        </x:is>
      </x:c>
      <x:c r="H794" t="inlineStr">
        <x:is>
          <x:t xml:space="preserve">Zalain Vaginal Suppository (1 tab)</x:t>
        </x:is>
      </x:c>
      <x:c r="I794" t="inlineStr">
        <x:is>
          <x:t xml:space="preserve">สอดช่องคลอดครั้งละ 1 เม็ด  วันละ 1 ครั้ง ก่อนนอน</x:t>
        </x:is>
      </x:c>
    </x:row>
    <x:row r="795">
      <x:c r="A795" t="n">
        <x:v>793</x:v>
      </x:c>
      <x:c r="B795" t="inlineStr">
        <x:is>
          <x:t xml:space="preserve">ยาใส่แผล</x:t>
        </x:is>
      </x:c>
      <x:c r="C795" t="n">
        <x:v>1280</x:v>
      </x:c>
      <x:c r="D795" t="inlineStr">
        <x:is>
          <x:t xml:space="preserve">Betadine Ointment</x:t>
        </x:is>
      </x:c>
      <x:c r="E795" t="inlineStr">
        <x:is>
          <x:t xml:space="preserve">กระปุก 50 g.</x:t>
        </x:is>
      </x:c>
      <x:c r="F795" t="inlineStr">
        <x:is>
          <x:t xml:space="preserve">Povidone Iodine 10 %</x:t>
        </x:is>
      </x:c>
      <x:c r="G795" t="inlineStr">
        <x:is>
          <x:t xml:space="preserve">BDS001280</x:t>
        </x:is>
      </x:c>
      <x:c r="H795" t="inlineStr">
        <x:is>
          <x:t xml:space="preserve">Betadine Ointment (50 g.)</x:t>
        </x:is>
      </x:c>
      <x:c r="I795" t="inlineStr">
        <x:is>
          <x:t xml:space="preserve">ทาบริเวณรอบๆ บาดแผล  </x:t>
        </x:is>
      </x:c>
    </x:row>
    <x:row r="796">
      <x:c r="A796" t="n">
        <x:v>794</x:v>
      </x:c>
      <x:c r="B796" t="inlineStr">
        <x:is>
          <x:t xml:space="preserve">ยาใส่แผล</x:t>
        </x:is>
      </x:c>
      <x:c r="C796" t="n">
        <x:v>1238</x:v>
      </x:c>
      <x:c r="D796" t="inlineStr">
        <x:is>
          <x:t xml:space="preserve">Betadine Solution 15 ml</x:t>
        </x:is>
      </x:c>
      <x:c r="E796" t="inlineStr">
        <x:is>
          <x:t xml:space="preserve">ขวด 15 ml.</x:t>
        </x:is>
      </x:c>
      <x:c r="F796" t="inlineStr">
        <x:is>
          <x:t xml:space="preserve">Povidone-Iodine USP 10 % w/v</x:t>
        </x:is>
      </x:c>
      <x:c r="G796" t="inlineStr">
        <x:is>
          <x:t xml:space="preserve">BDS001238</x:t>
        </x:is>
      </x:c>
      <x:c r="H796" t="inlineStr">
        <x:is>
          <x:t xml:space="preserve">Betadine Solution 15 ml (15 ml.)</x:t>
        </x:is>
      </x:c>
      <x:c r="I796" t="inlineStr">
        <x:is>
          <x:t xml:space="preserve">ทาบริเวณรอบๆ บาดแผล </x:t>
        </x:is>
      </x:c>
    </x:row>
    <x:row r="797">
      <x:c r="A797" t="n">
        <x:v>795</x:v>
      </x:c>
      <x:c r="B797" t="inlineStr">
        <x:is>
          <x:t xml:space="preserve">ยาใส่แผล</x:t>
        </x:is>
      </x:c>
      <x:c r="C797" t="n">
        <x:v>1239</x:v>
      </x:c>
      <x:c r="D797" t="inlineStr">
        <x:is>
          <x:t xml:space="preserve">Betadine Solution 30 ml</x:t>
        </x:is>
      </x:c>
      <x:c r="E797" t="inlineStr">
        <x:is>
          <x:t xml:space="preserve">ขวด 30 ml.</x:t>
        </x:is>
      </x:c>
      <x:c r="F797" t="inlineStr">
        <x:is>
          <x:t xml:space="preserve">Povidone-Iodine USP 10% w/v</x:t>
        </x:is>
      </x:c>
      <x:c r="G797" t="inlineStr">
        <x:is>
          <x:t xml:space="preserve">BDS001239</x:t>
        </x:is>
      </x:c>
      <x:c r="H797" t="inlineStr">
        <x:is>
          <x:t xml:space="preserve">Betadine Solution 30 ml (30 ml.)</x:t>
        </x:is>
      </x:c>
      <x:c r="I797" t="inlineStr">
        <x:is>
          <x:t xml:space="preserve">ทาบริเวณรอบๆ บาดแผล </x:t>
        </x:is>
      </x:c>
    </x:row>
    <x:row r="798">
      <x:c r="A798" t="n">
        <x:v>796</x:v>
      </x:c>
      <x:c r="B798" t="inlineStr">
        <x:is>
          <x:t xml:space="preserve">ยาใส่แผล</x:t>
        </x:is>
      </x:c>
      <x:c r="C798" t="n">
        <x:v>44520</x:v>
      </x:c>
      <x:c r="D798" t="inlineStr">
        <x:is>
          <x:t xml:space="preserve">LeoPovidone</x:t>
        </x:is>
      </x:c>
      <x:c r="E798" t="inlineStr">
        <x:is>
          <x:t xml:space="preserve">ขวด 15 ml.</x:t>
        </x:is>
      </x:c>
      <x:c r="F798" t="inlineStr">
        <x:is>
          <x:t xml:space="preserve">Povidone-Iodine 10% w/v</x:t>
        </x:is>
      </x:c>
      <x:c r="G798" t="inlineStr">
        <x:is>
          <x:t xml:space="preserve">BDS044520</x:t>
        </x:is>
      </x:c>
      <x:c r="H798" t="inlineStr">
        <x:is>
          <x:t xml:space="preserve">LeoPovidone (15 ml.)</x:t>
        </x:is>
      </x:c>
      <x:c r="I798" t="inlineStr">
        <x:is>
          <x:t xml:space="preserve">ใช้สำลีสะอาดชุบยาทาบริเวณรอบๆ บาดแผล </x:t>
        </x:is>
      </x:c>
    </x:row>
    <x:row r="799">
      <x:c r="A799" t="n">
        <x:v>797</x:v>
      </x:c>
      <x:c r="B799" t="inlineStr">
        <x:is>
          <x:t xml:space="preserve">ยาใส่แผล</x:t>
        </x:is>
      </x:c>
      <x:c r="C799" t="n">
        <x:v>44106</x:v>
      </x:c>
      <x:c r="D799" t="inlineStr">
        <x:is>
          <x:t xml:space="preserve">Povidone-Iodine</x:t>
        </x:is>
      </x:c>
      <x:c r="E799" t="inlineStr">
        <x:is>
          <x:t xml:space="preserve">ขวด 30 ml.</x:t>
        </x:is>
      </x:c>
      <x:c r="F799" t="inlineStr">
        <x:is>
          <x:t xml:space="preserve">Povidone-Iodine 10% w/v</x:t>
        </x:is>
      </x:c>
      <x:c r="G799" t="inlineStr">
        <x:is>
          <x:t xml:space="preserve">BDS044106</x:t>
        </x:is>
      </x:c>
      <x:c r="H799" t="inlineStr">
        <x:is>
          <x:t xml:space="preserve">Povidone-Iodine (30 ml.)</x:t>
        </x:is>
      </x:c>
      <x:c r="I799" t="inlineStr">
        <x:is>
          <x:t xml:space="preserve">ทาบริเวณรอบๆ บาดแผล </x:t>
        </x:is>
      </x:c>
    </x:row>
    <x:row r="800">
      <x:c r="A800" t="n">
        <x:v>798</x:v>
      </x:c>
      <x:c r="B800" t="inlineStr">
        <x:is>
          <x:t xml:space="preserve">ยาทาและยาพ่นแก้ปวดอักเสบ NSAIDs</x:t>
        </x:is>
      </x:c>
      <x:c r="C800" t="n">
        <x:v>1470</x:v>
      </x:c>
      <x:c r="D800" t="inlineStr">
        <x:is>
          <x:t xml:space="preserve">Counterpain Plus</x:t>
        </x:is>
      </x:c>
      <x:c r="E800" t="inlineStr">
        <x:is>
          <x:t xml:space="preserve">หลอด 25 g.</x:t>
        </x:is>
      </x:c>
      <x:c r="F800" t="inlineStr">
        <x:is>
          <x:t xml:space="preserve">Piroxicam 0.5%+Methyl salicylate 10.2%+Menthol 5.43%+Eugenol 1.37%</x:t>
        </x:is>
      </x:c>
      <x:c r="G800" t="inlineStr">
        <x:is>
          <x:t xml:space="preserve">BDS001470</x:t>
        </x:is>
      </x:c>
      <x:c r="H800" t="inlineStr">
        <x:is>
          <x:t xml:space="preserve">Counterpain Plus (25 g.)</x:t>
        </x:is>
      </x:c>
      <x:c r="I80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0" t="inlineStr">
        <x:is>
          <x:t xml:space="preserve">Topical pain relief / topical NSAIDs</x:t>
        </x:is>
      </x:c>
    </x:row>
    <x:row r="801">
      <x:c r="A801" t="n">
        <x:v>799</x:v>
      </x:c>
      <x:c r="B801" t="inlineStr">
        <x:is>
          <x:t xml:space="preserve">ยาทาและยาพ่นแก้ปวดอักเสบ NSAIDs</x:t>
        </x:is>
      </x:c>
      <x:c r="C801" t="n">
        <x:v>1656</x:v>
      </x:c>
      <x:c r="D801" t="inlineStr">
        <x:is>
          <x:t xml:space="preserve">Difelene Gel เล็ก</x:t>
        </x:is>
      </x:c>
      <x:c r="E801" t="inlineStr">
        <x:is>
          <x:t xml:space="preserve">หลอด 30 g.</x:t>
        </x:is>
      </x:c>
      <x:c r="F801" t="inlineStr">
        <x:is>
          <x:t xml:space="preserve">Diclofenac diethylammonium 1.16 g./100 g (eq. to Diclofenac Sodium 1.0 g)</x:t>
        </x:is>
      </x:c>
      <x:c r="G801" t="inlineStr">
        <x:is>
          <x:t xml:space="preserve">BDS001656</x:t>
        </x:is>
      </x:c>
      <x:c r="H801" t="inlineStr">
        <x:is>
          <x:t xml:space="preserve">Difelene Gel เล็ก (30 g.)</x:t>
        </x:is>
      </x:c>
      <x:c r="I801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1" t="inlineStr">
        <x:is>
          <x:t xml:space="preserve">Topical pain relief / topical NSAIDs</x:t>
        </x:is>
      </x:c>
    </x:row>
    <x:row r="802">
      <x:c r="A802" t="n">
        <x:v>800</x:v>
      </x:c>
      <x:c r="B802" t="inlineStr">
        <x:is>
          <x:t xml:space="preserve">ยาทาและยาพ่นแก้ปวดอักเสบ NSAIDs</x:t>
        </x:is>
      </x:c>
      <x:c r="C802" t="n">
        <x:v>1654</x:v>
      </x:c>
      <x:c r="D802" t="inlineStr">
        <x:is>
          <x:t xml:space="preserve">Difelene Gel ใหญ่</x:t>
        </x:is>
      </x:c>
      <x:c r="E802" t="inlineStr">
        <x:is>
          <x:t xml:space="preserve">หลอด 60 g.</x:t>
        </x:is>
      </x:c>
      <x:c r="F802" t="inlineStr">
        <x:is>
          <x:t xml:space="preserve">Diclofenac diethylammonium 1.16 g./100 g (eq. to Diclofenac Sodium 1.0 g).</x:t>
        </x:is>
      </x:c>
      <x:c r="G802" t="inlineStr">
        <x:is>
          <x:t xml:space="preserve">BDS001654</x:t>
        </x:is>
      </x:c>
      <x:c r="H802" t="inlineStr">
        <x:is>
          <x:t xml:space="preserve">Difelene Gel ใหญ่ (60 g.)</x:t>
        </x:is>
      </x:c>
      <x:c r="I80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2" t="inlineStr">
        <x:is>
          <x:t xml:space="preserve">Topical pain relief / topical NSAIDs</x:t>
        </x:is>
      </x:c>
    </x:row>
    <x:row r="803">
      <x:c r="A803" t="n">
        <x:v>801</x:v>
      </x:c>
      <x:c r="B803" t="inlineStr">
        <x:is>
          <x:t xml:space="preserve">ยาทาและยาพ่นแก้ปวดอักเสบ NSAIDs</x:t>
        </x:is>
      </x:c>
      <x:c r="C803" t="n">
        <x:v>1806</x:v>
      </x:c>
      <x:c r="D803" t="inlineStr">
        <x:is>
          <x:t xml:space="preserve">Elmetacin พ่นแก้ปวด</x:t>
        </x:is>
      </x:c>
      <x:c r="E803" t="inlineStr">
        <x:is>
          <x:t xml:space="preserve">ขวด 50 ml.</x:t>
        </x:is>
      </x:c>
      <x:c r="F803" t="inlineStr">
        <x:is>
          <x:t xml:space="preserve">Indomethacin 8 mg./0.8 g.</x:t>
        </x:is>
      </x:c>
      <x:c r="G803" t="inlineStr">
        <x:is>
          <x:t xml:space="preserve">BDS001806</x:t>
        </x:is>
      </x:c>
      <x:c r="H803" t="inlineStr">
        <x:is>
          <x:t xml:space="preserve">Elmetacin พ่นแก้ปวด (50 ml.)</x:t>
        </x:is>
      </x:c>
      <x:c r="I803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803" t="inlineStr">
        <x:is>
          <x:t xml:space="preserve">Topical pain relief / topical NSAIDs</x:t>
        </x:is>
      </x:c>
    </x:row>
    <x:row r="804">
      <x:c r="A804" t="n">
        <x:v>802</x:v>
      </x:c>
      <x:c r="B804" t="inlineStr">
        <x:is>
          <x:t xml:space="preserve">ยาทาและยาพ่นแก้ปวดอักเสบ NSAIDs</x:t>
        </x:is>
      </x:c>
      <x:c r="C804" t="n">
        <x:v>6242</x:v>
      </x:c>
      <x:c r="D804" t="inlineStr">
        <x:is>
          <x:t xml:space="preserve">Fastum Gel</x:t>
        </x:is>
      </x:c>
      <x:c r="E804" t="inlineStr">
        <x:is>
          <x:t xml:space="preserve">หลอด 30 g.</x:t>
        </x:is>
      </x:c>
      <x:c r="F804" t="inlineStr">
        <x:is>
          <x:t xml:space="preserve">Ketoprofen 2.5%</x:t>
        </x:is>
      </x:c>
      <x:c r="G804" t="inlineStr">
        <x:is>
          <x:t xml:space="preserve">BDS006242</x:t>
        </x:is>
      </x:c>
      <x:c r="H804" t="inlineStr">
        <x:is>
          <x:t xml:space="preserve">Fastum Gel (30 g.)</x:t>
        </x:is>
      </x:c>
      <x:c r="I804" t="inlineStr">
        <x:is>
          <x:t xml:space="preserve">ทาเจลบางๆ บริเวณที่มีอาการ วันละ 1-2 ครั้ง</x:t>
        </x:is>
      </x:c>
      <x:c r="P804" t="inlineStr">
        <x:is>
          <x:t xml:space="preserve">Topical pain relief / topical NSAIDs</x:t>
        </x:is>
      </x:c>
    </x:row>
    <x:row r="805">
      <x:c r="A805" t="n">
        <x:v>803</x:v>
      </x:c>
      <x:c r="B805" t="inlineStr">
        <x:is>
          <x:t xml:space="preserve">ยาทาและยาพ่นแก้ปวดอักเสบ NSAIDs</x:t>
        </x:is>
      </x:c>
      <x:c r="C805" t="n">
        <x:v>7952</x:v>
      </x:c>
      <x:c r="D805" t="inlineStr">
        <x:is>
          <x:t xml:space="preserve">Felgesic Gel</x:t>
        </x:is>
      </x:c>
      <x:c r="E805" t="inlineStr">
        <x:is>
          <x:t xml:space="preserve">หลอด 30 g.</x:t>
        </x:is>
      </x:c>
      <x:c r="F805" t="inlineStr">
        <x:is>
          <x:t xml:space="preserve">Piroxicam 0.5 g/100 ml.</x:t>
        </x:is>
      </x:c>
      <x:c r="G805" t="inlineStr">
        <x:is>
          <x:t xml:space="preserve">BDS007952</x:t>
        </x:is>
      </x:c>
      <x:c r="H805" t="inlineStr">
        <x:is>
          <x:t xml:space="preserve">Felgesic Gel (30 g.)</x:t>
        </x:is>
      </x:c>
      <x:c r="I805" t="inlineStr">
        <x:is>
          <x:t xml:space="preserve">ทาบริเวณที่มีอาการปวด วันละ 2-3 ครั้ง</x:t>
        </x:is>
      </x:c>
      <x:c r="P805" t="inlineStr">
        <x:is>
          <x:t xml:space="preserve">Topical pain relief / topical NSAIDs</x:t>
        </x:is>
      </x:c>
    </x:row>
    <x:row r="806">
      <x:c r="A806" t="n">
        <x:v>804</x:v>
      </x:c>
      <x:c r="B806" t="inlineStr">
        <x:is>
          <x:t xml:space="preserve">ยาทาและยาพ่นแก้ปวดอักเสบ NSAIDs</x:t>
        </x:is>
      </x:c>
      <x:c r="C806" t="n">
        <x:v>1917</x:v>
      </x:c>
      <x:c r="D806" t="inlineStr">
        <x:is>
          <x:t xml:space="preserve">Flamic Gel</x:t>
        </x:is>
      </x:c>
      <x:c r="E806" t="inlineStr">
        <x:is>
          <x:t xml:space="preserve">หลอด 25 g.</x:t>
        </x:is>
      </x:c>
      <x:c r="F806" t="inlineStr">
        <x:is>
          <x:t xml:space="preserve">Piroxicam 5 mg./1 g.</x:t>
        </x:is>
      </x:c>
      <x:c r="G806" t="inlineStr">
        <x:is>
          <x:t xml:space="preserve">BDS001917</x:t>
        </x:is>
      </x:c>
      <x:c r="H806" t="inlineStr">
        <x:is>
          <x:t xml:space="preserve">Flamic Gel (25 g.)</x:t>
        </x:is>
      </x:c>
      <x:c r="I806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6" t="inlineStr">
        <x:is>
          <x:t xml:space="preserve">Topical pain relief / topical NSAIDs</x:t>
        </x:is>
      </x:c>
    </x:row>
    <x:row r="807">
      <x:c r="A807" t="n">
        <x:v>805</x:v>
      </x:c>
      <x:c r="B807" t="inlineStr">
        <x:is>
          <x:t xml:space="preserve">ยาทาและยาพ่นแก้ปวดอักเสบ NSAIDs</x:t>
        </x:is>
      </x:c>
      <x:c r="C807" t="n">
        <x:v>2684</x:v>
      </x:c>
      <x:c r="D807" t="inlineStr">
        <x:is>
          <x:t xml:space="preserve">M-Cin</x:t>
        </x:is>
      </x:c>
      <x:c r="E807" t="inlineStr">
        <x:is>
          <x:t xml:space="preserve">ขวด 50 ml.</x:t>
        </x:is>
      </x:c>
      <x:c r="F807" t="inlineStr">
        <x:is>
          <x:t xml:space="preserve">Indomethacin 8 mg./1 ml.</x:t>
        </x:is>
      </x:c>
      <x:c r="G807" t="inlineStr">
        <x:is>
          <x:t xml:space="preserve">BDS002684</x:t>
        </x:is>
      </x:c>
      <x:c r="H807" t="inlineStr">
        <x:is>
          <x:t xml:space="preserve">M-Cin (50 ml.)</x:t>
        </x:is>
      </x:c>
      <x:c r="I807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807" t="inlineStr">
        <x:is>
          <x:t xml:space="preserve">Topical pain relief / topical NSAIDs</x:t>
        </x:is>
      </x:c>
    </x:row>
    <x:row r="808">
      <x:c r="A808" t="n">
        <x:v>806</x:v>
      </x:c>
      <x:c r="B808" t="inlineStr">
        <x:is>
          <x:t xml:space="preserve">ยาทาและยาพ่นแก้ปวดอักเสบ NSAIDs</x:t>
        </x:is>
      </x:c>
      <x:c r="C808" t="n">
        <x:v>7574</x:v>
      </x:c>
      <x:c r="D808" t="inlineStr">
        <x:is>
          <x:t xml:space="preserve">Neofenac Gel เล็ก</x:t>
        </x:is>
      </x:c>
      <x:c r="E808" t="inlineStr">
        <x:is>
          <x:t xml:space="preserve">หลอด 20 g.</x:t>
        </x:is>
      </x:c>
      <x:c r="F808" t="inlineStr">
        <x:is>
          <x:t xml:space="preserve">Diclofenac Sodium 1 g./100 g.</x:t>
        </x:is>
      </x:c>
      <x:c r="G808" t="inlineStr">
        <x:is>
          <x:t xml:space="preserve">BDS007574</x:t>
        </x:is>
      </x:c>
      <x:c r="H808" t="inlineStr">
        <x:is>
          <x:t xml:space="preserve">Neofenac Gel เล็ก (20 g.)</x:t>
        </x:is>
      </x:c>
      <x:c r="I808" t="inlineStr">
        <x:is>
          <x:t xml:space="preserve">ทาเจลบางๆ บริเวณที่มีอาการ วันละ 2-4 ครั้ง</x:t>
        </x:is>
      </x:c>
      <x:c r="P808" t="inlineStr">
        <x:is>
          <x:t xml:space="preserve">Topical pain relief / topical NSAIDs</x:t>
        </x:is>
      </x:c>
    </x:row>
    <x:row r="809">
      <x:c r="A809" t="n">
        <x:v>807</x:v>
      </x:c>
      <x:c r="B809" t="inlineStr">
        <x:is>
          <x:t xml:space="preserve">ยาทาและยาพ่นแก้ปวดอักเสบ NSAIDs</x:t>
        </x:is>
      </x:c>
      <x:c r="C809" t="n">
        <x:v>7575</x:v>
      </x:c>
      <x:c r="D809" t="inlineStr">
        <x:is>
          <x:t xml:space="preserve">Neofenac Gel ใหญ่</x:t>
        </x:is>
      </x:c>
      <x:c r="E809" t="inlineStr">
        <x:is>
          <x:t xml:space="preserve">หลอด 50 g.</x:t>
        </x:is>
      </x:c>
      <x:c r="F809" t="inlineStr">
        <x:is>
          <x:t xml:space="preserve">Diclofenac Sodium 1 g./100 g.</x:t>
        </x:is>
      </x:c>
      <x:c r="G809" t="inlineStr">
        <x:is>
          <x:t xml:space="preserve">BDS007575</x:t>
        </x:is>
      </x:c>
      <x:c r="H809" t="inlineStr">
        <x:is>
          <x:t xml:space="preserve">Neofenac Gel ใหญ่ (50 g.)</x:t>
        </x:is>
      </x:c>
      <x:c r="I809" t="inlineStr">
        <x:is>
          <x:t xml:space="preserve">ทาเจลบางๆ บริเวณที่มีอาการ วันละ 2-4 ครั้ง</x:t>
        </x:is>
      </x:c>
      <x:c r="P809" t="inlineStr">
        <x:is>
          <x:t xml:space="preserve">Topical pain relief / topical NSAIDs</x:t>
        </x:is>
      </x:c>
    </x:row>
    <x:row r="810">
      <x:c r="A810" t="n">
        <x:v>808</x:v>
      </x:c>
      <x:c r="B810" t="inlineStr">
        <x:is>
          <x:t xml:space="preserve">ยาทาและยาพ่นแก้ปวดอักเสบ NSAIDs</x:t>
        </x:is>
      </x:c>
      <x:c r="C810" t="n">
        <x:v>45623</x:v>
      </x:c>
      <x:c r="D810" t="inlineStr">
        <x:is>
          <x:t xml:space="preserve">Neotica Cool</x:t>
        </x:is>
      </x:c>
      <x:c r="E810" t="inlineStr">
        <x:is>
          <x:t xml:space="preserve">หลอด 30 g.</x:t>
        </x:is>
      </x:c>
      <x:c r="F810" t="inlineStr">
        <x:is>
          <x:t xml:space="preserve">Piroxicam 5 mg./1 g.</x:t>
        </x:is>
      </x:c>
      <x:c r="G810" t="inlineStr">
        <x:is>
          <x:t xml:space="preserve">BDS045623</x:t>
        </x:is>
      </x:c>
      <x:c r="H810" t="inlineStr">
        <x:is>
          <x:t xml:space="preserve">Neotica Cool (30 g.)</x:t>
        </x:is>
      </x:c>
      <x:c r="I810" t="inlineStr">
        <x:is>
          <x:t xml:space="preserve">ทา (นวด) เบาๆ บริเวณที่มีอาการ จนกระทั่งยาซึมเข้าผิวหนัง วันละ 2-4 ครั้ง</x:t>
        </x:is>
      </x:c>
      <x:c r="P810" t="inlineStr">
        <x:is>
          <x:t xml:space="preserve">Topical pain relief / topical NSAIDs</x:t>
        </x:is>
      </x:c>
    </x:row>
    <x:row r="811">
      <x:c r="A811" t="n">
        <x:v>809</x:v>
      </x:c>
      <x:c r="B811" t="inlineStr">
        <x:is>
          <x:t xml:space="preserve">ยาทาและยาพ่นแก้ปวดอักเสบ NSAIDs</x:t>
        </x:is>
      </x:c>
      <x:c r="C811" t="n">
        <x:v>6730</x:v>
      </x:c>
      <x:c r="D811" t="inlineStr">
        <x:is>
          <x:t xml:space="preserve">N-Zen Gel ใหญ่</x:t>
        </x:is>
      </x:c>
      <x:c r="E811" t="inlineStr">
        <x:is>
          <x:t xml:space="preserve">หลอด 60 g.</x:t>
        </x:is>
      </x:c>
      <x:c r="F811" t="inlineStr">
        <x:is>
          <x:t xml:space="preserve">Diclofenac Sodium 1 g./100 g.</x:t>
        </x:is>
      </x:c>
      <x:c r="G811" t="inlineStr">
        <x:is>
          <x:t xml:space="preserve">BDS006730</x:t>
        </x:is>
      </x:c>
      <x:c r="H811" t="inlineStr">
        <x:is>
          <x:t xml:space="preserve">N-Zen Gel ใหญ่ (60 g.)</x:t>
        </x:is>
      </x:c>
      <x:c r="I811" t="inlineStr">
        <x:is>
          <x:t xml:space="preserve">ทาบริเวณที่เป็น แล้วนวดเบาๆ   วันละ 3-4 ครั้ง</x:t>
        </x:is>
      </x:c>
      <x:c r="P811" t="inlineStr">
        <x:is>
          <x:t xml:space="preserve">Topical pain relief / topical NSAIDs</x:t>
        </x:is>
      </x:c>
    </x:row>
    <x:row r="812">
      <x:c r="A812" t="n">
        <x:v>810</x:v>
      </x:c>
      <x:c r="B812" t="inlineStr">
        <x:is>
          <x:t xml:space="preserve">ยาทาและยาพ่นแก้ปวดอักเสบ NSAIDs</x:t>
        </x:is>
      </x:c>
      <x:c r="C812" t="n">
        <x:v>6814</x:v>
      </x:c>
      <x:c r="D812" t="inlineStr">
        <x:is>
          <x:t xml:space="preserve">Painelief Cool Gel</x:t>
        </x:is>
      </x:c>
      <x:c r="E812" t="inlineStr">
        <x:is>
          <x:t xml:space="preserve">หลอด 30 g.</x:t>
        </x:is>
      </x:c>
      <x:c r="F812" t="inlineStr">
        <x:is>
          <x:t xml:space="preserve">Diclofenac Sodium (as diethylammonium) 10 mg.</x:t>
        </x:is>
      </x:c>
      <x:c r="G812" t="inlineStr">
        <x:is>
          <x:t xml:space="preserve">BDS006814</x:t>
        </x:is>
      </x:c>
      <x:c r="H812" t="inlineStr">
        <x:is>
          <x:t xml:space="preserve">Painelief Cool Gel (30 g.)</x:t>
        </x:is>
      </x:c>
      <x:c r="I812" t="inlineStr">
        <x:is>
          <x:t xml:space="preserve">ทาบริเวณที่มีอาการ วันละ 3-4 ครั้ง</x:t>
        </x:is>
      </x:c>
      <x:c r="P812" t="inlineStr">
        <x:is>
          <x:t xml:space="preserve">Topical pain relief / topical NSAIDs</x:t>
        </x:is>
      </x:c>
    </x:row>
    <x:row r="813">
      <x:c r="A813" t="n">
        <x:v>811</x:v>
      </x:c>
      <x:c r="B813" t="inlineStr">
        <x:is>
          <x:t xml:space="preserve">ยาทาและยาพ่นแก้ปวดอักเสบ NSAIDs</x:t>
        </x:is>
      </x:c>
      <x:c r="C813" t="n">
        <x:v>46515</x:v>
      </x:c>
      <x:c r="D813" t="inlineStr">
        <x:is>
          <x:t xml:space="preserve">Painelief Cool Gel ใหญ่</x:t>
        </x:is>
      </x:c>
      <x:c r="E813" t="inlineStr">
        <x:is>
          <x:t xml:space="preserve">หลอด 60 g.</x:t>
        </x:is>
      </x:c>
      <x:c r="F813" t="inlineStr">
        <x:is>
          <x:t xml:space="preserve">Diclofenac Sodium (as diethylammonium) 10 mg.</x:t>
        </x:is>
      </x:c>
      <x:c r="G813" t="inlineStr">
        <x:is>
          <x:t xml:space="preserve">BDS046515</x:t>
        </x:is>
      </x:c>
      <x:c r="H813" t="inlineStr">
        <x:is>
          <x:t xml:space="preserve">Painelief Cool Gel ใหญ่ (60 g.)</x:t>
        </x:is>
      </x:c>
      <x:c r="I813" t="inlineStr">
        <x:is>
          <x:t xml:space="preserve">ทาบริเวณที่มีอาการ วันละ 3-4 ครั้ง</x:t>
        </x:is>
      </x:c>
      <x:c r="P813" t="inlineStr">
        <x:is>
          <x:t xml:space="preserve">Topical pain relief / topical NSAIDs</x:t>
        </x:is>
      </x:c>
    </x:row>
    <x:row r="814">
      <x:c r="A814" t="n">
        <x:v>812</x:v>
      </x:c>
      <x:c r="B814" t="inlineStr">
        <x:is>
          <x:t xml:space="preserve">ยาทาและยาพ่นแก้ปวดอักเสบ NSAIDs</x:t>
        </x:is>
      </x:c>
      <x:c r="C814" t="n">
        <x:v>7224</x:v>
      </x:c>
      <x:c r="D814" t="inlineStr">
        <x:is>
          <x:t xml:space="preserve">Piridene Gel</x:t>
        </x:is>
      </x:c>
      <x:c r="E814" t="inlineStr">
        <x:is>
          <x:t xml:space="preserve">หลอด 25 g.</x:t>
        </x:is>
      </x:c>
      <x:c r="F814" t="inlineStr">
        <x:is>
          <x:t xml:space="preserve">Piroxicam 0.5 g./100 g.</x:t>
        </x:is>
      </x:c>
      <x:c r="G814" t="inlineStr">
        <x:is>
          <x:t xml:space="preserve">BDS007224</x:t>
        </x:is>
      </x:c>
      <x:c r="H814" t="inlineStr">
        <x:is>
          <x:t xml:space="preserve">Piridene Gel (25 g.)</x:t>
        </x:is>
      </x:c>
      <x:c r="I814" t="inlineStr">
        <x:is>
          <x:t xml:space="preserve">ทาเจลบางๆ บริเวณที่มีอาการ วันละ 2-4 ครั้ง</x:t>
        </x:is>
      </x:c>
      <x:c r="P814" t="inlineStr">
        <x:is>
          <x:t xml:space="preserve">Topical pain relief / topical NSAIDs</x:t>
        </x:is>
      </x:c>
    </x:row>
    <x:row r="815">
      <x:c r="A815" t="n">
        <x:v>813</x:v>
      </x:c>
      <x:c r="B815" t="inlineStr">
        <x:is>
          <x:t xml:space="preserve">ยาทาและยาพ่นแก้ปวดอักเสบ NSAIDs</x:t>
        </x:is>
      </x:c>
      <x:c r="C815" t="n">
        <x:v>47729</x:v>
      </x:c>
      <x:c r="D815" t="inlineStr">
        <x:is>
          <x:t xml:space="preserve">Satogesic Gel</x:t>
        </x:is>
      </x:c>
      <x:c r="E815" t="inlineStr">
        <x:is>
          <x:t xml:space="preserve">หลอด 35 g.</x:t>
        </x:is>
      </x:c>
      <x:c r="F815" t="inlineStr">
        <x:is>
          <x:t xml:space="preserve">Indomethacin 0.75 g + L-menthol  0.3 g.</x:t>
        </x:is>
      </x:c>
      <x:c r="G815" t="inlineStr">
        <x:is>
          <x:t xml:space="preserve">BDS047729</x:t>
        </x:is>
      </x:c>
      <x:c r="H815" t="inlineStr">
        <x:is>
          <x:t xml:space="preserve">Satogesic Gel (35 g.)</x:t>
        </x:is>
      </x:c>
      <x:c r="I815" t="inlineStr">
        <x:is>
          <x:t xml:space="preserve">ทายาในปริมาณที่เหมาะสมบริเวณที่มีอาการ </x:t>
        </x:is>
      </x:c>
      <x:c r="P815" t="inlineStr">
        <x:is>
          <x:t xml:space="preserve">Topical pain relief / topical NSAIDs</x:t>
        </x:is>
      </x:c>
    </x:row>
    <x:row r="816">
      <x:c r="A816" t="n">
        <x:v>814</x:v>
      </x:c>
      <x:c r="B816" t="inlineStr">
        <x:is>
          <x:t xml:space="preserve">ยาทาและยาพ่นแก้ปวดอักเสบ NSAIDs</x:t>
        </x:is>
      </x:c>
      <x:c r="C816" t="n">
        <x:v>3914</x:v>
      </x:c>
      <x:c r="D816" t="inlineStr">
        <x:is>
          <x:t xml:space="preserve">Uniren Spray</x:t>
        </x:is>
      </x:c>
      <x:c r="E816" t="inlineStr">
        <x:is>
          <x:t xml:space="preserve">ขวด 60 ml.</x:t>
        </x:is>
      </x:c>
      <x:c r="F816" t="inlineStr">
        <x:is>
          <x:t xml:space="preserve">Diclofenac Sodium 1 % w/w</x:t>
        </x:is>
      </x:c>
      <x:c r="G816" t="inlineStr">
        <x:is>
          <x:t xml:space="preserve">BDS003914</x:t>
        </x:is>
      </x:c>
      <x:c r="H816" t="inlineStr">
        <x:is>
          <x:t xml:space="preserve">Uniren Spray (60 ml.)</x:t>
        </x:is>
      </x:c>
      <x:c r="I816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K816" t="n">
        <x:v>346</x:v>
      </x:c>
      <x:c r="L816" t="n">
        <x:v>5.77</x:v>
      </x:c>
      <x:c r="M816" t="inlineStr">
        <x:is>
          <x:t xml:space="preserve">USER</x:t>
        </x:is>
      </x:c>
      <x:c r="N816" t="inlineStr">
        <x:is>
          <x:t xml:space="preserve">2026-02-07</x:t>
        </x:is>
      </x:c>
      <x:c r="O816" t="inlineStr">
        <x:is>
          <x:t xml:space="preserve">User provided price (Uniren Spray 60 ml).</x:t>
        </x:is>
      </x:c>
      <x:c r="P816" t="inlineStr">
        <x:is>
          <x:t xml:space="preserve">Topical pain relief / topical NSAIDs</x:t>
        </x:is>
      </x:c>
    </x:row>
    <x:row r="817">
      <x:c r="A817" t="n">
        <x:v>815</x:v>
      </x:c>
      <x:c r="B817" t="inlineStr">
        <x:is>
          <x:t xml:space="preserve">ยาทาและยาพ่นแก้ปวดอักเสบ NSAIDs</x:t>
        </x:is>
      </x:c>
      <x:c r="C817" t="n">
        <x:v>4043</x:v>
      </x:c>
      <x:c r="D817" t="inlineStr">
        <x:is>
          <x:t xml:space="preserve">Voltaren Emulgel กลาง</x:t>
        </x:is>
      </x:c>
      <x:c r="E817" t="inlineStr">
        <x:is>
          <x:t xml:space="preserve">หลอด 25 g.</x:t>
        </x:is>
      </x:c>
      <x:c r="F817" t="inlineStr">
        <x:is>
          <x:t xml:space="preserve">Diclofenac Sodium 1 g./100 g.</x:t>
        </x:is>
      </x:c>
      <x:c r="G817" t="inlineStr">
        <x:is>
          <x:t xml:space="preserve">BDS004043</x:t>
        </x:is>
      </x:c>
      <x:c r="H817" t="inlineStr">
        <x:is>
          <x:t xml:space="preserve">Voltaren Emulgel กลาง (25 g.)</x:t>
        </x:is>
      </x:c>
      <x:c r="I817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K817" t="n">
        <x:v>235</x:v>
      </x:c>
      <x:c r="L817" t="n">
        <x:v>235</x:v>
      </x:c>
      <x:c r="M817" t="inlineStr">
        <x:is>
          <x:t xml:space="preserve"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x:t>
        </x:is>
      </x:c>
      <x:c r="N817" t="inlineStr">
        <x:is>
          <x:t xml:space="preserve">2026-02-07</x:t>
        </x:is>
      </x:c>
      <x:c r="O817" t="inlineStr">
        <x:is>
          <x:t xml:space="preserve">Page shows 25 g variant; price fields are inconsistent—used 235 THB as best visible pack price.</x:t>
        </x:is>
      </x:c>
      <x:c r="P817" t="inlineStr">
        <x:is>
          <x:t xml:space="preserve">Topical pain relief / topical NSAIDs</x:t>
        </x:is>
      </x:c>
    </x:row>
    <x:row r="818">
      <x:c r="A818" t="n">
        <x:v>816</x:v>
      </x:c>
      <x:c r="B818" t="inlineStr">
        <x:is>
          <x:t xml:space="preserve">ยาทาและยาพ่นแก้ปวดอักเสบ NSAIDs</x:t>
        </x:is>
      </x:c>
      <x:c r="C818" t="n">
        <x:v>4042</x:v>
      </x:c>
      <x:c r="D818" t="inlineStr">
        <x:is>
          <x:t xml:space="preserve">Voltaren Emulgel เล็ก</x:t>
        </x:is>
      </x:c>
      <x:c r="E818" t="inlineStr">
        <x:is>
          <x:t xml:space="preserve">หลอด 10 g.</x:t>
        </x:is>
      </x:c>
      <x:c r="F818" t="inlineStr">
        <x:is>
          <x:t xml:space="preserve">Diclofenac Sodium 1 g./100 g.</x:t>
        </x:is>
      </x:c>
      <x:c r="G818" t="inlineStr">
        <x:is>
          <x:t xml:space="preserve">BDS004042</x:t>
        </x:is>
      </x:c>
      <x:c r="H818" t="inlineStr">
        <x:is>
          <x:t xml:space="preserve">Voltaren Emulgel เล็ก (10 g.)</x:t>
        </x:is>
      </x:c>
      <x:c r="I818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18" t="inlineStr">
        <x:is>
          <x:t xml:space="preserve">Topical pain relief / topical NSAIDs</x:t>
        </x:is>
      </x:c>
    </x:row>
    <x:row r="819">
      <x:c r="A819" t="n">
        <x:v>817</x:v>
      </x:c>
      <x:c r="B819" t="inlineStr">
        <x:is>
          <x:t xml:space="preserve">ยาทาและยาพ่นแก้ปวดอักเสบ NSAIDs</x:t>
        </x:is>
      </x:c>
      <x:c r="C819" t="n">
        <x:v>4044</x:v>
      </x:c>
      <x:c r="D819" t="inlineStr">
        <x:is>
          <x:t xml:space="preserve">Voltaren Emulgel ใหญ่</x:t>
        </x:is>
      </x:c>
      <x:c r="E819" t="inlineStr">
        <x:is>
          <x:t xml:space="preserve">หลอด 50 g.</x:t>
        </x:is>
      </x:c>
      <x:c r="F819" t="inlineStr">
        <x:is>
          <x:t xml:space="preserve">Diclofenac Sodium 1 g./100 g.</x:t>
        </x:is>
      </x:c>
      <x:c r="G819" t="inlineStr">
        <x:is>
          <x:t xml:space="preserve">BDS004044</x:t>
        </x:is>
      </x:c>
      <x:c r="H819" t="inlineStr">
        <x:is>
          <x:t xml:space="preserve">Voltaren Emulgel ใหญ่ (50 g.)</x:t>
        </x:is>
      </x:c>
      <x:c r="I819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19" t="inlineStr">
        <x:is>
          <x:t xml:space="preserve">Topical pain relief / topical NSAIDs</x:t>
        </x:is>
      </x:c>
    </x:row>
    <x:row r="820">
      <x:c r="A820" t="n">
        <x:v>818</x:v>
      </x:c>
      <x:c r="B820" t="inlineStr">
        <x:is>
          <x:t xml:space="preserve">ยาทาแผลในปาก (D)</x:t>
        </x:is>
      </x:c>
      <x:c r="C820" t="n">
        <x:v>2430</x:v>
      </x:c>
      <x:c r="D820" t="inlineStr">
        <x:is>
          <x:t xml:space="preserve">Kamistad-Gel N</x:t>
        </x:is>
      </x:c>
      <x:c r="E820" t="inlineStr">
        <x:is>
          <x:t xml:space="preserve">หลอด 10 g.</x:t>
        </x:is>
      </x:c>
      <x:c r="F820" t="inlineStr">
        <x:is>
          <x:t xml:space="preserve">Lidocaine HCl 20 mg.+Chamomile Flower Extract 185 mg.+Ethanol 50% v/v+Tromethamole 1.37% w/w+Preservative (Benzalkonium Chloride 1 mg.)/1 g.</x:t>
        </x:is>
      </x:c>
      <x:c r="G820" t="inlineStr">
        <x:is>
          <x:t xml:space="preserve">BDS002430</x:t>
        </x:is>
      </x:c>
      <x:c r="H820" t="inlineStr">
        <x:is>
          <x:t xml:space="preserve">Kamistad-Gel N (10 g.)</x:t>
        </x:is>
      </x:c>
      <x:c r="I820" t="inlineStr">
        <x:is>
          <x:t xml:space="preserve">ป้ายยาบริเวณที่เป็นแผล วันละ 2-3 ครั้ง หลังอาหาร และก่อนนอน</x:t>
        </x:is>
      </x:c>
      <x:c r="P820" t="inlineStr">
        <x:is>
          <x:t xml:space="preserve">Mouthwash / throat/oral care</x:t>
        </x:is>
      </x:c>
    </x:row>
    <x:row r="821">
      <x:c r="A821" t="n">
        <x:v>819</x:v>
      </x:c>
      <x:c r="B821" t="inlineStr">
        <x:is>
          <x:t xml:space="preserve">ยาทาแผลในปาก (D)</x:t>
        </x:is>
      </x:c>
      <x:c r="C821" t="n">
        <x:v>7549</x:v>
      </x:c>
      <x:c r="D821" t="inlineStr">
        <x:is>
          <x:t xml:space="preserve">Kenalone Oral Paste 5 g</x:t>
        </x:is>
      </x:c>
      <x:c r="E821" t="inlineStr">
        <x:is>
          <x:t xml:space="preserve">หลอด 5 g.</x:t>
        </x:is>
      </x:c>
      <x:c r="F821" t="inlineStr">
        <x:is>
          <x:t xml:space="preserve">Triamcinolone Acetonide 0.1%</x:t>
        </x:is>
      </x:c>
      <x:c r="G821" t="inlineStr">
        <x:is>
          <x:t xml:space="preserve">BDS007549</x:t>
        </x:is>
      </x:c>
      <x:c r="H821" t="inlineStr">
        <x:is>
          <x:t xml:space="preserve">Kenalone Oral Paste 5 g (5 g.)</x:t>
        </x:is>
      </x:c>
      <x:c r="I821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821" t="inlineStr">
        <x:is>
          <x:t xml:space="preserve">Mouthwash / throat/oral care</x:t>
        </x:is>
      </x:c>
    </x:row>
    <x:row r="822">
      <x:c r="A822" t="n">
        <x:v>820</x:v>
      </x:c>
      <x:c r="B822" t="inlineStr">
        <x:is>
          <x:t xml:space="preserve">ยาทาแผลในปาก (D)</x:t>
        </x:is>
      </x:c>
      <x:c r="C822" t="n">
        <x:v>7548</x:v>
      </x:c>
      <x:c r="D822" t="inlineStr">
        <x:is>
          <x:t xml:space="preserve">Kenalone Oral Paste sachet 1 g</x:t>
        </x:is>
      </x:c>
      <x:c r="E822" t="inlineStr">
        <x:is>
          <x:t xml:space="preserve">ซอง 1 g.</x:t>
        </x:is>
      </x:c>
      <x:c r="F822" t="inlineStr">
        <x:is>
          <x:t xml:space="preserve">Triamcinolone Acetonide 0.1%</x:t>
        </x:is>
      </x:c>
      <x:c r="G822" t="inlineStr">
        <x:is>
          <x:t xml:space="preserve">BDS007548</x:t>
        </x:is>
      </x:c>
      <x:c r="H822" t="inlineStr">
        <x:is>
          <x:t xml:space="preserve">Kenalone Oral Paste sachet 1 g (1 g.)</x:t>
        </x:is>
      </x:c>
      <x:c r="I822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822" t="inlineStr">
        <x:is>
          <x:t xml:space="preserve">Mouthwash / throat/oral care</x:t>
        </x:is>
      </x:c>
    </x:row>
    <x:row r="823">
      <x:c r="A823" t="n">
        <x:v>821</x:v>
      </x:c>
      <x:c r="B823" t="inlineStr">
        <x:is>
          <x:t xml:space="preserve">ยาทาแผลในปาก (D)</x:t>
        </x:is>
      </x:c>
      <x:c r="C823" t="n">
        <x:v>3751</x:v>
      </x:c>
      <x:c r="D823" t="inlineStr">
        <x:is>
          <x:t xml:space="preserve">Trinolone Oral Paste 5 g</x:t>
        </x:is>
      </x:c>
      <x:c r="E823" t="inlineStr">
        <x:is>
          <x:t xml:space="preserve">หลอด 5 g.</x:t>
        </x:is>
      </x:c>
      <x:c r="F823" t="inlineStr">
        <x:is>
          <x:t xml:space="preserve">Triamcinolone Acetonide 0.1%</x:t>
        </x:is>
      </x:c>
      <x:c r="G823" t="inlineStr">
        <x:is>
          <x:t xml:space="preserve">BDS003751</x:t>
        </x:is>
      </x:c>
      <x:c r="H823" t="inlineStr">
        <x:is>
          <x:t xml:space="preserve">Trinolone Oral Paste 5 g (5 g.)</x:t>
        </x:is>
      </x:c>
      <x:c r="I823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823" t="inlineStr">
        <x:is>
          <x:t xml:space="preserve">Mouthwash / throat/oral care</x:t>
        </x:is>
      </x:c>
    </x:row>
    <x:row r="824">
      <x:c r="A824" t="n">
        <x:v>822</x:v>
      </x:c>
      <x:c r="B824" t="inlineStr">
        <x:is>
          <x:t xml:space="preserve">ยาทาแผลในปาก (D)</x:t>
        </x:is>
      </x:c>
      <x:c r="C824" t="n">
        <x:v>3750</x:v>
      </x:c>
      <x:c r="D824" t="inlineStr">
        <x:is>
          <x:t xml:space="preserve">Trinolone Oral Paste sachet 1 g</x:t>
        </x:is>
      </x:c>
      <x:c r="E824" t="inlineStr">
        <x:is>
          <x:t xml:space="preserve">ซอง 1 g.</x:t>
        </x:is>
      </x:c>
      <x:c r="F824" t="inlineStr">
        <x:is>
          <x:t xml:space="preserve">Triamcinolone Acetonide 0.1%</x:t>
        </x:is>
      </x:c>
      <x:c r="G824" t="inlineStr">
        <x:is>
          <x:t xml:space="preserve">BDS003750</x:t>
        </x:is>
      </x:c>
      <x:c r="H824" t="inlineStr">
        <x:is>
          <x:t xml:space="preserve">Trinolone Oral Paste sachet 1 g (1 g.)</x:t>
        </x:is>
      </x:c>
      <x:c r="I824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824" t="inlineStr">
        <x:is>
          <x:t xml:space="preserve">Mouthwash / throat/oral care</x:t>
        </x:is>
      </x:c>
    </x:row>
    <x:row r="825">
      <x:c r="A825" t="n">
        <x:v>823</x:v>
      </x:c>
      <x:c r="B825" t="inlineStr">
        <x:is>
          <x:t xml:space="preserve">ยาทาแก้แพ้, แก้คัน ชนิดน้ำ (D)</x:t>
        </x:is>
      </x:c>
      <x:c r="C825" t="n">
        <x:v>7547</x:v>
      </x:c>
      <x:c r="D825" t="inlineStr">
        <x:is>
          <x:t xml:space="preserve">Kanolone Lotion 30 ml</x:t>
        </x:is>
      </x:c>
      <x:c r="E825" t="inlineStr">
        <x:is>
          <x:t xml:space="preserve">ขวด 30 ml.</x:t>
        </x:is>
      </x:c>
      <x:c r="F825" t="inlineStr">
        <x:is>
          <x:t xml:space="preserve">Triamcinolone Acetonide 0.1 g/100 ml (0.1% w/v)</x:t>
        </x:is>
      </x:c>
      <x:c r="G825" t="inlineStr">
        <x:is>
          <x:t xml:space="preserve">BDS007547</x:t>
        </x:is>
      </x:c>
      <x:c r="H825" t="inlineStr">
        <x:is>
          <x:t xml:space="preserve">Kanolone Lotion 30 ml (30 ml.)</x:t>
        </x:is>
      </x:c>
      <x:c r="I825" t="inlineStr">
        <x:is>
          <x:t xml:space="preserve">ทาบางๆ บริเวณที่มีอาการ วันละ 2-3 ครั้ง</x:t>
        </x:is>
      </x:c>
      <x:c r="P825" t="inlineStr">
        <x:is>
          <x:t xml:space="preserve">Eczema/diaper rash / anti-itch topicals</x:t>
        </x:is>
      </x:c>
    </x:row>
    <x:row r="826">
      <x:c r="A826" t="n">
        <x:v>824</x:v>
      </x:c>
      <x:c r="B826" t="inlineStr">
        <x:is>
          <x:t xml:space="preserve">ยาทาแก้แพ้, แก้คัน ชนิดน้ำ (D)</x:t>
        </x:is>
      </x:c>
      <x:c r="C826" t="n">
        <x:v>7551</x:v>
      </x:c>
      <x:c r="D826" t="inlineStr">
        <x:is>
          <x:t xml:space="preserve">Kanolone Lotion 60 ml</x:t>
        </x:is>
      </x:c>
      <x:c r="E826" t="inlineStr">
        <x:is>
          <x:t xml:space="preserve">ขวด 60 ml.</x:t>
        </x:is>
      </x:c>
      <x:c r="F826" t="inlineStr">
        <x:is>
          <x:t xml:space="preserve">Triamcinolone Acetonide 0.1 g/100 ml (0.1% w/v)</x:t>
        </x:is>
      </x:c>
      <x:c r="G826" t="inlineStr">
        <x:is>
          <x:t xml:space="preserve">BDS007551</x:t>
        </x:is>
      </x:c>
      <x:c r="H826" t="inlineStr">
        <x:is>
          <x:t xml:space="preserve">Kanolone Lotion 60 ml (60 ml.)</x:t>
        </x:is>
      </x:c>
      <x:c r="I826" t="inlineStr">
        <x:is>
          <x:t xml:space="preserve">ทาบางๆ บริเวณที่มีอาการ วันละ 2-3 ครั้ง</x:t>
        </x:is>
      </x:c>
      <x:c r="P826" t="inlineStr">
        <x:is>
          <x:t xml:space="preserve">Eczema/diaper rash / anti-itch topicals</x:t>
        </x:is>
      </x:c>
    </x:row>
    <x:row r="827">
      <x:c r="A827" t="n">
        <x:v>825</x:v>
      </x:c>
      <x:c r="B827" t="inlineStr">
        <x:is>
          <x:t xml:space="preserve">ยาทาแก้แพ้, แก้คัน ชนิดน้ำ (D)</x:t>
        </x:is>
      </x:c>
      <x:c r="C827" t="n">
        <x:v>48630</x:v>
      </x:c>
      <x:c r="D827" t="inlineStr">
        <x:is>
          <x:t xml:space="preserve">TA 0.1% Lotion</x:t>
        </x:is>
      </x:c>
      <x:c r="E827" t="inlineStr">
        <x:is>
          <x:t xml:space="preserve">ขวด 30 g.</x:t>
        </x:is>
      </x:c>
      <x:c r="F827" t="inlineStr">
        <x:is>
          <x:t xml:space="preserve">Triamcinolone Acetonide 0.1 g/100 g (0.1 % w/w)</x:t>
        </x:is>
      </x:c>
      <x:c r="G827" t="inlineStr">
        <x:is>
          <x:t xml:space="preserve">BDS048630</x:t>
        </x:is>
      </x:c>
      <x:c r="H827" t="inlineStr">
        <x:is>
          <x:t xml:space="preserve">TA 0.1% Lotion (30 g.)</x:t>
        </x:is>
      </x:c>
      <x:c r="I827" t="inlineStr">
        <x:is>
          <x:t xml:space="preserve">ทาโลชั่นบางๆ บริเวณที่มีอาการ วันละ 2-4 ครั้ง </x:t>
        </x:is>
      </x:c>
      <x:c r="K827" t="n">
        <x:v>116</x:v>
      </x:c>
      <x:c r="L827" t="n">
        <x:v>3.87</x:v>
      </x:c>
      <x:c r="M827" t="inlineStr">
        <x:is>
          <x:t xml:space="preserve">USER</x:t>
        </x:is>
      </x:c>
      <x:c r="N827" t="inlineStr">
        <x:is>
          <x:t xml:space="preserve">2026-02-07</x:t>
        </x:is>
      </x:c>
      <x:c r="O827" t="inlineStr">
        <x:is>
          <x:t xml:space="preserve">User provided price (TA 0.1% Lotion 30 g).</x:t>
        </x:is>
      </x:c>
      <x:c r="P827" t="inlineStr">
        <x:is>
          <x:t xml:space="preserve">Eczema/diaper rash / anti-itch topicals</x:t>
        </x:is>
      </x:c>
    </x:row>
    <x:row r="828">
      <x:c r="A828" t="n">
        <x:v>826</x:v>
      </x:c>
      <x:c r="B828" t="inlineStr">
        <x:is>
          <x:t xml:space="preserve">ยาทาแก้แพ้, แก้คัน ชนิดน้ำ (D)</x:t>
        </x:is>
      </x:c>
      <x:c r="C828" t="n">
        <x:v>3799</x:v>
      </x:c>
      <x:c r="D828" t="inlineStr">
        <x:is>
          <x:t xml:space="preserve">Tram Lotion</x:t>
        </x:is>
      </x:c>
      <x:c r="E828" t="inlineStr">
        <x:is>
          <x:t xml:space="preserve">ขวด 30 ml.</x:t>
        </x:is>
      </x:c>
      <x:c r="F828" t="inlineStr">
        <x:is>
          <x:t xml:space="preserve">Triamcinolone Acetonide 0.1 % w/v</x:t>
        </x:is>
      </x:c>
      <x:c r="G828" t="inlineStr">
        <x:is>
          <x:t xml:space="preserve">BDS003799</x:t>
        </x:is>
      </x:c>
      <x:c r="H828" t="inlineStr">
        <x:is>
          <x:t xml:space="preserve">Tram Lotion (30 ml.)</x:t>
        </x:is>
      </x:c>
      <x:c r="I828" t="inlineStr">
        <x:is>
          <x:t xml:space="preserve">ทาบางๆ บริเวณที่มีอาการ วันละ 2-3 ครั้ง</x:t>
        </x:is>
      </x:c>
      <x:c r="P828" t="inlineStr">
        <x:is>
          <x:t xml:space="preserve">Eczema/diaper rash / anti-itch topicals</x:t>
        </x:is>
      </x:c>
    </x:row>
    <x:row r="829">
      <x:c r="A829" t="n">
        <x:v>827</x:v>
      </x:c>
      <x:c r="B829" t="inlineStr">
        <x:is>
          <x:t xml:space="preserve">ยาทาสมานแผล</x:t>
        </x:is>
      </x:c>
      <x:c r="C829" t="n">
        <x:v>1099</x:v>
      </x:c>
      <x:c r="D829" t="inlineStr">
        <x:is>
          <x:t xml:space="preserve">Intrasite Gel</x:t>
        </x:is>
      </x:c>
      <x:c r="E829" t="inlineStr">
        <x:is>
          <x:t xml:space="preserve">หลอด 25 g.</x:t>
        </x:is>
      </x:c>
      <x:c r="F829" t="inlineStr">
        <x:is>
          <x:t xml:space="preserve">Carboxymethyl Cellulose Polymer+Propylene Glycol+Water</x:t>
        </x:is>
      </x:c>
      <x:c r="G829" t="inlineStr">
        <x:is>
          <x:t xml:space="preserve">BDS001099</x:t>
        </x:is>
      </x:c>
      <x:c r="H829" t="inlineStr">
        <x:is>
          <x:t xml:space="preserve">Intrasite Gel (25 g.)</x:t>
        </x:is>
      </x:c>
      <x:c r="I829" t="inlineStr">
        <x:is>
          <x:t xml:space="preserve">เปิดจุกสีส้มออก ค่อยๆ บีบเจลเข้าไปในแผล ให้มีเจลหนาประมาณ 5 มิลลิเมตร </x:t>
        </x:is>
      </x:c>
      <x:c r="P829" t="inlineStr">
        <x:is>
          <x:t xml:space="preserve">Topical antibiotic / wound care / burn care</x:t>
        </x:is>
      </x:c>
    </x:row>
    <x:row r="830">
      <x:c r="A830" t="n">
        <x:v>828</x:v>
      </x:c>
      <x:c r="B830" t="inlineStr">
        <x:is>
          <x:t xml:space="preserve">ยาเหน็บแก้ปวด, ลดไข้</x:t>
        </x:is>
      </x:c>
      <x:c r="C830" t="n">
        <x:v>3753</x:v>
      </x:c>
      <x:c r="D830" t="inlineStr">
        <x:is>
          <x:t xml:space="preserve">Poro Suppository</x:t>
        </x:is>
      </x:c>
      <x:c r="E830" t="inlineStr">
        <x:is>
          <x:t xml:space="preserve">กล่อง 5 แท่ง</x:t>
        </x:is>
      </x:c>
      <x:c r="F830" t="inlineStr">
        <x:is>
          <x:t xml:space="preserve">Paracetamol 125 mg.</x:t>
        </x:is>
      </x:c>
      <x:c r="G830" t="inlineStr">
        <x:is>
          <x:t xml:space="preserve">BDS003753</x:t>
        </x:is>
      </x:c>
      <x:c r="H830" t="inlineStr">
        <x:is>
          <x:t xml:space="preserve">Poro Suppository (5 sticks)</x:t>
        </x:is>
      </x:c>
      <x:c r="I830" t="inlineStr">
        <x:is>
          <x:t xml:space="preserve">เหน็บยาเข้าทางทวารหนัก 1-2 แท่ง ทุก 4 ชั่วโมง</x:t>
        </x:is>
      </x:c>
    </x:row>
    <x:row r="831">
      <x:c r="A831" t="n">
        <x:v>829</x:v>
      </x:c>
      <x:c r="B831" t="inlineStr">
        <x:is>
          <x:t xml:space="preserve">ยาทาแผลไฟไหม้, น้ำร้อนลวก</x:t>
        </x:is>
      </x:c>
      <x:c r="C831" t="n">
        <x:v>1007</x:v>
      </x:c>
      <x:c r="D831" t="inlineStr">
        <x:is>
          <x:t xml:space="preserve">Aloe Gel</x:t>
        </x:is>
      </x:c>
      <x:c r="E831" t="inlineStr">
        <x:is>
          <x:t xml:space="preserve">หลอด 30 g.</x:t>
        </x:is>
      </x:c>
      <x:c r="F831" t="inlineStr">
        <x:is>
          <x:t xml:space="preserve">วุ้นจากว่านหางจระเข้ 87.399 %</x:t>
        </x:is>
      </x:c>
      <x:c r="G831" t="inlineStr">
        <x:is>
          <x:t xml:space="preserve">BDS001007</x:t>
        </x:is>
      </x:c>
      <x:c r="H831" t="inlineStr">
        <x:is>
          <x:t xml:space="preserve">Aloe Gel (30 g.)</x:t>
        </x:is>
      </x:c>
      <x:c r="I831" t="inlineStr">
        <x:is>
          <x:t xml:space="preserve">ทาเจลบริเวณที่มีอาการ วันละ 2-3 ครั้ง</x:t>
        </x:is>
      </x:c>
      <x:c r="P831" t="inlineStr">
        <x:is>
          <x:t xml:space="preserve">Topical antibiotic / wound care / burn care</x:t>
        </x:is>
      </x:c>
    </x:row>
    <x:row r="832">
      <x:c r="A832" t="n">
        <x:v>830</x:v>
      </x:c>
      <x:c r="B832" t="inlineStr">
        <x:is>
          <x:t xml:space="preserve">ยาทาแผลไฟไหม้, น้ำร้อนลวก</x:t>
        </x:is>
      </x:c>
      <x:c r="C832" t="n">
        <x:v>2801</x:v>
      </x:c>
      <x:c r="D832" t="inlineStr">
        <x:is>
          <x:t xml:space="preserve">Mebo</x:t>
        </x:is>
      </x:c>
      <x:c r="E832" t="inlineStr">
        <x:is>
          <x:t xml:space="preserve">หลอด 10 g.</x:t>
        </x:is>
      </x:c>
      <x:c r="F832" t="inlineStr">
        <x:is>
          <x:t xml:space="preserve">Beta-sitosterol 0.25%</x:t>
        </x:is>
      </x:c>
      <x:c r="G832" t="inlineStr">
        <x:is>
          <x:t xml:space="preserve">BDS002801</x:t>
        </x:is>
      </x:c>
      <x:c r="H832" t="inlineStr">
        <x:is>
          <x:t xml:space="preserve">Mebo (10 g.)</x:t>
        </x:is>
      </x:c>
      <x:c r="I832" t="inlineStr">
        <x:is>
          <x:t xml:space="preserve">ทาบริเวณที่มีอาการ วันละ 2-3 ครั้ง</x:t>
        </x:is>
      </x:c>
      <x:c r="P832" t="inlineStr">
        <x:is>
          <x:t xml:space="preserve">Topical antibiotic / wound care / burn care</x:t>
        </x:is>
      </x:c>
    </x:row>
    <x:row r="833">
      <x:c r="A833" t="n">
        <x:v>831</x:v>
      </x:c>
      <x:c r="B833" t="inlineStr">
        <x:is>
          <x:t xml:space="preserve">เจลและครีมรักษาเส้นเลือดขอด</x:t>
        </x:is>
      </x:c>
      <x:c r="C833" t="n">
        <x:v>2121</x:v>
      </x:c>
      <x:c r="D833" t="inlineStr">
        <x:is>
          <x:t xml:space="preserve">Hirudoid Cream เล็ก</x:t>
        </x:is>
      </x:c>
      <x:c r="E833" t="inlineStr">
        <x:is>
          <x:t xml:space="preserve">หลอด 10 g.</x:t>
        </x:is>
      </x:c>
      <x:c r="F833" t="inlineStr">
        <x:is>
          <x:t xml:space="preserve">Mucopolysaccharide polysulphate 0.3 g./100 g.</x:t>
        </x:is>
      </x:c>
      <x:c r="G833" t="inlineStr">
        <x:is>
          <x:t xml:space="preserve">BDS002121</x:t>
        </x:is>
      </x:c>
      <x:c r="H833" t="inlineStr">
        <x:is>
          <x:t xml:space="preserve">Hirudoid Cream เล็ก (10 g.)</x:t>
        </x:is>
      </x:c>
      <x:c r="I833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4">
      <x:c r="A834" t="n">
        <x:v>832</x:v>
      </x:c>
      <x:c r="B834" t="inlineStr">
        <x:is>
          <x:t xml:space="preserve">เจลและครีมรักษาเส้นเลือดขอด</x:t>
        </x:is>
      </x:c>
      <x:c r="C834" t="n">
        <x:v>2110</x:v>
      </x:c>
      <x:c r="D834" t="inlineStr">
        <x:is>
          <x:t xml:space="preserve">Hirudoid Cream ใหญ่</x:t>
        </x:is>
      </x:c>
      <x:c r="E834" t="inlineStr">
        <x:is>
          <x:t xml:space="preserve">หลอด 40 g.</x:t>
        </x:is>
      </x:c>
      <x:c r="F834" t="inlineStr">
        <x:is>
          <x:t xml:space="preserve">Mucopolysaccharide polysulphate 0.3 g./100 g.</x:t>
        </x:is>
      </x:c>
      <x:c r="G834" t="inlineStr">
        <x:is>
          <x:t xml:space="preserve">BDS002110</x:t>
        </x:is>
      </x:c>
      <x:c r="H834" t="inlineStr">
        <x:is>
          <x:t xml:space="preserve">Hirudoid Cream ใหญ่ (40 g.)</x:t>
        </x:is>
      </x:c>
      <x:c r="I834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5">
      <x:c r="A835" t="n">
        <x:v>833</x:v>
      </x:c>
      <x:c r="B835" t="inlineStr">
        <x:is>
          <x:t xml:space="preserve">เจลและครีมรักษาเส้นเลือดขอด</x:t>
        </x:is>
      </x:c>
      <x:c r="C835" t="n">
        <x:v>2130</x:v>
      </x:c>
      <x:c r="D835" t="inlineStr">
        <x:is>
          <x:t xml:space="preserve">Hirudoid Forte Cream เล็ก</x:t>
        </x:is>
      </x:c>
      <x:c r="E835" t="inlineStr">
        <x:is>
          <x:t xml:space="preserve">หลอด 10 g.</x:t>
        </x:is>
      </x:c>
      <x:c r="F835" t="inlineStr">
        <x:is>
          <x:t xml:space="preserve">Mucopolysaccharide polysulphate 0.445 g./100 g.</x:t>
        </x:is>
      </x:c>
      <x:c r="G835" t="inlineStr">
        <x:is>
          <x:t xml:space="preserve">BDS002130</x:t>
        </x:is>
      </x:c>
      <x:c r="H835" t="inlineStr">
        <x:is>
          <x:t xml:space="preserve">Hirudoid Forte Cream เล็ก (10 g.)</x:t>
        </x:is>
      </x:c>
      <x:c r="I835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6">
      <x:c r="A836" t="n">
        <x:v>834</x:v>
      </x:c>
      <x:c r="B836" t="inlineStr">
        <x:is>
          <x:t xml:space="preserve">เจลและครีมรักษาเส้นเลือดขอด</x:t>
        </x:is>
      </x:c>
      <x:c r="C836" t="n">
        <x:v>2113</x:v>
      </x:c>
      <x:c r="D836" t="inlineStr">
        <x:is>
          <x:t xml:space="preserve">Hirudoid Forte Cream ใหญ่</x:t>
        </x:is>
      </x:c>
      <x:c r="E836" t="inlineStr">
        <x:is>
          <x:t xml:space="preserve">หลอด 40 g.</x:t>
        </x:is>
      </x:c>
      <x:c r="F836" t="inlineStr">
        <x:is>
          <x:t xml:space="preserve">Mucopolysaccharide polysulphate 0.445 g./100 g.</x:t>
        </x:is>
      </x:c>
      <x:c r="G836" t="inlineStr">
        <x:is>
          <x:t xml:space="preserve">BDS002113</x:t>
        </x:is>
      </x:c>
      <x:c r="H836" t="inlineStr">
        <x:is>
          <x:t xml:space="preserve">Hirudoid Forte Cream ใหญ่ (40 g.)</x:t>
        </x:is>
      </x:c>
      <x:c r="I836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7">
      <x:c r="A837" t="n">
        <x:v>835</x:v>
      </x:c>
      <x:c r="B837" t="inlineStr">
        <x:is>
          <x:t xml:space="preserve">ยาป้ายตา (D)</x:t>
        </x:is>
      </x:c>
      <x:c r="C837" t="n">
        <x:v>2649</x:v>
      </x:c>
      <x:c r="D837" t="inlineStr">
        <x:is>
          <x:t xml:space="preserve">Maxitrol Ophthalmic Ointment</x:t>
        </x:is>
      </x:c>
      <x:c r="E837" t="inlineStr">
        <x:is>
          <x:t xml:space="preserve">หลอด 3.5 g.</x:t>
        </x:is>
      </x:c>
      <x:c r="F837" t="inlineStr">
        <x:is>
          <x:t xml:space="preserve">Dexamethasone 0.1%+Neomycin Sulfate 3,500 I.U./g.+Polymyxin B Sulfate 6,000 I.U./g.+Preservative (Methylparaben 0.05%+Propylparaben 0.01%)/1 g.</x:t>
        </x:is>
      </x:c>
      <x:c r="G837" t="inlineStr">
        <x:is>
          <x:t xml:space="preserve">BDS002649</x:t>
        </x:is>
      </x:c>
      <x:c r="H837" t="inlineStr">
        <x:is>
          <x:t xml:space="preserve">Maxitrol Ophthalmic Ointment (3.5 g.)</x:t>
        </x:is>
      </x:c>
      <x:c r="I837" t="inlineStr">
        <x:is>
          <x:t xml:space="preserve">ป้ายตาข้างที่มีอาการครั้งละประมาณ 1.5 cm. วันละ 3-4 ครั้ง หรือตามแพทย์สั่ง </x:t>
        </x:is>
      </x:c>
    </x:row>
    <x:row r="838">
      <x:c r="A838" t="n">
        <x:v>836</x:v>
      </x:c>
      <x:c r="B838" t="inlineStr">
        <x:is>
          <x:t xml:space="preserve">ยาป้ายตา (D)</x:t>
        </x:is>
      </x:c>
      <x:c r="C838" t="n">
        <x:v>3637</x:v>
      </x:c>
      <x:c r="D838" t="inlineStr">
        <x:is>
          <x:t xml:space="preserve">Tobradex Ophthalmic Ointment</x:t>
        </x:is>
      </x:c>
      <x:c r="E838" t="inlineStr">
        <x:is>
          <x:t xml:space="preserve">หลอด 3.5 g.</x:t>
        </x:is>
      </x:c>
      <x:c r="F838" t="inlineStr">
        <x:is>
          <x:t xml:space="preserve">Tobramycin 0.3%+Dexamethasone 0.1%+Preservative (Chlorobutanol 0.5%)/1 g</x:t>
        </x:is>
      </x:c>
      <x:c r="G838" t="inlineStr">
        <x:is>
          <x:t xml:space="preserve">BDS003637</x:t>
        </x:is>
      </x:c>
      <x:c r="H838" t="inlineStr">
        <x:is>
          <x:t xml:space="preserve">Tobradex Ophthalmic Ointment (3.5 g.)</x:t>
        </x:is>
      </x:c>
      <x:c r="I838" t="inlineStr">
        <x:is>
          <x:t xml:space="preserve">ป้ายตาข้างที่มีอาการครั้งละประมาณ 1.5 cm. วันละ 3-4 ครั้ง หรือตามแพทย์สั่ง </x:t>
        </x:is>
      </x:c>
    </x:row>
    <x:row r="839">
      <x:c r="A839" t="n">
        <x:v>837</x:v>
      </x:c>
      <x:c r="B839" t="inlineStr">
        <x:is>
          <x:t xml:space="preserve">ยาทาและยาเหน็บริดสีดวงทวาร (D)</x:t>
        </x:is>
      </x:c>
      <x:c r="C839" t="n">
        <x:v>1685</x:v>
      </x:c>
      <x:c r="D839" t="inlineStr">
        <x:is>
          <x:t xml:space="preserve">Doproct Ointment</x:t>
        </x:is>
      </x:c>
      <x:c r="E839" t="inlineStr">
        <x:is>
          <x:t xml:space="preserve">หลอด 10 g.</x:t>
        </x:is>
      </x:c>
      <x:c r="F839" t="inlineStr">
        <x:is>
          <x:t xml:space="preserve">Hydrocortisone Acetate 5 mg+Zinc Oxide 200 mg+Benzocaine 10 mg/1 g</x:t>
        </x:is>
      </x:c>
      <x:c r="G839" t="inlineStr">
        <x:is>
          <x:t xml:space="preserve">BDS001685</x:t>
        </x:is>
      </x:c>
      <x:c r="H839" t="inlineStr">
        <x:is>
          <x:t xml:space="preserve">Doproct Ointment (10 g.)</x:t>
        </x:is>
      </x:c>
      <x:c r="I839" t="inlineStr">
        <x:is>
          <x:t xml:space="preserve">ทาบริเวณทวารหนัก วันละ 2 ครั้ง เช้าและเย็น</x:t>
        </x:is>
      </x:c>
    </x:row>
    <x:row r="840">
      <x:c r="A840" t="n">
        <x:v>838</x:v>
      </x:c>
      <x:c r="B840" t="inlineStr">
        <x:is>
          <x:t xml:space="preserve">ยาทาและยาเหน็บริดสีดวงทวาร (D)</x:t>
        </x:is>
      </x:c>
      <x:c r="C840" t="n">
        <x:v>1605</x:v>
      </x:c>
      <x:c r="D840" t="inlineStr">
        <x:is>
          <x:t xml:space="preserve">Doproct Suppository</x:t>
        </x:is>
      </x:c>
      <x:c r="E840" t="inlineStr">
        <x:is>
          <x:t xml:space="preserve">กล่อง 10 แท่ง</x:t>
        </x:is>
      </x:c>
      <x:c r="F840" t="inlineStr">
        <x:is>
          <x:t xml:space="preserve">Hydrocortisone Acetate 7.5 mg+Zinc Oxide 250 mg+Benzocaine 40 mg/1 Suppository</x:t>
        </x:is>
      </x:c>
      <x:c r="G840" t="inlineStr">
        <x:is>
          <x:t xml:space="preserve">BDS001605</x:t>
        </x:is>
      </x:c>
      <x:c r="H840" t="inlineStr">
        <x:is>
          <x:t xml:space="preserve">Doproct Suppository (10 sticks)</x:t>
        </x:is>
      </x:c>
      <x:c r="I840" t="inlineStr">
        <x:is>
          <x:t xml:space="preserve">เหน็บยาเข้าทางทวารหนัก 1 แท่ง วันละ 2 ครั้ง เช้า-เย็น</x:t>
        </x:is>
      </x:c>
    </x:row>
    <x:row r="841">
      <x:c r="A841" t="n">
        <x:v>839</x:v>
      </x:c>
      <x:c r="B841" t="inlineStr">
        <x:is>
          <x:t xml:space="preserve">ยาทาและยาเหน็บริดสีดวงทวาร (D)</x:t>
        </x:is>
      </x:c>
      <x:c r="C841" t="n">
        <x:v>3167</x:v>
      </x:c>
      <x:c r="D841" t="inlineStr">
        <x:is>
          <x:t xml:space="preserve">Proctosedyl Ointment</x:t>
        </x:is>
      </x:c>
      <x:c r="E841" t="inlineStr">
        <x:is>
          <x:t xml:space="preserve">หลอด 15 g.</x:t>
        </x:is>
      </x:c>
      <x:c r="F841" t="inlineStr">
        <x:is>
          <x:t xml:space="preserve">Hydrocortisone BP 5 mg+Cinchocaine HCl BP 5 mg+Aesculin 10 mg/1 g</x:t>
        </x:is>
      </x:c>
      <x:c r="G841" t="inlineStr">
        <x:is>
          <x:t xml:space="preserve">BDS003167</x:t>
        </x:is>
      </x:c>
      <x:c r="H841" t="inlineStr">
        <x:is>
          <x:t xml:space="preserve">Proctosedyl Ointment (15 g.)</x:t>
        </x:is>
      </x:c>
      <x:c r="I841" t="inlineStr">
        <x:is>
          <x:t xml:space="preserve">ทาขี้ผึ้งเล็กน้อยในบริเวณที่เจ็บหรือคัน วันละ 2 ครั้ง เช้า-เย็น และหลังจากการถ่ายอุจจาระ</x:t>
        </x:is>
      </x:c>
    </x:row>
    <x:row r="842">
      <x:c r="A842" t="n">
        <x:v>840</x:v>
      </x:c>
      <x:c r="B842" t="inlineStr">
        <x:is>
          <x:t xml:space="preserve">ยาทาและยาเหน็บริดสีดวงทวาร (D)</x:t>
        </x:is>
      </x:c>
      <x:c r="C842" t="n">
        <x:v>3162</x:v>
      </x:c>
      <x:c r="D842" t="inlineStr">
        <x:is>
          <x:t xml:space="preserve">Proctosedyl Suppositories</x:t>
        </x:is>
      </x:c>
      <x:c r="E842" t="inlineStr">
        <x:is>
          <x:t xml:space="preserve">กล่อง 12 แท่ง</x:t>
        </x:is>
      </x:c>
      <x:c r="F842" t="inlineStr">
        <x:is>
          <x:t xml:space="preserve">Hydrocortisone Micronized 5 mg+Cinchocaine HCl 5 mg/1 Suppository</x:t>
        </x:is>
      </x:c>
      <x:c r="G842" t="inlineStr">
        <x:is>
          <x:t xml:space="preserve">BDS003162</x:t>
        </x:is>
      </x:c>
      <x:c r="H842" t="inlineStr">
        <x:is>
          <x:t xml:space="preserve">Proctosedyl Suppositories (12 sticks)</x:t>
        </x:is>
      </x:c>
      <x:c r="I842" t="inlineStr">
        <x:is>
          <x:t xml:space="preserve">เหน็บยาเข้าทางทวารหนัก 1 แท่ง วันละ 2 ครั้ง เช้า-เย็น</x:t>
        </x:is>
      </x:c>
    </x:row>
    <x:row r="843">
      <x:c r="A843" t="n">
        <x:v>841</x:v>
      </x:c>
      <x:c r="B843" t="inlineStr">
        <x:is>
          <x:t xml:space="preserve">ยาหยอดหู</x:t>
        </x:is>
      </x:c>
      <x:c r="C843" t="n">
        <x:v>1712</x:v>
      </x:c>
      <x:c r="D843" t="inlineStr">
        <x:is>
          <x:t xml:space="preserve">Dewax Ear Drops</x:t>
        </x:is>
      </x:c>
      <x:c r="E843" t="inlineStr">
        <x:is>
          <x:t xml:space="preserve">ขวด 15 ml.</x:t>
        </x:is>
      </x:c>
      <x:c r="F843" t="inlineStr">
        <x:is>
          <x:t xml:space="preserve">Docusate Sodium 0.5% w/v (5 mg./1 ml.)</x:t>
        </x:is>
      </x:c>
      <x:c r="G843" t="inlineStr">
        <x:is>
          <x:t xml:space="preserve">BDS001712</x:t>
        </x:is>
      </x:c>
      <x:c r="H843" t="inlineStr">
        <x:is>
          <x:t xml:space="preserve">Dewax Ear Drops (15 ml.)</x:t>
        </x:is>
      </x:c>
      <x:c r="I843" t="inlineStr">
        <x:is>
          <x:t xml:space="preserve">หยอดยาลงในหู 5-10 หยด ทิ้งไว้ 15 นาที วันละ 2 ครั้ง หรือตามแพทย์สั่ง  </x:t>
        </x:is>
      </x:c>
    </x:row>
    <x:row r="844">
      <x:c r="A844" t="n">
        <x:v>842</x:v>
      </x:c>
      <x:c r="B844" t="inlineStr">
        <x:is>
          <x:t xml:space="preserve">ยาทารักษาหูด</x:t>
        </x:is>
      </x:c>
      <x:c r="C844" t="n">
        <x:v>1468</x:v>
      </x:c>
      <x:c r="D844" t="inlineStr">
        <x:is>
          <x:t xml:space="preserve">Con Con</x:t>
        </x:is>
      </x:c>
      <x:c r="E844" t="inlineStr">
        <x:is>
          <x:t xml:space="preserve">ขวด 15 ml.</x:t>
        </x:is>
      </x:c>
      <x:c r="F844" t="inlineStr">
        <x:is>
          <x:t xml:space="preserve">Salicylic Acid 25 g.+Liquified Phenol 1.5 ml./100 ml.</x:t>
        </x:is>
      </x:c>
      <x:c r="G844" t="inlineStr">
        <x:is>
          <x:t xml:space="preserve">BDS001468</x:t>
        </x:is>
      </x:c>
      <x:c r="H844" t="inlineStr">
        <x:is>
          <x:t xml:space="preserve">Con Con (15 ml.)</x:t>
        </x:is>
      </x:c>
      <x:c r="I844" t="inlineStr">
        <x:is>
          <x:t xml:space="preserve">ทายาบนตาปลาหรือหูด  วันละ  2-3 ครั้ง</x:t>
        </x:is>
      </x:c>
      <x:c r="P844" t="inlineStr">
        <x:is>
          <x:t xml:space="preserve">Wart treatment</x:t>
        </x:is>
      </x:c>
    </x:row>
    <x:row r="845">
      <x:c r="A845" t="n">
        <x:v>843</x:v>
      </x:c>
      <x:c r="B845" t="inlineStr">
        <x:is>
          <x:t xml:space="preserve">ยาทารักษาหูด</x:t>
        </x:is>
      </x:c>
      <x:c r="C845" t="n">
        <x:v>47738</x:v>
      </x:c>
      <x:c r="D845" t="inlineStr">
        <x:is>
          <x:t xml:space="preserve">SOS Plus Corn Plaster Removal</x:t>
        </x:is>
      </x:c>
      <x:c r="E845" t="inlineStr">
        <x:is>
          <x:t xml:space="preserve">กล่อง 4 ชิ้น </x:t>
        </x:is>
      </x:c>
      <x:c r="F845" t="inlineStr">
        <x:is>
          <x:t xml:space="preserve">Salicylic acid 40 g (40%w/w)+Titanium dioxide+Liquid paraffin+Polyvinyl alkyl ethers+อื่นๆ</x:t>
        </x:is>
      </x:c>
      <x:c r="G845" t="inlineStr">
        <x:is>
          <x:t xml:space="preserve">BDS047738</x:t>
        </x:is>
      </x:c>
      <x:c r="H845" t="inlineStr">
        <x:is>
          <x:t xml:space="preserve">SOS Plus Corn Plaster Removal (4 pieces)</x:t>
        </x:is>
      </x:c>
      <x:c r="I845" t="inlineStr">
        <x:is>
          <x:t xml:space="preserve">ดึงแถบพลาสติกออก แล้วปิดพลาสเตอร์โดยให้ผ้าก๊อซอยู่กึ่งกลางของแผล//เปลี่ยนแผ่นยาและพลาสเตอร์ทุกวันจนกว่าจะหาย</x:t>
        </x:is>
      </x:c>
      <x:c r="P845" t="inlineStr">
        <x:is>
          <x:t xml:space="preserve">Wart treatment</x:t>
        </x:is>
      </x:c>
    </x:row>
    <x:row r="846">
      <x:c r="A846" t="n">
        <x:v>844</x:v>
      </x:c>
      <x:c r="B846" t="inlineStr">
        <x:is>
          <x:t xml:space="preserve">ยาล้างแผล</x:t>
        </x:is>
      </x:c>
      <x:c r="C846" t="n">
        <x:v>1023</x:v>
      </x:c>
      <x:c r="D846" t="inlineStr">
        <x:is>
          <x:t xml:space="preserve">Alcohol Alsoff กลาง</x:t>
        </x:is>
      </x:c>
      <x:c r="E846" t="inlineStr">
        <x:is>
          <x:t xml:space="preserve">ขวด 180 ml.</x:t>
        </x:is>
      </x:c>
      <x:c r="F846" t="inlineStr">
        <x:is>
          <x:t xml:space="preserve">Ethyl Alcohol Solution 70% v/v</x:t>
        </x:is>
      </x:c>
      <x:c r="G846" t="inlineStr">
        <x:is>
          <x:t xml:space="preserve">BDS001023</x:t>
        </x:is>
      </x:c>
      <x:c r="H846" t="inlineStr">
        <x:is>
          <x:t xml:space="preserve">Alcohol Alsoff กลาง (180 ml.)</x:t>
        </x:is>
      </x:c>
      <x:c r="I846" t="inlineStr">
        <x:is>
          <x:t xml:space="preserve">ใช้สำลีชุบยา แล้วเช็ดบริเวณรอบบาดแผล หรือบริเวณที่ต้องการฆ่าเชื้อโรค</x:t>
        </x:is>
      </x:c>
    </x:row>
    <x:row r="847">
      <x:c r="A847" t="n">
        <x:v>845</x:v>
      </x:c>
      <x:c r="B847" t="inlineStr">
        <x:is>
          <x:t xml:space="preserve">ยาล้างแผล</x:t>
        </x:is>
      </x:c>
      <x:c r="C847" t="n">
        <x:v>1018</x:v>
      </x:c>
      <x:c r="D847" t="inlineStr">
        <x:is>
          <x:t xml:space="preserve">Alcohol Alsoff ใหญ่</x:t>
        </x:is>
      </x:c>
      <x:c r="E847" t="inlineStr">
        <x:is>
          <x:t xml:space="preserve">ขวด 450 ml.</x:t>
        </x:is>
      </x:c>
      <x:c r="F847" t="inlineStr">
        <x:is>
          <x:t xml:space="preserve">Ethyl Alcohol Solution 70% v/v</x:t>
        </x:is>
      </x:c>
      <x:c r="G847" t="inlineStr">
        <x:is>
          <x:t xml:space="preserve">BDS001018</x:t>
        </x:is>
      </x:c>
      <x:c r="H847" t="inlineStr">
        <x:is>
          <x:t xml:space="preserve">Alcohol Alsoff ใหญ่ (450 ml.)</x:t>
        </x:is>
      </x:c>
      <x:c r="I847" t="inlineStr">
        <x:is>
          <x:t xml:space="preserve">ใช้สำลีชุบยา แล้วเช็ดบริเวณรอบบาดแผล หรือบริเวณที่ต้องการฆ่าเชื้อโรค</x:t>
        </x:is>
      </x:c>
    </x:row>
    <x:row r="848">
      <x:c r="A848" t="n">
        <x:v>846</x:v>
      </x:c>
      <x:c r="B848" t="inlineStr">
        <x:is>
          <x:t xml:space="preserve">ครีมรักษาผิวแห้ง</x:t>
        </x:is>
      </x:c>
      <x:c r="C848" t="n">
        <x:v>1682</x:v>
      </x:c>
      <x:c r="D848" t="inlineStr">
        <x:is>
          <x:t xml:space="preserve">Diabederm Urea Cream 10%</x:t>
        </x:is>
      </x:c>
      <x:c r="E848" t="inlineStr">
        <x:is>
          <x:t xml:space="preserve">หลอด 35 g.</x:t>
        </x:is>
      </x:c>
      <x:c r="F848" t="inlineStr">
        <x:is>
          <x:t xml:space="preserve">10% Urea</x:t>
        </x:is>
      </x:c>
      <x:c r="G848" t="inlineStr">
        <x:is>
          <x:t xml:space="preserve">BDS001682</x:t>
        </x:is>
      </x:c>
      <x:c r="H848" t="inlineStr">
        <x:is>
          <x:t xml:space="preserve">Diabederm Urea Cream 10% (35 g.)</x:t>
        </x:is>
      </x:c>
      <x:c r="I848" t="inlineStr">
        <x:is>
          <x:t xml:space="preserve">ทาบริเวณที่เป็น วันละ 1-3 ครั้ง</x:t>
        </x:is>
      </x:c>
      <x:c r="P848" t="inlineStr">
        <x:is>
          <x:t xml:space="preserve">Dry skin creams</x:t>
        </x:is>
      </x:c>
    </x:row>
    <x:row r="849">
      <x:c r="A849" t="n">
        <x:v>847</x:v>
      </x:c>
      <x:c r="B849" t="inlineStr">
        <x:is>
          <x:t xml:space="preserve">ครีมรักษาผิวแห้ง</x:t>
        </x:is>
      </x:c>
      <x:c r="C849" t="n">
        <x:v>1683</x:v>
      </x:c>
      <x:c r="D849" t="inlineStr">
        <x:is>
          <x:t xml:space="preserve">Diabederm Urea Cream 20%</x:t>
        </x:is>
      </x:c>
      <x:c r="E849" t="inlineStr">
        <x:is>
          <x:t xml:space="preserve">หลอด 35 g.</x:t>
        </x:is>
      </x:c>
      <x:c r="F849" t="inlineStr">
        <x:is>
          <x:t xml:space="preserve">20% Urea</x:t>
        </x:is>
      </x:c>
      <x:c r="G849" t="inlineStr">
        <x:is>
          <x:t xml:space="preserve">BDS001683</x:t>
        </x:is>
      </x:c>
      <x:c r="H849" t="inlineStr">
        <x:is>
          <x:t xml:space="preserve">Diabederm Urea Cream 20% (35 g.)</x:t>
        </x:is>
      </x:c>
      <x:c r="I849" t="inlineStr">
        <x:is>
          <x:t xml:space="preserve">ทาบริเวณที่เป็น วันละ 1-3 ครั้ง</x:t>
        </x:is>
      </x:c>
      <x:c r="P849" t="inlineStr">
        <x:is>
          <x:t xml:space="preserve">Dry skin creams</x:t>
        </x:is>
      </x:c>
    </x:row>
    <x:row r="850">
      <x:c r="A850" t="n">
        <x:v>848</x:v>
      </x:c>
      <x:c r="B850" t="inlineStr">
        <x:is>
          <x:t xml:space="preserve">น้ำยาบ้วนปาก</x:t>
        </x:is>
      </x:c>
      <x:c r="C850" t="n">
        <x:v>40609</x:v>
      </x:c>
      <x:c r="D850" t="inlineStr">
        <x:is>
          <x:t xml:space="preserve">Betadine Gargle</x:t>
        </x:is>
      </x:c>
      <x:c r="E850" t="inlineStr">
        <x:is>
          <x:t xml:space="preserve">ขวด 30 ml.</x:t>
        </x:is>
      </x:c>
      <x:c r="F850" t="inlineStr">
        <x:is>
          <x:t xml:space="preserve">Povidone-Iodine 70 mg./1 ml.</x:t>
        </x:is>
      </x:c>
      <x:c r="G850" t="inlineStr">
        <x:is>
          <x:t xml:space="preserve">BDS040609</x:t>
        </x:is>
      </x:c>
      <x:c r="H850" t="inlineStr">
        <x:is>
          <x:t xml:space="preserve">Betadine Gargle (30 ml.)</x:t>
        </x:is>
      </x:c>
      <x:c r="I850" t="inlineStr">
        <x:is>
          <x:t xml:space="preserve">หยดน้ำยา 1-2 ml. ในถ้วยผสม เติมน้ำสะอาดจบครบ 30 ml. ใช้อมกลั้วคอ 30 วินาทีแล้วบ้วนทิ้ง  วันละ 2-3 ครั้ง</x:t>
        </x:is>
      </x:c>
      <x:c r="P850" t="inlineStr">
        <x:is>
          <x:t xml:space="preserve">Mouthwash / throat/oral care</x:t>
        </x:is>
      </x:c>
    </x:row>
    <x:row r="851">
      <x:c r="A851" t="n">
        <x:v>849</x:v>
      </x:c>
      <x:c r="B851" t="inlineStr">
        <x:is>
          <x:t xml:space="preserve">น้ำยาบ้วนปาก</x:t>
        </x:is>
      </x:c>
      <x:c r="C851" t="n">
        <x:v>1407</x:v>
      </x:c>
      <x:c r="D851" t="inlineStr">
        <x:is>
          <x:t xml:space="preserve">C-20 Blue Sally</x:t>
        </x:is>
      </x:c>
      <x:c r="E851" t="inlineStr">
        <x:is>
          <x:t xml:space="preserve">ขวด 180 ml.</x:t>
        </x:is>
      </x:c>
      <x:c r="F851" t="inlineStr">
        <x:is>
          <x:t xml:space="preserve">Chlorhexidine Gluconate 0.12 g./100 ml.</x:t>
        </x:is>
      </x:c>
      <x:c r="G851" t="inlineStr">
        <x:is>
          <x:t xml:space="preserve">BDS001407</x:t>
        </x:is>
      </x:c>
      <x:c r="H851" t="inlineStr">
        <x:is>
          <x:t xml:space="preserve">C-20 Blue Sally (180 ml.)</x:t>
        </x:is>
      </x:c>
      <x:c r="I851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</x:t>
        </x:is>
      </x:c>
      <x:c r="P851" t="inlineStr">
        <x:is>
          <x:t xml:space="preserve">Mouthwash / throat/oral care</x:t>
        </x:is>
      </x:c>
    </x:row>
    <x:row r="852">
      <x:c r="A852" t="n">
        <x:v>850</x:v>
      </x:c>
      <x:c r="B852" t="inlineStr">
        <x:is>
          <x:t xml:space="preserve">น้ำยาบ้วนปาก</x:t>
        </x:is>
      </x:c>
      <x:c r="C852" t="n">
        <x:v>1406</x:v>
      </x:c>
      <x:c r="D852" t="inlineStr">
        <x:is>
          <x:t xml:space="preserve">C-20 Original เล็ก</x:t>
        </x:is>
      </x:c>
      <x:c r="E852" t="inlineStr">
        <x:is>
          <x:t xml:space="preserve">ขวด 180 ml.</x:t>
        </x:is>
      </x:c>
      <x:c r="F852" t="inlineStr">
        <x:is>
          <x:t xml:space="preserve">Chlorhexidine Gluconate 0.12 g./100 ml.</x:t>
        </x:is>
      </x:c>
      <x:c r="G852" t="inlineStr">
        <x:is>
          <x:t xml:space="preserve">BDS001406</x:t>
        </x:is>
      </x:c>
      <x:c r="H852" t="inlineStr">
        <x:is>
          <x:t xml:space="preserve">C-20 Original เล็ก (180 ml.)</x:t>
        </x:is>
      </x:c>
      <x:c r="I852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852" t="inlineStr">
        <x:is>
          <x:t xml:space="preserve">Mouthwash / throat/oral care</x:t>
        </x:is>
      </x:c>
    </x:row>
    <x:row r="853">
      <x:c r="A853" t="n">
        <x:v>851</x:v>
      </x:c>
      <x:c r="B853" t="inlineStr">
        <x:is>
          <x:t xml:space="preserve">น้ำยาบ้วนปาก</x:t>
        </x:is>
      </x:c>
      <x:c r="C853" t="n">
        <x:v>1409</x:v>
      </x:c>
      <x:c r="D853" t="inlineStr">
        <x:is>
          <x:t xml:space="preserve">C-20 Original ใหญ่</x:t>
        </x:is>
      </x:c>
      <x:c r="E853" t="inlineStr">
        <x:is>
          <x:t xml:space="preserve">ขวด 360 ml.</x:t>
        </x:is>
      </x:c>
      <x:c r="F853" t="inlineStr">
        <x:is>
          <x:t xml:space="preserve">Chlorhexidine Gluconate 0.12 g./100 ml.</x:t>
        </x:is>
      </x:c>
      <x:c r="G853" t="inlineStr">
        <x:is>
          <x:t xml:space="preserve">BDS001409</x:t>
        </x:is>
      </x:c>
      <x:c r="H853" t="inlineStr">
        <x:is>
          <x:t xml:space="preserve">C-20 Original ใหญ่ (360 ml.)</x:t>
        </x:is>
      </x:c>
      <x:c r="I853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853" t="inlineStr">
        <x:is>
          <x:t xml:space="preserve">Mouthwash / throat/oral care</x:t>
        </x:is>
      </x:c>
    </x:row>
    <x:row r="854">
      <x:c r="A854" t="n">
        <x:v>852</x:v>
      </x:c>
      <x:c r="B854" t="inlineStr">
        <x:is>
          <x:t xml:space="preserve">น้ำยาบ้วนปาก</x:t>
        </x:is>
      </x:c>
      <x:c r="C854" t="n">
        <x:v>46547</x:v>
      </x:c>
      <x:c r="D854" t="inlineStr">
        <x:is>
          <x:t xml:space="preserve">Puvadon Gargle</x:t>
        </x:is>
      </x:c>
      <x:c r="E854" t="inlineStr">
        <x:is>
          <x:t xml:space="preserve">ขวด 30 ml.</x:t>
        </x:is>
      </x:c>
      <x:c r="F854" t="inlineStr">
        <x:is>
          <x:t xml:space="preserve">Povidone-Iodine 70 mg eq. to Iodine 7 mg/1 ml.</x:t>
        </x:is>
      </x:c>
      <x:c r="G854" t="inlineStr">
        <x:is>
          <x:t xml:space="preserve">BDS046547</x:t>
        </x:is>
      </x:c>
      <x:c r="H854" t="inlineStr">
        <x:is>
          <x:t xml:space="preserve">Puvadon Gargle (30 ml.)</x:t>
        </x:is>
      </x:c>
      <x:c r="I854" t="inlineStr">
        <x:is>
          <x:t xml:space="preserve">หยดน้ำยา 1 ml. ในถ้วยผสม เติมน้ำสะอาดจนครบ 30 ml. ใช้อมกลั้วคอ 30 วินาทีแล้วบ้วนทิ้ง  วันละ 3-4 ครั้ง</x:t>
        </x:is>
      </x:c>
      <x:c r="P854" t="inlineStr">
        <x:is>
          <x:t xml:space="preserve">Mouthwash / throat/oral care</x:t>
        </x:is>
      </x:c>
    </x:row>
    <x:row r="855">
      <x:c r="A855" t="n">
        <x:v>853</x:v>
      </x:c>
      <x:c r="B855" t="inlineStr">
        <x:is>
          <x:t xml:space="preserve">ยาหยอดตาฆ่าเชื้อ (D)</x:t>
        </x:is>
      </x:c>
      <x:c r="C855" t="n">
        <x:v>1462</x:v>
      </x:c>
      <x:c r="D855" t="inlineStr">
        <x:is>
          <x:t xml:space="preserve">Cravit Ophthalmic Solution</x:t>
        </x:is>
      </x:c>
      <x:c r="E855" t="inlineStr">
        <x:is>
          <x:t xml:space="preserve">ขวด 5 ml.</x:t>
        </x:is>
      </x:c>
      <x:c r="F855" t="inlineStr">
        <x:is>
          <x:t xml:space="preserve">Levofloxacin 0.5%/1 ml.</x:t>
        </x:is>
      </x:c>
      <x:c r="G855" t="inlineStr">
        <x:is>
          <x:t xml:space="preserve">BDS001462</x:t>
        </x:is>
      </x:c>
      <x:c r="H855" t="inlineStr">
        <x:is>
          <x:t xml:space="preserve">Cravit Ophthalmic Solution (5 ml.)</x:t>
        </x:is>
      </x:c>
      <x:c r="I855" t="inlineStr">
        <x:is>
          <x:t xml:space="preserve">หยอดตาครั้งละ 1 หยด วันละ 3 ครั้ง หรือตามแพทย์สั่ง </x:t>
        </x:is>
      </x:c>
    </x:row>
    <x:row r="856">
      <x:c r="A856" t="n">
        <x:v>854</x:v>
      </x:c>
      <x:c r="B856" t="inlineStr">
        <x:is>
          <x:t xml:space="preserve">ยาหยอดตาฆ่าเชื้อ (D)</x:t>
        </x:is>
      </x:c>
      <x:c r="C856" t="n">
        <x:v>1606</x:v>
      </x:c>
      <x:c r="D856" t="inlineStr">
        <x:is>
          <x:t xml:space="preserve">Grafadex</x:t>
        </x:is>
      </x:c>
      <x:c r="E856" t="inlineStr">
        <x:is>
          <x:t xml:space="preserve">ขวด 5 ml.</x:t>
        </x:is>
      </x:c>
      <x:c r="F856" t="inlineStr">
        <x:is>
          <x:t xml:space="preserve">Gentamicin 0.3 %w/v+Preservative (Benzalkonium Chloride)</x:t>
        </x:is>
      </x:c>
      <x:c r="G856" t="inlineStr">
        <x:is>
          <x:t xml:space="preserve">BDS001606</x:t>
        </x:is>
      </x:c>
      <x:c r="H856" t="inlineStr">
        <x:is>
          <x:t xml:space="preserve">Grafadex (5 ml.)</x:t>
        </x:is>
      </x:c>
      <x:c r="I856" t="inlineStr">
        <x:is>
          <x:t xml:space="preserve">หยอดตาครั้งละ 1-2 หยด ทุกๆ 4 ชั่วโมง หรือตามแพทย์สั่ง </x:t>
        </x:is>
      </x:c>
    </x:row>
    <x:row r="857">
      <x:c r="A857" t="n">
        <x:v>855</x:v>
      </x:c>
      <x:c r="B857" t="inlineStr">
        <x:is>
          <x:t xml:space="preserve">ยาหยอดตาฆ่าเชื้อ (D)</x:t>
        </x:is>
      </x:c>
      <x:c r="C857" t="n">
        <x:v>4018</x:v>
      </x:c>
      <x:c r="D857" t="inlineStr">
        <x:is>
          <x:t xml:space="preserve">Vigamox</x:t>
        </x:is>
      </x:c>
      <x:c r="E857" t="inlineStr">
        <x:is>
          <x:t xml:space="preserve">ขวด 5 ml.</x:t>
        </x:is>
      </x:c>
      <x:c r="F857" t="inlineStr">
        <x:is>
          <x:t xml:space="preserve">Moxifloxacin Hydrochloride 5.45 mg. (eq. to Moxifloxacin 5 mg.)+Boric Acid+Sodium Chloride+Hydrochloric Acid+Sodium Hydroxide/1 ml.</x:t>
        </x:is>
      </x:c>
      <x:c r="G857" t="inlineStr">
        <x:is>
          <x:t xml:space="preserve">BDS004018</x:t>
        </x:is>
      </x:c>
      <x:c r="H857" t="inlineStr">
        <x:is>
          <x:t xml:space="preserve">Vigamox (5 ml.)</x:t>
        </x:is>
      </x:c>
      <x:c r="I857" t="inlineStr">
        <x:is>
          <x:t xml:space="preserve">หยอดตาครั้งละ 1 หยด วันละ 3 ครั้ง ติดต่อกัน 4 วัน หรือตามแพทย์สั่ง </x:t>
        </x:is>
      </x:c>
    </x:row>
    <x:row r="858">
      <x:c r="A858" t="n">
        <x:v>856</x:v>
      </x:c>
      <x:c r="B858" t="inlineStr">
        <x:is>
          <x:t xml:space="preserve">ยาสอดช่องคลอด (D)</x:t>
        </x:is>
      </x:c>
      <x:c r="C858" t="n">
        <x:v>2034</x:v>
      </x:c>
      <x:c r="D858" t="inlineStr">
        <x:is>
          <x:t xml:space="preserve">Gynecon ยาสอด</x:t>
        </x:is>
      </x:c>
      <x:c r="E858" t="inlineStr">
        <x:is>
          <x:t xml:space="preserve">กล่อง 7 เม็ด</x:t>
        </x:is>
      </x:c>
      <x:c r="F858" t="inlineStr">
        <x:is>
          <x:t xml:space="preserve">Nystatin 100,000 Unit+Di-iodohydroxyquin 100 mg.+Benzalkonium Cl 7 mg.</x:t>
        </x:is>
      </x:c>
      <x:c r="G858" t="inlineStr">
        <x:is>
          <x:t xml:space="preserve">BDS002034</x:t>
        </x:is>
      </x:c>
      <x:c r="H858" t="inlineStr">
        <x:is>
          <x:t xml:space="preserve">Gynecon ยาสอด (7 tabs)</x:t>
        </x:is>
      </x:c>
      <x:c r="I858" t="inlineStr">
        <x:is>
          <x:t xml:space="preserve">สอดเข้าช่องคลอดครั้งละ 1 เม็ด วันละ 1-2 ครั้ง เช้าและก่อนนอน เป็นเวลา  6-7 วัน หรือตามแพทย์สั่ง</x:t>
        </x:is>
      </x:c>
    </x:row>
    <x:row r="859">
      <x:c r="A859" t="n">
        <x:v>857</x:v>
      </x:c>
      <x:c r="B859" t="inlineStr">
        <x:is>
          <x:t xml:space="preserve">ยาสอดช่องคลอด (D)</x:t>
        </x:is>
      </x:c>
      <x:c r="C859" t="n">
        <x:v>45605</x:v>
      </x:c>
      <x:c r="D859" t="inlineStr">
        <x:is>
          <x:t xml:space="preserve">Neo-Penotran Forte</x:t>
        </x:is>
      </x:c>
      <x:c r="E859" t="inlineStr">
        <x:is>
          <x:t xml:space="preserve">กล่อง 7 เม็ด</x:t>
        </x:is>
      </x:c>
      <x:c r="F859" t="inlineStr">
        <x:is>
          <x:t xml:space="preserve">Metronidazole 750 mg.+Miconazole Nitrate 200 mg.</x:t>
        </x:is>
      </x:c>
      <x:c r="G859" t="inlineStr">
        <x:is>
          <x:t xml:space="preserve">BDS045605</x:t>
        </x:is>
      </x:c>
      <x:c r="H859" t="inlineStr">
        <x:is>
          <x:t xml:space="preserve">Neo-Penotran Forte (7 tabs)</x:t>
        </x:is>
      </x:c>
      <x:c r="I859" t="inlineStr">
        <x:is>
          <x:t xml:space="preserve">สอดช่องคลอดครั้งละ 1 เม็ด วันละ 1 ครั้ง ก่อนนอน ติดต่อกันเป็นเวลา 7 วัน</x:t>
        </x:is>
      </x:c>
    </x:row>
    <x:row r="860">
      <x:c r="A860" t="n">
        <x:v>858</x:v>
      </x:c>
      <x:c r="B860" t="inlineStr">
        <x:is>
          <x:t xml:space="preserve">ยาสอดช่องคลอด (D)</x:t>
        </x:is>
      </x:c>
      <x:c r="C860" t="n">
        <x:v>8491</x:v>
      </x:c>
      <x:c r="D860" t="inlineStr">
        <x:is>
          <x:t xml:space="preserve">Vagicin</x:t>
        </x:is>
      </x:c>
      <x:c r="E860" t="inlineStr">
        <x:is>
          <x:t xml:space="preserve">กล่อง 1 แผง</x:t>
        </x:is>
      </x:c>
      <x:c r="F860" t="inlineStr">
        <x:is>
          <x:t xml:space="preserve">Nystatin 100,000 units.+Chloramphenicol 250 mg.+Diiodohydroxyguin 100 mg.</x:t>
        </x:is>
      </x:c>
      <x:c r="G860" t="inlineStr">
        <x:is>
          <x:t xml:space="preserve">BDS008491</x:t>
        </x:is>
      </x:c>
      <x:c r="H860" t="inlineStr">
        <x:is>
          <x:t xml:space="preserve">Vagicin (1 blister)</x:t>
        </x:is>
      </x:c>
      <x:c r="I860" t="inlineStr">
        <x:is>
          <x:t xml:space="preserve">สอดเข้าช่องคลอด ครั้งละ 1 เม็ด วันละ 1-2 ครั้ง เช้าและก่อนนอน ติดต่อกันครบ 14 วัน หรือตามแพทย์สั่ง </x:t>
        </x:is>
      </x:c>
    </x:row>
    <x:row r="861">
      <x:c r="A861" t="n">
        <x:v>859</x:v>
      </x:c>
      <x:c r="B861" t="inlineStr">
        <x:is>
          <x:t xml:space="preserve">ยาทาแก้แพ้, แก้คัน</x:t>
        </x:is>
      </x:c>
      <x:c r="C861" t="n">
        <x:v>8031</x:v>
      </x:c>
      <x:c r="D861" t="inlineStr">
        <x:is>
          <x:t xml:space="preserve">Cabana Lotion</x:t>
        </x:is>
      </x:c>
      <x:c r="E861" t="inlineStr">
        <x:is>
          <x:t xml:space="preserve">ขวด 60 ml.</x:t>
        </x:is>
      </x:c>
      <x:c r="F861" t="inlineStr">
        <x:is>
          <x:t xml:space="preserve">Diphenhydramine HCl 10 mg.+Calamine 100 mg.+Zinc Oxide 30 mg./1 ml.</x:t>
        </x:is>
      </x:c>
      <x:c r="G861" t="inlineStr">
        <x:is>
          <x:t xml:space="preserve">BDS008031</x:t>
        </x:is>
      </x:c>
      <x:c r="H861" t="inlineStr">
        <x:is>
          <x:t xml:space="preserve">Cabana Lotion (60 ml.)</x:t>
        </x:is>
      </x:c>
      <x:c r="I861" t="inlineStr">
        <x:is>
          <x:t xml:space="preserve">ทาบริเวณผิวหนังที่มีผื่นคัน หรือลมพิษ วันละ 2-3 ครั้ง หรือเมื่อมีอาการ</x:t>
        </x:is>
      </x:c>
      <x:c r="P861" t="inlineStr">
        <x:is>
          <x:t xml:space="preserve">Eczema/diaper rash / anti-itch topicals</x:t>
        </x:is>
      </x:c>
    </x:row>
    <x:row r="862">
      <x:c r="A862" t="n">
        <x:v>860</x:v>
      </x:c>
      <x:c r="B862" t="inlineStr">
        <x:is>
          <x:t xml:space="preserve">ยาทาแก้แพ้, แก้คัน</x:t>
        </x:is>
      </x:c>
      <x:c r="C862" t="n">
        <x:v>1402</x:v>
      </x:c>
      <x:c r="D862" t="inlineStr">
        <x:is>
          <x:t xml:space="preserve">Cadramine-V เล็ก</x:t>
        </x:is>
      </x:c>
      <x:c r="E862" t="inlineStr">
        <x:is>
          <x:t xml:space="preserve">ขวด 60 ml.</x:t>
        </x:is>
      </x:c>
      <x:c r="F862" t="inlineStr">
        <x:is>
          <x:t xml:space="preserve">Diphenhydramine HCl 10 mg.+Calamine 100 mg.+Zinc oxide 30 mg.+Camphor 15 mg./1 ml.</x:t>
        </x:is>
      </x:c>
      <x:c r="G862" t="inlineStr">
        <x:is>
          <x:t xml:space="preserve">BDS001402</x:t>
        </x:is>
      </x:c>
      <x:c r="H862" t="inlineStr">
        <x:is>
          <x:t xml:space="preserve">Cadramine-V เล็ก (60 ml.)</x:t>
        </x:is>
      </x:c>
      <x:c r="I862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862" t="inlineStr">
        <x:is>
          <x:t xml:space="preserve">Eczema/diaper rash / anti-itch topicals</x:t>
        </x:is>
      </x:c>
    </x:row>
    <x:row r="863">
      <x:c r="A863" t="n">
        <x:v>861</x:v>
      </x:c>
      <x:c r="B863" t="inlineStr">
        <x:is>
          <x:t xml:space="preserve">ยาทาแก้แพ้, แก้คัน</x:t>
        </x:is>
      </x:c>
      <x:c r="C863" t="n">
        <x:v>1403</x:v>
      </x:c>
      <x:c r="D863" t="inlineStr">
        <x:is>
          <x:t xml:space="preserve">Cadramine-V ใหญ่</x:t>
        </x:is>
      </x:c>
      <x:c r="E863" t="inlineStr">
        <x:is>
          <x:t xml:space="preserve">ขวด 120 ml.</x:t>
        </x:is>
      </x:c>
      <x:c r="F863" t="inlineStr">
        <x:is>
          <x:t xml:space="preserve">Diphenhydramine HCl 10 mg.+Calamine 100 mg.+Zinc oxide 30 mg.+Camphor 15 mg./1 ml.</x:t>
        </x:is>
      </x:c>
      <x:c r="G863" t="inlineStr">
        <x:is>
          <x:t xml:space="preserve">BDS001403</x:t>
        </x:is>
      </x:c>
      <x:c r="H863" t="inlineStr">
        <x:is>
          <x:t xml:space="preserve">Cadramine-V ใหญ่ (120 ml.)</x:t>
        </x:is>
      </x:c>
      <x:c r="I863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863" t="inlineStr">
        <x:is>
          <x:t xml:space="preserve">Eczema/diaper rash / anti-itch topicals</x:t>
        </x:is>
      </x:c>
    </x:row>
    <x:row r="864">
      <x:c r="A864" t="n">
        <x:v>862</x:v>
      </x:c>
      <x:c r="B864" t="inlineStr">
        <x:is>
          <x:t xml:space="preserve">ยาทาแก้แพ้, แก้คัน</x:t>
        </x:is>
      </x:c>
      <x:c r="C864" t="n">
        <x:v>1846</x:v>
      </x:c>
      <x:c r="D864" t="inlineStr">
        <x:is>
          <x:t xml:space="preserve">Fenistil Gel</x:t>
        </x:is>
      </x:c>
      <x:c r="E864" t="inlineStr">
        <x:is>
          <x:t xml:space="preserve">หลอด 20 g.</x:t>
        </x:is>
      </x:c>
      <x:c r="F864" t="inlineStr">
        <x:is>
          <x:t xml:space="preserve">Dimethindene maleate 1 mg.</x:t>
        </x:is>
      </x:c>
      <x:c r="G864" t="inlineStr">
        <x:is>
          <x:t xml:space="preserve">BDS001846</x:t>
        </x:is>
      </x:c>
      <x:c r="H864" t="inlineStr">
        <x:is>
          <x:t xml:space="preserve">Fenistil Gel (20 g.)</x:t>
        </x:is>
      </x:c>
      <x:c r="I864" t="inlineStr">
        <x:is>
          <x:t xml:space="preserve">ทาบางๆ บริเวณที่มีอาการ วันละ 2-4 ครั้ง</x:t>
        </x:is>
      </x:c>
      <x:c r="P864" t="inlineStr">
        <x:is>
          <x:t xml:space="preserve">Eczema/diaper rash / anti-itch topicals</x:t>
        </x:is>
      </x:c>
    </x:row>
    <x:row r="865">
      <x:c r="A865" t="n">
        <x:v>863</x:v>
      </x:c>
      <x:c r="B865" t="inlineStr">
        <x:is>
          <x:t xml:space="preserve">ยาทาแก้แพ้, แก้คัน</x:t>
        </x:is>
      </x:c>
      <x:c r="C865" t="n">
        <x:v>3669</x:v>
      </x:c>
      <x:c r="D865" t="inlineStr">
        <x:is>
          <x:t xml:space="preserve">Systral Cream เล็ก</x:t>
        </x:is>
      </x:c>
      <x:c r="E865" t="inlineStr">
        <x:is>
          <x:t xml:space="preserve">หลอด 10 g.</x:t>
        </x:is>
      </x:c>
      <x:c r="F865" t="inlineStr">
        <x:is>
          <x:t xml:space="preserve">Chlorphenoxamine HCl 1.5 %</x:t>
        </x:is>
      </x:c>
      <x:c r="G865" t="inlineStr">
        <x:is>
          <x:t xml:space="preserve">BDS003669</x:t>
        </x:is>
      </x:c>
      <x:c r="H865" t="inlineStr">
        <x:is>
          <x:t xml:space="preserve">Systral Cream เล็ก (10 g.)</x:t>
        </x:is>
      </x:c>
      <x:c r="I865" t="inlineStr">
        <x:is>
          <x:t xml:space="preserve">ทาบางๆ บริเวณที่มีอาการ วันละ 3-4 ครั้ง</x:t>
        </x:is>
      </x:c>
      <x:c r="P865" t="inlineStr">
        <x:is>
          <x:t xml:space="preserve">Eczema/diaper rash / anti-itch topicals</x:t>
        </x:is>
      </x:c>
    </x:row>
    <x:row r="866">
      <x:c r="A866" t="n">
        <x:v>864</x:v>
      </x:c>
      <x:c r="B866" t="inlineStr">
        <x:is>
          <x:t xml:space="preserve">ยาทาแก้แพ้, แก้คัน</x:t>
        </x:is>
      </x:c>
      <x:c r="C866" t="n">
        <x:v>3681</x:v>
      </x:c>
      <x:c r="D866" t="inlineStr">
        <x:is>
          <x:t xml:space="preserve">Systral Cream ใหญ่</x:t>
        </x:is>
      </x:c>
      <x:c r="E866" t="inlineStr">
        <x:is>
          <x:t xml:space="preserve">หลอด 25 g.</x:t>
        </x:is>
      </x:c>
      <x:c r="F866" t="inlineStr">
        <x:is>
          <x:t xml:space="preserve">Chlorphenoxamine HCl 1.5 %</x:t>
        </x:is>
      </x:c>
      <x:c r="G866" t="inlineStr">
        <x:is>
          <x:t xml:space="preserve">BDS003681</x:t>
        </x:is>
      </x:c>
      <x:c r="H866" t="inlineStr">
        <x:is>
          <x:t xml:space="preserve">Systral Cream ใหญ่ (25 g.)</x:t>
        </x:is>
      </x:c>
      <x:c r="I866" t="inlineStr">
        <x:is>
          <x:t xml:space="preserve">ทาบางๆ บริเวณที่มีอาการ วันละ 3-4 ครั้ง</x:t>
        </x:is>
      </x:c>
      <x:c r="P866" t="inlineStr">
        <x:is>
          <x:t xml:space="preserve">Eczema/diaper rash / anti-itch topicals</x:t>
        </x:is>
      </x:c>
    </x:row>
    <x:row r="867">
      <x:c r="A867" t="n">
        <x:v>865</x:v>
      </x:c>
      <x:c r="B867" t="inlineStr">
        <x:is>
          <x:t xml:space="preserve">น้ำตาเทียม (D)</x:t>
        </x:is>
      </x:c>
      <x:c r="C867" t="n">
        <x:v>3904</x:v>
      </x:c>
      <x:c r="D867" t="inlineStr">
        <x:is>
          <x:t xml:space="preserve">Vidisic Gel</x:t>
        </x:is>
      </x:c>
      <x:c r="E867" t="inlineStr">
        <x:is>
          <x:t xml:space="preserve">หลอด 10 g.</x:t>
        </x:is>
      </x:c>
      <x:c r="F867" t="inlineStr">
        <x:is>
          <x:t xml:space="preserve">Carbomer 2 mg.+Cetrimide 0.1 mg.+Sorbitol+Sodium hydroxide +Water for injections/1 g.</x:t>
        </x:is>
      </x:c>
      <x:c r="G867" t="inlineStr">
        <x:is>
          <x:t xml:space="preserve">BDS003904</x:t>
        </x:is>
      </x:c>
      <x:c r="H867" t="inlineStr">
        <x:is>
          <x:t xml:space="preserve">Vidisic Gel (10 g.)</x:t>
        </x:is>
      </x:c>
      <x:c r="I867" t="inlineStr">
        <x:is>
          <x:t xml:space="preserve">ป้ายตา วันละ 3-5 ครั้ง</x:t>
        </x:is>
      </x:c>
      <x:c r="P867" t="inlineStr">
        <x:is>
          <x:t xml:space="preserve">Artificial tears / eye lubricants</x:t>
        </x:is>
      </x:c>
    </x:row>
    <x:row r="868">
      <x:c r="A868" t="n">
        <x:v>866</x:v>
      </x:c>
      <x:c r="B868" t="inlineStr">
        <x:is>
          <x:t xml:space="preserve">ยาหยอดหู (D)</x:t>
        </x:is>
      </x:c>
      <x:c r="C868" t="n">
        <x:v>42303</x:v>
      </x:c>
      <x:c r="D868" t="inlineStr">
        <x:is>
          <x:t xml:space="preserve">Docusate Earwax</x:t>
        </x:is>
      </x:c>
      <x:c r="E868" t="inlineStr">
        <x:is>
          <x:t xml:space="preserve">ขวด 15 ml.</x:t>
        </x:is>
      </x:c>
      <x:c r="F868" t="inlineStr">
        <x:is>
          <x:t xml:space="preserve">Docusate Sodium 5 mg./1 ml.</x:t>
        </x:is>
      </x:c>
      <x:c r="G868" t="inlineStr">
        <x:is>
          <x:t xml:space="preserve">BDS042303</x:t>
        </x:is>
      </x:c>
      <x:c r="H868" t="inlineStr">
        <x:is>
          <x:t xml:space="preserve">Docusate Earwax (15 ml.)</x:t>
        </x:is>
      </x:c>
      <x:c r="I868" t="inlineStr">
        <x:is>
          <x:t xml:space="preserve">หยอดยาลงในหู 5-10 หยด ทิ้งไว้ 15 นาที วันละ 2 ครั้ง หรือตามแพทย์สั่ง  </x:t>
        </x:is>
      </x:c>
    </x:row>
    <x:row r="869">
      <x:c r="A869" t="n">
        <x:v>867</x:v>
      </x:c>
      <x:c r="B869" t="inlineStr">
        <x:is>
          <x:t xml:space="preserve">ยาทารักษาหูด (D)</x:t>
        </x:is>
      </x:c>
      <x:c r="C869" t="n">
        <x:v>1102</x:v>
      </x:c>
      <x:c r="D869" t="inlineStr">
        <x:is>
          <x:t xml:space="preserve">Aldara</x:t>
        </x:is>
      </x:c>
      <x:c r="E869" t="inlineStr">
        <x:is>
          <x:t xml:space="preserve">ซอง 0.25 g.</x:t>
        </x:is>
      </x:c>
      <x:c r="F869" t="inlineStr">
        <x:is>
          <x:t xml:space="preserve">Imiquimod 5% w/w</x:t>
        </x:is>
      </x:c>
      <x:c r="G869" t="inlineStr">
        <x:is>
          <x:t xml:space="preserve">BDS001102</x:t>
        </x:is>
      </x:c>
      <x:c r="H869" t="inlineStr">
        <x:is>
          <x:t xml:space="preserve">Aldara (0.25 g.)</x:t>
        </x:is>
      </x:c>
      <x:c r="I869" t="inlineStr">
        <x:is>
          <x:t xml:space="preserve">ทาครีมที่หูด วันละ 1 ครั้ง ก่อนนอน สัปดาห์ละ 3 ครั้ง ต่อเนื่องจนกว่าหูดจะหลุด</x:t>
        </x:is>
      </x:c>
      <x:c r="P869" t="inlineStr">
        <x:is>
          <x:t xml:space="preserve">Wart treatment</x:t>
        </x:is>
      </x:c>
    </x:row>
    <x:row r="870">
      <x:c r="A870" t="n">
        <x:v>868</x:v>
      </x:c>
      <x:c r="B870" t="inlineStr">
        <x:is>
          <x:t xml:space="preserve">ยาทาแก้แพ้และฆ่าเชื้อแบคทีเรีย (D)</x:t>
        </x:is>
      </x:c>
      <x:c r="C870" t="n">
        <x:v>1236</x:v>
      </x:c>
      <x:c r="D870" t="inlineStr">
        <x:is>
          <x:t xml:space="preserve">Betagram ใหญ่</x:t>
        </x:is>
      </x:c>
      <x:c r="E870" t="inlineStr">
        <x:is>
          <x:t xml:space="preserve">หลอด 15 g.</x:t>
        </x:is>
      </x:c>
      <x:c r="F870" t="inlineStr">
        <x:is>
          <x:t xml:space="preserve">Betamethasone Valerate (eq. to Betamethasone 0.1%)+Gentamicin Sulfate (eq. to Gentamicin 0.1%)</x:t>
        </x:is>
      </x:c>
      <x:c r="G870" t="inlineStr">
        <x:is>
          <x:t xml:space="preserve">BDS001236</x:t>
        </x:is>
      </x:c>
      <x:c r="H870" t="inlineStr">
        <x:is>
          <x:t xml:space="preserve">Betagram ใหญ่ (15 g.)</x:t>
        </x:is>
      </x:c>
      <x:c r="I870" t="inlineStr">
        <x:is>
          <x:t xml:space="preserve">ทาครีมบางๆ บริเวณที่มีอาการวันละ 2-3 ครั้ง</x:t>
        </x:is>
      </x:c>
    </x:row>
    <x:row r="871">
      <x:c r="A871" t="n">
        <x:v>869</x:v>
      </x:c>
      <x:c r="B871" t="inlineStr">
        <x:is>
          <x:t xml:space="preserve">ยาทาแก้แพ้และฆ่าเชื้อแบคทีเรีย (D)</x:t>
        </x:is>
      </x:c>
      <x:c r="C871" t="n">
        <x:v>7505</x:v>
      </x:c>
      <x:c r="D871" t="inlineStr">
        <x:is>
          <x:t xml:space="preserve">Betatone-N Cream เล็ก</x:t>
        </x:is>
      </x:c>
      <x:c r="E871" t="inlineStr">
        <x:is>
          <x:t xml:space="preserve">หลอด 5 g.</x:t>
        </x:is>
      </x:c>
      <x:c r="F871" t="inlineStr">
        <x:is>
          <x:t xml:space="preserve">Betamethasone Valerate (eq. to Betamethasone 1 mg)+Neomycin Sulphate 5 mg (eq. to Neomycin 3 mg)/1 g</x:t>
        </x:is>
      </x:c>
      <x:c r="G871" t="inlineStr">
        <x:is>
          <x:t xml:space="preserve">BDS007505</x:t>
        </x:is>
      </x:c>
      <x:c r="H871" t="inlineStr">
        <x:is>
          <x:t xml:space="preserve">Betatone-N Cream เล็ก (5 g.)</x:t>
        </x:is>
      </x:c>
      <x:c r="I871" t="inlineStr">
        <x:is>
          <x:t xml:space="preserve">ทาครีมบางๆ บริเวณที่มีอาการ วันละ 2-3 ครั้ง</x:t>
        </x:is>
      </x:c>
    </x:row>
    <x:row r="872">
      <x:c r="A872" t="n">
        <x:v>870</x:v>
      </x:c>
      <x:c r="B872" t="inlineStr">
        <x:is>
          <x:t xml:space="preserve">ยาทาแก้แพ้และฆ่าเชื้อแบคทีเรีย (D)</x:t>
        </x:is>
      </x:c>
      <x:c r="C872" t="n">
        <x:v>7506</x:v>
      </x:c>
      <x:c r="D872" t="inlineStr">
        <x:is>
          <x:t xml:space="preserve">Betatone-N Cream ใหญ่</x:t>
        </x:is>
      </x:c>
      <x:c r="E872" t="inlineStr">
        <x:is>
          <x:t xml:space="preserve">หลอด 15 g.</x:t>
        </x:is>
      </x:c>
      <x:c r="F872" t="inlineStr">
        <x:is>
          <x:t xml:space="preserve">Betamethasone Valerate (eq. to Betamethasone 1 mg)+Neomycin Sulphate 5 mg (eq. to Neomycin 3 mg)/1 g</x:t>
        </x:is>
      </x:c>
      <x:c r="G872" t="inlineStr">
        <x:is>
          <x:t xml:space="preserve">BDS007506</x:t>
        </x:is>
      </x:c>
      <x:c r="H872" t="inlineStr">
        <x:is>
          <x:t xml:space="preserve">Betatone-N Cream ใหญ่ (15 g.)</x:t>
        </x:is>
      </x:c>
      <x:c r="I872" t="inlineStr">
        <x:is>
          <x:t xml:space="preserve">ทาครีมบางๆ บริเวณที่มีอาการ วันละ 2-3 ครั้ง</x:t>
        </x:is>
      </x:c>
    </x:row>
    <x:row r="873">
      <x:c r="A873" t="n">
        <x:v>871</x:v>
      </x:c>
      <x:c r="B873" t="inlineStr">
        <x:is>
          <x:t xml:space="preserve">ยาทาแก้แพ้และฆ่าเชื้อแบคทีเรีย (D)</x:t>
        </x:is>
      </x:c>
      <x:c r="C873" t="n">
        <x:v>1250</x:v>
      </x:c>
      <x:c r="D873" t="inlineStr">
        <x:is>
          <x:t xml:space="preserve">Betnovate-N Cream ใหญ่</x:t>
        </x:is>
      </x:c>
      <x:c r="E873" t="inlineStr">
        <x:is>
          <x:t xml:space="preserve">หลอด 15 g.</x:t>
        </x:is>
      </x:c>
      <x:c r="F873" t="inlineStr">
        <x:is>
          <x:t xml:space="preserve">Betamethasone 17-Valerate 0.1% w/w + Neomycin Sulphate 0.5% w/w</x:t>
        </x:is>
      </x:c>
      <x:c r="G873" t="inlineStr">
        <x:is>
          <x:t xml:space="preserve">BDS001250</x:t>
        </x:is>
      </x:c>
      <x:c r="H873" t="inlineStr">
        <x:is>
          <x:t xml:space="preserve">Betnovate-N Cream ใหญ่ (15 g.)</x:t>
        </x:is>
      </x:c>
      <x:c r="I873" t="inlineStr">
        <x:is>
          <x:t xml:space="preserve">ทาครีมบางๆ บริเวณที่มีอาการ วันละ 2-3 ครั้ง</x:t>
        </x:is>
      </x:c>
    </x:row>
    <x:row r="874">
      <x:c r="A874" t="n">
        <x:v>872</x:v>
      </x:c>
      <x:c r="B874" t="inlineStr">
        <x:is>
          <x:t xml:space="preserve">ยาทาแก้แพ้และฆ่าเชื้อแบคทีเรีย (D)</x:t>
        </x:is>
      </x:c>
      <x:c r="C874" t="n">
        <x:v>1908</x:v>
      </x:c>
      <x:c r="D874" t="inlineStr">
        <x:is>
          <x:t xml:space="preserve">Fucicort Cream</x:t>
        </x:is>
      </x:c>
      <x:c r="E874" t="inlineStr">
        <x:is>
          <x:t xml:space="preserve">หลอด 5 g.</x:t>
        </x:is>
      </x:c>
      <x:c r="F874" t="inlineStr">
        <x:is>
          <x:t xml:space="preserve">Fusidic acid 20 mg+Betamethasone Valerate (eq. to Betamethasone 1 mg)+Preservative (Chlorocresol)/1 g</x:t>
        </x:is>
      </x:c>
      <x:c r="G874" t="inlineStr">
        <x:is>
          <x:t xml:space="preserve">BDS001908</x:t>
        </x:is>
      </x:c>
      <x:c r="H874" t="inlineStr">
        <x:is>
          <x:t xml:space="preserve">Fucicort Cream (5 g.)</x:t>
        </x:is>
      </x:c>
      <x:c r="I874" t="inlineStr">
        <x:is>
          <x:t xml:space="preserve">ทาครีมบางๆ บริเวณที่มีอาการ วันละ 2-3 ครั้ง</x:t>
        </x:is>
      </x:c>
    </x:row>
    <x:row r="875">
      <x:c r="A875" t="n">
        <x:v>873</x:v>
      </x:c>
      <x:c r="B875" t="inlineStr">
        <x:is>
          <x:t xml:space="preserve">ยาทาแก้แพ้และฆ่าเชื้อแบคทีเรีย (D)</x:t>
        </x:is>
      </x:c>
      <x:c r="C875" t="n">
        <x:v>1910</x:v>
      </x:c>
      <x:c r="D875" t="inlineStr">
        <x:is>
          <x:t xml:space="preserve">Fucidin H Cream</x:t>
        </x:is>
      </x:c>
      <x:c r="E875" t="inlineStr">
        <x:is>
          <x:t xml:space="preserve">หลอด 5 g.</x:t>
        </x:is>
      </x:c>
      <x:c r="F875" t="inlineStr">
        <x:is>
          <x:t xml:space="preserve">Fusidic acid 20 mg+Hydrocortisone Acetate 10 mg+อื่นๆ/1 g</x:t>
        </x:is>
      </x:c>
      <x:c r="G875" t="inlineStr">
        <x:is>
          <x:t xml:space="preserve">BDS001910</x:t>
        </x:is>
      </x:c>
      <x:c r="H875" t="inlineStr">
        <x:is>
          <x:t xml:space="preserve">Fucidin H Cream (5 g.)</x:t>
        </x:is>
      </x:c>
      <x:c r="I875" t="inlineStr">
        <x:is>
          <x:t xml:space="preserve">ทาครีมบางๆ บริเวณที่มีอาการ วันละ 2-3 ครั้ง</x:t>
        </x:is>
      </x:c>
    </x:row>
    <x:row r="876">
      <x:c r="A876" t="n">
        <x:v>874</x:v>
      </x:c>
      <x:c r="B876" t="inlineStr">
        <x:is>
          <x:t xml:space="preserve">ยาทาแก้แพ้สูตรผสม (D)</x:t>
        </x:is>
      </x:c>
      <x:c r="C876" t="n">
        <x:v>1678</x:v>
      </x:c>
      <x:c r="D876" t="inlineStr">
        <x:is>
          <x:t xml:space="preserve">Dermacombin Cream</x:t>
        </x:is>
      </x:c>
      <x:c r="E876" t="inlineStr">
        <x:is>
          <x:t xml:space="preserve">หลอด 5 g.</x:t>
        </x:is>
      </x:c>
      <x:c r="F876" t="inlineStr">
        <x:is>
          <x:t xml:space="preserve">Nystatin 100,000 Units+Neomycin Sulphate (eq. to Neomycin 2.5 mg)+Gramicidin 0.25 mg+Triamcinolone Acetonide 1 mg/1 g</x:t>
        </x:is>
      </x:c>
      <x:c r="G876" t="inlineStr">
        <x:is>
          <x:t xml:space="preserve">BDS001678</x:t>
        </x:is>
      </x:c>
      <x:c r="H876" t="inlineStr">
        <x:is>
          <x:t xml:space="preserve">Dermacombin Cream (5 g.)</x:t>
        </x:is>
      </x:c>
      <x:c r="I876" t="inlineStr">
        <x:is>
          <x:t xml:space="preserve">ทาครีมบางๆ บริเวณผิวหนังที่เป็น วันละ 2-3 ครั้ง</x:t>
        </x:is>
      </x:c>
    </x:row>
    <x:row r="877">
      <x:c r="A877" t="n">
        <x:v>875</x:v>
      </x:c>
      <x:c r="B877" t="inlineStr">
        <x:is>
          <x:t xml:space="preserve">ยาทาแก้แพ้สูตรผสม (D)</x:t>
        </x:is>
      </x:c>
      <x:c r="C877" t="n">
        <x:v>1628</x:v>
      </x:c>
      <x:c r="D877" t="inlineStr">
        <x:is>
          <x:t xml:space="preserve">Dermaheu Cream เล็ก</x:t>
        </x:is>
      </x:c>
      <x:c r="E877" t="inlineStr">
        <x:is>
          <x:t xml:space="preserve">หลอด 5 g.</x:t>
        </x:is>
      </x:c>
      <x:c r="F877" t="inlineStr">
        <x:is>
          <x:t xml:space="preserve">Betamethasone Dipropionate (eq. to Betamethasone 0.05 g+Gentamicin Sulfate (eq. to Gentamicin 0.1 g)+Tolnaftate 1 g+Iodochlorhydroxyquin 1 g/100 g</x:t>
        </x:is>
      </x:c>
      <x:c r="G877" t="inlineStr">
        <x:is>
          <x:t xml:space="preserve">BDS001628</x:t>
        </x:is>
      </x:c>
      <x:c r="H877" t="inlineStr">
        <x:is>
          <x:t xml:space="preserve">Dermaheu Cream เล็ก (5 g.)</x:t>
        </x:is>
      </x:c>
      <x:c r="I877" t="inlineStr">
        <x:is>
          <x:t xml:space="preserve">ทาครีมบางๆ บริเวณผิวหนังที่เป็น วันละ 2-3 ครั้ง</x:t>
        </x:is>
      </x:c>
    </x:row>
    <x:row r="878">
      <x:c r="A878" t="n">
        <x:v>876</x:v>
      </x:c>
      <x:c r="B878" t="inlineStr">
        <x:is>
          <x:t xml:space="preserve">ยาทาแก้แพ้สูตรผสม (D)</x:t>
        </x:is>
      </x:c>
      <x:c r="C878" t="n">
        <x:v>1629</x:v>
      </x:c>
      <x:c r="D878" t="inlineStr">
        <x:is>
          <x:t xml:space="preserve">Dermaheu Cream ใหญ่</x:t>
        </x:is>
      </x:c>
      <x:c r="E878" t="inlineStr">
        <x:is>
          <x:t xml:space="preserve">หลอด 15 g.</x:t>
        </x:is>
      </x:c>
      <x:c r="F878" t="inlineStr">
        <x:is>
          <x:t xml:space="preserve">Betamethasone Dipropionate (eq. to Betamethasone 0.05 g+Gentamicin Sulfate (eq. to Gentamicin 0.1 g)+Tolnaftate 1 g+Iodochlorhydroxyquin 1 g/100 g</x:t>
        </x:is>
      </x:c>
      <x:c r="G878" t="inlineStr">
        <x:is>
          <x:t xml:space="preserve">BDS001629</x:t>
        </x:is>
      </x:c>
      <x:c r="H878" t="inlineStr">
        <x:is>
          <x:t xml:space="preserve">Dermaheu Cream ใหญ่ (15 g.)</x:t>
        </x:is>
      </x:c>
      <x:c r="I878" t="inlineStr">
        <x:is>
          <x:t xml:space="preserve">ทาครีมบางๆ บริเวณผิวหนังที่เป็น วันละ 2-3 ครั้ง</x:t>
        </x:is>
      </x:c>
    </x:row>
    <x:row r="879">
      <x:c r="A879" t="n">
        <x:v>877</x:v>
      </x:c>
      <x:c r="B879" t="inlineStr">
        <x:is>
          <x:t xml:space="preserve">ยาทาแก้แพ้สูตรผสม (D)</x:t>
        </x:is>
      </x:c>
      <x:c r="C879" t="n">
        <x:v>6718</x:v>
      </x:c>
      <x:c r="D879" t="inlineStr">
        <x:is>
          <x:t xml:space="preserve">Dertec Cream เล็ก</x:t>
        </x:is>
      </x:c>
      <x:c r="E879" t="inlineStr">
        <x:is>
          <x:t xml:space="preserve">หลอด 5 g.</x:t>
        </x:is>
      </x:c>
      <x:c r="F879" t="inlineStr">
        <x:is>
          <x:t xml:space="preserve">Betamethasone Valerate (eq. to Betamethasone 0.5 mg)+Gentamicin Sulfate (eq. to Gentamicin 1 mg)+Tolnaftate 10 mg+Iodochlorhydroxyquin 10 mg/1 g</x:t>
        </x:is>
      </x:c>
      <x:c r="G879" t="inlineStr">
        <x:is>
          <x:t xml:space="preserve">BDS006718</x:t>
        </x:is>
      </x:c>
      <x:c r="H879" t="inlineStr">
        <x:is>
          <x:t xml:space="preserve">Dertec Cream เล็ก (5 g.)</x:t>
        </x:is>
      </x:c>
      <x:c r="I879" t="inlineStr">
        <x:is>
          <x:t xml:space="preserve">ทาบางๆ บริเวณที่มีอาการ วันละ 2-3 ครั้ง หรือตามแพทย์สั่ง</x:t>
        </x:is>
      </x:c>
    </x:row>
    <x:row r="880">
      <x:c r="A880" t="n">
        <x:v>878</x:v>
      </x:c>
      <x:c r="B880" t="inlineStr">
        <x:is>
          <x:t xml:space="preserve">ยาทาแก้แพ้สูตรผสม (D)</x:t>
        </x:is>
      </x:c>
      <x:c r="C880" t="n">
        <x:v>6011</x:v>
      </x:c>
      <x:c r="D880" t="inlineStr">
        <x:is>
          <x:t xml:space="preserve">Dertec Cream ใหญ่</x:t>
        </x:is>
      </x:c>
      <x:c r="E880" t="inlineStr">
        <x:is>
          <x:t xml:space="preserve">หลอด 15 g.</x:t>
        </x:is>
      </x:c>
      <x:c r="F880" t="inlineStr">
        <x:is>
          <x:t xml:space="preserve">Betamethasone Valerate (eq. to Betamethasone 0.5 mg)+Gentamicin Sulfate (eq. to Gentamicin 1 mg)+Tolnaftate 10 mg+Iodochlorhydroxyquin 10 mg/1 g</x:t>
        </x:is>
      </x:c>
      <x:c r="G880" t="inlineStr">
        <x:is>
          <x:t xml:space="preserve">BDS006011</x:t>
        </x:is>
      </x:c>
      <x:c r="H880" t="inlineStr">
        <x:is>
          <x:t xml:space="preserve">Dertec Cream ใหญ่ (15 g.)</x:t>
        </x:is>
      </x:c>
      <x:c r="I880" t="inlineStr">
        <x:is>
          <x:t xml:space="preserve">ทาบางๆ บริเวณที่มีอาการ วันละ 2-3 ครั้ง หรือตามแพทย์สั่ง</x:t>
        </x:is>
      </x:c>
    </x:row>
    <x:row r="881">
      <x:c r="A881" t="n">
        <x:v>879</x:v>
      </x:c>
      <x:c r="B881" t="inlineStr">
        <x:is>
          <x:t xml:space="preserve">ยาทาแก้แพ้สูตรผสม (D)</x:t>
        </x:is>
      </x:c>
      <x:c r="C881" t="n">
        <x:v>3301</x:v>
      </x:c>
      <x:c r="D881" t="inlineStr">
        <x:is>
          <x:t xml:space="preserve">Quadriderm Cream เล็ก</x:t>
        </x:is>
      </x:c>
      <x:c r="E881" t="inlineStr">
        <x:is>
          <x:t xml:space="preserve">หลอด 5 g.</x:t>
        </x:is>
      </x:c>
      <x:c r="F881" t="inlineStr">
        <x:is>
          <x:t xml:space="preserve">Betamethasone Valerate (eq. to Betamethasone 0.5 mg)+Gentamicin Sulfate (eq. to Gentamicin 1 mg)+Tolnaftate 10 mg+Iodochlorhydroxyquin 10 mg/1 g</x:t>
        </x:is>
      </x:c>
      <x:c r="G881" t="inlineStr">
        <x:is>
          <x:t xml:space="preserve">BDS003301</x:t>
        </x:is>
      </x:c>
      <x:c r="H881" t="inlineStr">
        <x:is>
          <x:t xml:space="preserve">Quadriderm Cream เล็ก (5 g.)</x:t>
        </x:is>
      </x:c>
      <x:c r="I881" t="inlineStr">
        <x:is>
          <x:t xml:space="preserve">ทาครีมบางๆ บริเวณผิวหนังที่เป็น วันละ 2-3 ครั้ง</x:t>
        </x:is>
      </x:c>
    </x:row>
    <x:row r="882">
      <x:c r="A882" t="n">
        <x:v>880</x:v>
      </x:c>
      <x:c r="B882" t="inlineStr">
        <x:is>
          <x:t xml:space="preserve">ยาทาแก้แพ้สูตรผสม (D)</x:t>
        </x:is>
      </x:c>
      <x:c r="C882" t="n">
        <x:v>3302</x:v>
      </x:c>
      <x:c r="D882" t="inlineStr">
        <x:is>
          <x:t xml:space="preserve">Quadriderm Cream ใหญ่</x:t>
        </x:is>
      </x:c>
      <x:c r="E882" t="inlineStr">
        <x:is>
          <x:t xml:space="preserve">หลอด 15 g.</x:t>
        </x:is>
      </x:c>
      <x:c r="F882" t="inlineStr">
        <x:is>
          <x:t xml:space="preserve">Betamethasone Valerate (eq. to Betamethasone 0.5 mg)+Gentamicin Sulfate (eq. to Gentamicin 1 mg)+Tolnaftate 10 mg+Iodochlorhydroxyquin 10 mg/1 g</x:t>
        </x:is>
      </x:c>
      <x:c r="G882" t="inlineStr">
        <x:is>
          <x:t xml:space="preserve">BDS003302</x:t>
        </x:is>
      </x:c>
      <x:c r="H882" t="inlineStr">
        <x:is>
          <x:t xml:space="preserve">Quadriderm Cream ใหญ่ (15 g.)</x:t>
        </x:is>
      </x:c>
      <x:c r="I882" t="inlineStr">
        <x:is>
          <x:t xml:space="preserve">ทาครีมบางๆ บริเวณผิวหนังที่เป็น วันละ 2-3 ครั้ง</x:t>
        </x:is>
      </x:c>
    </x:row>
    <x:row r="883">
      <x:c r="A883" t="n">
        <x:v>881</x:v>
      </x:c>
      <x:c r="B883" t="inlineStr">
        <x:is>
          <x:t xml:space="preserve">ยาทาแก้แพ้, ผื่นผ้าอ้อม</x:t>
        </x:is>
      </x:c>
      <x:c r="C883" t="n">
        <x:v>1219</x:v>
      </x:c>
      <x:c r="D883" t="inlineStr">
        <x:is>
          <x:t xml:space="preserve">Bepanthen Ointment</x:t>
        </x:is>
      </x:c>
      <x:c r="E883" t="inlineStr">
        <x:is>
          <x:t xml:space="preserve">หลอด 30 g.</x:t>
        </x:is>
      </x:c>
      <x:c r="F883" t="inlineStr">
        <x:is>
          <x:t xml:space="preserve">Dexpanthenol 50 mg.</x:t>
        </x:is>
      </x:c>
      <x:c r="G883" t="inlineStr">
        <x:is>
          <x:t xml:space="preserve">BDS001219</x:t>
        </x:is>
      </x:c>
      <x:c r="H883" t="inlineStr">
        <x:is>
          <x:t xml:space="preserve">Bepanthen Ointment (30 g.)</x:t>
        </x:is>
      </x:c>
      <x:c r="I883" t="inlineStr">
        <x:is>
          <x:t xml:space="preserve">ทาทุกครั้งที่เปลี่ยนผ้าอ้อม ภายหลังจากได้ทำความสะอาดก้นเด็กด้วยการใช้น้ำ แล้วซับให้แห้ง </x:t>
        </x:is>
      </x:c>
      <x:c r="P883" t="inlineStr">
        <x:is>
          <x:t xml:space="preserve">Eczema/diaper rash / anti-itch topicals</x:t>
        </x:is>
      </x:c>
    </x:row>
    <x:row r="884">
      <x:c r="A884" t="n">
        <x:v>882</x:v>
      </x:c>
      <x:c r="B884" t="inlineStr">
        <x:is>
          <x:t xml:space="preserve">ยาทาแก้แพ้, ผื่นผ้าอ้อม</x:t>
        </x:is>
      </x:c>
      <x:c r="C884" t="n">
        <x:v>2806</x:v>
      </x:c>
      <x:c r="D884" t="inlineStr">
        <x:is>
          <x:t xml:space="preserve">Nappy-Hippo</x:t>
        </x:is>
      </x:c>
      <x:c r="E884" t="inlineStr">
        <x:is>
          <x:t xml:space="preserve">หลอด 25 g.</x:t>
        </x:is>
      </x:c>
      <x:c r="F884" t="inlineStr">
        <x:is>
          <x:t xml:space="preserve">Zinc Oxide 7.5 g./100 g.</x:t>
        </x:is>
      </x:c>
      <x:c r="G884" t="inlineStr">
        <x:is>
          <x:t xml:space="preserve">BDS002806</x:t>
        </x:is>
      </x:c>
      <x:c r="H884" t="inlineStr">
        <x:is>
          <x:t xml:space="preserve">Nappy-Hippo (25 g.)</x:t>
        </x:is>
      </x:c>
      <x:c r="I884" t="inlineStr">
        <x:is>
          <x:t xml:space="preserve">ทาครีมบางๆ บริเวณที่มีอาการ วันละ 3-4 ครั้ง</x:t>
        </x:is>
      </x:c>
      <x:c r="P884" t="inlineStr">
        <x:is>
          <x:t xml:space="preserve">Eczema/diaper rash / anti-itch topicals</x:t>
        </x:is>
      </x:c>
    </x:row>
    <x:row r="885">
      <x:c r="A885" t="n">
        <x:v>883</x:v>
      </x:c>
      <x:c r="B885" t="inlineStr">
        <x:is>
          <x:t xml:space="preserve">ยาพ่นและยาหยอดจมูก (D)</x:t>
        </x:is>
      </x:c>
      <x:c r="C885" t="n">
        <x:v>1009</x:v>
      </x:c>
      <x:c r="D885" t="inlineStr">
        <x:is>
          <x:t xml:space="preserve">Avamys</x:t>
        </x:is>
      </x:c>
      <x:c r="E885" t="inlineStr">
        <x:is>
          <x:t xml:space="preserve">ขวด 120 doses</x:t>
        </x:is>
      </x:c>
      <x:c r="F885" t="inlineStr">
        <x:is>
          <x:t xml:space="preserve">Fluticasone furoate 27.5 mcg/spray+Preservative (Benzalkonium Chloride)+อื่นๆ</x:t>
        </x:is>
      </x:c>
      <x:c r="G885" t="inlineStr">
        <x:is>
          <x:t xml:space="preserve">BDS001009</x:t>
        </x:is>
      </x:c>
      <x:c r="H885" t="inlineStr">
        <x:is>
          <x:t xml:space="preserve">Avamys (120 doses)</x:t>
        </x:is>
      </x:c>
      <x:c r="I885" t="inlineStr">
        <x:is>
          <x:t xml:space="preserve">พ่นเข้าจมูกข้างละ 1-2 ครั้ง วันละ 1 ครั้ง หรือตามแพทย์สั่ง </x:t>
        </x:is>
      </x:c>
    </x:row>
    <x:row r="886">
      <x:c r="A886" t="n">
        <x:v>884</x:v>
      </x:c>
      <x:c r="B886" t="inlineStr">
        <x:is>
          <x:t xml:space="preserve">ยาพ่นและยาหยอดจมูก (D)</x:t>
        </x:is>
      </x:c>
      <x:c r="C886" t="n">
        <x:v>40624</x:v>
      </x:c>
      <x:c r="D886" t="inlineStr">
        <x:is>
          <x:t xml:space="preserve">Busonase</x:t>
        </x:is>
      </x:c>
      <x:c r="E886" t="inlineStr">
        <x:is>
          <x:t xml:space="preserve">ขวด 6 ml.</x:t>
        </x:is>
      </x:c>
      <x:c r="F886" t="inlineStr">
        <x:is>
          <x:t xml:space="preserve">budesonide 1.28 mg/1 ml (64 mcg/dose)</x:t>
        </x:is>
      </x:c>
      <x:c r="G886" t="inlineStr">
        <x:is>
          <x:t xml:space="preserve">BDS040624</x:t>
        </x:is>
      </x:c>
      <x:c r="H886" t="inlineStr">
        <x:is>
          <x:t xml:space="preserve">Busonase (6 ml.)</x:t>
        </x:is>
      </x:c>
      <x:c r="I886" t="inlineStr">
        <x:is>
          <x:t xml:space="preserve">พ่นเข้าจมูกแต่ละข้าง 1-2 สเปรย์ วันละ 2 ครั้ง หรือตามแพทย์สั่ง </x:t>
        </x:is>
      </x:c>
    </x:row>
    <x:row r="887">
      <x:c r="A887" t="n">
        <x:v>885</x:v>
      </x:c>
      <x:c r="B887" t="inlineStr">
        <x:is>
          <x:t xml:space="preserve">ยาพ่นและยาหยอดจมูก (D)</x:t>
        </x:is>
      </x:c>
      <x:c r="C887" t="n">
        <x:v>2874</x:v>
      </x:c>
      <x:c r="D887" t="inlineStr">
        <x:is>
          <x:t xml:space="preserve">Nasacort AQ Spray Suspension</x:t>
        </x:is>
      </x:c>
      <x:c r="E887" t="inlineStr">
        <x:is>
          <x:t xml:space="preserve">ขวด 120 doses</x:t>
        </x:is>
      </x:c>
      <x:c r="F887" t="inlineStr">
        <x:is>
          <x:t xml:space="preserve">Triamcinolone Acetonide 9.075 mg/16.5 g (55 mcg/dose)+Preservative (Benzalkonium Chloride)+อื่นๆ</x:t>
        </x:is>
      </x:c>
      <x:c r="G887" t="inlineStr">
        <x:is>
          <x:t xml:space="preserve">BDS002874</x:t>
        </x:is>
      </x:c>
      <x:c r="H887" t="inlineStr">
        <x:is>
          <x:t xml:space="preserve">Nasacort AQ Spray Suspension (120 doses)</x:t>
        </x:is>
      </x:c>
      <x:c r="I887" t="inlineStr">
        <x:is>
          <x:t xml:space="preserve">พ่นเข้าจมูกข้างละ 1-2 ครั้ง วันละ 2 ครั้ง หรือตามแพทย์สั่ง </x:t>
        </x:is>
      </x:c>
    </x:row>
    <x:row r="888">
      <x:c r="A888" t="n">
        <x:v>886</x:v>
      </x:c>
      <x:c r="B888" t="inlineStr">
        <x:is>
          <x:t xml:space="preserve">ยาพ่นและยาหยอดจมูก (D)</x:t>
        </x:is>
      </x:c>
      <x:c r="C888" t="n">
        <x:v>45641</x:v>
      </x:c>
      <x:c r="D888" t="inlineStr">
        <x:is>
          <x:t xml:space="preserve">Nasol Nebuliser</x:t>
        </x:is>
      </x:c>
      <x:c r="E888" t="inlineStr">
        <x:is>
          <x:t xml:space="preserve">ขวด 15 ml.</x:t>
        </x:is>
      </x:c>
      <x:c r="F888" t="inlineStr">
        <x:is>
          <x:t xml:space="preserve">Naphazoline HCl 1 mg+Chlorpheniramine Maleate 2.5 mg/1 ml</x:t>
        </x:is>
      </x:c>
      <x:c r="G888" t="inlineStr">
        <x:is>
          <x:t xml:space="preserve">BDS045641</x:t>
        </x:is>
      </x:c>
      <x:c r="H888" t="inlineStr">
        <x:is>
          <x:t xml:space="preserve">Nasol Nebuliser (15 ml.)</x:t>
        </x:is>
      </x:c>
      <x:c r="I888" t="inlineStr">
        <x:is>
          <x:t xml:space="preserve">พ่นเข้าช่องจมูกข้างละ 1-2 สเปรย์ ทุก 4-6 ชั่วโมง หรือตามแพทย์สั่ง </x:t>
        </x:is>
      </x:c>
    </x:row>
    <x:row r="889">
      <x:c r="A889" t="n">
        <x:v>887</x:v>
      </x:c>
      <x:c r="B889" t="inlineStr">
        <x:is>
          <x:t xml:space="preserve">ยาพ่นและยาหยอดจมูก (D)</x:t>
        </x:is>
      </x:c>
      <x:c r="C889" t="n">
        <x:v>2807</x:v>
      </x:c>
      <x:c r="D889" t="inlineStr">
        <x:is>
          <x:t xml:space="preserve">Nasonex 140 doses</x:t>
        </x:is>
      </x:c>
      <x:c r="E889" t="inlineStr">
        <x:is>
          <x:t xml:space="preserve">ขวด 140 doses</x:t>
        </x:is>
      </x:c>
      <x:c r="F889" t="inlineStr">
        <x:is>
          <x:t xml:space="preserve">Mometasone Furoate Monohydrate (eq. to Mometasone Furoate 50 mcg/dose)+Preservative (Benzalkonium Chloride 0.2 mg/g)</x:t>
        </x:is>
      </x:c>
      <x:c r="G889" t="inlineStr">
        <x:is>
          <x:t xml:space="preserve">BDS002807</x:t>
        </x:is>
      </x:c>
      <x:c r="H889" t="inlineStr">
        <x:is>
          <x:t xml:space="preserve">Nasonex 140 doses (140 doses)</x:t>
        </x:is>
      </x:c>
      <x:c r="I889" t="inlineStr">
        <x:is>
          <x:t xml:space="preserve">ผู้ใหญ่พ่นเข้าจมูกข้างละ 2-4 สเปรย์ วันละ 1-2 ครั้ง หรือตามแพทย์สั่ง </x:t>
        </x:is>
      </x:c>
    </x:row>
    <x:row r="890">
      <x:c r="A890" t="n">
        <x:v>888</x:v>
      </x:c>
      <x:c r="B890" t="inlineStr">
        <x:is>
          <x:t xml:space="preserve">ยาพ่นและยาหยอดจมูก (D)</x:t>
        </x:is>
      </x:c>
      <x:c r="C890" t="n">
        <x:v>2805</x:v>
      </x:c>
      <x:c r="D890" t="inlineStr">
        <x:is>
          <x:t xml:space="preserve">Nasonex 60 doses</x:t>
        </x:is>
      </x:c>
      <x:c r="E890" t="inlineStr">
        <x:is>
          <x:t xml:space="preserve">ขวด 60 doses</x:t>
        </x:is>
      </x:c>
      <x:c r="F890" t="inlineStr">
        <x:is>
          <x:t xml:space="preserve">Mometasone Furoate Monohydrate (eq. to Mometasone Furoate 50 mcg/dose)+Preservative (Benzalkonium Chloride 0.2 mg/g)</x:t>
        </x:is>
      </x:c>
      <x:c r="G890" t="inlineStr">
        <x:is>
          <x:t xml:space="preserve">BDS002805</x:t>
        </x:is>
      </x:c>
      <x:c r="H890" t="inlineStr">
        <x:is>
          <x:t xml:space="preserve">Nasonex 60 doses (60 doses)</x:t>
        </x:is>
      </x:c>
      <x:c r="I890" t="inlineStr">
        <x:is>
          <x:t xml:space="preserve">ผู้ใหญ่พ่นเข้าจมูกข้างละ 2-4 สเปรย์ วันละ 1-2 ครั้ง หรือตามแพทย์สั่ง </x:t>
        </x:is>
      </x:c>
    </x:row>
    <x:row r="891">
      <x:c r="A891" t="n">
        <x:v>889</x:v>
      </x:c>
      <x:c r="B891" t="inlineStr">
        <x:is>
          <x:t xml:space="preserve">ยาพ่นและยาหยอดจมูก (D)</x:t>
        </x:is>
      </x:c>
      <x:c r="C891" t="n">
        <x:v>3432</x:v>
      </x:c>
      <x:c r="D891" t="inlineStr">
        <x:is>
          <x:t xml:space="preserve">Rhinocort Aqua</x:t>
        </x:is>
      </x:c>
      <x:c r="E891" t="inlineStr">
        <x:is>
          <x:t xml:space="preserve">ขวด 120 doses</x:t>
        </x:is>
      </x:c>
      <x:c r="F891" t="inlineStr">
        <x:is>
          <x:t xml:space="preserve">Budesonide 1.28 mg/1 ml (64 mcg/dose)</x:t>
        </x:is>
      </x:c>
      <x:c r="G891" t="inlineStr">
        <x:is>
          <x:t xml:space="preserve">BDS003432</x:t>
        </x:is>
      </x:c>
      <x:c r="H891" t="inlineStr">
        <x:is>
          <x:t xml:space="preserve">Rhinocort Aqua (120 doses)</x:t>
        </x:is>
      </x:c>
      <x:c r="I891" t="inlineStr">
        <x:is>
          <x:t xml:space="preserve">พ่นเข้าจมูกแต่ละข้าง 1-2 สเปรย์ วันละ 2 ครั้ง หรือตามแพทย์สั่ง </x:t>
        </x:is>
      </x:c>
    </x:row>
    <x:row r="892">
      <x:c r="A892" t="n">
        <x:v>890</x:v>
      </x:c>
      <x:c r="B892" t="inlineStr">
        <x:is>
          <x:t xml:space="preserve">ยาพ่นและยาหยอดจมูก</x:t>
        </x:is>
      </x:c>
      <x:c r="C892" t="n">
        <x:v>40080</x:v>
      </x:c>
      <x:c r="D892" t="inlineStr">
        <x:is>
          <x:t xml:space="preserve">Actavia</x:t>
        </x:is>
      </x:c>
      <x:c r="E892" t="inlineStr">
        <x:is>
          <x:t xml:space="preserve">ขวด 10 ml.</x:t>
        </x:is>
      </x:c>
      <x:c r="F892" t="inlineStr">
        <x:is>
          <x:t xml:space="preserve">Xylometazoline Hydrochloride 0.1% (1 mg./1 ml.)</x:t>
        </x:is>
      </x:c>
      <x:c r="G892" t="inlineStr">
        <x:is>
          <x:t xml:space="preserve">BDS040080</x:t>
        </x:is>
      </x:c>
      <x:c r="H892" t="inlineStr">
        <x:is>
          <x:t xml:space="preserve">Actavia (10 ml.)</x:t>
        </x:is>
      </x:c>
      <x:c r="I892" t="inlineStr">
        <x:is>
          <x:t xml:space="preserve">พ่นเข้าจมูก 1-2 สเปรย์ในจมูกแต่ละข้าง ทุก 8-10 ชั่วโมง </x:t>
        </x:is>
      </x:c>
    </x:row>
    <x:row r="893">
      <x:c r="A893" t="n">
        <x:v>891</x:v>
      </x:c>
      <x:c r="B893" t="inlineStr">
        <x:is>
          <x:t xml:space="preserve">ยาพ่นและยาหยอดจมูก</x:t>
        </x:is>
      </x:c>
      <x:c r="C893" t="n">
        <x:v>43102</x:v>
      </x:c>
      <x:c r="D893" t="inlineStr">
        <x:is>
          <x:t xml:space="preserve">Feenoze</x:t>
        </x:is>
      </x:c>
      <x:c r="E893" t="inlineStr">
        <x:is>
          <x:t xml:space="preserve">ขวด 20 ml.</x:t>
        </x:is>
      </x:c>
      <x:c r="F893" t="inlineStr">
        <x:is>
          <x:t xml:space="preserve">Oxymetazoline Hydrochloride 0.05% (0.5 mg./1 ml.).</x:t>
        </x:is>
      </x:c>
      <x:c r="G893" t="inlineStr">
        <x:is>
          <x:t xml:space="preserve">BDS043102</x:t>
        </x:is>
      </x:c>
      <x:c r="H893" t="inlineStr">
        <x:is>
          <x:t xml:space="preserve">Feenoze (20 ml.)</x:t>
        </x:is>
      </x:c>
      <x:c r="I893" t="inlineStr">
        <x:is>
          <x:t xml:space="preserve">พ่นจมูกข้างละ 1 ครั้ง วันละ 2-3 ครั้ง</x:t>
        </x:is>
      </x:c>
    </x:row>
    <x:row r="894">
      <x:c r="A894" t="n">
        <x:v>892</x:v>
      </x:c>
      <x:c r="B894" t="inlineStr">
        <x:is>
          <x:t xml:space="preserve">ยาพ่นและยาหยอดจมูก</x:t>
        </x:is>
      </x:c>
      <x:c r="C894" t="n">
        <x:v>2228</x:v>
      </x:c>
      <x:c r="D894" t="inlineStr">
        <x:is>
          <x:t xml:space="preserve">Iliadin 0.025% ชนิดหยด</x:t>
        </x:is>
      </x:c>
      <x:c r="E894" t="inlineStr">
        <x:is>
          <x:t xml:space="preserve">ขวด 10 ml.</x:t>
        </x:is>
      </x:c>
      <x:c r="F894" t="inlineStr">
        <x:is>
          <x:t xml:space="preserve">Oxymetazoline Hydrochloride 0.025% (0.25 mg./1 ml.)</x:t>
        </x:is>
      </x:c>
      <x:c r="G894" t="inlineStr">
        <x:is>
          <x:t xml:space="preserve">BDS002228</x:t>
        </x:is>
      </x:c>
      <x:c r="H894" t="inlineStr">
        <x:is>
          <x:t xml:space="preserve">Iliadin 0.025% ชนิดหยด (10 ml.)</x:t>
        </x:is>
      </x:c>
      <x:c r="I894" t="inlineStr">
        <x:is>
          <x:t xml:space="preserve">หยอดลงในช่องจมูกแต่ละข้างครั้งละ 1-2 หยด  วันละ 2-3 ครั้ง หรือตามแพทย์สั่ง </x:t>
        </x:is>
      </x:c>
    </x:row>
    <x:row r="895">
      <x:c r="A895" t="n">
        <x:v>893</x:v>
      </x:c>
      <x:c r="B895" t="inlineStr">
        <x:is>
          <x:t xml:space="preserve">ยาพ่นและยาหยอดจมูก</x:t>
        </x:is>
      </x:c>
      <x:c r="C895" t="n">
        <x:v>2209</x:v>
      </x:c>
      <x:c r="D895" t="inlineStr">
        <x:is>
          <x:t xml:space="preserve">Iliadin 0.05% ชนิดหยด</x:t>
        </x:is>
      </x:c>
      <x:c r="E895" t="inlineStr">
        <x:is>
          <x:t xml:space="preserve">ขวด 10 ml.</x:t>
        </x:is>
      </x:c>
      <x:c r="F895" t="inlineStr">
        <x:is>
          <x:t xml:space="preserve">Oxymetazoline Hydrochloride 0.05% (0.5 mg./1 ml.)</x:t>
        </x:is>
      </x:c>
      <x:c r="G895" t="inlineStr">
        <x:is>
          <x:t xml:space="preserve">BDS002209</x:t>
        </x:is>
      </x:c>
      <x:c r="H895" t="inlineStr">
        <x:is>
          <x:t xml:space="preserve">Iliadin 0.05% ชนิดหยด (10 ml.)</x:t>
        </x:is>
      </x:c>
      <x:c r="I895" t="inlineStr">
        <x:is>
          <x:t xml:space="preserve">หยอดลงในช่องจมูกแต่ละข้างครั้งละ 1-2 หยด  วันละ 2-3 ครั้ง หรือตามแพทย์สั่ง </x:t>
        </x:is>
      </x:c>
    </x:row>
    <x:row r="896">
      <x:c r="A896" t="n">
        <x:v>894</x:v>
      </x:c>
      <x:c r="B896" t="inlineStr">
        <x:is>
          <x:t xml:space="preserve">ยาพ่นและยาหยอดจมูก</x:t>
        </x:is>
      </x:c>
      <x:c r="C896" t="n">
        <x:v>2215</x:v>
      </x:c>
      <x:c r="D896" t="inlineStr">
        <x:is>
          <x:t xml:space="preserve">Iliadin Spray</x:t>
        </x:is>
      </x:c>
      <x:c r="E896" t="inlineStr">
        <x:is>
          <x:t xml:space="preserve">ขวด 10 ml.</x:t>
        </x:is>
      </x:c>
      <x:c r="F896" t="inlineStr">
        <x:is>
          <x:t xml:space="preserve">Oxymetazoline Hydrochloride 0.05% (0.5 mg./1 ml.)</x:t>
        </x:is>
      </x:c>
      <x:c r="G896" t="inlineStr">
        <x:is>
          <x:t xml:space="preserve">BDS002215</x:t>
        </x:is>
      </x:c>
      <x:c r="H896" t="inlineStr">
        <x:is>
          <x:t xml:space="preserve">Iliadin Spray (10 ml.)</x:t>
        </x:is>
      </x:c>
      <x:c r="I896" t="inlineStr">
        <x:is>
          <x:t xml:space="preserve">พ่นเข้าช่องจมูกข้างละ 1-2 สเปรย์ วันละ 2-3 ครั้ง หรือตามแพทย์สั่ง </x:t>
        </x:is>
      </x:c>
      <x:c r="K896" t="n">
        <x:v>262</x:v>
      </x:c>
      <x:c r="L896" t="n">
        <x:v>26.2</x:v>
      </x:c>
      <x:c r="M896" t="inlineStr">
        <x:is>
          <x:t xml:space="preserve">USER</x:t>
        </x:is>
      </x:c>
      <x:c r="N896" t="inlineStr">
        <x:is>
          <x:t xml:space="preserve">2026-02-07</x:t>
        </x:is>
      </x:c>
      <x:c r="O896" t="inlineStr">
        <x:is>
          <x:t xml:space="preserve">User provided price (online). Unit price is per mL (10 mL bottle).</x:t>
        </x:is>
      </x:c>
    </x:row>
    <x:row r="897">
      <x:c r="A897" t="n">
        <x:v>895</x:v>
      </x:c>
      <x:c r="B897" t="inlineStr">
        <x:is>
          <x:t xml:space="preserve">ยาพ่นและยาหยอดจมูก</x:t>
        </x:is>
      </x:c>
      <x:c r="C897" t="n">
        <x:v>2605</x:v>
      </x:c>
      <x:c r="D897" t="inlineStr">
        <x:is>
          <x:t xml:space="preserve">Mar Plus 5% Nasal Spray</x:t>
        </x:is>
      </x:c>
      <x:c r="E897" t="inlineStr">
        <x:is>
          <x:t xml:space="preserve">ขวด 20 ml.</x:t>
        </x:is>
      </x:c>
      <x:c r="F897" t="inlineStr">
        <x:is>
          <x:t xml:space="preserve">Dexpanthenol 50 mg.+Sodium Chloride 9 mg./1 ml.</x:t>
        </x:is>
      </x:c>
      <x:c r="G897" t="inlineStr">
        <x:is>
          <x:t xml:space="preserve">BDS002605</x:t>
        </x:is>
      </x:c>
      <x:c r="H897" t="inlineStr">
        <x:is>
          <x:t xml:space="preserve">Mar Plus 5% Nasal Spray (20 ml.)</x:t>
        </x:is>
      </x:c>
      <x:c r="I897" t="inlineStr">
        <x:is>
          <x:t xml:space="preserve">พ่นเข้าจมูกแต่ละข้าง 1-2 สเปรย์ วันละ 1 ครั้ง หรือตามแพทย์สั่ง</x:t>
        </x:is>
      </x:c>
    </x:row>
    <x:row r="898">
      <x:c r="A898" t="n">
        <x:v>896</x:v>
      </x:c>
      <x:c r="B898" t="inlineStr">
        <x:is>
          <x:t xml:space="preserve">ยาพ่นและยาหยอดจมูก</x:t>
        </x:is>
      </x:c>
      <x:c r="C898" t="n">
        <x:v>7191</x:v>
      </x:c>
      <x:c r="D898" t="inlineStr">
        <x:is>
          <x:t xml:space="preserve">Metzodin</x:t>
        </x:is>
      </x:c>
      <x:c r="E898" t="inlineStr">
        <x:is>
          <x:t xml:space="preserve">ขวด 10 ml.</x:t>
        </x:is>
      </x:c>
      <x:c r="F898" t="inlineStr">
        <x:is>
          <x:t xml:space="preserve">Oxymetazoline Hydrochloride 0.05% (0.05 g./100 ml.)</x:t>
        </x:is>
      </x:c>
      <x:c r="G898" t="inlineStr">
        <x:is>
          <x:t xml:space="preserve">BDS007191</x:t>
        </x:is>
      </x:c>
      <x:c r="H898" t="inlineStr">
        <x:is>
          <x:t xml:space="preserve">Metzodin (10 ml.)</x:t>
        </x:is>
      </x:c>
      <x:c r="I898" t="inlineStr">
        <x:is>
          <x:t xml:space="preserve">พ่นจมูกข้างละ 2-3 สเปรย์ วันละ ทุก 10-12 ชั่วโมง หรือตามแพทย์สั่ง  </x:t>
        </x:is>
      </x:c>
    </x:row>
    <x:row r="899">
      <x:c r="A899" t="n">
        <x:v>897</x:v>
      </x:c>
      <x:c r="B899" t="inlineStr">
        <x:is>
          <x:t xml:space="preserve">ยาพ่นและยาหยอดจมูก</x:t>
        </x:is>
      </x:c>
      <x:c r="C899" t="n">
        <x:v>2813</x:v>
      </x:c>
      <x:c r="D899" t="inlineStr">
        <x:is>
          <x:t xml:space="preserve">Nasaline-ISO</x:t>
        </x:is>
      </x:c>
      <x:c r="E899" t="inlineStr">
        <x:is>
          <x:t xml:space="preserve">ขวด 30 ml.</x:t>
        </x:is>
      </x:c>
      <x:c r="F899" t="inlineStr">
        <x:is>
          <x:t xml:space="preserve">Dexpanthenol 10 mg.+Sodium Chloride 9 mg./1 ml.</x:t>
        </x:is>
      </x:c>
      <x:c r="G899" t="inlineStr">
        <x:is>
          <x:t xml:space="preserve">BDS002813</x:t>
        </x:is>
      </x:c>
      <x:c r="H899" t="inlineStr">
        <x:is>
          <x:t xml:space="preserve">Nasaline-ISO (30 ml.)</x:t>
        </x:is>
      </x:c>
      <x:c r="I899" t="inlineStr">
        <x:is>
          <x:t xml:space="preserve">พ่นเข้าจมูกแต่ละข้าง ข้างละ 1-2 สเปรย์ วันละ 1-2 ครั้ง หรือตามแพทย์สั่ง</x:t>
        </x:is>
      </x:c>
      <x:c r="K899" t="n">
        <x:v>96</x:v>
      </x:c>
      <x:c r="L899" t="n">
        <x:v>96</x:v>
      </x:c>
      <x:c r="M899" t="inlineStr">
        <x:is>
          <x:t xml:space="preserve">https://vcare-plus.com/nasaline-iso-30-ml/</x:t>
        </x:is>
      </x:c>
      <x:c r="N899" t="inlineStr">
        <x:is>
          <x:t xml:space="preserve">2026-02-07</x:t>
        </x:is>
      </x:c>
      <x:c r="O899" t="inlineStr">
        <x:is>
          <x:t xml:space="preserve">Retail price shown (30 ml bottle).</x:t>
        </x:is>
      </x:c>
    </x:row>
    <x:row r="900">
      <x:c r="A900" t="n">
        <x:v>898</x:v>
      </x:c>
      <x:c r="B900" t="inlineStr">
        <x:is>
          <x:t xml:space="preserve">ยาพ่นและยาหยอดจมูก</x:t>
        </x:is>
      </x:c>
      <x:c r="C900" t="n">
        <x:v>3019</x:v>
      </x:c>
      <x:c r="D900" t="inlineStr">
        <x:is>
          <x:t xml:space="preserve">Otrivin 0.1%</x:t>
        </x:is>
      </x:c>
      <x:c r="E900" t="inlineStr">
        <x:is>
          <x:t xml:space="preserve">ขวด 10 ml.</x:t>
        </x:is>
      </x:c>
      <x:c r="F900" t="inlineStr">
        <x:is>
          <x:t xml:space="preserve">Xylometazoline Hydrochloride 0.1% (1 mg./1 ml.)</x:t>
        </x:is>
      </x:c>
      <x:c r="G900" t="inlineStr">
        <x:is>
          <x:t xml:space="preserve">BDS003019</x:t>
        </x:is>
      </x:c>
      <x:c r="H900" t="inlineStr">
        <x:is>
          <x:t xml:space="preserve">Otrivin 0.1% (10 ml.)</x:t>
        </x:is>
      </x:c>
      <x:c r="I900" t="inlineStr">
        <x:is>
          <x:t xml:space="preserve">พ่นเข้าจมูกแต่ละข้าง 1 สเปรย์ วันละ 3 ครั้ง หรือตามแพทย์สั่ง </x:t>
        </x:is>
      </x:c>
      <x:c r="K900" t="n">
        <x:v>244</x:v>
      </x:c>
      <x:c r="L900" t="n">
        <x:v>24.4</x:v>
      </x:c>
      <x:c r="M900" t="inlineStr">
        <x:is>
          <x:t xml:space="preserve">USER</x:t>
        </x:is>
      </x:c>
      <x:c r="N900" t="inlineStr">
        <x:is>
          <x:t xml:space="preserve">2026-02-07</x:t>
        </x:is>
      </x:c>
      <x:c r="O900" t="inlineStr">
        <x:is>
          <x:t xml:space="preserve">User provided price (online). Unit price per mL (10 mL bottle).</x:t>
        </x:is>
      </x:c>
    </x:row>
    <x:row r="901">
      <x:c r="A901" t="n">
        <x:v>899</x:v>
      </x:c>
      <x:c r="B901" t="inlineStr">
        <x:is>
          <x:t xml:space="preserve">ยาพ่นและยาหยอดจมูก</x:t>
        </x:is>
      </x:c>
      <x:c r="C901" t="n">
        <x:v>3105</x:v>
      </x:c>
      <x:c r="D901" t="inlineStr">
        <x:is>
          <x:t xml:space="preserve">Otrivin Child Spray 0.05%</x:t>
        </x:is>
      </x:c>
      <x:c r="E901" t="inlineStr">
        <x:is>
          <x:t xml:space="preserve">ขวด 10 ml.</x:t>
        </x:is>
      </x:c>
      <x:c r="F901" t="inlineStr">
        <x:is>
          <x:t xml:space="preserve">Xylometazoline Hydrochloride 0.05% (0.5 mg./1 ml.)</x:t>
        </x:is>
      </x:c>
      <x:c r="G901" t="inlineStr">
        <x:is>
          <x:t xml:space="preserve">BDS003105</x:t>
        </x:is>
      </x:c>
      <x:c r="H901" t="inlineStr">
        <x:is>
          <x:t xml:space="preserve">Otrivin Child Spray 0.05% (10 ml.)</x:t>
        </x:is>
      </x:c>
      <x:c r="I901" t="inlineStr">
        <x:is>
          <x:t xml:space="preserve">พ่นเข้าจมูกแต่ละข้าง 1 สเปรย์ วันละ 1-2 ครั้ง หรือตามแพทย์สั่ง </x:t>
        </x:is>
      </x:c>
      <x:c r="K901" t="n">
        <x:v>244</x:v>
      </x:c>
      <x:c r="L901" t="n">
        <x:v>24.4</x:v>
      </x:c>
      <x:c r="M901" t="inlineStr">
        <x:is>
          <x:t xml:space="preserve">USER</x:t>
        </x:is>
      </x:c>
      <x:c r="N901" t="inlineStr">
        <x:is>
          <x:t xml:space="preserve">2026-02-07</x:t>
        </x:is>
      </x:c>
      <x:c r="O901" t="inlineStr">
        <x:is>
          <x:t xml:space="preserve">User provided price (Otrivin Child Spray 10 ml).</x:t>
        </x:is>
      </x:c>
    </x:row>
    <x:row r="902">
      <x:c r="A902" t="n">
        <x:v>900</x:v>
      </x:c>
      <x:c r="B902" t="inlineStr">
        <x:is>
          <x:t xml:space="preserve">ยาพ่นคอ</x:t>
        </x:is>
      </x:c>
      <x:c r="C902" t="n">
        <x:v>40610</x:v>
      </x:c>
      <x:c r="D902" t="inlineStr">
        <x:is>
          <x:t xml:space="preserve">Betadine Throat Spray 12 ml</x:t>
        </x:is>
      </x:c>
      <x:c r="E902" t="inlineStr">
        <x:is>
          <x:t xml:space="preserve">ขวด 12 ml.</x:t>
        </x:is>
      </x:c>
      <x:c r="F902" t="inlineStr">
        <x:is>
          <x:t xml:space="preserve">Povidone-Iodine 4.5 mg./1 ml.</x:t>
        </x:is>
      </x:c>
      <x:c r="G902" t="inlineStr">
        <x:is>
          <x:t xml:space="preserve">BDS040610</x:t>
        </x:is>
      </x:c>
      <x:c r="H902" t="inlineStr">
        <x:is>
          <x:t xml:space="preserve">Betadine Throat Spray 12 ml (12 ml.)</x:t>
        </x:is>
      </x:c>
      <x:c r="I902" t="inlineStr">
        <x:is>
          <x:t xml:space="preserve">ฉีดพ่น 2-3 ครั้ง ที่บริเวณช่องปากและลำคอ เมื่อมีอาการ </x:t>
        </x:is>
      </x:c>
      <x:c r="J902" t="inlineStr">
        <x:is>
          <x:t xml:space="preserve">Spray 2-3 times on the mouth and throat area. </x:t>
        </x:is>
      </x:c>
    </x:row>
    <x:row r="903">
      <x:c r="A903" t="n">
        <x:v>901</x:v>
      </x:c>
      <x:c r="B903" t="inlineStr">
        <x:is>
          <x:t xml:space="preserve">ยาพ่นคอ</x:t>
        </x:is>
      </x:c>
      <x:c r="C903" t="n">
        <x:v>40617</x:v>
      </x:c>
      <x:c r="D903" t="inlineStr">
        <x:is>
          <x:t xml:space="preserve">Betadine Throat Spray 25 ml</x:t>
        </x:is>
      </x:c>
      <x:c r="E903" t="inlineStr">
        <x:is>
          <x:t xml:space="preserve">ขวด 25 ml.</x:t>
        </x:is>
      </x:c>
      <x:c r="F903" t="inlineStr">
        <x:is>
          <x:t xml:space="preserve">Povidone-Iodine 4.5 mg./1 ml.</x:t>
        </x:is>
      </x:c>
      <x:c r="G903" t="inlineStr">
        <x:is>
          <x:t xml:space="preserve">BDS040617</x:t>
        </x:is>
      </x:c>
      <x:c r="H903" t="inlineStr">
        <x:is>
          <x:t xml:space="preserve">Betadine Throat Spray 25 ml (25 ml.)</x:t>
        </x:is>
      </x:c>
      <x:c r="I903" t="inlineStr">
        <x:is>
          <x:t xml:space="preserve">ฉีดพ่น 2-3 ครั้ง ที่บริเวณช่องปากและลำคอ เมื่อมีอาการ </x:t>
        </x:is>
      </x:c>
      <x:c r="J903" t="inlineStr">
        <x:is>
          <x:t xml:space="preserve">Spray 2-3 times on the mouth and throat area. </x:t>
        </x:is>
      </x:c>
    </x:row>
    <x:row r="904">
      <x:c r="A904" t="n">
        <x:v>902</x:v>
      </x:c>
      <x:c r="B904" t="inlineStr">
        <x:is>
          <x:t xml:space="preserve">ยาพ่นคอ</x:t>
        </x:is>
      </x:c>
      <x:c r="C904" t="n">
        <x:v>2411</x:v>
      </x:c>
      <x:c r="D904" t="inlineStr">
        <x:is>
          <x:t xml:space="preserve">Kamillosan-M Spray</x:t>
        </x:is>
      </x:c>
      <x:c r="E904" t="inlineStr">
        <x:is>
          <x:t xml:space="preserve">ขวด 15 ml.</x:t>
        </x:is>
      </x:c>
      <x:c r="F904" t="inlineStr">
        <x:is>
          <x:t xml:space="preserve">ดอกหญ้าหอม+เพเพอร์มิ้นต์+เซจ ออยล์+เทียนสัตบุษย์+ไพน์ นีดเดิล ออยล์+เบอร์กามอต ออยล์+ยูคาลิปทอล</x:t>
        </x:is>
      </x:c>
      <x:c r="G904" t="inlineStr">
        <x:is>
          <x:t xml:space="preserve">BDS002411</x:t>
        </x:is>
      </x:c>
      <x:c r="H904" t="inlineStr">
        <x:is>
          <x:t xml:space="preserve">Kamillosan-M Spray (15 ml.)</x:t>
        </x:is>
      </x:c>
      <x:c r="I904" t="inlineStr">
        <x:is>
          <x:t xml:space="preserve">กดหัวพ่นฉีดครั้งละ 2 ที ในบริเวณช่องปากและลำคอ วันละ 3 ครั้ง</x:t>
        </x:is>
      </x:c>
      <x:c r="K904" t="n">
        <x:v>163.5</x:v>
      </x:c>
      <x:c r="L904" t="n">
        <x:v>10.9</x:v>
      </x:c>
      <x:c r="M904" t="inlineStr">
        <x:is>
          <x:t xml:space="preserve">USER</x:t>
        </x:is>
      </x:c>
      <x:c r="N904" t="inlineStr">
        <x:is>
          <x:t xml:space="preserve">2026-02-07</x:t>
        </x:is>
      </x:c>
      <x:c r="O904" t="inlineStr">
        <x:is>
          <x:t xml:space="preserve">User provided price (online). Unit price per mL (15 mL bottle).</x:t>
        </x:is>
      </x:c>
    </x:row>
    <x:row r="905">
      <x:c r="A905" t="n">
        <x:v>903</x:v>
      </x:c>
      <x:c r="B905" t="inlineStr">
        <x:is>
          <x:t xml:space="preserve">ยาพ่นคอ</x:t>
        </x:is>
      </x:c>
      <x:c r="C905" t="n">
        <x:v>68420</x:v>
      </x:c>
      <x:c r="D905" t="inlineStr">
        <x:is>
          <x:t xml:space="preserve">สเปรย์แก้ไอตราตะขาบ 5 ตัว</x:t>
        </x:is>
      </x:c>
      <x:c r="E905" t="inlineStr">
        <x:is>
          <x:t xml:space="preserve">ขวด 20 ml.</x:t>
        </x:is>
      </x:c>
      <x:c r="F905" t="inlineStr">
        <x:is>
          <x:t xml:space="preserve">โง้วปวยจี้+ชะเอมเทศ+รากบัวหลวง+เฮ้งยิ้ง+เง็กเต็ก+แบะตงและอื่นๆ</x:t>
        </x:is>
      </x:c>
      <x:c r="G905" t="inlineStr">
        <x:is>
          <x:t xml:space="preserve">BDS068420</x:t>
        </x:is>
      </x:c>
      <x:c r="H905" t="inlineStr">
        <x:is>
          <x:t xml:space="preserve">สเปรย์แก้ไอตราตะขาบ 5 ตัว (20 ml.)</x:t>
        </x:is>
      </x:c>
      <x:c r="I905" t="inlineStr">
        <x:is>
          <x:t xml:space="preserve">พ่นสเปรย์บริเวณช่องปาก วันละ 2-3 ครั้ง หรือตามต้องการ </x:t>
        </x:is>
      </x:c>
    </x:row>
    <x:row r="906">
      <x:c r="A906" t="n">
        <x:v>904</x:v>
      </x:c>
      <x:c r="B906" t="inlineStr">
        <x:is>
          <x:t xml:space="preserve">ยาพ่นขยายหลอดลม (D)</x:t>
        </x:is>
      </x:c>
      <x:c r="C906" t="n">
        <x:v>40000</x:v>
      </x:c>
      <x:c r="D906" t="inlineStr">
        <x:is>
          <x:t xml:space="preserve">Aerobidol Inhaler</x:t>
        </x:is>
      </x:c>
      <x:c r="E906" t="inlineStr">
        <x:is>
          <x:t xml:space="preserve">ขวด 200 doses</x:t>
        </x:is>
      </x:c>
      <x:c r="F906" t="inlineStr">
        <x:is>
          <x:t xml:space="preserve">Ipratropium Bromide Monohydrate (eq. to Ipratropium Bromide Anhydrous 20 ug.+Fenoterol Hydrobromide 50 ug./dose</x:t>
        </x:is>
      </x:c>
      <x:c r="G906" t="inlineStr">
        <x:is>
          <x:t xml:space="preserve">BDS040000</x:t>
        </x:is>
      </x:c>
      <x:c r="H906" t="inlineStr">
        <x:is>
          <x:t xml:space="preserve">Aerobidol Inhaler (200 doses)</x:t>
        </x:is>
      </x:c>
      <x:c r="I906" t="inlineStr">
        <x:is>
          <x:t xml:space="preserve">พ่นยาเข้าทางปากครั้งละ 1-2 ครั้ง เมื่อมีอาการหอบหืด หรือตามแพทย์สั่ง</x:t>
        </x:is>
      </x:c>
    </x:row>
    <x:row r="907">
      <x:c r="A907" t="n">
        <x:v>905</x:v>
      </x:c>
      <x:c r="B907" t="inlineStr">
        <x:is>
          <x:t xml:space="preserve">ยาพ่นขยายหลอดลม (D)</x:t>
        </x:is>
      </x:c>
      <x:c r="C907" t="n">
        <x:v>1033</x:v>
      </x:c>
      <x:c r="D907" t="inlineStr">
        <x:is>
          <x:t xml:space="preserve">Aerotamol 100 mcg</x:t>
        </x:is>
      </x:c>
      <x:c r="E907" t="inlineStr">
        <x:is>
          <x:t xml:space="preserve">ขวด 200 doses</x:t>
        </x:is>
      </x:c>
      <x:c r="F907" t="inlineStr">
        <x:is>
          <x:t xml:space="preserve">Salbutamol Sulphate (eq. to Salbutamol 100 mcg./dose)</x:t>
        </x:is>
      </x:c>
      <x:c r="G907" t="inlineStr">
        <x:is>
          <x:t xml:space="preserve">BDS001033</x:t>
        </x:is>
      </x:c>
      <x:c r="H907" t="inlineStr">
        <x:is>
          <x:t xml:space="preserve">Aerotamol 100 mcg (200 doses)</x:t>
        </x:is>
      </x:c>
      <x:c r="I907" t="inlineStr">
        <x:is>
          <x:t xml:space="preserve">พ่นเข้าทางปากครั้งละ 1-2 สเปรย์ วันละ 1-3 ครั้ง หรือตามแพทย์สั่ง</x:t>
        </x:is>
      </x:c>
    </x:row>
    <x:row r="908">
      <x:c r="A908" t="n">
        <x:v>906</x:v>
      </x:c>
      <x:c r="B908" t="inlineStr">
        <x:is>
          <x:t xml:space="preserve">ยาพ่นขยายหลอดลม (D)</x:t>
        </x:is>
      </x:c>
      <x:c r="C908" t="n">
        <x:v>1235</x:v>
      </x:c>
      <x:c r="D908" t="inlineStr">
        <x:is>
          <x:t xml:space="preserve">Berodual Metered Doses</x:t>
        </x:is>
      </x:c>
      <x:c r="E908" t="inlineStr">
        <x:is>
          <x:t xml:space="preserve">ขวด 10 ml.</x:t>
        </x:is>
      </x:c>
      <x:c r="F908" t="inlineStr">
        <x:is>
          <x:t xml:space="preserve">Ipratropium Bromide Monohydrate 21 mcg. (eq. to Ipratropium Bromide Anhydrous 20 ug.+Fenoterol Hydrobromide 50 mcg./dose</x:t>
        </x:is>
      </x:c>
      <x:c r="G908" t="inlineStr">
        <x:is>
          <x:t xml:space="preserve">BDS001235</x:t>
        </x:is>
      </x:c>
      <x:c r="H908" t="inlineStr">
        <x:is>
          <x:t xml:space="preserve">Berodual Metered Doses (10 ml.)</x:t>
        </x:is>
      </x:c>
      <x:c r="I908" t="inlineStr">
        <x:is>
          <x:t xml:space="preserve">พ่นเข้าทางปากครั้งละ 1-2 ครั้ง เมื่อมีอาการหอบหืด หรือตามแพทย์สั่ง</x:t>
        </x:is>
      </x:c>
    </x:row>
    <x:row r="909">
      <x:c r="A909" t="n">
        <x:v>907</x:v>
      </x:c>
      <x:c r="B909" t="inlineStr">
        <x:is>
          <x:t xml:space="preserve">ยาพ่นขยายหลอดลม (D)</x:t>
        </x:is>
      </x:c>
      <x:c r="C909" t="n">
        <x:v>4009</x:v>
      </x:c>
      <x:c r="D909" t="inlineStr">
        <x:is>
          <x:t xml:space="preserve">Ventolin Evohaler</x:t>
        </x:is>
      </x:c>
      <x:c r="E909" t="inlineStr">
        <x:is>
          <x:t xml:space="preserve">ขวด 200 MET</x:t>
        </x:is>
      </x:c>
      <x:c r="F909" t="inlineStr">
        <x:is>
          <x:t xml:space="preserve">Salbutamol Sulphate (eq. to Salbutamol 100 mcg./dose)</x:t>
        </x:is>
      </x:c>
      <x:c r="G909" t="inlineStr">
        <x:is>
          <x:t xml:space="preserve">BDS004009</x:t>
        </x:is>
      </x:c>
      <x:c r="H909" t="inlineStr">
        <x:is>
          <x:t xml:space="preserve">Ventolin Evohaler (200 doses)</x:t>
        </x:is>
      </x:c>
      <x:c r="I909" t="inlineStr">
        <x:is>
          <x:t xml:space="preserve">พ่นเข้าทางปากครั้งละ 1-2 สเปรย์ วันละ 1-3 ครั้ง หรือตามแพทย์สั่ง </x:t>
        </x:is>
      </x:c>
    </x:row>
    <x:row r="910">
      <x:c r="A910" t="n">
        <x:v>908</x:v>
      </x:c>
      <x:c r="B910" t="inlineStr">
        <x:is>
          <x:t xml:space="preserve">ยาพ่นคอ (D)</x:t>
        </x:is>
      </x:c>
      <x:c r="C910" t="n">
        <x:v>6462</x:v>
      </x:c>
      <x:c r="D910" t="inlineStr">
        <x:is>
          <x:t xml:space="preserve">Difflam Forte Spray</x:t>
        </x:is>
      </x:c>
      <x:c r="E910" t="inlineStr">
        <x:is>
          <x:t xml:space="preserve">ขวด 15 ml.</x:t>
        </x:is>
      </x:c>
      <x:c r="F910" t="inlineStr">
        <x:is>
          <x:t xml:space="preserve">Benzydamine Hydrochloride 3 mg.+Ethanol+Saccharin Sodium+Methyl Hydroxybenzoate+Glycerol+PEG-40 Hydrogenated castor oil/ml.</x:t>
        </x:is>
      </x:c>
      <x:c r="G910" t="inlineStr">
        <x:is>
          <x:t xml:space="preserve">BDS006462</x:t>
        </x:is>
      </x:c>
      <x:c r="H910" t="inlineStr">
        <x:is>
          <x:t xml:space="preserve">Difflam Forte Spray (15 ml.)</x:t>
        </x:is>
      </x:c>
      <x:c r="I910" t="inlineStr">
        <x:is>
          <x:t xml:space="preserve">พ่นยาครั้งละ 2-4 ที บริเวณที่ปวดหรืออักเสบโดยตรงและกลืนเบาๆ หรือตามแพทย์สั่ง  </x:t>
        </x:is>
      </x:c>
      <x:c r="K910" t="n">
        <x:v>529</x:v>
      </x:c>
      <x:c r="L910" t="n">
        <x:v>35.27</x:v>
      </x:c>
      <x:c r="M910" t="inlineStr">
        <x:is>
          <x:t xml:space="preserve">USER</x:t>
        </x:is>
      </x:c>
      <x:c r="N910" t="inlineStr">
        <x:is>
          <x:t xml:space="preserve">2026-02-07</x:t>
        </x:is>
      </x:c>
      <x:c r="O910" t="inlineStr">
        <x:is>
          <x:t xml:space="preserve">User provided price (online). Unit price is per mL (15 mL bottle).</x:t>
        </x:is>
      </x:c>
    </x:row>
    <x:row r="911">
      <x:c r="A911" t="n">
        <x:v>909</x:v>
      </x:c>
      <x:c r="B911" t="inlineStr">
        <x:is>
          <x:t xml:space="preserve">เจลและครีมรักษาอาการฟกช้ำ</x:t>
        </x:is>
      </x:c>
      <x:c r="C911" t="n">
        <x:v>3439</x:v>
      </x:c>
      <x:c r="D911" t="inlineStr">
        <x:is>
          <x:t xml:space="preserve">Reparil-Gel N เล็ก</x:t>
        </x:is>
      </x:c>
      <x:c r="E911" t="inlineStr">
        <x:is>
          <x:t xml:space="preserve">หลอด 20 g.</x:t>
        </x:is>
      </x:c>
      <x:c r="F911" t="inlineStr">
        <x:is>
          <x:t xml:space="preserve">Aescin 1.0 g.+Diethylamine Salicylate 5.0 g./100 g.</x:t>
        </x:is>
      </x:c>
      <x:c r="G911" t="inlineStr">
        <x:is>
          <x:t xml:space="preserve">BDS003439</x:t>
        </x:is>
      </x:c>
      <x:c r="H911" t="inlineStr">
        <x:is>
          <x:t xml:space="preserve">Reparil-Gel N เล็ก (20 g.)</x:t>
        </x:is>
      </x:c>
      <x:c r="I911" t="inlineStr">
        <x:is>
          <x:t xml:space="preserve">ทาหรือนวดบริเวณที่มีอาการ วันละ 2-3 ครั้ง หรือตามแพทย์สั่ง</x:t>
        </x:is>
      </x:c>
    </x:row>
    <x:row r="912">
      <x:c r="A912" t="n">
        <x:v>910</x:v>
      </x:c>
      <x:c r="B912" t="inlineStr">
        <x:is>
          <x:t xml:space="preserve">เจลและครีมรักษาอาการฟกช้ำ</x:t>
        </x:is>
      </x:c>
      <x:c r="C912" t="n">
        <x:v>3408</x:v>
      </x:c>
      <x:c r="D912" t="inlineStr">
        <x:is>
          <x:t xml:space="preserve">Reparil-Gel N ใหญ่</x:t>
        </x:is>
      </x:c>
      <x:c r="E912" t="inlineStr">
        <x:is>
          <x:t xml:space="preserve">หลอด 40 g.</x:t>
        </x:is>
      </x:c>
      <x:c r="F912" t="inlineStr">
        <x:is>
          <x:t xml:space="preserve">Aescin 1.0 g.+Diethylamine Salicylate 5.0 g./100 g.</x:t>
        </x:is>
      </x:c>
      <x:c r="G912" t="inlineStr">
        <x:is>
          <x:t xml:space="preserve">BDS003408</x:t>
        </x:is>
      </x:c>
      <x:c r="H912" t="inlineStr">
        <x:is>
          <x:t xml:space="preserve">Reparil-Gel N ใหญ่ (40 g.)</x:t>
        </x:is>
      </x:c>
      <x:c r="I912" t="inlineStr">
        <x:is>
          <x:t xml:space="preserve">ทาหรือนวดบริเวณที่มีอาการ วันละ 2-3 ครั้ง หรือตามแพทย์สั่ง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BDS code</x:t>
        </x:is>
      </x:c>
      <x:c r="B1" s="1" t="inlineStr">
        <x:is>
          <x:t xml:space="preserve">Market name</x:t>
        </x:is>
      </x:c>
      <x:c r="C1" s="1" t="inlineStr">
        <x:is>
          <x:t xml:space="preserve">Generic</x:t>
        </x:is>
      </x:c>
      <x:c r="D1" s="1" t="inlineStr">
        <x:is>
          <x:t xml:space="preserve">Pack size</x:t>
        </x:is>
      </x:c>
      <x:c r="E1" s="1" t="inlineStr">
        <x:is>
          <x:t xml:space="preserve">Est pack price (THB)</x:t>
        </x:is>
      </x:c>
      <x:c r="F1" s="1" t="inlineStr">
        <x:is>
          <x:t xml:space="preserve">Est unit price (THB)</x:t>
        </x:is>
      </x:c>
      <x:c r="G1" s="1" t="inlineStr">
        <x:is>
          <x:t xml:space="preserve">Source URL</x:t>
        </x:is>
      </x:c>
      <x:c r="H1" s="1" t="inlineStr">
        <x:is>
          <x:t xml:space="preserve">Date checked</x:t>
        </x:is>
      </x:c>
      <x:c r="I1" s="1" t="inlineStr">
        <x:is>
          <x:t xml:space="preserve">Notes</x:t>
        </x:is>
      </x:c>
    </x:row>
    <x:row r="2">
      <x:c r="A2" t="inlineStr">
        <x:is>
          <x:t xml:space="preserve">BDS001271</x:t>
        </x:is>
      </x:c>
      <x:c r="B2" t="inlineStr">
        <x:is>
          <x:t xml:space="preserve">Biocalm</x:t>
        </x:is>
      </x:c>
      <x:c r="C2" t="inlineStr">
        <x:is>
          <x:t xml:space="preserve">Tolperisone 50 mg.</x:t>
        </x:is>
      </x:c>
      <x:c r="D2" t="inlineStr">
        <x:is>
          <x:t xml:space="preserve">แผง 10 เม็ด</x:t>
        </x:is>
      </x:c>
      <x:c r="E2" t="n">
        <x:v>80</x:v>
      </x:c>
      <x:c r="F2" t="n">
        <x:v>8</x:v>
      </x:c>
      <x:c r="G2" t="inlineStr">
        <x:is>
          <x:t xml:space="preserve">USER</x:t>
        </x:is>
      </x:c>
      <x:c r="H2" t="inlineStr">
        <x:is>
          <x:t xml:space="preserve">2026-02-07</x:t>
        </x:is>
      </x:c>
      <x:c r="I2" t="inlineStr">
        <x:is>
          <x:t xml:space="preserve">User provided price (Biocalm 10 tabs).</x:t>
        </x:is>
      </x:c>
    </x:row>
    <x:row r="3">
      <x:c r="A3" t="inlineStr">
        <x:is>
          <x:t xml:space="preserve">BDS006462</x:t>
        </x:is>
      </x:c>
      <x:c r="B3" t="inlineStr">
        <x:is>
          <x:t xml:space="preserve">Difflam Forte Spray</x:t>
        </x:is>
      </x:c>
      <x:c r="C3" t="inlineStr">
        <x:is>
          <x:t xml:space="preserve">Benzydamine Hydrochloride 3 mg.+Ethanol+Saccharin Sodium+Methyl Hydroxybenzoate+Glycerol+PEG-40 Hydrogenated castor oil/ml.</x:t>
        </x:is>
      </x:c>
      <x:c r="D3" t="inlineStr">
        <x:is>
          <x:t xml:space="preserve">ขวด 15 ml.</x:t>
        </x:is>
      </x:c>
      <x:c r="E3" t="n">
        <x:v>529</x:v>
      </x:c>
      <x:c r="F3" t="n">
        <x:v>35.27</x:v>
      </x:c>
      <x:c r="G3" t="inlineStr">
        <x:is>
          <x:t xml:space="preserve">USER</x:t>
        </x:is>
      </x:c>
      <x:c r="H3" t="inlineStr">
        <x:is>
          <x:t xml:space="preserve">2026-02-07</x:t>
        </x:is>
      </x:c>
      <x:c r="I3" t="inlineStr">
        <x:is>
          <x:t xml:space="preserve">User provided price (online). Unit price is per mL (15 mL bottle).</x:t>
        </x:is>
      </x:c>
    </x:row>
    <x:row r="4">
      <x:c r="A4" t="inlineStr">
        <x:is>
          <x:t xml:space="preserve">BDS001618</x:t>
        </x:is>
      </x:c>
      <x:c r="B4" t="inlineStr">
        <x:is>
          <x:t xml:space="preserve">Duran</x:t>
        </x:is>
      </x:c>
      <x:c r="C4" t="inlineStr">
        <x:is>
          <x:t xml:space="preserve">Ibuprofen 400 mg.</x:t>
        </x:is>
      </x:c>
      <x:c r="D4" t="inlineStr">
        <x:is>
          <x:t xml:space="preserve">กล่อง 10 เม็ด</x:t>
        </x:is>
      </x:c>
      <x:c r="E4" t="n">
        <x:v>30</x:v>
      </x:c>
      <x:c r="F4" t="n">
        <x:v>3</x:v>
      </x:c>
      <x:c r="G4" t="inlineStr">
        <x:is>
          <x:t xml:space="preserve">https://www.migrainethailand.com/ibuprofen-migraine/</x:t>
        </x:is>
      </x:c>
      <x:c r="H4" t="inlineStr">
        <x:is>
          <x:t xml:space="preserve">2026-02-07</x:t>
        </x:is>
      </x:c>
      <x:c r="I4" t="inlineStr">
        <x:is>
          <x:t xml:space="preserve">Estimated midpoint from Thai retail range 25–34 THB per 10 tablets (generic ibuprofen 400 mg).</x:t>
        </x:is>
      </x:c>
    </x:row>
    <x:row r="5">
      <x:c r="A5" t="inlineStr">
        <x:is>
          <x:t xml:space="preserve">BDS002042</x:t>
        </x:is>
      </x:c>
      <x:c r="B5" t="inlineStr">
        <x:is>
          <x:t xml:space="preserve">Gofen 400</x:t>
        </x:is>
      </x:c>
      <x:c r="C5" t="inlineStr">
        <x:is>
          <x:t xml:space="preserve">Ibuprofen 400 mg.+Polyethylene 400+Porpylene Glycol</x:t>
        </x:is>
      </x:c>
      <x:c r="D5" t="inlineStr">
        <x:is>
          <x:t xml:space="preserve">กล่อง 10 แคปซูล</x:t>
        </x:is>
      </x:c>
      <x:c r="E5" t="n">
        <x:v>177</x:v>
      </x:c>
      <x:c r="F5" t="n">
        <x:v>17.7</x:v>
      </x:c>
      <x:c r="G5" t="inlineStr">
        <x:is>
          <x:t xml:space="preserve">USER</x:t>
        </x:is>
      </x:c>
      <x:c r="H5" t="inlineStr">
        <x:is>
          <x:t xml:space="preserve">2026-02-07</x:t>
        </x:is>
      </x:c>
      <x:c r="I5" t="inlineStr">
        <x:is>
          <x:t xml:space="preserve">User provided price (Gofen 400 10 caps).</x:t>
        </x:is>
      </x:c>
    </x:row>
    <x:row r="6">
      <x:c r="A6" t="inlineStr">
        <x:is>
          <x:t xml:space="preserve">BDS002211</x:t>
        </x:is>
      </x:c>
      <x:c r="B6" t="inlineStr">
        <x:is>
          <x:t xml:space="preserve">Icolid (ควบคุมจำนวน)</x:t>
        </x:is>
      </x:c>
      <x:c r="C6" t="inlineStr">
        <x:is>
          <x:t xml:space="preserve">Dextromethorphan HBr 15 mg.</x:t>
        </x:is>
      </x:c>
      <x:c r="D6" t="inlineStr">
        <x:is>
          <x:t xml:space="preserve">แผง 10 เม็ด</x:t>
        </x:is>
      </x:c>
      <x:c r="E6" t="n">
        <x:v>50</x:v>
      </x:c>
      <x:c r="F6" t="n">
        <x:v>5</x:v>
      </x:c>
      <x:c r="G6" t="inlineStr">
        <x:is>
          <x:t xml:space="preserve">USER</x:t>
        </x:is>
      </x:c>
      <x:c r="H6" t="inlineStr">
        <x:is>
          <x:t xml:space="preserve">2026-02-07</x:t>
        </x:is>
      </x:c>
      <x:c r="I6" t="inlineStr">
        <x:is>
          <x:t xml:space="preserve">User provided price (online). Unit price per tablet (10 tabs pack).</x:t>
        </x:is>
      </x:c>
    </x:row>
    <x:row r="7">
      <x:c r="A7" t="inlineStr">
        <x:is>
          <x:t xml:space="preserve">BDS002652</x:t>
        </x:is>
      </x:c>
      <x:c r="B7" t="inlineStr">
        <x:is>
          <x:t xml:space="preserve">Mydocalm</x:t>
        </x:is>
      </x:c>
      <x:c r="C7" t="inlineStr">
        <x:is>
          <x:t xml:space="preserve">Tolperisone 50 mg.</x:t>
        </x:is>
      </x:c>
      <x:c r="D7" t="inlineStr">
        <x:is>
          <x:t xml:space="preserve">แผง 10 เม็ด</x:t>
        </x:is>
      </x:c>
      <x:c r="E7" t="n">
        <x:v>58</x:v>
      </x:c>
      <x:c r="F7" t="n">
        <x:v>5.8</x:v>
      </x:c>
      <x:c r="G7" t="inlineStr">
        <x:is>
          <x:t xml:space="preserve">https://bigya.co.th/product-detail/320</x:t>
        </x:is>
      </x:c>
      <x:c r="H7" t="inlineStr">
        <x:is>
          <x:t xml:space="preserve">2026-02-07</x:t>
        </x:is>
      </x:c>
      <x:c r="I7" t="inlineStr">
        <x:is>
          <x:t xml:space="preserve">Retail price at BIGYA (strip 10 tablets).</x:t>
        </x:is>
      </x:c>
    </x:row>
    <x:row r="8">
      <x:c r="A8" t="inlineStr">
        <x:is>
          <x:t xml:space="preserve">BDS002701</x:t>
        </x:is>
      </x:c>
      <x:c r="B8" t="inlineStr">
        <x:is>
          <x:t xml:space="preserve">Myonal 50 mg</x:t>
        </x:is>
      </x:c>
      <x:c r="C8" t="inlineStr">
        <x:is>
          <x:t xml:space="preserve">Eperisone hydrochloride 50 mg.</x:t>
        </x:is>
      </x:c>
      <x:c r="D8" t="inlineStr">
        <x:is>
          <x:t xml:space="preserve">แผง 10 เม็ด</x:t>
        </x:is>
      </x:c>
      <x:c r="E8" t="n">
        <x:v>116.6666666666667</x:v>
      </x:c>
      <x:c r="F8" t="n">
        <x:v>11.66666666666667</x:v>
      </x:c>
      <x:c r="G8" t="inlineStr">
        <x:is>
          <x:t xml:space="preserve">https://medtide.com/meds/pain-and-inflammation/muscle-relaxants/eperisone-myonal-50-mg-30-tablets-box/</x:t>
        </x:is>
      </x:c>
      <x:c r="H8" t="inlineStr">
        <x:is>
          <x:t xml:space="preserve">2026-02-07</x:t>
        </x:is>
      </x:c>
      <x:c r="I8" t="inlineStr">
        <x:is>
          <x:t xml:space="preserve">Derived from Medtide price 350 THB per box (30 tablets = 3 strips). Entered per-strip estimate.</x:t>
        </x:is>
      </x:c>
    </x:row>
    <x:row r="9">
      <x:c r="A9" t="inlineStr">
        <x:is>
          <x:t xml:space="preserve">BDS002813</x:t>
        </x:is>
      </x:c>
      <x:c r="B9" t="inlineStr">
        <x:is>
          <x:t xml:space="preserve">Nasaline-ISO</x:t>
        </x:is>
      </x:c>
      <x:c r="C9" t="inlineStr">
        <x:is>
          <x:t xml:space="preserve">Dexpanthenol 10 mg.+Sodium Chloride 9 mg./1 ml.</x:t>
        </x:is>
      </x:c>
      <x:c r="D9" t="inlineStr">
        <x:is>
          <x:t xml:space="preserve">ขวด 30 ml.</x:t>
        </x:is>
      </x:c>
      <x:c r="E9" t="n">
        <x:v>96</x:v>
      </x:c>
      <x:c r="F9" t="n">
        <x:v>96</x:v>
      </x:c>
      <x:c r="G9" t="inlineStr">
        <x:is>
          <x:t xml:space="preserve">https://vcare-plus.com/nasaline-iso-30-ml/</x:t>
        </x:is>
      </x:c>
      <x:c r="H9" t="inlineStr">
        <x:is>
          <x:t xml:space="preserve">2026-02-07</x:t>
        </x:is>
      </x:c>
      <x:c r="I9" t="inlineStr">
        <x:is>
          <x:t xml:space="preserve">Retail price shown (30 ml bottle).</x:t>
        </x:is>
      </x:c>
    </x:row>
    <x:row r="10">
      <x:c r="A10" t="inlineStr">
        <x:is>
          <x:t xml:space="preserve">BDS045600</x:t>
        </x:is>
      </x:c>
      <x:c r="B10" t="inlineStr">
        <x:is>
          <x:t xml:space="preserve">Nurofen Zavance</x:t>
        </x:is>
      </x:c>
      <x:c r="C10" t="inlineStr">
        <x:is>
          <x:t xml:space="preserve">Ibuprofen 400 mg</x:t>
        </x:is>
      </x:c>
      <x:c r="D10" t="inlineStr">
        <x:is>
          <x:t xml:space="preserve">กล่อง 10 แคปซูล</x:t>
        </x:is>
      </x:c>
      <x:c r="E10" t="n">
        <x:v>178</x:v>
      </x:c>
      <x:c r="F10" t="n">
        <x:v>17.8</x:v>
      </x:c>
      <x:c r="G10" t="inlineStr">
        <x:is>
          <x:t xml:space="preserve">https://bigya.co.th/product-detail/343</x:t>
        </x:is>
      </x:c>
      <x:c r="H10" t="inlineStr">
        <x:is>
          <x:t xml:space="preserve">2026-02-07</x:t>
        </x:is>
      </x:c>
      <x:c r="I10" t="inlineStr">
        <x:is>
          <x:t xml:space="preserve">Retail price at BIGYA (strip 10 softgel capsules).</x:t>
        </x:is>
      </x:c>
    </x:row>
    <x:row r="11">
      <x:c r="A11" t="inlineStr">
        <x:is>
          <x:t xml:space="preserve">BDS003019</x:t>
        </x:is>
      </x:c>
      <x:c r="B11" t="inlineStr">
        <x:is>
          <x:t xml:space="preserve">Otrivin 0.1%</x:t>
        </x:is>
      </x:c>
      <x:c r="C11" t="inlineStr">
        <x:is>
          <x:t xml:space="preserve">Xylometazoline Hydrochloride 0.1% (1 mg./1 ml.)</x:t>
        </x:is>
      </x:c>
      <x:c r="D11" t="inlineStr">
        <x:is>
          <x:t xml:space="preserve">ขวด 10 ml.</x:t>
        </x:is>
      </x:c>
      <x:c r="E11" t="n">
        <x:v>244</x:v>
      </x:c>
      <x:c r="F11" t="n">
        <x:v>24.4</x:v>
      </x:c>
      <x:c r="G11" t="inlineStr">
        <x:is>
          <x:t xml:space="preserve">USER</x:t>
        </x:is>
      </x:c>
      <x:c r="H11" t="inlineStr">
        <x:is>
          <x:t xml:space="preserve">2026-02-07</x:t>
        </x:is>
      </x:c>
      <x:c r="I11" t="inlineStr">
        <x:is>
          <x:t xml:space="preserve">User provided price (online). Unit price per mL (10 mL bottle).</x:t>
        </x:is>
      </x:c>
    </x:row>
    <x:row r="12">
      <x:c r="A12" t="inlineStr">
        <x:is>
          <x:t xml:space="preserve">BDS003747</x:t>
        </x:is>
      </x:c>
      <x:c r="B12" t="inlineStr">
        <x:is>
          <x:t xml:space="preserve">Telfast 180 mg</x:t>
        </x:is>
      </x:c>
      <x:c r="C12" t="inlineStr">
        <x:is>
          <x:t xml:space="preserve">Fexofenadine HCl 180 mg.</x:t>
        </x:is>
      </x:c>
      <x:c r="D12" t="inlineStr">
        <x:is>
          <x:t xml:space="preserve">กล่อง 10 เม็ด</x:t>
        </x:is>
      </x:c>
      <x:c r="E12" t="n">
        <x:v>500</x:v>
      </x:c>
      <x:c r="F12" t="n">
        <x:v>50</x:v>
      </x:c>
      <x:c r="G12" t="inlineStr">
        <x:is>
          <x:t xml:space="preserve">USER</x:t>
        </x:is>
      </x:c>
      <x:c r="H12" t="inlineStr">
        <x:is>
          <x:t xml:space="preserve">2026-02-07</x:t>
        </x:is>
      </x:c>
      <x:c r="I12" t="inlineStr">
        <x:is>
          <x:t xml:space="preserve">User provided price (online). Unit price per tablet (10 tabs pack).</x:t>
        </x:is>
      </x:c>
    </x:row>
    <x:row r="13">
      <x:c r="A13" t="inlineStr">
        <x:is>
          <x:t xml:space="preserve">BDS003762</x:t>
        </x:is>
      </x:c>
      <x:c r="B13" t="inlineStr">
        <x:is>
          <x:t xml:space="preserve">Tylenol 500 mg strip 10s</x:t>
        </x:is>
      </x:c>
      <x:c r="C13" t="inlineStr">
        <x:is>
          <x:t xml:space="preserve">Paracetamol 500 mg.</x:t>
        </x:is>
      </x:c>
      <x:c r="D13" t="inlineStr">
        <x:is>
          <x:t xml:space="preserve">แผง 10 เม็ด</x:t>
        </x:is>
      </x:c>
      <x:c r="E13" t="n">
        <x:v>36</x:v>
      </x:c>
      <x:c r="F13" t="n">
        <x:v>3.6</x:v>
      </x:c>
      <x:c r="G13" t="inlineStr">
        <x:is>
          <x:t xml:space="preserve">USER</x:t>
        </x:is>
      </x:c>
      <x:c r="H13" t="inlineStr">
        <x:is>
          <x:t xml:space="preserve">2026-02-07</x:t>
        </x:is>
      </x:c>
      <x:c r="I13" t="inlineStr">
        <x:is>
          <x:t xml:space="preserve">User provided price (online). Unit price per tablet (10 tabs strip).</x:t>
        </x:is>
      </x:c>
    </x:row>
    <x:row r="14">
      <x:c r="A14" t="inlineStr">
        <x:is>
          <x:t xml:space="preserve">BDS004043</x:t>
        </x:is>
      </x:c>
      <x:c r="B14" t="inlineStr">
        <x:is>
          <x:t xml:space="preserve">Voltaren Emulgel กลาง</x:t>
        </x:is>
      </x:c>
      <x:c r="C14" t="inlineStr">
        <x:is>
          <x:t xml:space="preserve">Diclofenac Sodium 1 g./100 g.</x:t>
        </x:is>
      </x:c>
      <x:c r="D14" t="inlineStr">
        <x:is>
          <x:t xml:space="preserve">หลอด 25 g.</x:t>
        </x:is>
      </x:c>
      <x:c r="E14" t="n">
        <x:v>235</x:v>
      </x:c>
      <x:c r="F14" t="n">
        <x:v>235</x:v>
      </x:c>
      <x:c r="G14" t="inlineStr">
        <x:is>
          <x:t xml:space="preserve"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x:t>
        </x:is>
      </x:c>
      <x:c r="H14" t="inlineStr">
        <x:is>
          <x:t xml:space="preserve">2026-02-07</x:t>
        </x:is>
      </x:c>
      <x:c r="I14" t="inlineStr">
        <x:is>
          <x:t xml:space="preserve">Page shows 25 g variant; price fields are inconsistent—used 235 THB as best visible pack price.</x:t>
        </x:is>
      </x:c>
    </x:row>
    <x:row r="15">
      <x:c r="A15" t="inlineStr">
        <x:is>
          <x:t xml:space="preserve">BDS002215</x:t>
        </x:is>
      </x:c>
      <x:c r="B15" t="inlineStr">
        <x:is>
          <x:t xml:space="preserve">Iliadin Spray</x:t>
        </x:is>
      </x:c>
      <x:c r="C15" t="inlineStr">
        <x:is>
          <x:t xml:space="preserve">Oxymetazoline Hydrochloride 0.05% (0.5 mg./1 ml.)</x:t>
        </x:is>
      </x:c>
      <x:c r="D15" t="inlineStr">
        <x:is>
          <x:t xml:space="preserve">ขวด 10 ml.</x:t>
        </x:is>
      </x:c>
      <x:c r="E15" t="n">
        <x:v>262</x:v>
      </x:c>
      <x:c r="F15" t="n">
        <x:v>26.2</x:v>
      </x:c>
      <x:c r="G15" t="inlineStr">
        <x:is>
          <x:t xml:space="preserve">USER</x:t>
        </x:is>
      </x:c>
      <x:c r="H15" t="inlineStr">
        <x:is>
          <x:t xml:space="preserve">2026-02-07</x:t>
        </x:is>
      </x:c>
      <x:c r="I15" t="inlineStr">
        <x:is>
          <x:t xml:space="preserve">User provided price (online). Unit price is per mL (10 mL bottle).</x:t>
        </x:is>
      </x:c>
    </x:row>
    <x:row r="16">
      <x:c r="A16" t="inlineStr">
        <x:is>
          <x:t xml:space="preserve">BDS004213</x:t>
        </x:is>
      </x:c>
      <x:c r="B16" t="inlineStr">
        <x:is>
          <x:t xml:space="preserve">Zyrtec</x:t>
        </x:is>
      </x:c>
      <x:c r="C16" t="inlineStr">
        <x:is>
          <x:t xml:space="preserve">Cetirizine dihydrochloride 10 mg.</x:t>
        </x:is>
      </x:c>
      <x:c r="D16" t="inlineStr">
        <x:is>
          <x:t xml:space="preserve">กล่อง 10 เม็ด</x:t>
        </x:is>
      </x:c>
      <x:c r="E16" t="n">
        <x:v>216</x:v>
      </x:c>
      <x:c r="F16" t="n">
        <x:v>21.6</x:v>
      </x:c>
      <x:c r="G16" t="inlineStr">
        <x:is>
          <x:t xml:space="preserve">USER</x:t>
        </x:is>
      </x:c>
      <x:c r="H16" t="inlineStr">
        <x:is>
          <x:t xml:space="preserve">2026-02-07</x:t>
        </x:is>
      </x:c>
      <x:c r="I16" t="inlineStr">
        <x:is>
          <x:t xml:space="preserve">User provided price (online). Unit price is per tablet (10-tab box).</x:t>
        </x:is>
      </x:c>
    </x:row>
    <x:row r="17">
      <x:c r="A17" t="inlineStr">
        <x:is>
          <x:t xml:space="preserve">BDS002901</x:t>
        </x:is>
      </x:c>
      <x:c r="B17" t="inlineStr">
        <x:is>
          <x:t xml:space="preserve">Nac Long</x:t>
        </x:is>
      </x:c>
      <x:c r="C17" t="inlineStr">
        <x:is>
          <x:t xml:space="preserve">Acetylcysteine 600 mg.</x:t>
        </x:is>
      </x:c>
      <x:c r="D17" t="inlineStr">
        <x:is>
          <x:t xml:space="preserve">หลอด 10 เม็ด</x:t>
        </x:is>
      </x:c>
      <x:c r="E17" t="n">
        <x:v>270</x:v>
      </x:c>
      <x:c r="F17" t="n">
        <x:v>27</x:v>
      </x:c>
      <x:c r="G17" t="inlineStr">
        <x:is>
          <x:t xml:space="preserve">USER</x:t>
        </x:is>
      </x:c>
      <x:c r="H17" t="inlineStr">
        <x:is>
          <x:t xml:space="preserve">2026-02-07</x:t>
        </x:is>
      </x:c>
      <x:c r="I17" t="inlineStr">
        <x:is>
          <x:t xml:space="preserve">User provided price (online). Unit price is per tablet (10-tab tube).</x:t>
        </x:is>
      </x:c>
    </x:row>
    <x:row r="18">
      <x:c r="A18" t="inlineStr">
        <x:is>
          <x:t xml:space="preserve">BDS002411</x:t>
        </x:is>
      </x:c>
      <x:c r="B18" t="inlineStr">
        <x:is>
          <x:t xml:space="preserve">Kamillosan-M Spray</x:t>
        </x:is>
      </x:c>
      <x:c r="C18" t="inlineStr">
        <x:is>
          <x:t xml:space="preserve">ดอกหญ้าหอม+เพเพอร์มิ้นต์+เซจ ออยล์+เทียนสัตบุษย์+ไพน์ นีดเดิล ออยล์+เบอร์กามอต ออยล์+ยูคาลิปทอล</x:t>
        </x:is>
      </x:c>
      <x:c r="D18" t="inlineStr">
        <x:is>
          <x:t xml:space="preserve">ขวด 15 ml.</x:t>
        </x:is>
      </x:c>
      <x:c r="E18" t="n">
        <x:v>296</x:v>
      </x:c>
      <x:c r="F18" t="n">
        <x:v>19.73</x:v>
      </x:c>
      <x:c r="G18" t="inlineStr">
        <x:is>
          <x:t xml:space="preserve">USER</x:t>
        </x:is>
      </x:c>
      <x:c r="H18" t="inlineStr">
        <x:is>
          <x:t xml:space="preserve">2026-02-17</x:t>
        </x:is>
      </x:c>
      <x:c r="I18" t="inlineStr">
        <x:is>
          <x:t xml:space="preserve">User provided price (Kamillosan-M Spray 15 ml). Unit price is per ml.</x:t>
        </x:is>
      </x:c>
    </x:row>
    <x:row r="19">
      <x:c r="A19" t="inlineStr">
        <x:is>
          <x:t xml:space="preserve">BDS003590</x:t>
        </x:is>
      </x:c>
      <x:c r="B19" t="inlineStr">
        <x:is>
          <x:t xml:space="preserve">Strepsils Honey &amp; Lemon HHR ซอง 8s</x:t>
        </x:is>
      </x:c>
      <x:c r="C19" t="inlineStr">
        <x:is>
          <x:t xml:space="preserve">2,4-Dichlorobenzyl Alcohol 1.2 mg.+Amylmetacresol 0.6 mg.</x:t>
        </x:is>
      </x:c>
      <x:c r="D19" t="inlineStr">
        <x:is>
          <x:t xml:space="preserve">ซอง 8 เม็ด</x:t>
        </x:is>
      </x:c>
      <x:c r="E19" t="n">
        <x:v>120</x:v>
      </x:c>
      <x:c r="F19" t="n">
        <x:v>15</x:v>
      </x:c>
      <x:c r="G19" t="inlineStr">
        <x:is>
          <x:t xml:space="preserve">USER</x:t>
        </x:is>
      </x:c>
      <x:c r="H19" t="inlineStr">
        <x:is>
          <x:t xml:space="preserve">2026-02-07</x:t>
        </x:is>
      </x:c>
      <x:c r="I19" t="inlineStr">
        <x:is>
          <x:t xml:space="preserve">User provided price (online). Unit price per lozenge (8 tabs pack).</x:t>
        </x:is>
      </x:c>
    </x:row>
    <x:row r="20">
      <x:c r="A20" t="inlineStr">
        <x:is>
          <x:t xml:space="preserve">BDS003914</x:t>
        </x:is>
      </x:c>
      <x:c r="B20" t="inlineStr">
        <x:is>
          <x:t xml:space="preserve">Uniren Spray</x:t>
        </x:is>
      </x:c>
      <x:c r="C20" t="inlineStr">
        <x:is>
          <x:t xml:space="preserve">Diclofenac Sodium 1 % w/w</x:t>
        </x:is>
      </x:c>
      <x:c r="D20" t="inlineStr">
        <x:is>
          <x:t xml:space="preserve">ขวด 60 ml.</x:t>
        </x:is>
      </x:c>
      <x:c r="E20" t="n">
        <x:v>346</x:v>
      </x:c>
      <x:c r="F20" t="n">
        <x:v>5.77</x:v>
      </x:c>
      <x:c r="G20" t="inlineStr">
        <x:is>
          <x:t xml:space="preserve">USER</x:t>
        </x:is>
      </x:c>
      <x:c r="H20" t="inlineStr">
        <x:is>
          <x:t xml:space="preserve">2026-02-07</x:t>
        </x:is>
      </x:c>
      <x:c r="I20" t="inlineStr">
        <x:is>
          <x:t xml:space="preserve">User provided price (Uniren Spray 60 ml).</x:t>
        </x:is>
      </x:c>
    </x:row>
    <x:row r="21">
      <x:c r="A21" t="inlineStr">
        <x:is>
          <x:t xml:space="preserve">BDS001473</x:t>
        </x:is>
      </x:c>
      <x:c r="B21" t="inlineStr">
        <x:is>
          <x:t xml:space="preserve">Counterpain ใหญ่</x:t>
        </x:is>
      </x:c>
      <x:c r="C21" t="inlineStr">
        <x:is>
          <x:t xml:space="preserve">Menthol 5.44%+Methyl Salicylate 10.2%+Eugenol 1.36%</x:t>
        </x:is>
      </x:c>
      <x:c r="D21" t="inlineStr">
        <x:is>
          <x:t xml:space="preserve">หลอด 120 g.</x:t>
        </x:is>
      </x:c>
      <x:c r="E21" t="n">
        <x:v>300</x:v>
      </x:c>
      <x:c r="F21" t="n">
        <x:v>2.5</x:v>
      </x:c>
      <x:c r="G21" t="inlineStr">
        <x:is>
          <x:t xml:space="preserve">USER</x:t>
        </x:is>
      </x:c>
      <x:c r="H21" t="inlineStr">
        <x:is>
          <x:t xml:space="preserve">2026-02-07</x:t>
        </x:is>
      </x:c>
      <x:c r="I21" t="inlineStr">
        <x:is>
          <x:t xml:space="preserve">User provided price (Counterpain 120 g).</x:t>
        </x:is>
      </x:c>
    </x:row>
    <x:row r="22">
      <x:c r="A22" t="inlineStr">
        <x:is>
          <x:t xml:space="preserve">BDS045630</x:t>
        </x:is>
      </x:c>
      <x:c r="B22" t="inlineStr">
        <x:is>
          <x:t xml:space="preserve">Nasotapp</x:t>
        </x:is>
      </x:c>
      <x:c r="C22" t="inlineStr">
        <x:is>
          <x:t xml:space="preserve">Brompheniramine Maleate 4 mg.+Phenylephrine HCl 10 mg.</x:t>
        </x:is>
      </x:c>
      <x:c r="D22" t="inlineStr">
        <x:is>
          <x:t xml:space="preserve">แผง 10 เม็ด</x:t>
        </x:is>
      </x:c>
      <x:c r="E22" t="n">
        <x:v>116</x:v>
      </x:c>
      <x:c r="F22" t="n">
        <x:v>11.6</x:v>
      </x:c>
      <x:c r="G22" t="inlineStr">
        <x:is>
          <x:t xml:space="preserve">USER</x:t>
        </x:is>
      </x:c>
      <x:c r="H22" t="inlineStr">
        <x:is>
          <x:t xml:space="preserve">2026-02-07</x:t>
        </x:is>
      </x:c>
      <x:c r="I22" t="inlineStr">
        <x:is>
          <x:t xml:space="preserve">User provided price (Nasotapp 10 tabs).</x:t>
        </x:is>
      </x:c>
    </x:row>
    <x:row r="23">
      <x:c r="A23" t="inlineStr">
        <x:is>
          <x:t xml:space="preserve">BDS003105</x:t>
        </x:is>
      </x:c>
      <x:c r="B23" t="inlineStr">
        <x:is>
          <x:t xml:space="preserve">Otrivin Child Spray 0.05%</x:t>
        </x:is>
      </x:c>
      <x:c r="C23" t="inlineStr">
        <x:is>
          <x:t xml:space="preserve">Xylometazoline Hydrochloride 0.05% (0.5 mg./1 ml.)</x:t>
        </x:is>
      </x:c>
      <x:c r="D23" t="inlineStr">
        <x:is>
          <x:t xml:space="preserve">ขวด 10 ml.</x:t>
        </x:is>
      </x:c>
      <x:c r="E23" t="n">
        <x:v>244</x:v>
      </x:c>
      <x:c r="F23" t="n">
        <x:v>24.4</x:v>
      </x:c>
      <x:c r="G23" t="inlineStr">
        <x:is>
          <x:t xml:space="preserve">USER</x:t>
        </x:is>
      </x:c>
      <x:c r="H23" t="inlineStr">
        <x:is>
          <x:t xml:space="preserve">2026-02-07</x:t>
        </x:is>
      </x:c>
      <x:c r="I23" t="inlineStr">
        <x:is>
          <x:t xml:space="preserve">User provided price (Otrivin Child Spray 10 ml).</x:t>
        </x:is>
      </x:c>
    </x:row>
    <x:row r="24">
      <x:c r="A24" t="inlineStr">
        <x:is>
          <x:t xml:space="preserve">BDS002655</x:t>
        </x:is>
      </x:c>
      <x:c r="B24" t="inlineStr">
        <x:is>
          <x:t xml:space="preserve">Mucolid</x:t>
        </x:is>
      </x:c>
      <x:c r="C24" t="inlineStr">
        <x:is>
          <x:t xml:space="preserve">Ambroxol HCl 30 mg.</x:t>
        </x:is>
      </x:c>
      <x:c r="D24" t="inlineStr">
        <x:is>
          <x:t xml:space="preserve">แผง 10 เม็ด</x:t>
        </x:is>
      </x:c>
      <x:c r="E24" t="n">
        <x:v>90</x:v>
      </x:c>
      <x:c r="F24" t="n">
        <x:v>9</x:v>
      </x:c>
      <x:c r="G24" t="inlineStr">
        <x:is>
          <x:t xml:space="preserve">USER</x:t>
        </x:is>
      </x:c>
      <x:c r="H24" t="inlineStr">
        <x:is>
          <x:t xml:space="preserve">2026-02-07</x:t>
        </x:is>
      </x:c>
      <x:c r="I24" t="inlineStr">
        <x:is>
          <x:t xml:space="preserve">User provided price (Mucolid 10 tabs).</x:t>
        </x:is>
      </x:c>
    </x:row>
    <x:row r="25">
      <x:c r="A25" t="inlineStr">
        <x:is>
          <x:t xml:space="preserve">BDS001010</x:t>
        </x:is>
      </x:c>
      <x:c r="B25" t="inlineStr">
        <x:is>
          <x:t xml:space="preserve">Aerius tabslet</x:t>
        </x:is>
      </x:c>
      <x:c r="C25" t="inlineStr">
        <x:is>
          <x:t xml:space="preserve">Desloratadine 5 mg.</x:t>
        </x:is>
      </x:c>
      <x:c r="D25" t="inlineStr">
        <x:is>
          <x:t xml:space="preserve">กล่อง 10 เม็ด</x:t>
        </x:is>
      </x:c>
      <x:c r="E25" t="n">
        <x:v>620</x:v>
      </x:c>
      <x:c r="F25" t="n">
        <x:v>62</x:v>
      </x:c>
      <x:c r="G25" t="inlineStr">
        <x:is>
          <x:t xml:space="preserve">USER</x:t>
        </x:is>
      </x:c>
      <x:c r="H25" t="inlineStr">
        <x:is>
          <x:t xml:space="preserve">2026-02-07</x:t>
        </x:is>
      </x:c>
      <x:c r="I25" t="inlineStr">
        <x:is>
          <x:t xml:space="preserve">User provided price (Aerius tabslet 10 tabs).</x:t>
        </x:is>
      </x:c>
    </x:row>
    <x:row r="26">
      <x:c r="A26" t="inlineStr">
        <x:is>
          <x:t xml:space="preserve">BDS048630</x:t>
        </x:is>
      </x:c>
      <x:c r="B26" t="inlineStr">
        <x:is>
          <x:t xml:space="preserve">TA 0.1% Lotion</x:t>
        </x:is>
      </x:c>
      <x:c r="C26" t="inlineStr">
        <x:is>
          <x:t xml:space="preserve">Triamcinolone Acetonide 0.1 g/100 g (0.1 % w/w)</x:t>
        </x:is>
      </x:c>
      <x:c r="D26" t="inlineStr">
        <x:is>
          <x:t xml:space="preserve">ขวด 30 g.</x:t>
        </x:is>
      </x:c>
      <x:c r="E26" t="n">
        <x:v>116</x:v>
      </x:c>
      <x:c r="F26" t="n">
        <x:v>3.87</x:v>
      </x:c>
      <x:c r="G26" t="inlineStr">
        <x:is>
          <x:t xml:space="preserve">USER</x:t>
        </x:is>
      </x:c>
      <x:c r="H26" t="inlineStr">
        <x:is>
          <x:t xml:space="preserve">2026-02-07</x:t>
        </x:is>
      </x:c>
      <x:c r="I26" t="inlineStr">
        <x:is>
          <x:t xml:space="preserve">User provided price (TA 0.1% Lotion 30 g).</x:t>
        </x:is>
      </x:c>
    </x:row>
    <x:row r="27">
      <x:c r="A27" t="inlineStr">
        <x:is>
          <x:t xml:space="preserve">BDS001632</x:t>
        </x:is>
      </x:c>
      <x:c r="B27" t="inlineStr">
        <x:is>
          <x:t xml:space="preserve">DexOph Eye-Ear Drops</x:t>
        </x:is>
      </x:c>
      <x:c r="C27" t="inlineStr">
        <x:is>
          <x:t xml:space="preserve">Dexamethasone Sodium Phosphate (eq. to Dexamethasone Phosphate 0.1 %)+Neomycin Sulfate 0.5% (eq. to Neomycin Base 0.35 %)/1 ml.</x:t>
        </x:is>
      </x:c>
      <x:c r="D27" t="inlineStr">
        <x:is>
          <x:t xml:space="preserve">ขวด 4 ml.</x:t>
        </x:is>
      </x:c>
      <x:c r="E27" t="n">
        <x:v>120</x:v>
      </x:c>
      <x:c r="F27" t="n">
        <x:v>30</x:v>
      </x:c>
      <x:c r="G27" t="inlineStr">
        <x:is>
          <x:t xml:space="preserve">USER</x:t>
        </x:is>
      </x:c>
      <x:c r="H27" t="inlineStr">
        <x:is>
          <x:t xml:space="preserve">2026-02-07</x:t>
        </x:is>
      </x:c>
      <x:c r="I27" t="inlineStr">
        <x:is>
          <x:t xml:space="preserve">User provided price (DexOph Eye-Ear Drops 4 ml).</x:t>
        </x:is>
      </x:c>
    </x:row>
    <x:row r="28">
      <x:c r="A28" t="inlineStr">
        <x:is>
          <x:t xml:space="preserve">BDS044322</x:t>
        </x:is>
      </x:c>
      <x:c r="B28" t="inlineStr">
        <x:is>
          <x:t xml:space="preserve">Klean &amp; Kare Saline ใหญ่</x:t>
        </x:is>
      </x:c>
      <x:c r="C28" t="inlineStr">
        <x:is>
          <x:t xml:space="preserve">Sodium Chloride 0.9 g./100 ml.</x:t>
        </x:is>
      </x:c>
      <x:c r="D28" t="inlineStr">
        <x:is>
          <x:t xml:space="preserve">ขวด 1000 ml.</x:t>
        </x:is>
      </x:c>
      <x:c r="E28" t="n">
        <x:v>129</x:v>
      </x:c>
      <x:c r="F28" t="n">
        <x:v>0.13</x:v>
      </x:c>
      <x:c r="G28" t="inlineStr">
        <x:is>
          <x:t xml:space="preserve">USER</x:t>
        </x:is>
      </x:c>
      <x:c r="H28" t="inlineStr">
        <x:is>
          <x:t xml:space="preserve">2026-02-17</x:t>
        </x:is>
      </x:c>
      <x:c r="I28" t="inlineStr">
        <x:is>
          <x:t xml:space="preserve">User provided price (Klean &amp; Kare Saline ใหญ่ 1000 ml). Unit price is per ml.</x:t>
        </x:is>
      </x:c>
    </x:row>
    <x:row r="29">
      <x:c r="A29" t="inlineStr">
        <x:is>
          <x:t xml:space="preserve">BDS002201</x:t>
        </x:is>
      </x:c>
      <x:c r="B29" t="inlineStr">
        <x:is>
          <x:t xml:space="preserve">Ibiamox 500 mg</x:t>
        </x:is>
      </x:c>
      <x:c r="C29" t="inlineStr">
        <x:is>
          <x:t xml:space="preserve">Amoxicillin 500 mg.</x:t>
        </x:is>
      </x:c>
      <x:c r="D29" t="inlineStr">
        <x:is>
          <x:t xml:space="preserve">แผง 10 แคปซูล</x:t>
        </x:is>
      </x:c>
      <x:c r="E29" t="n">
        <x:v>110</x:v>
      </x:c>
      <x:c r="F29" t="n">
        <x:v>11</x:v>
      </x:c>
      <x:c r="G29" t="inlineStr">
        <x:is>
          <x:t xml:space="preserve">USER</x:t>
        </x:is>
      </x:c>
      <x:c r="H29" t="inlineStr">
        <x:is>
          <x:t xml:space="preserve">2026-02-17</x:t>
        </x:is>
      </x:c>
      <x:c r="I29" t="inlineStr">
        <x:is>
          <x:t xml:space="preserve">User provided price (Ibiamox 500 mg 10 caps). Unit price is per cap.</x:t>
        </x:is>
      </x:c>
    </x:row>
    <x:row r="30">
      <x:c r="A30" t="inlineStr">
        <x:is>
          <x:t xml:space="preserve">BDS002033</x:t>
        </x:is>
      </x:c>
      <x:c r="B30" t="inlineStr">
        <x:is>
          <x:t xml:space="preserve">Gaviscon Dual Action sachet 10 ml</x:t>
        </x:is>
      </x:c>
      <x:c r="C30" t="inlineStr">
        <x:is>
          <x:t xml:space="preserve">Sodium alginate 500 mg.+Sodium bicarbonate 213 mg.+Calcium carbonate 325 mg.</x:t>
        </x:is>
      </x:c>
      <x:c r="D30" t="inlineStr">
        <x:is>
          <x:t xml:space="preserve">ซอง 10 ml.</x:t>
        </x:is>
      </x:c>
      <x:c r="E30" t="n">
        <x:v>75</x:v>
      </x:c>
      <x:c r="F30" t="n">
        <x:v>7.5</x:v>
      </x:c>
      <x:c r="G30" t="inlineStr">
        <x:is>
          <x:t xml:space="preserve">USER</x:t>
        </x:is>
      </x:c>
      <x:c r="H30" t="inlineStr">
        <x:is>
          <x:t xml:space="preserve">2026-02-17</x:t>
        </x:is>
      </x:c>
      <x:c r="I30" t="inlineStr">
        <x:is>
          <x:t xml:space="preserve">User provided price (Gaviscon Dual Action sachet 10 ml 10 ml). Unit price is per ml.</x:t>
        </x:is>
      </x:c>
    </x:row>
    <x:row r="31">
      <x:c r="A31" t="inlineStr">
        <x:is>
          <x:t xml:space="preserve">BDS001233</x:t>
        </x:is>
      </x:c>
      <x:c r="B31" t="inlineStr">
        <x:is>
          <x:t xml:space="preserve">Bioflor Capsule</x:t>
        </x:is>
      </x:c>
      <x:c r="C31" t="inlineStr">
        <x:is>
          <x:t xml:space="preserve">Lyophilized Saccharomyces boulardii 250 mg.</x:t>
        </x:is>
      </x:c>
      <x:c r="D31" t="inlineStr">
        <x:is>
          <x:t xml:space="preserve">แผง 5 แคปซูล</x:t>
        </x:is>
      </x:c>
      <x:c r="E31" t="n">
        <x:v>321</x:v>
      </x:c>
      <x:c r="F31" t="n">
        <x:v>64.2</x:v>
      </x:c>
      <x:c r="G31" t="inlineStr">
        <x:is>
          <x:t xml:space="preserve">USER</x:t>
        </x:is>
      </x:c>
      <x:c r="H31" t="inlineStr">
        <x:is>
          <x:t xml:space="preserve">2026-02-17</x:t>
        </x:is>
      </x:c>
      <x:c r="I31" t="inlineStr">
        <x:is>
          <x:t xml:space="preserve">User provided price (Bioflor Capsule 5 caps). Unit price is per cap.</x:t>
        </x:is>
      </x:c>
    </x:row>
    <x:row r="32">
      <x:c r="A32" t="inlineStr">
        <x:is>
          <x:t xml:space="preserve">BDS001014</x:t>
        </x:is>
      </x:c>
      <x:c r="B32" t="inlineStr">
        <x:is>
          <x:t xml:space="preserve">Air-X</x:t>
        </x:is>
      </x:c>
      <x:c r="C32" t="inlineStr">
        <x:is>
          <x:t xml:space="preserve">Simethicone 80 mg.</x:t>
        </x:is>
      </x:c>
      <x:c r="D32" t="inlineStr">
        <x:is>
          <x:t xml:space="preserve">แผง 10 เม็ด</x:t>
        </x:is>
      </x:c>
      <x:c r="E32" t="n">
        <x:v>57</x:v>
      </x:c>
      <x:c r="F32" t="n">
        <x:v>5.7</x:v>
      </x:c>
      <x:c r="G32" t="inlineStr">
        <x:is>
          <x:t xml:space="preserve">USER</x:t>
        </x:is>
      </x:c>
      <x:c r="H32" t="inlineStr">
        <x:is>
          <x:t xml:space="preserve">2026-02-17</x:t>
        </x:is>
      </x:c>
      <x:c r="I32" t="inlineStr">
        <x:is>
          <x:t xml:space="preserve">User provided price (Air-X 10 tabs). Unit price is per tab.</x:t>
        </x:is>
      </x:c>
    </x:row>
    <x:row r="33">
      <x:c r="A33" t="inlineStr">
        <x:is>
          <x:t xml:space="preserve">BDS007742</x:t>
        </x:is>
      </x:c>
      <x:c r="B33" t="inlineStr">
        <x:is>
          <x:t xml:space="preserve">Mucobrox</x:t>
        </x:is>
      </x:c>
      <x:c r="C33" t="inlineStr">
        <x:is>
          <x:t xml:space="preserve">Ambroxol HCl 30 mg./5 ml.</x:t>
        </x:is>
      </x:c>
      <x:c r="D33" t="inlineStr">
        <x:is>
          <x:t xml:space="preserve">ขวด 60 ml.</x:t>
        </x:is>
      </x:c>
      <x:c r="E33" t="n">
        <x:v>100</x:v>
      </x:c>
      <x:c r="F33" t="n">
        <x:v>1.67</x:v>
      </x:c>
      <x:c r="G33" t="inlineStr">
        <x:is>
          <x:t xml:space="preserve">USER</x:t>
        </x:is>
      </x:c>
      <x:c r="H33" t="inlineStr">
        <x:is>
          <x:t xml:space="preserve">2026-02-17</x:t>
        </x:is>
      </x:c>
      <x:c r="I33" t="inlineStr">
        <x:is>
          <x:t xml:space="preserve">User provided price (Mucobrox 60 ml). Unit price is per ml.</x:t>
        </x:is>
      </x:c>
    </x:row>
    <x:row r="34">
      <x:c r="A34" t="inlineStr">
        <x:is>
          <x:t xml:space="preserve">BDS004212</x:t>
        </x:is>
      </x:c>
      <x:c r="B34" t="inlineStr">
        <x:is>
          <x:t xml:space="preserve">Zyrtec Syrup</x:t>
        </x:is>
      </x:c>
      <x:c r="C34" t="inlineStr">
        <x:is>
          <x:t xml:space="preserve">Cetirizine 2HCI 1 mg./1 ml.</x:t>
        </x:is>
      </x:c>
      <x:c r="D34" t="inlineStr">
        <x:is>
          <x:t xml:space="preserve">ขวด 75 ml.</x:t>
        </x:is>
      </x:c>
      <x:c r="E34" t="n">
        <x:v>250</x:v>
      </x:c>
      <x:c r="F34" t="n">
        <x:v>3.33</x:v>
      </x:c>
      <x:c r="G34" t="inlineStr">
        <x:is>
          <x:t xml:space="preserve">USER</x:t>
        </x:is>
      </x:c>
      <x:c r="H34" t="inlineStr">
        <x:is>
          <x:t xml:space="preserve">2026-02-17</x:t>
        </x:is>
      </x:c>
      <x:c r="I34" t="inlineStr">
        <x:is>
          <x:t xml:space="preserve">User provided price (Zyrtec Syrup 75 ml). Unit price is per ml.</x:t>
        </x:is>
      </x:c>
    </x:row>
    <x:row r="35">
      <x:c r="A35" t="inlineStr">
        <x:is>
          <x:t xml:space="preserve">BDS040630</x:t>
        </x:is>
      </x:c>
      <x:c r="B35" t="inlineStr">
        <x:is>
          <x:t xml:space="preserve">Bilaxten</x:t>
        </x:is>
      </x:c>
      <x:c r="C35" t="inlineStr">
        <x:is>
          <x:t xml:space="preserve">Bilastine 20 mg.</x:t>
        </x:is>
      </x:c>
      <x:c r="D35" t="inlineStr">
        <x:is>
          <x:t xml:space="preserve">กล่อง 10 เม็ด</x:t>
        </x:is>
      </x:c>
      <x:c r="E35" t="n">
        <x:v>378</x:v>
      </x:c>
      <x:c r="F35" t="n">
        <x:v>37.8</x:v>
      </x:c>
      <x:c r="G35" t="inlineStr">
        <x:is>
          <x:t xml:space="preserve">USER</x:t>
        </x:is>
      </x:c>
      <x:c r="H35" t="inlineStr">
        <x:is>
          <x:t xml:space="preserve">2026-02-17</x:t>
        </x:is>
      </x:c>
      <x:c r="I35" t="inlineStr">
        <x:is>
          <x:t xml:space="preserve">User provided price (Bilaxten 10 tabs). Unit price is per tab.</x:t>
        </x:is>
      </x:c>
    </x:row>
    <x:row r="36">
      <x:c r="A36" t="inlineStr">
        <x:is>
          <x:t xml:space="preserve">BDS001009</x:t>
        </x:is>
      </x:c>
      <x:c r="B36" t="inlineStr">
        <x:is>
          <x:t xml:space="preserve">Avamys</x:t>
        </x:is>
      </x:c>
      <x:c r="C36" t="inlineStr">
        <x:is>
          <x:t xml:space="preserve">Fluticasone furoate 27.5 mcg/spray+Preservative (Benzalkonium Chloride)+อื่นๆ</x:t>
        </x:is>
      </x:c>
      <x:c r="D36" t="inlineStr">
        <x:is>
          <x:t xml:space="preserve">ขวด 120 doses</x:t>
        </x:is>
      </x:c>
      <x:c r="E36" t="n">
        <x:v>905</x:v>
      </x:c>
      <x:c r="F36" t="n">
        <x:v>7.54</x:v>
      </x:c>
      <x:c r="G36" t="inlineStr">
        <x:is>
          <x:t xml:space="preserve">USER</x:t>
        </x:is>
      </x:c>
      <x:c r="H36" t="inlineStr">
        <x:is>
          <x:t xml:space="preserve">2026-02-17</x:t>
        </x:is>
      </x:c>
      <x:c r="I36" t="inlineStr">
        <x:is>
          <x:t xml:space="preserve">User provided price (Avamys 120 doses). Unit price is per dose.</x:t>
        </x:is>
      </x:c>
    </x:row>
    <x:row r="37">
      <x:c r="A37" t="inlineStr">
        <x:is>
          <x:t xml:space="preserve">BDS003131</x:t>
        </x:is>
      </x:c>
      <x:c r="B37" t="inlineStr">
        <x:is>
          <x:t xml:space="preserve">Ponstan 500 mg</x:t>
        </x:is>
      </x:c>
      <x:c r="C37" t="inlineStr">
        <x:is>
          <x:t xml:space="preserve">Mefenamic acid 500 mg.</x:t>
        </x:is>
      </x:c>
      <x:c r="D37" t="inlineStr">
        <x:is>
          <x:t xml:space="preserve">แผง 10 เม็ด</x:t>
        </x:is>
      </x:c>
      <x:c r="E37" t="n">
        <x:v>107</x:v>
      </x:c>
      <x:c r="F37" t="n">
        <x:v>10.7</x:v>
      </x:c>
      <x:c r="G37" t="inlineStr">
        <x:is>
          <x:t xml:space="preserve">USER</x:t>
        </x:is>
      </x:c>
      <x:c r="H37" t="inlineStr">
        <x:is>
          <x:t xml:space="preserve">2026-02-17</x:t>
        </x:is>
      </x:c>
      <x:c r="I37" t="inlineStr">
        <x:is>
          <x:t xml:space="preserve">User provided price (Ponstan 500 mg 10 tabs). Unit price is per tab.</x:t>
        </x:is>
      </x:c>
    </x:row>
    <x:row r="38">
      <x:c r="A38" t="inlineStr">
        <x:is>
          <x:t xml:space="preserve">BDS002822</x:t>
        </x:is>
      </x:c>
      <x:c r="B38" t="inlineStr">
        <x:is>
          <x:t xml:space="preserve">Neurobion</x:t>
        </x:is>
      </x:c>
      <x:c r="C38" t="inlineStr">
        <x:is>
          <x:t xml:space="preserve">Thiamine Disulfide (Vit.B1) 100 mg+Pyridoxine HCl (Vit.B6) 200 mg+Cyanocobalamin (Vit.B12) 200 mcg</x:t>
        </x:is>
      </x:c>
      <x:c r="D38" t="inlineStr">
        <x:is>
          <x:t xml:space="preserve">แผง 10 เม็ด</x:t>
        </x:is>
      </x:c>
      <x:c r="E38" t="n">
        <x:v>144</x:v>
      </x:c>
      <x:c r="F38" t="n">
        <x:v>14.4</x:v>
      </x:c>
      <x:c r="G38" t="inlineStr">
        <x:is>
          <x:t xml:space="preserve">USER</x:t>
        </x:is>
      </x:c>
      <x:c r="H38" t="inlineStr">
        <x:is>
          <x:t xml:space="preserve">2026-02-17</x:t>
        </x:is>
      </x:c>
      <x:c r="I38" t="inlineStr">
        <x:is>
          <x:t xml:space="preserve">User provided price (Neurobion 10 tabs). Unit price is per tab.</x:t>
        </x:is>
      </x:c>
    </x:row>
    <x:row r="39">
      <x:c r="A39" t="inlineStr">
        <x:is>
          <x:t xml:space="preserve">BDS006840</x:t>
        </x:is>
      </x:c>
      <x:c r="B39" t="inlineStr">
        <x:is>
          <x:t xml:space="preserve">Relpax 40 mg</x:t>
        </x:is>
      </x:c>
      <x:c r="C39" t="inlineStr">
        <x:is>
          <x:t xml:space="preserve">Eletriptan 40 mg.</x:t>
        </x:is>
      </x:c>
      <x:c r="D39" t="inlineStr">
        <x:is>
          <x:t xml:space="preserve">กล่อง 2 เม็ด</x:t>
        </x:is>
      </x:c>
      <x:c r="E39" t="n">
        <x:v>516</x:v>
      </x:c>
      <x:c r="F39" t="n">
        <x:v>258</x:v>
      </x:c>
      <x:c r="G39" t="inlineStr">
        <x:is>
          <x:t xml:space="preserve">USER</x:t>
        </x:is>
      </x:c>
      <x:c r="H39" t="inlineStr">
        <x:is>
          <x:t xml:space="preserve">2026-02-17</x:t>
        </x:is>
      </x:c>
      <x:c r="I39" t="inlineStr">
        <x:is>
          <x:t xml:space="preserve">User provided price (Relpax 40 mg 2 tabs). Unit price is per tab.</x:t>
        </x:is>
      </x:c>
    </x:row>
    <x:row r="40">
      <x:c r="A40" t="inlineStr">
        <x:is>
          <x:t xml:space="preserve">BDS008282</x:t>
        </x:is>
      </x:c>
      <x:c r="B40" t="inlineStr">
        <x:is>
          <x:t xml:space="preserve">Cera ORS รสส้ม</x:t>
        </x:is>
      </x:c>
      <x:c r="C40" t="inlineStr">
        <x:is>
          <x:t xml:space="preserve">Glucose Anhydrous 3 g.+Sodium Chloride 0.53 g.+Potassium Chloride 0.23 g.+Sodium Citrate Dihydrate 0.44 g.</x:t>
        </x:is>
      </x:c>
      <x:c r="D40" t="inlineStr">
        <x:is>
          <x:t xml:space="preserve">กล่อง 5 ซอง</x:t>
        </x:is>
      </x:c>
      <x:c r="E40" t="n">
        <x:v>76</x:v>
      </x:c>
      <x:c r="F40" t="n">
        <x:v>15.2</x:v>
      </x:c>
      <x:c r="G40" t="inlineStr">
        <x:is>
          <x:t xml:space="preserve">USER</x:t>
        </x:is>
      </x:c>
      <x:c r="H40" t="inlineStr">
        <x:is>
          <x:t xml:space="preserve">2026-02-17</x:t>
        </x:is>
      </x:c>
      <x:c r="I40" t="inlineStr">
        <x:is>
          <x:t xml:space="preserve">User provided price (Cera ORS รสส้ม 5 sachets). Unit price is per sachet.</x:t>
        </x:is>
      </x:c>
    </x:row>
    <x:row r="41">
      <x:c r="A41" t="inlineStr">
        <x:is>
          <x:t xml:space="preserve">BDS001924</x:t>
        </x:is>
      </x:c>
      <x:c r="B41" t="inlineStr">
        <x:is>
          <x:t xml:space="preserve">Flanil</x:t>
        </x:is>
      </x:c>
      <x:c r="C41" t="inlineStr">
        <x:is>
          <x:t xml:space="preserve">Menthol 5.44 g.+Methyl Salicylate 10.20 g.+Eugenol 1.36 g./100 g.</x:t>
        </x:is>
      </x:c>
      <x:c r="D41" t="inlineStr">
        <x:is>
          <x:t xml:space="preserve">หลอด 30 g.</x:t>
        </x:is>
      </x:c>
      <x:c r="E41" t="n">
        <x:v>96</x:v>
      </x:c>
      <x:c r="F41" t="n">
        <x:v>3.2</x:v>
      </x:c>
      <x:c r="G41" t="inlineStr">
        <x:is>
          <x:t xml:space="preserve">USER</x:t>
        </x:is>
      </x:c>
      <x:c r="H41" t="inlineStr">
        <x:is>
          <x:t xml:space="preserve">2026-02-17</x:t>
        </x:is>
      </x:c>
      <x:c r="I41" t="inlineStr">
        <x:is>
          <x:t xml:space="preserve">User provided price (Flanil 30 g). Unit price is per g.</x:t>
        </x:is>
      </x:c>
    </x:row>
    <x:row r="42">
      <x:c r="A42" t="inlineStr">
        <x:is>
          <x:t xml:space="preserve">BDS003119</x:t>
        </x:is>
      </x:c>
      <x:c r="B42" t="inlineStr">
        <x:is>
          <x:t xml:space="preserve">Perskindol Classic Spray</x:t>
        </x:is>
      </x:c>
      <x:c r="C42" t="inlineStr">
        <x:is>
          <x:t xml:space="preserve">Menthol 1.5%+Pine Needle Oil 1.35%+Wintergreen Oil 0.35%+Orange Oil 0.4%+Lemon Oil 0.1%</x:t>
        </x:is>
      </x:c>
      <x:c r="D42" t="inlineStr">
        <x:is>
          <x:t xml:space="preserve">กระป๋อง 150 ml.</x:t>
        </x:is>
      </x:c>
      <x:c r="E42" t="n">
        <x:v>457</x:v>
      </x:c>
      <x:c r="F42" t="n">
        <x:v>3.05</x:v>
      </x:c>
      <x:c r="G42" t="inlineStr">
        <x:is>
          <x:t xml:space="preserve">USER</x:t>
        </x:is>
      </x:c>
      <x:c r="H42" t="inlineStr">
        <x:is>
          <x:t xml:space="preserve">2026-02-17</x:t>
        </x:is>
      </x:c>
      <x:c r="I42" t="inlineStr">
        <x:is>
          <x:t xml:space="preserve">User provided price (Perskindol Classic Spray 150 ml). Unit price is per ml.</x:t>
        </x:is>
      </x:c>
    </x:row>
    <x:row r="43">
      <x:c r="A43" t="inlineStr">
        <x:is>
          <x:t xml:space="preserve">BDS003014</x:t>
        </x:is>
      </x:c>
      <x:c r="B43" t="inlineStr">
        <x:is>
          <x:t xml:space="preserve">Opsil Tears 0.3%</x:t>
        </x:is>
      </x:c>
      <x:c r="C43" t="inlineStr">
        <x:is>
          <x:t xml:space="preserve">Hydroxypropyl Methylcellulose USP 0.3%+Preservative (Benzalkonium Chloride) </x:t>
        </x:is>
      </x:c>
      <x:c r="D43" t="inlineStr">
        <x:is>
          <x:t xml:space="preserve">ขวด 10 ml.</x:t>
        </x:is>
      </x:c>
      <x:c r="E43" t="n">
        <x:v>114</x:v>
      </x:c>
      <x:c r="F43" t="n">
        <x:v>11.4</x:v>
      </x:c>
      <x:c r="G43" t="inlineStr">
        <x:is>
          <x:t xml:space="preserve">USER</x:t>
        </x:is>
      </x:c>
      <x:c r="H43" t="inlineStr">
        <x:is>
          <x:t xml:space="preserve">2026-02-17</x:t>
        </x:is>
      </x:c>
      <x:c r="I43" t="inlineStr">
        <x:is>
          <x:t xml:space="preserve">User provided price (Opsil Tears 0.3% 10 ml). Unit price is per ml.</x:t>
        </x:is>
      </x:c>
    </x:row>
    <x:row r="44">
      <x:c r="A44" t="inlineStr">
        <x:is>
          <x:t xml:space="preserve">BDS047637</x:t>
        </x:is>
      </x:c>
      <x:c r="B44" t="inlineStr">
        <x:is>
          <x:t xml:space="preserve">Systane Ultra</x:t>
        </x:is>
      </x:c>
      <x:c r="C44" t="inlineStr">
        <x:is>
          <x:t xml:space="preserve">Polyethylene Glycol 400 0.4%+Propylene Glycol 0.3%+Aminomethylpropanol+Boric Acid+Hydroxypropyl Guar+Potassium Chloride+Sodium Chloride+Sorbitol+Hydrochloric Acid+Sodium Hydroxide/1 ml.</x:t>
        </x:is>
      </x:c>
      <x:c r="D44" t="inlineStr">
        <x:is>
          <x:t xml:space="preserve">กล่อง 28 หลอด</x:t>
        </x:is>
      </x:c>
      <x:c r="E44" t="n">
        <x:v>658</x:v>
      </x:c>
      <x:c r="F44" t="n">
        <x:v>23.5</x:v>
      </x:c>
      <x:c r="G44" t="inlineStr">
        <x:is>
          <x:t xml:space="preserve">USER</x:t>
        </x:is>
      </x:c>
      <x:c r="H44" t="inlineStr">
        <x:is>
          <x:t xml:space="preserve">2026-02-17</x:t>
        </x:is>
      </x:c>
      <x:c r="I44" t="inlineStr">
        <x:is>
          <x:t xml:space="preserve">User provided price (Systane Ultra 28 tubes). Unit price is per tube.</x:t>
        </x:is>
      </x:c>
    </x:row>
    <x:row r="45">
      <x:c r="A45" t="inlineStr">
        <x:is>
          <x:t xml:space="preserve">BDS044553</x:t>
        </x:is>
      </x:c>
      <x:c r="B45" t="inlineStr">
        <x:is>
          <x:t xml:space="preserve">Levocet</x:t>
        </x:is>
      </x:c>
      <x:c r="C45" t="inlineStr">
        <x:is>
          <x:t xml:space="preserve">Levocetirizine dihydrochloride 5 mg.</x:t>
        </x:is>
      </x:c>
      <x:c r="D45" t="inlineStr">
        <x:is>
          <x:t xml:space="preserve">กล่อง 10 เม็ด</x:t>
        </x:is>
      </x:c>
      <x:c r="E45" t="n">
        <x:v>244</x:v>
      </x:c>
      <x:c r="F45" t="n">
        <x:v>24.4</x:v>
      </x:c>
      <x:c r="G45" t="inlineStr">
        <x:is>
          <x:t xml:space="preserve">USER</x:t>
        </x:is>
      </x:c>
      <x:c r="H45" t="inlineStr">
        <x:is>
          <x:t xml:space="preserve">2026-02-17</x:t>
        </x:is>
      </x:c>
      <x:c r="I45" t="inlineStr">
        <x:is>
          <x:t xml:space="preserve">User provided price (Levocet 10 tabs). Unit price is per tab.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BDS code</x:t>
        </x:is>
      </x:c>
      <x:c r="B1" s="1" t="inlineStr">
        <x:is>
          <x:t xml:space="preserve">Product ID</x:t>
        </x:is>
      </x:c>
      <x:c r="C1" s="1" t="inlineStr">
        <x:is>
          <x:t xml:space="preserve">Subcategory</x:t>
        </x:is>
      </x:c>
      <x:c r="D1" s="1" t="inlineStr">
        <x:is>
          <x:t xml:space="preserve">Market name</x:t>
        </x:is>
      </x:c>
      <x:c r="E1" s="1" t="inlineStr">
        <x:is>
          <x:t xml:space="preserve">Generic</x:t>
        </x:is>
      </x:c>
      <x:c r="F1" s="1" t="inlineStr">
        <x:is>
          <x:t xml:space="preserve">Pack size</x:t>
        </x:is>
      </x:c>
      <x:c r="G1" s="1" t="inlineStr">
        <x:is>
          <x:t xml:space="preserve">Directions (TH)</x:t>
        </x:is>
      </x:c>
      <x:c r="H1" s="1" t="inlineStr">
        <x:is>
          <x:t xml:space="preserve">Directions (EN)</x:t>
        </x:is>
      </x:c>
      <x:c r="I1" s="1" t="inlineStr">
        <x:is>
          <x:t xml:space="preserve">Online price (THB/pack)</x:t>
        </x:is>
      </x:c>
      <x:c r="J1" s="1" t="inlineStr">
        <x:is>
          <x:t xml:space="preserve">Online price (THB/unit)</x:t>
        </x:is>
      </x:c>
      <x:c r="K1" s="1" t="inlineStr">
        <x:is>
          <x:t xml:space="preserve">Price source URL</x:t>
        </x:is>
      </x:c>
      <x:c r="L1" s="1" t="inlineStr">
        <x:is>
          <x:t xml:space="preserve">Price checked</x:t>
        </x:is>
      </x:c>
      <x:c r="M1" s="1" t="inlineStr">
        <x:is>
          <x:t xml:space="preserve">Price notes</x:t>
        </x:is>
      </x:c>
    </x:row>
    <x:row r="2">
      <x:c r="A2" t="inlineStr">
        <x:is>
          <x:t xml:space="preserve">BDS006664</x:t>
        </x:is>
      </x:c>
      <x:c r="B2" t="n">
        <x:v>6664</x:v>
      </x:c>
      <x:c r="C2" t="inlineStr">
        <x:is>
          <x:t xml:space="preserve">ยาคลายกล้ามเนื้อ (D)</x:t>
        </x:is>
      </x:c>
      <x:c r="D2" t="inlineStr">
        <x:is>
          <x:t xml:space="preserve">Baclofen</x:t>
        </x:is>
      </x:c>
      <x:c r="E2" t="inlineStr">
        <x:is>
          <x:t xml:space="preserve">Baclofen 10 mg.</x:t>
        </x:is>
      </x:c>
      <x:c r="F2" t="inlineStr">
        <x:is>
          <x:t xml:space="preserve">แผง 10 เม็ด</x:t>
        </x:is>
      </x:c>
      <x:c r="G2" t="inlineStr">
        <x:is>
          <x:t xml:space="preserve">รับประทาน ครั้งละ 1-2 เม็ด วันละ 2-3 ครั้ง</x:t>
        </x:is>
      </x:c>
    </x:row>
    <x:row r="3">
      <x:c r="A3" t="inlineStr">
        <x:is>
          <x:t xml:space="preserve">BDS001271</x:t>
        </x:is>
      </x:c>
      <x:c r="B3" t="n">
        <x:v>1271</x:v>
      </x:c>
      <x:c r="C3" t="inlineStr">
        <x:is>
          <x:t xml:space="preserve">ยาคลายกล้ามเนื้อ (D)</x:t>
        </x:is>
      </x:c>
      <x:c r="D3" t="inlineStr">
        <x:is>
          <x:t xml:space="preserve">Biocalm</x:t>
        </x:is>
      </x:c>
      <x:c r="E3" t="inlineStr">
        <x:is>
          <x:t xml:space="preserve">Tolperisone 50 mg.</x:t>
        </x:is>
      </x:c>
      <x:c r="F3" t="inlineStr">
        <x:is>
          <x:t xml:space="preserve">แผง 10 เม็ด</x:t>
        </x:is>
      </x:c>
      <x:c r="G3" t="inlineStr">
        <x:is>
          <x:t xml:space="preserve">รับประทานครั้งละ 1 เม็ด วันละ 3 ครั้ง หรือตามแพทย์สั่ง</x:t>
        </x:is>
      </x:c>
      <x:c r="I3" t="n">
        <x:v>15</x:v>
      </x:c>
      <x:c r="J3" t="n">
        <x:v>1.5</x:v>
      </x:c>
      <x:c r="K3" t="inlineStr">
        <x:is>
          <x:t xml:space="preserve">https://www.facebook.com/photo.php?fbid=1448757012059790&amp;id=100067314324575&amp;set=a.1446505582284933</x:t>
        </x:is>
      </x:c>
      <x:c r="L3" t="inlineStr">
        <x:is>
          <x:t xml:space="preserve">2026-02-07</x:t>
        </x:is>
      </x:c>
      <x:c r="M3" t="inlineStr">
        <x:is>
          <x:t xml:space="preserve">Estimate from pharmacy Facebook post stating 15 THB per strip.</x:t>
        </x:is>
      </x:c>
    </x:row>
    <x:row r="4">
      <x:c r="A4" t="inlineStr">
        <x:is>
          <x:t xml:space="preserve">BDS007049</x:t>
        </x:is>
      </x:c>
      <x:c r="B4" t="n">
        <x:v>7049</x:v>
      </x:c>
      <x:c r="C4" t="inlineStr">
        <x:is>
          <x:t xml:space="preserve">ยาคลายกล้ามเนื้อ (D)</x:t>
        </x:is>
      </x:c>
      <x:c r="D4" t="inlineStr">
        <x:is>
          <x:t xml:space="preserve">Cenasic</x:t>
        </x:is>
      </x:c>
      <x:c r="E4" t="inlineStr">
        <x:is>
          <x:t xml:space="preserve">Paracetamol 450 mg.+Orphenadrine Citrate 35 mg.</x:t>
        </x:is>
      </x:c>
      <x:c r="F4" t="inlineStr">
        <x:is>
          <x:t xml:space="preserve">แผง 10 เม็ด</x:t>
        </x:is>
      </x:c>
      <x:c r="G4" t="inlineStr">
        <x:is>
          <x:t xml:space="preserve">รับประทานครั้งละ 1-2 เม็ด วันละ 3 ครั้ง หลังอาหาร</x:t>
        </x:is>
      </x:c>
    </x:row>
    <x:row r="5">
      <x:c r="A5" t="inlineStr">
        <x:is>
          <x:t xml:space="preserve">BDS041455</x:t>
        </x:is>
      </x:c>
      <x:c r="B5" t="n">
        <x:v>41455</x:v>
      </x:c>
      <x:c r="C5" t="inlineStr">
        <x:is>
          <x:t xml:space="preserve">ยาคลายกล้ามเนื้อ (D)</x:t>
        </x:is>
      </x:c>
      <x:c r="D5" t="inlineStr">
        <x:is>
          <x:t xml:space="preserve">Corilax tabslet</x:t>
        </x:is>
      </x:c>
      <x:c r="E5" t="inlineStr">
        <x:is>
          <x:t xml:space="preserve">Paracetamol 450 mg.+Orphenadrine Citrate 35 mg.</x:t>
        </x:is>
      </x:c>
      <x:c r="F5" t="inlineStr">
        <x:is>
          <x:t xml:space="preserve">แผง 10 เม็ด</x:t>
        </x:is>
      </x:c>
      <x:c r="G5" t="inlineStr">
        <x:is>
          <x:t xml:space="preserve">รับประทานครั้งละ 1-2 เม็ด วันละ 3 ครั้ง หรือตามแพทย์สั่ง</x:t>
        </x:is>
      </x:c>
    </x:row>
    <x:row r="6">
      <x:c r="A6" t="inlineStr">
        <x:is>
          <x:t xml:space="preserve">BDS003410</x:t>
        </x:is>
      </x:c>
      <x:c r="B6" t="n">
        <x:v>3410</x:v>
      </x:c>
      <x:c r="C6" t="inlineStr">
        <x:is>
          <x:t xml:space="preserve">ยาคลายกล้ามเนื้อ (D)</x:t>
        </x:is>
      </x:c>
      <x:c r="D6" t="inlineStr">
        <x:is>
          <x:t xml:space="preserve">M-Calm tabslet</x:t>
        </x:is>
      </x:c>
      <x:c r="E6" t="inlineStr">
        <x:is>
          <x:t xml:space="preserve">Tolperisone Hydrochloride 50 mg.</x:t>
        </x:is>
      </x:c>
      <x:c r="F6" t="inlineStr">
        <x:is>
          <x:t xml:space="preserve">แผง 10 เม็ด</x:t>
        </x:is>
      </x:c>
      <x:c r="G6" t="inlineStr">
        <x:is>
          <x:t xml:space="preserve">รับประทานครั้งละ 1-2 เม็ด วันละ 3 ครั้ง</x:t>
        </x:is>
      </x:c>
    </x:row>
    <x:row r="7">
      <x:c r="A7" t="inlineStr">
        <x:is>
          <x:t xml:space="preserve">BDS044932</x:t>
        </x:is>
      </x:c>
      <x:c r="B7" t="n">
        <x:v>44932</x:v>
      </x:c>
      <x:c r="C7" t="inlineStr">
        <x:is>
          <x:t xml:space="preserve">ยาคลายกล้ามเนื้อ (D)</x:t>
        </x:is>
      </x:c>
      <x:c r="D7" t="inlineStr">
        <x:is>
          <x:t xml:space="preserve">Muslexac</x:t>
        </x:is>
      </x:c>
      <x:c r="E7" t="inlineStr">
        <x:is>
          <x:t xml:space="preserve">Paracetamol 500 mg.+Orphenadrine Citrate 35 mg.</x:t>
        </x:is>
      </x:c>
      <x:c r="F7" t="inlineStr">
        <x:is>
          <x:t xml:space="preserve">กล่อง 10 เม็ด</x:t>
        </x:is>
      </x:c>
      <x:c r="G7" t="inlineStr">
        <x:is>
          <x:t xml:space="preserve">รับประทานครั้งละ 1-2 เม็ด วันละ 3 ครั้ง</x:t>
        </x:is>
      </x:c>
    </x:row>
    <x:row r="8">
      <x:c r="A8" t="inlineStr">
        <x:is>
          <x:t xml:space="preserve">BDS007571</x:t>
        </x:is>
      </x:c>
      <x:c r="B8" t="n">
        <x:v>7571</x:v>
      </x:c>
      <x:c r="C8" t="inlineStr">
        <x:is>
          <x:t xml:space="preserve">ยาคลายกล้ามเนื้อ (D)</x:t>
        </x:is>
      </x:c>
      <x:c r="D8" t="inlineStr">
        <x:is>
          <x:t xml:space="preserve">Musolax</x:t>
        </x:is>
      </x:c>
      <x:c r="E8" t="inlineStr">
        <x:is>
          <x:t xml:space="preserve">Eperisone hydrochloride 50 mg.</x:t>
        </x:is>
      </x:c>
      <x:c r="F8" t="inlineStr">
        <x:is>
          <x:t xml:space="preserve">แผง 10 เม็ด</x:t>
        </x:is>
      </x:c>
      <x:c r="G8" t="inlineStr">
        <x:is>
          <x:t xml:space="preserve">รับประทานครั้งละ 1 เม็ด วันละ 3 ครั้ง หลังอาหาร</x:t>
        </x:is>
      </x:c>
    </x:row>
    <x:row r="9">
      <x:c r="A9" t="inlineStr">
        <x:is>
          <x:t xml:space="preserve">BDS002652</x:t>
        </x:is>
      </x:c>
      <x:c r="B9" t="n">
        <x:v>2652</x:v>
      </x:c>
      <x:c r="C9" t="inlineStr">
        <x:is>
          <x:t xml:space="preserve">ยาคลายกล้ามเนื้อ (D)</x:t>
        </x:is>
      </x:c>
      <x:c r="D9" t="inlineStr">
        <x:is>
          <x:t xml:space="preserve">Mydocalm</x:t>
        </x:is>
      </x:c>
      <x:c r="E9" t="inlineStr">
        <x:is>
          <x:t xml:space="preserve">Tolperisone 50 mg.</x:t>
        </x:is>
      </x:c>
      <x:c r="F9" t="inlineStr">
        <x:is>
          <x:t xml:space="preserve">แผง 10 เม็ด</x:t>
        </x:is>
      </x:c>
      <x:c r="G9" t="inlineStr">
        <x:is>
          <x:t xml:space="preserve">รับประทานครั้งละ 1-2 เม็ด วันละ 3 ครั้ง </x:t>
        </x:is>
      </x:c>
      <x:c r="I9" t="n">
        <x:v>58</x:v>
      </x:c>
      <x:c r="J9" t="n">
        <x:v>5.8</x:v>
      </x:c>
      <x:c r="K9" t="inlineStr">
        <x:is>
          <x:t xml:space="preserve">https://bigya.co.th/product-detail/320</x:t>
        </x:is>
      </x:c>
      <x:c r="L9" t="inlineStr">
        <x:is>
          <x:t xml:space="preserve">2026-02-07</x:t>
        </x:is>
      </x:c>
      <x:c r="M9" t="inlineStr">
        <x:is>
          <x:t xml:space="preserve">Retail price at BIGYA (strip 10 tablets).</x:t>
        </x:is>
      </x:c>
    </x:row>
    <x:row r="10">
      <x:c r="A10" t="inlineStr">
        <x:is>
          <x:t xml:space="preserve">BDS002701</x:t>
        </x:is>
      </x:c>
      <x:c r="B10" t="n">
        <x:v>2701</x:v>
      </x:c>
      <x:c r="C10" t="inlineStr">
        <x:is>
          <x:t xml:space="preserve">ยาคลายกล้ามเนื้อ (D)</x:t>
        </x:is>
      </x:c>
      <x:c r="D10" t="inlineStr">
        <x:is>
          <x:t xml:space="preserve">Myonal 50 mg</x:t>
        </x:is>
      </x:c>
      <x:c r="E10" t="inlineStr">
        <x:is>
          <x:t xml:space="preserve">Eperisone hydrochloride 50 mg.</x:t>
        </x:is>
      </x:c>
      <x:c r="F10" t="inlineStr">
        <x:is>
          <x:t xml:space="preserve">แผง 10 เม็ด</x:t>
        </x:is>
      </x:c>
      <x:c r="G10" t="inlineStr">
        <x:is>
          <x:t xml:space="preserve">รับประทานครั้งละ 1 เม็ด วันละ 3 ครั้ง หลังอาหาร</x:t>
        </x:is>
      </x:c>
      <x:c r="I10" t="n">
        <x:v>116.6666666666667</x:v>
      </x:c>
      <x:c r="J10" t="n">
        <x:v>11.66666666666667</x:v>
      </x:c>
      <x:c r="K10" t="inlineStr">
        <x:is>
          <x:t xml:space="preserve">https://medtide.com/meds/pain-and-inflammation/muscle-relaxants/eperisone-myonal-50-mg-30-tablets-box/</x:t>
        </x:is>
      </x:c>
      <x:c r="L10" t="inlineStr">
        <x:is>
          <x:t xml:space="preserve">2026-02-07</x:t>
        </x:is>
      </x:c>
      <x:c r="M10" t="inlineStr">
        <x:is>
          <x:t xml:space="preserve">Derived from Medtide price 350 THB per box (30 tablets = 3 strips). Entered per-strip estimate.</x:t>
        </x:is>
      </x:c>
    </x:row>
    <x:row r="11">
      <x:c r="A11" t="inlineStr">
        <x:is>
          <x:t xml:space="preserve">BDS007752</x:t>
        </x:is>
      </x:c>
      <x:c r="B11" t="n">
        <x:v>7752</x:v>
      </x:c>
      <x:c r="C11" t="inlineStr">
        <x:is>
          <x:t xml:space="preserve">ยาคลายกล้ามเนื้อ (D)</x:t>
        </x:is>
      </x:c>
      <x:c r="D11" t="inlineStr">
        <x:is>
          <x:t xml:space="preserve">Noraphen</x:t>
        </x:is>
      </x:c>
      <x:c r="E11" t="inlineStr">
        <x:is>
          <x:t xml:space="preserve">Paracetamol 500 mg.+Orphenadrine Citrate 35 mg.</x:t>
        </x:is>
      </x:c>
      <x:c r="F11" t="inlineStr">
        <x:is>
          <x:t xml:space="preserve">แผง 10 เม็ด</x:t>
        </x:is>
      </x:c>
      <x:c r="G11" t="inlineStr">
        <x:is>
          <x:t xml:space="preserve">รับประทานครั้งละ 1-2 เม็ด วันละ 3 ครั้ง หลังอาหาร</x:t>
        </x:is>
      </x:c>
    </x:row>
    <x:row r="12">
      <x:c r="A12" t="inlineStr">
        <x:is>
          <x:t xml:space="preserve">BDS002840</x:t>
        </x:is>
      </x:c>
      <x:c r="B12" t="n">
        <x:v>2840</x:v>
      </x:c>
      <x:c r="C12" t="inlineStr">
        <x:is>
          <x:t xml:space="preserve">ยาคลายกล้ามเนื้อ (D)</x:t>
        </x:is>
      </x:c>
      <x:c r="D12" t="inlineStr">
        <x:is>
          <x:t xml:space="preserve">Norgesic</x:t>
        </x:is>
      </x:c>
      <x:c r="E12" t="inlineStr">
        <x:is>
          <x:t xml:space="preserve">Paracetamol 450 mg.+Orphenadrine Citrate 35 mg.</x:t>
        </x:is>
      </x:c>
      <x:c r="F12" t="inlineStr">
        <x:is>
          <x:t xml:space="preserve">แผง 10 เม็ด</x:t>
        </x:is>
      </x:c>
      <x:c r="G12" t="inlineStr">
        <x:is>
          <x:t xml:space="preserve">รับประทานครั้งละ 1-2 เม็ด วันละ 3 ครั้ง</x:t>
        </x:is>
      </x:c>
    </x:row>
    <x:row r="13">
      <x:c r="A13" t="inlineStr">
        <x:is>
          <x:t xml:space="preserve">BDS045616</x:t>
        </x:is>
      </x:c>
      <x:c r="B13" t="n">
        <x:v>45616</x:v>
      </x:c>
      <x:c r="C13" t="inlineStr">
        <x:is>
          <x:t xml:space="preserve">ยาคลายกล้ามเนื้อ (D)</x:t>
        </x:is>
      </x:c>
      <x:c r="D13" t="inlineStr">
        <x:is>
          <x:t xml:space="preserve">Norpa tabslets</x:t>
        </x:is>
      </x:c>
      <x:c r="E13" t="inlineStr">
        <x:is>
          <x:t xml:space="preserve">Paracetamol 450 mg.+Orphenadrine Citrate 35 mg.</x:t>
        </x:is>
      </x:c>
      <x:c r="F13" t="inlineStr">
        <x:is>
          <x:t xml:space="preserve">แผง 10 เม็ด</x:t>
        </x:is>
      </x:c>
      <x:c r="G13" t="inlineStr">
        <x:is>
          <x:t xml:space="preserve">รับประทานครั้งละ 1-2 เม็ด วันละ 2-3 ครั้ง หลังอาหาร หรือตามแพทย์สั่ง</x:t>
        </x:is>
      </x:c>
    </x:row>
    <x:row r="14">
      <x:c r="A14" t="inlineStr">
        <x:is>
          <x:t xml:space="preserve">BDS003571</x:t>
        </x:is>
      </x:c>
      <x:c r="B14" t="n">
        <x:v>3571</x:v>
      </x:c>
      <x:c r="C14" t="inlineStr">
        <x:is>
          <x:t xml:space="preserve">ยาคลายกล้ามเนื้อ (D)</x:t>
        </x:is>
      </x:c>
      <x:c r="D14" t="inlineStr">
        <x:is>
          <x:t xml:space="preserve">Soneriper M</x:t>
        </x:is>
      </x:c>
      <x:c r="E14" t="inlineStr">
        <x:is>
          <x:t xml:space="preserve">Tolperisone Hydrochloride 50 mg.</x:t>
        </x:is>
      </x:c>
      <x:c r="F14" t="inlineStr">
        <x:is>
          <x:t xml:space="preserve">แผง 10 เม็ด</x:t>
        </x:is>
      </x:c>
      <x:c r="G14" t="inlineStr">
        <x:is>
          <x:t xml:space="preserve">รับประทานครั้งละ 1-2 เม็ด วันละ 3 ครั้ง</x:t>
        </x:is>
      </x:c>
    </x:row>
    <x:row r="15">
      <x:c r="A15" t="inlineStr">
        <x:is>
          <x:t xml:space="preserve">BDS048632</x:t>
        </x:is>
      </x:c>
      <x:c r="B15" t="n">
        <x:v>48632</x:v>
      </x:c>
      <x:c r="C15" t="inlineStr">
        <x:is>
          <x:t xml:space="preserve">ยาคลายกล้ามเนื้อ (D)</x:t>
        </x:is>
      </x:c>
      <x:c r="D15" t="inlineStr">
        <x:is>
          <x:t xml:space="preserve">Torrent</x:t>
        </x:is>
      </x:c>
      <x:c r="E15" t="inlineStr">
        <x:is>
          <x:t xml:space="preserve">Paracetamol 450 mg.+Orphenadrine Citrate 35 mg.</x:t>
        </x:is>
      </x:c>
      <x:c r="F15" t="inlineStr">
        <x:is>
          <x:t xml:space="preserve">กล่อง 10 เม็ด</x:t>
        </x:is>
      </x:c>
      <x:c r="G15" t="inlineStr">
        <x:is>
          <x:t xml:space="preserve">รับประทานครั้งละ 1-2 เม็ด วันละ 3 ครั้ง</x:t>
        </x:is>
      </x:c>
    </x:row>
    <x:row r="16">
      <x:c r="A16" t="inlineStr">
        <x:is>
          <x:t xml:space="preserve">BDS001470</x:t>
        </x:is>
      </x:c>
      <x:c r="B16" t="n">
        <x:v>1470</x:v>
      </x:c>
      <x:c r="C16" t="inlineStr">
        <x:is>
          <x:t xml:space="preserve">ยาทาและยาพ่นแก้ปวดอักเสบ NSAIDs</x:t>
        </x:is>
      </x:c>
      <x:c r="D16" t="inlineStr">
        <x:is>
          <x:t xml:space="preserve">Counterpain Plus</x:t>
        </x:is>
      </x:c>
      <x:c r="E16" t="inlineStr">
        <x:is>
          <x:t xml:space="preserve">Piroxicam 0.5%+Methyl salicylate 10.2%+Menthol 5.43%+Eugenol 1.37%</x:t>
        </x:is>
      </x:c>
      <x:c r="F16" t="inlineStr">
        <x:is>
          <x:t xml:space="preserve">หลอด 25 g.</x:t>
        </x:is>
      </x:c>
      <x:c r="G16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17">
      <x:c r="A17" t="inlineStr">
        <x:is>
          <x:t xml:space="preserve">BDS001656</x:t>
        </x:is>
      </x:c>
      <x:c r="B17" t="n">
        <x:v>1656</x:v>
      </x:c>
      <x:c r="C17" t="inlineStr">
        <x:is>
          <x:t xml:space="preserve">ยาทาและยาพ่นแก้ปวดอักเสบ NSAIDs</x:t>
        </x:is>
      </x:c>
      <x:c r="D17" t="inlineStr">
        <x:is>
          <x:t xml:space="preserve">Difelene Gel เล็ก</x:t>
        </x:is>
      </x:c>
      <x:c r="E17" t="inlineStr">
        <x:is>
          <x:t xml:space="preserve">Diclofenac diethylammonium 1.16 g./100 g (eq. to Diclofenac Sodium 1.0 g)</x:t>
        </x:is>
      </x:c>
      <x:c r="F17" t="inlineStr">
        <x:is>
          <x:t xml:space="preserve">หลอด 30 g.</x:t>
        </x:is>
      </x:c>
      <x:c r="G17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18">
      <x:c r="A18" t="inlineStr">
        <x:is>
          <x:t xml:space="preserve">BDS001654</x:t>
        </x:is>
      </x:c>
      <x:c r="B18" t="n">
        <x:v>1654</x:v>
      </x:c>
      <x:c r="C18" t="inlineStr">
        <x:is>
          <x:t xml:space="preserve">ยาทาและยาพ่นแก้ปวดอักเสบ NSAIDs</x:t>
        </x:is>
      </x:c>
      <x:c r="D18" t="inlineStr">
        <x:is>
          <x:t xml:space="preserve">Difelene Gel ใหญ่</x:t>
        </x:is>
      </x:c>
      <x:c r="E18" t="inlineStr">
        <x:is>
          <x:t xml:space="preserve">Diclofenac diethylammonium 1.16 g./100 g (eq. to Diclofenac Sodium 1.0 g).</x:t>
        </x:is>
      </x:c>
      <x:c r="F18" t="inlineStr">
        <x:is>
          <x:t xml:space="preserve">หลอด 60 g.</x:t>
        </x:is>
      </x:c>
      <x:c r="G18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19">
      <x:c r="A19" t="inlineStr">
        <x:is>
          <x:t xml:space="preserve">BDS001806</x:t>
        </x:is>
      </x:c>
      <x:c r="B19" t="n">
        <x:v>1806</x:v>
      </x:c>
      <x:c r="C19" t="inlineStr">
        <x:is>
          <x:t xml:space="preserve">ยาทาและยาพ่นแก้ปวดอักเสบ NSAIDs</x:t>
        </x:is>
      </x:c>
      <x:c r="D19" t="inlineStr">
        <x:is>
          <x:t xml:space="preserve">Elmetacin พ่นแก้ปวด</x:t>
        </x:is>
      </x:c>
      <x:c r="E19" t="inlineStr">
        <x:is>
          <x:t xml:space="preserve">Indomethacin 8 mg./0.8 g.</x:t>
        </x:is>
      </x:c>
      <x:c r="F19" t="inlineStr">
        <x:is>
          <x:t xml:space="preserve">ขวด 50 ml.</x:t>
        </x:is>
      </x:c>
      <x:c r="G19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</x:row>
    <x:row r="20">
      <x:c r="A20" t="inlineStr">
        <x:is>
          <x:t xml:space="preserve">BDS006242</x:t>
        </x:is>
      </x:c>
      <x:c r="B20" t="n">
        <x:v>6242</x:v>
      </x:c>
      <x:c r="C20" t="inlineStr">
        <x:is>
          <x:t xml:space="preserve">ยาทาและยาพ่นแก้ปวดอักเสบ NSAIDs</x:t>
        </x:is>
      </x:c>
      <x:c r="D20" t="inlineStr">
        <x:is>
          <x:t xml:space="preserve">Fastum Gel</x:t>
        </x:is>
      </x:c>
      <x:c r="E20" t="inlineStr">
        <x:is>
          <x:t xml:space="preserve">Ketoprofen 2.5%</x:t>
        </x:is>
      </x:c>
      <x:c r="F20" t="inlineStr">
        <x:is>
          <x:t xml:space="preserve">หลอด 30 g.</x:t>
        </x:is>
      </x:c>
      <x:c r="G20" t="inlineStr">
        <x:is>
          <x:t xml:space="preserve">ทาเจลบางๆ บริเวณที่มีอาการ วันละ 1-2 ครั้ง</x:t>
        </x:is>
      </x:c>
    </x:row>
    <x:row r="21">
      <x:c r="A21" t="inlineStr">
        <x:is>
          <x:t xml:space="preserve">BDS007952</x:t>
        </x:is>
      </x:c>
      <x:c r="B21" t="n">
        <x:v>7952</x:v>
      </x:c>
      <x:c r="C21" t="inlineStr">
        <x:is>
          <x:t xml:space="preserve">ยาทาและยาพ่นแก้ปวดอักเสบ NSAIDs</x:t>
        </x:is>
      </x:c>
      <x:c r="D21" t="inlineStr">
        <x:is>
          <x:t xml:space="preserve">Felgesic Gel</x:t>
        </x:is>
      </x:c>
      <x:c r="E21" t="inlineStr">
        <x:is>
          <x:t xml:space="preserve">Piroxicam 0.5 g/100 ml.</x:t>
        </x:is>
      </x:c>
      <x:c r="F21" t="inlineStr">
        <x:is>
          <x:t xml:space="preserve">หลอด 30 g.</x:t>
        </x:is>
      </x:c>
      <x:c r="G21" t="inlineStr">
        <x:is>
          <x:t xml:space="preserve">ทาบริเวณที่มีอาการปวด วันละ 2-3 ครั้ง</x:t>
        </x:is>
      </x:c>
    </x:row>
    <x:row r="22">
      <x:c r="A22" t="inlineStr">
        <x:is>
          <x:t xml:space="preserve">BDS001917</x:t>
        </x:is>
      </x:c>
      <x:c r="B22" t="n">
        <x:v>1917</x:v>
      </x:c>
      <x:c r="C22" t="inlineStr">
        <x:is>
          <x:t xml:space="preserve">ยาทาและยาพ่นแก้ปวดอักเสบ NSAIDs</x:t>
        </x:is>
      </x:c>
      <x:c r="D22" t="inlineStr">
        <x:is>
          <x:t xml:space="preserve">Flamic Gel</x:t>
        </x:is>
      </x:c>
      <x:c r="E22" t="inlineStr">
        <x:is>
          <x:t xml:space="preserve">Piroxicam 5 mg./1 g.</x:t>
        </x:is>
      </x:c>
      <x:c r="F22" t="inlineStr">
        <x:is>
          <x:t xml:space="preserve">หลอด 25 g.</x:t>
        </x:is>
      </x:c>
      <x:c r="G2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23">
      <x:c r="A23" t="inlineStr">
        <x:is>
          <x:t xml:space="preserve">BDS002684</x:t>
        </x:is>
      </x:c>
      <x:c r="B23" t="n">
        <x:v>2684</x:v>
      </x:c>
      <x:c r="C23" t="inlineStr">
        <x:is>
          <x:t xml:space="preserve">ยาทาและยาพ่นแก้ปวดอักเสบ NSAIDs</x:t>
        </x:is>
      </x:c>
      <x:c r="D23" t="inlineStr">
        <x:is>
          <x:t xml:space="preserve">M-Cin</x:t>
        </x:is>
      </x:c>
      <x:c r="E23" t="inlineStr">
        <x:is>
          <x:t xml:space="preserve">Indomethacin 8 mg./1 ml.</x:t>
        </x:is>
      </x:c>
      <x:c r="F23" t="inlineStr">
        <x:is>
          <x:t xml:space="preserve">ขวด 50 ml.</x:t>
        </x:is>
      </x:c>
      <x:c r="G23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</x:row>
    <x:row r="24">
      <x:c r="A24" t="inlineStr">
        <x:is>
          <x:t xml:space="preserve">BDS006730</x:t>
        </x:is>
      </x:c>
      <x:c r="B24" t="n">
        <x:v>6730</x:v>
      </x:c>
      <x:c r="C24" t="inlineStr">
        <x:is>
          <x:t xml:space="preserve">ยาทาและยาพ่นแก้ปวดอักเสบ NSAIDs</x:t>
        </x:is>
      </x:c>
      <x:c r="D24" t="inlineStr">
        <x:is>
          <x:t xml:space="preserve">N-Zen Gel ใหญ่</x:t>
        </x:is>
      </x:c>
      <x:c r="E24" t="inlineStr">
        <x:is>
          <x:t xml:space="preserve">Diclofenac Sodium 1 g./100 g.</x:t>
        </x:is>
      </x:c>
      <x:c r="F24" t="inlineStr">
        <x:is>
          <x:t xml:space="preserve">หลอด 60 g.</x:t>
        </x:is>
      </x:c>
      <x:c r="G24" t="inlineStr">
        <x:is>
          <x:t xml:space="preserve">ทาบริเวณที่เป็น แล้วนวดเบาๆ   วันละ 3-4 ครั้ง</x:t>
        </x:is>
      </x:c>
    </x:row>
    <x:row r="25">
      <x:c r="A25" t="inlineStr">
        <x:is>
          <x:t xml:space="preserve">BDS007574</x:t>
        </x:is>
      </x:c>
      <x:c r="B25" t="n">
        <x:v>7574</x:v>
      </x:c>
      <x:c r="C25" t="inlineStr">
        <x:is>
          <x:t xml:space="preserve">ยาทาและยาพ่นแก้ปวดอักเสบ NSAIDs</x:t>
        </x:is>
      </x:c>
      <x:c r="D25" t="inlineStr">
        <x:is>
          <x:t xml:space="preserve">Neofenac Gel เล็ก</x:t>
        </x:is>
      </x:c>
      <x:c r="E25" t="inlineStr">
        <x:is>
          <x:t xml:space="preserve">Diclofenac Sodium 1 g./100 g.</x:t>
        </x:is>
      </x:c>
      <x:c r="F25" t="inlineStr">
        <x:is>
          <x:t xml:space="preserve">หลอด 20 g.</x:t>
        </x:is>
      </x:c>
      <x:c r="G25" t="inlineStr">
        <x:is>
          <x:t xml:space="preserve">ทาเจลบางๆ บริเวณที่มีอาการ วันละ 2-4 ครั้ง</x:t>
        </x:is>
      </x:c>
    </x:row>
    <x:row r="26">
      <x:c r="A26" t="inlineStr">
        <x:is>
          <x:t xml:space="preserve">BDS007575</x:t>
        </x:is>
      </x:c>
      <x:c r="B26" t="n">
        <x:v>7575</x:v>
      </x:c>
      <x:c r="C26" t="inlineStr">
        <x:is>
          <x:t xml:space="preserve">ยาทาและยาพ่นแก้ปวดอักเสบ NSAIDs</x:t>
        </x:is>
      </x:c>
      <x:c r="D26" t="inlineStr">
        <x:is>
          <x:t xml:space="preserve">Neofenac Gel ใหญ่</x:t>
        </x:is>
      </x:c>
      <x:c r="E26" t="inlineStr">
        <x:is>
          <x:t xml:space="preserve">Diclofenac Sodium 1 g./100 g.</x:t>
        </x:is>
      </x:c>
      <x:c r="F26" t="inlineStr">
        <x:is>
          <x:t xml:space="preserve">หลอด 50 g.</x:t>
        </x:is>
      </x:c>
      <x:c r="G26" t="inlineStr">
        <x:is>
          <x:t xml:space="preserve">ทาเจลบางๆ บริเวณที่มีอาการ วันละ 2-4 ครั้ง</x:t>
        </x:is>
      </x:c>
    </x:row>
    <x:row r="27">
      <x:c r="A27" t="inlineStr">
        <x:is>
          <x:t xml:space="preserve">BDS045623</x:t>
        </x:is>
      </x:c>
      <x:c r="B27" t="n">
        <x:v>45623</x:v>
      </x:c>
      <x:c r="C27" t="inlineStr">
        <x:is>
          <x:t xml:space="preserve">ยาทาและยาพ่นแก้ปวดอักเสบ NSAIDs</x:t>
        </x:is>
      </x:c>
      <x:c r="D27" t="inlineStr">
        <x:is>
          <x:t xml:space="preserve">Neotica Cool</x:t>
        </x:is>
      </x:c>
      <x:c r="E27" t="inlineStr">
        <x:is>
          <x:t xml:space="preserve">Piroxicam 5 mg./1 g.</x:t>
        </x:is>
      </x:c>
      <x:c r="F27" t="inlineStr">
        <x:is>
          <x:t xml:space="preserve">หลอด 30 g.</x:t>
        </x:is>
      </x:c>
      <x:c r="G27" t="inlineStr">
        <x:is>
          <x:t xml:space="preserve">ทา (นวด) เบาๆ บริเวณที่มีอาการ จนกระทั่งยาซึมเข้าผิวหนัง วันละ 2-4 ครั้ง</x:t>
        </x:is>
      </x:c>
    </x:row>
    <x:row r="28">
      <x:c r="A28" t="inlineStr">
        <x:is>
          <x:t xml:space="preserve">BDS006814</x:t>
        </x:is>
      </x:c>
      <x:c r="B28" t="n">
        <x:v>6814</x:v>
      </x:c>
      <x:c r="C28" t="inlineStr">
        <x:is>
          <x:t xml:space="preserve">ยาทาและยาพ่นแก้ปวดอักเสบ NSAIDs</x:t>
        </x:is>
      </x:c>
      <x:c r="D28" t="inlineStr">
        <x:is>
          <x:t xml:space="preserve">Painelief Cool Gel</x:t>
        </x:is>
      </x:c>
      <x:c r="E28" t="inlineStr">
        <x:is>
          <x:t xml:space="preserve">Diclofenac Sodium (as diethylammonium) 10 mg.</x:t>
        </x:is>
      </x:c>
      <x:c r="F28" t="inlineStr">
        <x:is>
          <x:t xml:space="preserve">หลอด 30 g.</x:t>
        </x:is>
      </x:c>
      <x:c r="G28" t="inlineStr">
        <x:is>
          <x:t xml:space="preserve">ทาบริเวณที่มีอาการ วันละ 3-4 ครั้ง</x:t>
        </x:is>
      </x:c>
    </x:row>
    <x:row r="29">
      <x:c r="A29" t="inlineStr">
        <x:is>
          <x:t xml:space="preserve">BDS046515</x:t>
        </x:is>
      </x:c>
      <x:c r="B29" t="n">
        <x:v>46515</x:v>
      </x:c>
      <x:c r="C29" t="inlineStr">
        <x:is>
          <x:t xml:space="preserve">ยาทาและยาพ่นแก้ปวดอักเสบ NSAIDs</x:t>
        </x:is>
      </x:c>
      <x:c r="D29" t="inlineStr">
        <x:is>
          <x:t xml:space="preserve">Painelief Cool Gel ใหญ่</x:t>
        </x:is>
      </x:c>
      <x:c r="E29" t="inlineStr">
        <x:is>
          <x:t xml:space="preserve">Diclofenac Sodium (as diethylammonium) 10 mg.</x:t>
        </x:is>
      </x:c>
      <x:c r="F29" t="inlineStr">
        <x:is>
          <x:t xml:space="preserve">หลอด 60 g.</x:t>
        </x:is>
      </x:c>
      <x:c r="G29" t="inlineStr">
        <x:is>
          <x:t xml:space="preserve">ทาบริเวณที่มีอาการ วันละ 3-4 ครั้ง</x:t>
        </x:is>
      </x:c>
    </x:row>
    <x:row r="30">
      <x:c r="A30" t="inlineStr">
        <x:is>
          <x:t xml:space="preserve">BDS007224</x:t>
        </x:is>
      </x:c>
      <x:c r="B30" t="n">
        <x:v>7224</x:v>
      </x:c>
      <x:c r="C30" t="inlineStr">
        <x:is>
          <x:t xml:space="preserve">ยาทาและยาพ่นแก้ปวดอักเสบ NSAIDs</x:t>
        </x:is>
      </x:c>
      <x:c r="D30" t="inlineStr">
        <x:is>
          <x:t xml:space="preserve">Piridene Gel</x:t>
        </x:is>
      </x:c>
      <x:c r="E30" t="inlineStr">
        <x:is>
          <x:t xml:space="preserve">Piroxicam 0.5 g./100 g.</x:t>
        </x:is>
      </x:c>
      <x:c r="F30" t="inlineStr">
        <x:is>
          <x:t xml:space="preserve">หลอด 25 g.</x:t>
        </x:is>
      </x:c>
      <x:c r="G30" t="inlineStr">
        <x:is>
          <x:t xml:space="preserve">ทาเจลบางๆ บริเวณที่มีอาการ วันละ 2-4 ครั้ง</x:t>
        </x:is>
      </x:c>
    </x:row>
    <x:row r="31">
      <x:c r="A31" t="inlineStr">
        <x:is>
          <x:t xml:space="preserve">BDS047729</x:t>
        </x:is>
      </x:c>
      <x:c r="B31" t="n">
        <x:v>47729</x:v>
      </x:c>
      <x:c r="C31" t="inlineStr">
        <x:is>
          <x:t xml:space="preserve">ยาทาและยาพ่นแก้ปวดอักเสบ NSAIDs</x:t>
        </x:is>
      </x:c>
      <x:c r="D31" t="inlineStr">
        <x:is>
          <x:t xml:space="preserve">Satogesic Gel</x:t>
        </x:is>
      </x:c>
      <x:c r="E31" t="inlineStr">
        <x:is>
          <x:t xml:space="preserve">Indomethacin 0.75 g + L-menthol  0.3 g.</x:t>
        </x:is>
      </x:c>
      <x:c r="F31" t="inlineStr">
        <x:is>
          <x:t xml:space="preserve">หลอด 35 g.</x:t>
        </x:is>
      </x:c>
      <x:c r="G31" t="inlineStr">
        <x:is>
          <x:t xml:space="preserve">ทายาในปริมาณที่เหมาะสมบริเวณที่มีอาการ </x:t>
        </x:is>
      </x:c>
    </x:row>
    <x:row r="32">
      <x:c r="A32" t="inlineStr">
        <x:is>
          <x:t xml:space="preserve">BDS003914</x:t>
        </x:is>
      </x:c>
      <x:c r="B32" t="n">
        <x:v>3914</x:v>
      </x:c>
      <x:c r="C32" t="inlineStr">
        <x:is>
          <x:t xml:space="preserve">ยาทาและยาพ่นแก้ปวดอักเสบ NSAIDs</x:t>
        </x:is>
      </x:c>
      <x:c r="D32" t="inlineStr">
        <x:is>
          <x:t xml:space="preserve">Uniren Spray</x:t>
        </x:is>
      </x:c>
      <x:c r="E32" t="inlineStr">
        <x:is>
          <x:t xml:space="preserve">Diclofenac Sodium 1 % w/w</x:t>
        </x:is>
      </x:c>
      <x:c r="F32" t="inlineStr">
        <x:is>
          <x:t xml:space="preserve">ขวด 60 ml.</x:t>
        </x:is>
      </x:c>
      <x:c r="G32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</x:row>
    <x:row r="33">
      <x:c r="A33" t="inlineStr">
        <x:is>
          <x:t xml:space="preserve">BDS004043</x:t>
        </x:is>
      </x:c>
      <x:c r="B33" t="n">
        <x:v>4043</x:v>
      </x:c>
      <x:c r="C33" t="inlineStr">
        <x:is>
          <x:t xml:space="preserve">ยาทาและยาพ่นแก้ปวดอักเสบ NSAIDs</x:t>
        </x:is>
      </x:c>
      <x:c r="D33" t="inlineStr">
        <x:is>
          <x:t xml:space="preserve">Voltaren Emulgel กลาง</x:t>
        </x:is>
      </x:c>
      <x:c r="E33" t="inlineStr">
        <x:is>
          <x:t xml:space="preserve">Diclofenac Sodium 1 g./100 g.</x:t>
        </x:is>
      </x:c>
      <x:c r="F33" t="inlineStr">
        <x:is>
          <x:t xml:space="preserve">หลอด 25 g.</x:t>
        </x:is>
      </x:c>
      <x:c r="G33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I33" t="n">
        <x:v>235</x:v>
      </x:c>
      <x:c r="J33" t="n">
        <x:v>235</x:v>
      </x:c>
      <x:c r="K33" t="inlineStr">
        <x:is>
          <x:t xml:space="preserve"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x:t>
        </x:is>
      </x:c>
      <x:c r="L33" t="inlineStr">
        <x:is>
          <x:t xml:space="preserve">2026-02-07</x:t>
        </x:is>
      </x:c>
      <x:c r="M33" t="inlineStr">
        <x:is>
          <x:t xml:space="preserve">Page shows 25 g variant; price fields are inconsistent—used 235 THB as best visible pack price.</x:t>
        </x:is>
      </x:c>
    </x:row>
    <x:row r="34">
      <x:c r="A34" t="inlineStr">
        <x:is>
          <x:t xml:space="preserve">BDS004042</x:t>
        </x:is>
      </x:c>
      <x:c r="B34" t="n">
        <x:v>4042</x:v>
      </x:c>
      <x:c r="C34" t="inlineStr">
        <x:is>
          <x:t xml:space="preserve">ยาทาและยาพ่นแก้ปวดอักเสบ NSAIDs</x:t>
        </x:is>
      </x:c>
      <x:c r="D34" t="inlineStr">
        <x:is>
          <x:t xml:space="preserve">Voltaren Emulgel เล็ก</x:t>
        </x:is>
      </x:c>
      <x:c r="E34" t="inlineStr">
        <x:is>
          <x:t xml:space="preserve">Diclofenac Sodium 1 g./100 g.</x:t>
        </x:is>
      </x:c>
      <x:c r="F34" t="inlineStr">
        <x:is>
          <x:t xml:space="preserve">หลอด 10 g.</x:t>
        </x:is>
      </x:c>
      <x:c r="G34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35">
      <x:c r="A35" t="inlineStr">
        <x:is>
          <x:t xml:space="preserve">BDS004044</x:t>
        </x:is>
      </x:c>
      <x:c r="B35" t="n">
        <x:v>4044</x:v>
      </x:c>
      <x:c r="C35" t="inlineStr">
        <x:is>
          <x:t xml:space="preserve">ยาทาและยาพ่นแก้ปวดอักเสบ NSAIDs</x:t>
        </x:is>
      </x:c>
      <x:c r="D35" t="inlineStr">
        <x:is>
          <x:t xml:space="preserve">Voltaren Emulgel ใหญ่</x:t>
        </x:is>
      </x:c>
      <x:c r="E35" t="inlineStr">
        <x:is>
          <x:t xml:space="preserve">Diclofenac Sodium 1 g./100 g.</x:t>
        </x:is>
      </x:c>
      <x:c r="F35" t="inlineStr">
        <x:is>
          <x:t xml:space="preserve">หลอด 50 g.</x:t>
        </x:is>
      </x:c>
      <x:c r="G35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36">
      <x:c r="A36" t="inlineStr">
        <x:is>
          <x:t xml:space="preserve">BDS001032</x:t>
        </x:is>
      </x:c>
      <x:c r="B36" t="n">
        <x:v>1032</x:v>
      </x:c>
      <x:c r="C36" t="inlineStr">
        <x:is>
          <x:t xml:space="preserve">ยาทาและยาพ่นแก้ปวดเมื่อย </x:t>
        </x:is>
      </x:c>
      <x:c r="D36" t="inlineStr">
        <x:is>
          <x:t xml:space="preserve">Ammeltz เล็ก</x:t>
        </x:is>
      </x:c>
      <x:c r="E36" t="inlineStr">
        <x:is>
          <x:t xml:space="preserve">L-Menthol+DL-Campher+Methyl Salicylate+Vanillylamide</x:t>
        </x:is>
      </x:c>
      <x:c r="F36" t="inlineStr">
        <x:is>
          <x:t xml:space="preserve">ขวด 48 ml.</x:t>
        </x:is>
      </x:c>
      <x:c r="G36" t="inlineStr">
        <x:is>
          <x:t xml:space="preserve">ทาบริเวณที่มีอาการปวด วันละ 2-3 ครั้ง</x:t>
        </x:is>
      </x:c>
    </x:row>
    <x:row r="37">
      <x:c r="A37" t="inlineStr">
        <x:is>
          <x:t xml:space="preserve">BDS001031</x:t>
        </x:is>
      </x:c>
      <x:c r="B37" t="n">
        <x:v>1031</x:v>
      </x:c>
      <x:c r="C37" t="inlineStr">
        <x:is>
          <x:t xml:space="preserve">ยาทาและยาพ่นแก้ปวดเมื่อย </x:t>
        </x:is>
      </x:c>
      <x:c r="D37" t="inlineStr">
        <x:is>
          <x:t xml:space="preserve">Ammeltz ใหญ่</x:t>
        </x:is>
      </x:c>
      <x:c r="E37" t="inlineStr">
        <x:is>
          <x:t xml:space="preserve">L-Menthol+DL-Campher+Methyl Salicylate+Vanillylamide</x:t>
        </x:is>
      </x:c>
      <x:c r="F37" t="inlineStr">
        <x:is>
          <x:t xml:space="preserve">ขวด 82 ml.</x:t>
        </x:is>
      </x:c>
      <x:c r="G37" t="inlineStr">
        <x:is>
          <x:t xml:space="preserve">ทาบริเวณที่ปวด วันละ 2-3 ครั้ง</x:t>
        </x:is>
      </x:c>
    </x:row>
    <x:row r="38">
      <x:c r="A38" t="inlineStr">
        <x:is>
          <x:t xml:space="preserve">BDS040020</x:t>
        </x:is>
      </x:c>
      <x:c r="B38" t="n">
        <x:v>40020</x:v>
      </x:c>
      <x:c r="C38" t="inlineStr">
        <x:is>
          <x:t xml:space="preserve">ยาทาและยาพ่นแก้ปวดเมื่อย </x:t>
        </x:is>
      </x:c>
      <x:c r="D38" t="inlineStr">
        <x:is>
          <x:t xml:space="preserve">Arotika Rub</x:t>
        </x:is>
      </x:c>
      <x:c r="E38" t="inlineStr">
        <x:is>
          <x:t xml:space="preserve">Capsicum Tincture 0.05% w/v 4.5 g.+Methyl Salicylate 10.2 g.+ Menthol 5.44 g.+Clove Oil 1.36 g./100 g.</x:t>
        </x:is>
      </x:c>
      <x:c r="F38" t="inlineStr">
        <x:is>
          <x:t xml:space="preserve">หลอด 35 g.</x:t>
        </x:is>
      </x:c>
      <x:c r="G38" t="inlineStr">
        <x:is>
          <x:t xml:space="preserve">ทาบริเวณที่ปวดบางๆ  วันละ 2-3 ครั้ง</x:t>
        </x:is>
      </x:c>
    </x:row>
    <x:row r="39">
      <x:c r="A39" t="inlineStr">
        <x:is>
          <x:t xml:space="preserve">BDS007711</x:t>
        </x:is>
      </x:c>
      <x:c r="B39" t="n">
        <x:v>7711</x:v>
      </x:c>
      <x:c r="C39" t="inlineStr">
        <x:is>
          <x:t xml:space="preserve">ยาทาและยาพ่นแก้ปวดเมื่อย </x:t>
        </x:is>
      </x:c>
      <x:c r="D39" t="inlineStr">
        <x:is>
          <x:t xml:space="preserve">Capsika Gel</x:t>
        </x:is>
      </x:c>
      <x:c r="E39" t="inlineStr">
        <x:is>
          <x:t xml:space="preserve">Capsaicin 0.0125%/100 g.</x:t>
        </x:is>
      </x:c>
      <x:c r="F39" t="inlineStr">
        <x:is>
          <x:t xml:space="preserve">หลอด 35 g.</x:t>
        </x:is>
      </x:c>
      <x:c r="G39" t="inlineStr">
        <x:is>
          <x:t xml:space="preserve">ทาเจลบางๆ บริเวณที่มีอาการ วันละ 2-3 ครั้ง</x:t>
        </x:is>
      </x:c>
    </x:row>
    <x:row r="40">
      <x:c r="A40" t="inlineStr">
        <x:is>
          <x:t xml:space="preserve">BDS001541</x:t>
        </x:is>
      </x:c>
      <x:c r="B40" t="n">
        <x:v>1541</x:v>
      </x:c>
      <x:c r="C40" t="inlineStr">
        <x:is>
          <x:t xml:space="preserve">ยาทาและยาพ่นแก้ปวดเมื่อย </x:t>
        </x:is>
      </x:c>
      <x:c r="D40" t="inlineStr">
        <x:is>
          <x:t xml:space="preserve">Capsika-25 Gel</x:t>
        </x:is>
      </x:c>
      <x:c r="E40" t="inlineStr">
        <x:is>
          <x:t xml:space="preserve">Capsaicin 0.025%</x:t>
        </x:is>
      </x:c>
      <x:c r="F40" t="inlineStr">
        <x:is>
          <x:t xml:space="preserve">หลอด 35 g.</x:t>
        </x:is>
      </x:c>
      <x:c r="G40" t="inlineStr">
        <x:is>
          <x:t xml:space="preserve">ทาเจลบางๆ บริเวณที่มีอาการ วันละ 3-4 ครั้ง</x:t>
        </x:is>
      </x:c>
    </x:row>
    <x:row r="41">
      <x:c r="A41" t="inlineStr">
        <x:is>
          <x:t xml:space="preserve">BDS001475</x:t>
        </x:is>
      </x:c>
      <x:c r="B41" t="n">
        <x:v>1475</x:v>
      </x:c>
      <x:c r="C41" t="inlineStr">
        <x:is>
          <x:t xml:space="preserve">ยาทาและยาพ่นแก้ปวดเมื่อย </x:t>
        </x:is>
      </x:c>
      <x:c r="D41" t="inlineStr">
        <x:is>
          <x:t xml:space="preserve">Counterpain Cool กลาง</x:t>
        </x:is>
      </x:c>
      <x:c r="E41" t="inlineStr">
        <x:is>
          <x:t xml:space="preserve">Menthol 4%</x:t>
        </x:is>
      </x:c>
      <x:c r="F41" t="inlineStr">
        <x:is>
          <x:t xml:space="preserve">หลอด 60 g.</x:t>
        </x:is>
      </x:c>
      <x:c r="G41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2">
      <x:c r="A42" t="inlineStr">
        <x:is>
          <x:t xml:space="preserve">BDS001474</x:t>
        </x:is>
      </x:c>
      <x:c r="B42" t="n">
        <x:v>1474</x:v>
      </x:c>
      <x:c r="C42" t="inlineStr">
        <x:is>
          <x:t xml:space="preserve">ยาทาและยาพ่นแก้ปวดเมื่อย </x:t>
        </x:is>
      </x:c>
      <x:c r="D42" t="inlineStr">
        <x:is>
          <x:t xml:space="preserve">Counterpain Cool เล็ก</x:t>
        </x:is>
      </x:c>
      <x:c r="E42" t="inlineStr">
        <x:is>
          <x:t xml:space="preserve">Menthol 4%</x:t>
        </x:is>
      </x:c>
      <x:c r="F42" t="inlineStr">
        <x:is>
          <x:t xml:space="preserve">หลอด 30 g.</x:t>
        </x:is>
      </x:c>
      <x:c r="G42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3">
      <x:c r="A43" t="inlineStr">
        <x:is>
          <x:t xml:space="preserve">BDS001476</x:t>
        </x:is>
      </x:c>
      <x:c r="B43" t="n">
        <x:v>1476</x:v>
      </x:c>
      <x:c r="C43" t="inlineStr">
        <x:is>
          <x:t xml:space="preserve">ยาทาและยาพ่นแก้ปวดเมื่อย </x:t>
        </x:is>
      </x:c>
      <x:c r="D43" t="inlineStr">
        <x:is>
          <x:t xml:space="preserve">Counterpain Cool ใหญ่</x:t>
        </x:is>
      </x:c>
      <x:c r="E43" t="inlineStr">
        <x:is>
          <x:t xml:space="preserve">Menthol 4%</x:t>
        </x:is>
      </x:c>
      <x:c r="F43" t="inlineStr">
        <x:is>
          <x:t xml:space="preserve">หลอด 120 g.</x:t>
        </x:is>
      </x:c>
      <x:c r="G43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4">
      <x:c r="A44" t="inlineStr">
        <x:is>
          <x:t xml:space="preserve">BDS001472</x:t>
        </x:is>
      </x:c>
      <x:c r="B44" t="n">
        <x:v>1472</x:v>
      </x:c>
      <x:c r="C44" t="inlineStr">
        <x:is>
          <x:t xml:space="preserve">ยาทาและยาพ่นแก้ปวดเมื่อย </x:t>
        </x:is>
      </x:c>
      <x:c r="D44" t="inlineStr">
        <x:is>
          <x:t xml:space="preserve">Counterpain กลาง</x:t>
        </x:is>
      </x:c>
      <x:c r="E44" t="inlineStr">
        <x:is>
          <x:t xml:space="preserve">Methyl Salicylate 10.2%+Eugenol 1.36%+Menthol 5.44%</x:t>
        </x:is>
      </x:c>
      <x:c r="F44" t="inlineStr">
        <x:is>
          <x:t xml:space="preserve">หลอด 60 g.</x:t>
        </x:is>
      </x:c>
      <x:c r="G44" t="inlineStr">
        <x:is>
          <x:t xml:space="preserve">ทาครีมบริเวณที่ปวด จนกระทั่งยาซึมเข้าผิวหนัง วันละ 2-3 ครั้ง</x:t>
        </x:is>
      </x:c>
    </x:row>
    <x:row r="45">
      <x:c r="A45" t="inlineStr">
        <x:is>
          <x:t xml:space="preserve">BDS001471</x:t>
        </x:is>
      </x:c>
      <x:c r="B45" t="n">
        <x:v>1471</x:v>
      </x:c>
      <x:c r="C45" t="inlineStr">
        <x:is>
          <x:t xml:space="preserve">ยาทาและยาพ่นแก้ปวดเมื่อย </x:t>
        </x:is>
      </x:c>
      <x:c r="D45" t="inlineStr">
        <x:is>
          <x:t xml:space="preserve">Counterpain เล็ก</x:t>
        </x:is>
      </x:c>
      <x:c r="E45" t="inlineStr">
        <x:is>
          <x:t xml:space="preserve">Menthol 5.44%+Methyl Salicylate 10.2%+Eugenol 1.36%</x:t>
        </x:is>
      </x:c>
      <x:c r="F45" t="inlineStr">
        <x:is>
          <x:t xml:space="preserve">หลอด 30 g.</x:t>
        </x:is>
      </x:c>
      <x:c r="G45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6">
      <x:c r="A46" t="inlineStr">
        <x:is>
          <x:t xml:space="preserve">BDS001473</x:t>
        </x:is>
      </x:c>
      <x:c r="B46" t="n">
        <x:v>1473</x:v>
      </x:c>
      <x:c r="C46" t="inlineStr">
        <x:is>
          <x:t xml:space="preserve">ยาทาและยาพ่นแก้ปวดเมื่อย </x:t>
        </x:is>
      </x:c>
      <x:c r="D46" t="inlineStr">
        <x:is>
          <x:t xml:space="preserve">Counterpain ใหญ่</x:t>
        </x:is>
      </x:c>
      <x:c r="E46" t="inlineStr">
        <x:is>
          <x:t xml:space="preserve">Menthol 5.44%+Methyl Salicylate 10.2%+Eugenol 1.36%</x:t>
        </x:is>
      </x:c>
      <x:c r="F46" t="inlineStr">
        <x:is>
          <x:t xml:space="preserve">หลอด 120 g.</x:t>
        </x:is>
      </x:c>
      <x:c r="G46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7">
      <x:c r="A47" t="inlineStr">
        <x:is>
          <x:t xml:space="preserve">BDS001924</x:t>
        </x:is>
      </x:c>
      <x:c r="B47" t="n">
        <x:v>1924</x:v>
      </x:c>
      <x:c r="C47" t="inlineStr">
        <x:is>
          <x:t xml:space="preserve">ยาทาและยาพ่นแก้ปวดเมื่อย </x:t>
        </x:is>
      </x:c>
      <x:c r="D47" t="inlineStr">
        <x:is>
          <x:t xml:space="preserve">Flanil</x:t>
        </x:is>
      </x:c>
      <x:c r="E47" t="inlineStr">
        <x:is>
          <x:t xml:space="preserve">Menthol 5.44 g.+Methyl Salicylate 10.20 g.+Eugenol 1.36 g./100 g.</x:t>
        </x:is>
      </x:c>
      <x:c r="F47" t="inlineStr">
        <x:is>
          <x:t xml:space="preserve">หลอด 30 g.</x:t>
        </x:is>
      </x:c>
      <x:c r="G47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48">
      <x:c r="A48" t="inlineStr">
        <x:is>
          <x:t xml:space="preserve">BDS008608</x:t>
        </x:is>
      </x:c>
      <x:c r="B48" t="n">
        <x:v>8608</x:v>
      </x:c>
      <x:c r="C48" t="inlineStr">
        <x:is>
          <x:t xml:space="preserve">ยาทาและยาพ่นแก้ปวดเมื่อย </x:t>
        </x:is>
      </x:c>
      <x:c r="D48" t="inlineStr">
        <x:is>
          <x:t xml:space="preserve">Muscort Cream</x:t>
        </x:is>
      </x:c>
      <x:c r="E48" t="inlineStr">
        <x:is>
          <x:t xml:space="preserve">Menthol 5.44%+Methyl Salicylate 10.12%+Eugenol 1.36%</x:t>
        </x:is>
      </x:c>
      <x:c r="F48" t="inlineStr">
        <x:is>
          <x:t xml:space="preserve">หลอด 25 g.</x:t>
        </x:is>
      </x:c>
      <x:c r="G48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</x:row>
    <x:row r="49">
      <x:c r="A49" t="inlineStr">
        <x:is>
          <x:t xml:space="preserve">BDS002817</x:t>
        </x:is>
      </x:c>
      <x:c r="B49" t="n">
        <x:v>2817</x:v>
      </x:c>
      <x:c r="C49" t="inlineStr">
        <x:is>
          <x:t xml:space="preserve">ยาทาและยาพ่นแก้ปวดเมื่อย </x:t>
        </x:is>
      </x:c>
      <x:c r="D49" t="inlineStr">
        <x:is>
          <x:t xml:space="preserve">Neotica Balm เล็ก</x:t>
        </x:is>
      </x:c>
      <x:c r="E49" t="inlineStr">
        <x:is>
          <x:t xml:space="preserve">Menthol 5.64 g.+Camphor 1.8 g.+Methyl Salicylate 12.5 g.+Eucalyptus oil 1.8 g.+Eugenol 1.36 g./100 g</x:t>
        </x:is>
      </x:c>
      <x:c r="F49" t="inlineStr">
        <x:is>
          <x:t xml:space="preserve">หลอด 30 g.</x:t>
        </x:is>
      </x:c>
      <x:c r="G49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50">
      <x:c r="A50" t="inlineStr">
        <x:is>
          <x:t xml:space="preserve">BDS002819</x:t>
        </x:is>
      </x:c>
      <x:c r="B50" t="n">
        <x:v>2819</x:v>
      </x:c>
      <x:c r="C50" t="inlineStr">
        <x:is>
          <x:t xml:space="preserve">ยาทาและยาพ่นแก้ปวดเมื่อย </x:t>
        </x:is>
      </x:c>
      <x:c r="D50" t="inlineStr">
        <x:is>
          <x:t xml:space="preserve">Neotica Balm ใหญ่</x:t>
        </x:is>
      </x:c>
      <x:c r="E50" t="inlineStr">
        <x:is>
          <x:t xml:space="preserve">Menthol 5.64 g.+Camphor 1.8 g.+Methyl Salicylate 12.5 g.+Eucalyptus oil 1.8 g.+Eugenol 1.36 g./100 g</x:t>
        </x:is>
      </x:c>
      <x:c r="F50" t="inlineStr">
        <x:is>
          <x:t xml:space="preserve">หลอด 100 g.</x:t>
        </x:is>
      </x:c>
      <x:c r="G5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</x:row>
    <x:row r="51">
      <x:c r="A51" t="inlineStr">
        <x:is>
          <x:t xml:space="preserve">BDS003118</x:t>
        </x:is>
      </x:c>
      <x:c r="B51" t="n">
        <x:v>3118</x:v>
      </x:c>
      <x:c r="C51" t="inlineStr">
        <x:is>
          <x:t xml:space="preserve">ยาทาและยาพ่นแก้ปวดเมื่อย </x:t>
        </x:is>
      </x:c>
      <x:c r="D51" t="inlineStr">
        <x:is>
          <x:t xml:space="preserve">Perskindol Classic Gel</x:t>
        </x:is>
      </x:c>
      <x:c r="E51" t="inlineStr">
        <x:is>
          <x:t xml:space="preserve">Menthol 1.5%+Pine Needle Oil 1.35%+Wintergreen Oil 0.35%+Orange Oil 0.4%</x:t>
        </x:is>
      </x:c>
      <x:c r="F51" t="inlineStr">
        <x:is>
          <x:t xml:space="preserve">กล่อง 100 ml.</x:t>
        </x:is>
      </x:c>
      <x:c r="G51" t="inlineStr">
        <x:is>
          <x:t xml:space="preserve">ทาบริเวณที่มีอาการ วันละ 3-4 ครั้ง นวดเบาๆ จนเนื้อเจลซึมเข้าสู่ผิวหนัง</x:t>
        </x:is>
      </x:c>
    </x:row>
    <x:row r="52">
      <x:c r="A52" t="inlineStr">
        <x:is>
          <x:t xml:space="preserve">BDS003119</x:t>
        </x:is>
      </x:c>
      <x:c r="B52" t="n">
        <x:v>3119</x:v>
      </x:c>
      <x:c r="C52" t="inlineStr">
        <x:is>
          <x:t xml:space="preserve">ยาทาและยาพ่นแก้ปวดเมื่อย </x:t>
        </x:is>
      </x:c>
      <x:c r="D52" t="inlineStr">
        <x:is>
          <x:t xml:space="preserve">Perskindol Classic Spray</x:t>
        </x:is>
      </x:c>
      <x:c r="E52" t="inlineStr">
        <x:is>
          <x:t xml:space="preserve">Menthol 1.5%+Pine Needle Oil 1.35%+Wintergreen Oil 0.35%+Orange Oil 0.4%+Lemon Oil 0.1%</x:t>
        </x:is>
      </x:c>
      <x:c r="F52" t="inlineStr">
        <x:is>
          <x:t xml:space="preserve">กระป๋อง 150 ml.</x:t>
        </x:is>
      </x:c>
      <x:c r="G52" t="inlineStr">
        <x:is>
          <x:t xml:space="preserve">ฉีดพ่นบริเวณที่มีอาการ วันละ 3-4 ครั้ง นวดเบาๆ</x:t>
        </x:is>
      </x:c>
    </x:row>
    <x:row r="53">
      <x:c r="A53" t="inlineStr">
        <x:is>
          <x:t xml:space="preserve">BDS003117</x:t>
        </x:is>
      </x:c>
      <x:c r="B53" t="n">
        <x:v>3117</x:v>
      </x:c>
      <x:c r="C53" t="inlineStr">
        <x:is>
          <x:t xml:space="preserve">ยาทาและยาพ่นแก้ปวดเมื่อย </x:t>
        </x:is>
      </x:c>
      <x:c r="D53" t="inlineStr">
        <x:is>
          <x:t xml:space="preserve">Perskindol Cool Spray</x:t>
        </x:is>
      </x:c>
      <x:c r="E53" t="inlineStr">
        <x:is>
          <x:t xml:space="preserve">I-Menthol 5 mg./1 g.</x:t>
        </x:is>
      </x:c>
      <x:c r="F53" t="inlineStr">
        <x:is>
          <x:t xml:space="preserve">กระป๋อง 250 ml.</x:t>
        </x:is>
      </x:c>
      <x:c r="G53" t="inlineStr">
        <x:is>
          <x:t xml:space="preserve">ฉีดพ่นบริเวณที่มีอาการ ได้บ่อยครั้งตามต้องการ</x:t>
        </x:is>
      </x:c>
    </x:row>
    <x:row r="54">
      <x:c r="A54" t="inlineStr">
        <x:is>
          <x:t xml:space="preserve">BDS046527</x:t>
        </x:is>
      </x:c>
      <x:c r="B54" t="n">
        <x:v>46527</x:v>
      </x:c>
      <x:c r="C54" t="inlineStr">
        <x:is>
          <x:t xml:space="preserve">ยาทาและยาพ่นแก้ปวดเมื่อย </x:t>
        </x:is>
      </x:c>
      <x:c r="D54" t="inlineStr">
        <x:is>
          <x:t xml:space="preserve">Plaivana Cream</x:t>
        </x:is>
      </x:c>
      <x:c r="E54" t="inlineStr">
        <x:is>
          <x:t xml:space="preserve">น้ำมันไพล 14 g./100 g.</x:t>
        </x:is>
      </x:c>
      <x:c r="F54" t="inlineStr">
        <x:is>
          <x:t xml:space="preserve">หลอด 35 g.</x:t>
        </x:is>
      </x:c>
      <x:c r="G54" t="inlineStr">
        <x:is>
          <x:t xml:space="preserve">นวดหรือทาบริเวณที่มีอาการ วันละ 2-3 ครั้ง</x:t>
        </x:is>
      </x:c>
    </x:row>
    <x:row r="55">
      <x:c r="A55" t="inlineStr">
        <x:is>
          <x:t xml:space="preserve">BDS002875</x:t>
        </x:is>
      </x:c>
      <x:c r="B55" t="n">
        <x:v>2875</x:v>
      </x:c>
      <x:c r="C55" t="inlineStr">
        <x:is>
          <x:t xml:space="preserve">ยาทาและยาพ่นแก้ปวดเมื่อย </x:t>
        </x:is>
      </x:c>
      <x:c r="D55" t="inlineStr">
        <x:is>
          <x:t xml:space="preserve">Reparil Ice Spray</x:t>
        </x:is>
      </x:c>
      <x:c r="E55" t="inlineStr">
        <x:is>
          <x:t xml:space="preserve">Butane+Pentane+Isobutane+Propane+Isopropyl alcohol+Menthol+Camphor</x:t>
        </x:is>
      </x:c>
      <x:c r="F55" t="inlineStr">
        <x:is>
          <x:t xml:space="preserve">กระป๋อง 200 ml.</x:t>
        </x:is>
      </x:c>
      <x:c r="G55" t="inlineStr">
        <x:is>
          <x:t xml:space="preserve"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x:t>
        </x:is>
      </x:c>
    </x:row>
    <x:row r="56">
      <x:c r="A56" t="inlineStr">
        <x:is>
          <x:t xml:space="preserve">BDS003602</x:t>
        </x:is>
      </x:c>
      <x:c r="B56" t="n">
        <x:v>3602</x:v>
      </x:c>
      <x:c r="C56" t="inlineStr">
        <x:is>
          <x:t xml:space="preserve">ยาทาและยาพ่นแก้ปวดเมื่อย </x:t>
        </x:is>
      </x:c>
      <x:c r="D56" t="inlineStr">
        <x:is>
          <x:t xml:space="preserve">Salonpas Cream</x:t>
        </x:is>
      </x:c>
      <x:c r="E56" t="inlineStr">
        <x:is>
          <x:t xml:space="preserve">Methyl salicylate 15 g.+Menthol 7 g./100 g. </x:t>
        </x:is>
      </x:c>
      <x:c r="F56" t="inlineStr">
        <x:is>
          <x:t xml:space="preserve">หลอด 30 g.</x:t>
        </x:is>
      </x:c>
      <x:c r="G56" t="inlineStr">
        <x:is>
          <x:t xml:space="preserve">ทาบริเวณที่มีอาการ ไม่เกินวันละ 3-4 ครั้ง </x:t>
        </x:is>
      </x:c>
    </x:row>
    <x:row r="57">
      <x:c r="A57" t="inlineStr">
        <x:is>
          <x:t xml:space="preserve">BDS040024</x:t>
        </x:is>
      </x:c>
      <x:c r="B57" t="n">
        <x:v>40024</x:v>
      </x:c>
      <x:c r="C57" t="inlineStr">
        <x:is>
          <x:t xml:space="preserve">ยาป้องกันและรักษาข้อเสื่อม (D)</x:t>
        </x:is>
      </x:c>
      <x:c r="D57" t="inlineStr">
        <x:is>
          <x:t xml:space="preserve">Arthro-K Orange 1500</x:t>
        </x:is>
      </x:c>
      <x:c r="E57" t="inlineStr">
        <x:is>
          <x:t xml:space="preserve">Crystalline Glucosamine Sulfate Potassium Chloride (เทียบเท่ากับ Glucosamine sulfate 1500 mg.)</x:t>
        </x:is>
      </x:c>
      <x:c r="F57" t="inlineStr">
        <x:is>
          <x:t xml:space="preserve">ซอง 3.95 g.</x:t>
        </x:is>
      </x:c>
      <x:c r="G57" t="inlineStr">
        <x:is>
          <x:t xml:space="preserve">รับประทาน (ละลาย) ครั้งละ 1 ซองต่อน้ำครึ่งแก้ว (125 ml.) วันละ 1 ครั้ง</x:t>
        </x:is>
      </x:c>
    </x:row>
    <x:row r="58">
      <x:c r="A58" t="inlineStr">
        <x:is>
          <x:t xml:space="preserve">BDS040032</x:t>
        </x:is>
      </x:c>
      <x:c r="B58" t="n">
        <x:v>40032</x:v>
      </x:c>
      <x:c r="C58" t="inlineStr">
        <x:is>
          <x:t xml:space="preserve">ยาป้องกันและรักษาข้อเสื่อม (D)</x:t>
        </x:is>
      </x:c>
      <x:c r="D58" t="inlineStr">
        <x:is>
          <x:t xml:space="preserve">Artrofort Complex</x:t>
        </x:is>
      </x:c>
      <x:c r="E58" t="inlineStr">
        <x:is>
          <x:t xml:space="preserve">Crystalline Glucosamine Sulphate 942 mg.(เทียบเท่ากับ Glucosamine 750 mg.+Sodium Chloride 192 mg.)+Chondroitin Sulphate Sodium 600 mg.</x:t>
        </x:is>
      </x:c>
      <x:c r="F58" t="inlineStr">
        <x:is>
          <x:t xml:space="preserve">กล่อง 30 ซอง</x:t>
        </x:is>
      </x:c>
      <x:c r="G58" t="inlineStr">
        <x:is>
          <x:t xml:space="preserve">รับประทาน (ละลาย) ครั้งละ 1 ซองต่อน้ำ 1 แก้ว (125 ml.) วันละ 2 ครั้ง ก่อนอาหาร</x:t>
        </x:is>
      </x:c>
    </x:row>
    <x:row r="59">
      <x:c r="A59" t="inlineStr">
        <x:is>
          <x:t xml:space="preserve">BDS001521</x:t>
        </x:is>
      </x:c>
      <x:c r="B59" t="n">
        <x:v>1521</x:v>
      </x:c>
      <x:c r="C59" t="inlineStr">
        <x:is>
          <x:t xml:space="preserve">ยาป้องกันและรักษาข้อเสื่อม (D)</x:t>
        </x:is>
      </x:c>
      <x:c r="D59" t="inlineStr">
        <x:is>
          <x:t xml:space="preserve">Coxium</x:t>
        </x:is>
      </x:c>
      <x:c r="E59" t="inlineStr">
        <x:is>
          <x:t xml:space="preserve">Glucosamine Sulfate NaCl 1500 mg.</x:t>
        </x:is>
      </x:c>
      <x:c r="F59" t="inlineStr">
        <x:is>
          <x:t xml:space="preserve">กล่อง 30 ซอง</x:t>
        </x:is>
      </x:c>
      <x:c r="G59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60">
      <x:c r="A60" t="inlineStr">
        <x:is>
          <x:t xml:space="preserve">BDS007743</x:t>
        </x:is>
      </x:c>
      <x:c r="B60" t="n">
        <x:v>7743</x:v>
      </x:c>
      <x:c r="C60" t="inlineStr">
        <x:is>
          <x:t xml:space="preserve">ยาป้องกันและรักษาข้อเสื่อม (D)</x:t>
        </x:is>
      </x:c>
      <x:c r="D60" t="inlineStr">
        <x:is>
          <x:t xml:space="preserve">Glucosa 1500 ชนิดผง</x:t>
        </x:is>
      </x:c>
      <x:c r="E60" t="inlineStr">
        <x:is>
          <x:t xml:space="preserve">Glucosamine sulfate sodium 1500 mg.</x:t>
        </x:is>
      </x:c>
      <x:c r="F60" t="inlineStr">
        <x:is>
          <x:t xml:space="preserve">กล่อง 10 ซอง </x:t>
        </x:is>
      </x:c>
      <x:c r="G60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61">
      <x:c r="A61" t="inlineStr">
        <x:is>
          <x:t xml:space="preserve">BDS043605</x:t>
        </x:is>
      </x:c>
      <x:c r="B61" t="n">
        <x:v>43605</x:v>
      </x:c>
      <x:c r="C61" t="inlineStr">
        <x:is>
          <x:t xml:space="preserve">ยาป้องกันและรักษาข้อเสื่อม (D)</x:t>
        </x:is>
      </x:c>
      <x:c r="D61" t="inlineStr">
        <x:is>
          <x:t xml:space="preserve">Glucosa 1500 ชนิดผง (รสมะนาว)</x:t>
        </x:is>
      </x:c>
      <x:c r="E61" t="inlineStr">
        <x:is>
          <x:t xml:space="preserve">Glucosamine sulfate sodium 1500 mg.</x:t>
        </x:is>
      </x:c>
      <x:c r="F61" t="inlineStr">
        <x:is>
          <x:t xml:space="preserve">กล่อง 10 ซอง </x:t>
        </x:is>
      </x:c>
      <x:c r="G61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62">
      <x:c r="A62" t="inlineStr">
        <x:is>
          <x:t xml:space="preserve">BDS007739</x:t>
        </x:is>
      </x:c>
      <x:c r="B62" t="n">
        <x:v>7739</x:v>
      </x:c>
      <x:c r="C62" t="inlineStr">
        <x:is>
          <x:t xml:space="preserve">ยาป้องกันและรักษาข้อเสื่อม (D)</x:t>
        </x:is>
      </x:c>
      <x:c r="D62" t="inlineStr">
        <x:is>
          <x:t xml:space="preserve">Glucosa 500</x:t>
        </x:is>
      </x:c>
      <x:c r="E62" t="inlineStr">
        <x:is>
          <x:t xml:space="preserve">Glucosamine sulfate sodium 500 mg.</x:t>
        </x:is>
      </x:c>
      <x:c r="F62" t="inlineStr">
        <x:is>
          <x:t xml:space="preserve">แผง 10 แคปซูล</x:t>
        </x:is>
      </x:c>
      <x:c r="G62" t="inlineStr">
        <x:is>
          <x:t xml:space="preserve">รับประทานครั้งละ 1 แคปซูล วันละ 3 ครั้ง</x:t>
        </x:is>
      </x:c>
    </x:row>
    <x:row r="63">
      <x:c r="A63" t="inlineStr">
        <x:is>
          <x:t xml:space="preserve">BDS007225</x:t>
        </x:is>
      </x:c>
      <x:c r="B63" t="n">
        <x:v>7225</x:v>
      </x:c>
      <x:c r="C63" t="inlineStr">
        <x:is>
          <x:t xml:space="preserve">ยาป้องกันและรักษาข้อเสื่อม (D)</x:t>
        </x:is>
      </x:c>
      <x:c r="D63" t="inlineStr">
        <x:is>
          <x:t xml:space="preserve">Osteotin 500</x:t>
        </x:is>
      </x:c>
      <x:c r="E63" t="inlineStr">
        <x:is>
          <x:t xml:space="preserve">Glucosamine sulfate sodium 500 mg.</x:t>
        </x:is>
      </x:c>
      <x:c r="F63" t="inlineStr">
        <x:is>
          <x:t xml:space="preserve">แผง 10 แคปซูล</x:t>
        </x:is>
      </x:c>
      <x:c r="G63" t="inlineStr">
        <x:is>
          <x:t xml:space="preserve">รับประทานครั้งละ 1 แคปซูล วันละ 3 ครั้ง</x:t>
        </x:is>
      </x:c>
    </x:row>
    <x:row r="64">
      <x:c r="A64" t="inlineStr">
        <x:is>
          <x:t xml:space="preserve">BDS001003</x:t>
        </x:is>
      </x:c>
      <x:c r="B64" t="n">
        <x:v>1003</x:v>
      </x:c>
      <x:c r="C64" t="inlineStr">
        <x:is>
          <x:t xml:space="preserve">ยาป้องกันและรักษาข้อเสื่อม (D)</x:t>
        </x:is>
      </x:c>
      <x:c r="D64" t="inlineStr">
        <x:is>
          <x:t xml:space="preserve">Viaflex 1500</x:t>
        </x:is>
      </x:c>
      <x:c r="E64" t="inlineStr">
        <x:is>
          <x:t xml:space="preserve">Glucosamine Sulfate Sodium Chloride  1884 mg. (Glucosamine Sulfate 1500 mg./1 ซอง)</x:t>
        </x:is>
      </x:c>
      <x:c r="F64" t="inlineStr">
        <x:is>
          <x:t xml:space="preserve">กล่อง 30 ซอง</x:t>
        </x:is>
      </x:c>
      <x:c r="G64" t="inlineStr">
        <x:is>
          <x:t xml:space="preserve">รับประทาน (ละลาย) 1 ซอง ต่อน้ำ (150-200 ml.) วันละ 1 ครั้ง </x:t>
        </x:is>
      </x:c>
    </x:row>
    <x:row r="65">
      <x:c r="A65" t="inlineStr">
        <x:is>
          <x:t xml:space="preserve">BDS001705</x:t>
        </x:is>
      </x:c>
      <x:c r="B65" t="n">
        <x:v>1705</x:v>
      </x:c>
      <x:c r="C65" t="inlineStr">
        <x:is>
          <x:t xml:space="preserve">ยาป้องกันและรักษาข้อเสื่อม (D)</x:t>
        </x:is>
      </x:c>
      <x:c r="D65" t="inlineStr">
        <x:is>
          <x:t xml:space="preserve">Viartril-S</x:t>
        </x:is>
      </x:c>
      <x:c r="E65" t="inlineStr">
        <x:is>
          <x:t xml:space="preserve">Glucosamine Sulphate 1500 mg.</x:t>
        </x:is>
      </x:c>
      <x:c r="F65" t="inlineStr">
        <x:is>
          <x:t xml:space="preserve">กล่อง 30 ซอง</x:t>
        </x:is>
      </x:c>
      <x:c r="G65" t="inlineStr">
        <x:is>
          <x:t xml:space="preserve">รับประทาน (ละลาย) ครั้งละ 1 ซองต่อน้ำ 1 แก้ว (250 ml.) วันละ 1 ครั้ง ก่อนอาหาร 15 นาที</x:t>
        </x:is>
      </x:c>
    </x:row>
    <x:row r="66">
      <x:c r="A66" t="inlineStr">
        <x:is>
          <x:t xml:space="preserve">BDS003753</x:t>
        </x:is>
      </x:c>
      <x:c r="B66" t="n">
        <x:v>3753</x:v>
      </x:c>
      <x:c r="C66" t="inlineStr">
        <x:is>
          <x:t xml:space="preserve">ยาเหน็บแก้ปวด, ลดไข้</x:t>
        </x:is>
      </x:c>
      <x:c r="D66" t="inlineStr">
        <x:is>
          <x:t xml:space="preserve">Poro Suppository</x:t>
        </x:is>
      </x:c>
      <x:c r="E66" t="inlineStr">
        <x:is>
          <x:t xml:space="preserve">Paracetamol 125 mg.</x:t>
        </x:is>
      </x:c>
      <x:c r="F66" t="inlineStr">
        <x:is>
          <x:t xml:space="preserve">กล่อง 5 แท่ง</x:t>
        </x:is>
      </x:c>
      <x:c r="G66" t="inlineStr">
        <x:is>
          <x:t xml:space="preserve">เหน็บยาเข้าทางทวารหนัก 1-2 แท่ง ทุก 4 ชั่วโมง</x:t>
        </x:is>
      </x:c>
    </x:row>
    <x:row r="67">
      <x:c r="A67" t="inlineStr">
        <x:is>
          <x:t xml:space="preserve">BDS040614</x:t>
        </x:is>
      </x:c>
      <x:c r="B67" t="n">
        <x:v>40614</x:v>
      </x:c>
      <x:c r="C67" t="inlineStr">
        <x:is>
          <x:t xml:space="preserve">ยาแก้ปวด, ลดไข้</x:t>
        </x:is>
      </x:c>
      <x:c r="D67" t="inlineStr">
        <x:is>
          <x:t xml:space="preserve">Bakamol 500 mg bottle 100s</x:t>
        </x:is>
      </x:c>
      <x:c r="E67" t="inlineStr">
        <x:is>
          <x:t xml:space="preserve">Paracetamol 500 mg.</x:t>
        </x:is>
      </x:c>
      <x:c r="F67" t="inlineStr">
        <x:is>
          <x:t xml:space="preserve">กระปุก 100 เม็ด</x:t>
        </x:is>
      </x:c>
      <x:c r="G67" t="inlineStr">
        <x:is>
          <x:t xml:space="preserve">รับประทานครั้งละ 1-2 เม็ด ทุก 4-6 ชั่วโมง</x:t>
        </x:is>
      </x:c>
    </x:row>
    <x:row r="68">
      <x:c r="A68" t="inlineStr">
        <x:is>
          <x:t xml:space="preserve">BDS007047</x:t>
        </x:is>
      </x:c>
      <x:c r="B68" t="n">
        <x:v>7047</x:v>
      </x:c>
      <x:c r="C68" t="inlineStr">
        <x:is>
          <x:t xml:space="preserve">ยาแก้ปวด, ลดไข้</x:t>
        </x:is>
      </x:c>
      <x:c r="D68" t="inlineStr">
        <x:is>
          <x:t xml:space="preserve">Cemol 500 mg bottle 100s ฟ้า-ขาว</x:t>
        </x:is>
      </x:c>
      <x:c r="E68" t="inlineStr">
        <x:is>
          <x:t xml:space="preserve">Paracetamol 500 mg.</x:t>
        </x:is>
      </x:c>
      <x:c r="F68" t="inlineStr">
        <x:is>
          <x:t xml:space="preserve">กระปุก 100 เม็ด</x:t>
        </x:is>
      </x:c>
      <x:c r="G68" t="inlineStr">
        <x:is>
          <x:t xml:space="preserve">รับประทานครั้งละ 1-2 เม็ด ทุก 4 ชั่วโมง หรือเมื่อมีอาการ</x:t>
        </x:is>
      </x:c>
    </x:row>
    <x:row r="69">
      <x:c r="A69" t="inlineStr">
        <x:is>
          <x:t xml:space="preserve">BDS007041</x:t>
        </x:is>
      </x:c>
      <x:c r="B69" t="n">
        <x:v>7041</x:v>
      </x:c>
      <x:c r="C69" t="inlineStr">
        <x:is>
          <x:t xml:space="preserve">ยาแก้ปวด, ลดไข้</x:t>
        </x:is>
      </x:c>
      <x:c r="D69" t="inlineStr">
        <x:is>
          <x:t xml:space="preserve">Cemol 500 mg bottle 100s เม็ดกลม</x:t>
        </x:is>
      </x:c>
      <x:c r="E69" t="inlineStr">
        <x:is>
          <x:t xml:space="preserve">Paracetamol 500 mg.</x:t>
        </x:is>
      </x:c>
      <x:c r="F69" t="inlineStr">
        <x:is>
          <x:t xml:space="preserve">กระปุก 100 เม็ด</x:t>
        </x:is>
      </x:c>
      <x:c r="G69" t="inlineStr">
        <x:is>
          <x:t xml:space="preserve">รับประทานครั้งละ 1-2 เม็ด ทุก 4 ชั่วโมง หรือเมื่อมีอาการ</x:t>
        </x:is>
      </x:c>
    </x:row>
    <x:row r="70">
      <x:c r="A70" t="inlineStr">
        <x:is>
          <x:t xml:space="preserve">BDS046505</x:t>
        </x:is>
      </x:c>
      <x:c r="B70" t="n">
        <x:v>46505</x:v>
      </x:c>
      <x:c r="C70" t="inlineStr">
        <x:is>
          <x:t xml:space="preserve">ยาแก้ปวด, ลดไข้</x:t>
        </x:is>
      </x:c>
      <x:c r="D70" t="inlineStr">
        <x:is>
          <x:t xml:space="preserve">Panadol Actifast </x:t>
        </x:is>
      </x:c>
      <x:c r="E70" t="inlineStr">
        <x:is>
          <x:t xml:space="preserve">Paracetamol 500 mg.</x:t>
        </x:is>
      </x:c>
      <x:c r="F70" t="inlineStr">
        <x:is>
          <x:t xml:space="preserve">กล่อง 10 เม็ด</x:t>
        </x:is>
      </x:c>
      <x:c r="G70" t="inlineStr">
        <x:is>
          <x:t xml:space="preserve">รับประทานครั้งละ 1-2  เม็ด ทุก 4-6 ชั่วโมง เมื่อมีอาการ</x:t>
        </x:is>
      </x:c>
    </x:row>
    <x:row r="71">
      <x:c r="A71" t="inlineStr">
        <x:is>
          <x:t xml:space="preserve">BDS003109</x:t>
        </x:is>
      </x:c>
      <x:c r="B71" t="n">
        <x:v>3109</x:v>
      </x:c>
      <x:c r="C71" t="inlineStr">
        <x:is>
          <x:t xml:space="preserve">ยาแก้ปวด, ลดไข้</x:t>
        </x:is>
      </x:c>
      <x:c r="D71" t="inlineStr">
        <x:is>
          <x:t xml:space="preserve">Para Cap bottle 100s</x:t>
        </x:is>
      </x:c>
      <x:c r="E71" t="inlineStr">
        <x:is>
          <x:t xml:space="preserve">Paracetamol 500 mg.</x:t>
        </x:is>
      </x:c>
      <x:c r="F71" t="inlineStr">
        <x:is>
          <x:t xml:space="preserve">กระปุก 100 เม็ด</x:t>
        </x:is>
      </x:c>
      <x:c r="G71" t="inlineStr">
        <x:is>
          <x:t xml:space="preserve">รับประทานครั้งละ 1-2 เม็ด ทุก 4-6 ชั่วโมง</x:t>
        </x:is>
      </x:c>
    </x:row>
    <x:row r="72">
      <x:c r="A72" t="inlineStr">
        <x:is>
          <x:t xml:space="preserve">BDS003595</x:t>
        </x:is>
      </x:c>
      <x:c r="B72" t="n">
        <x:v>3595</x:v>
      </x:c>
      <x:c r="C72" t="inlineStr">
        <x:is>
          <x:t xml:space="preserve">ยาแก้ปวด, ลดไข้</x:t>
        </x:is>
      </x:c>
      <x:c r="D72" t="inlineStr">
        <x:is>
          <x:t xml:space="preserve">Sara เม็ดรี กระปุก 100s</x:t>
        </x:is>
      </x:c>
      <x:c r="E72" t="inlineStr">
        <x:is>
          <x:t xml:space="preserve">Paracetamol 500 mg.</x:t>
        </x:is>
      </x:c>
      <x:c r="F72" t="inlineStr">
        <x:is>
          <x:t xml:space="preserve">กระปุก 100 เม็ด</x:t>
        </x:is>
      </x:c>
      <x:c r="G72" t="inlineStr">
        <x:is>
          <x:t xml:space="preserve">รับประทานครั้งละ 1-2 เม็ด ทุก 4-6 ชั่วโมง</x:t>
        </x:is>
      </x:c>
    </x:row>
    <x:row r="73">
      <x:c r="A73" t="inlineStr">
        <x:is>
          <x:t xml:space="preserve">BDS003764</x:t>
        </x:is>
      </x:c>
      <x:c r="B73" t="n">
        <x:v>3764</x:v>
      </x:c>
      <x:c r="C73" t="inlineStr">
        <x:is>
          <x:t xml:space="preserve">ยาแก้ปวด, ลดไข้</x:t>
        </x:is>
      </x:c>
      <x:c r="D73" t="inlineStr">
        <x:is>
          <x:t xml:space="preserve">Tylenol 500 mg bottle 100s</x:t>
        </x:is>
      </x:c>
      <x:c r="E73" t="inlineStr">
        <x:is>
          <x:t xml:space="preserve">Paracetamol 500 mg.</x:t>
        </x:is>
      </x:c>
      <x:c r="F73" t="inlineStr">
        <x:is>
          <x:t xml:space="preserve">กระปุก 100 เม็ด</x:t>
        </x:is>
      </x:c>
      <x:c r="G73" t="inlineStr">
        <x:is>
          <x:t xml:space="preserve">รับประทานครั้งละ 1-2 เม็ด ทุก 4-6 ชั่วโมง</x:t>
        </x:is>
      </x:c>
    </x:row>
    <x:row r="74">
      <x:c r="A74" t="inlineStr">
        <x:is>
          <x:t xml:space="preserve">BDS003748</x:t>
        </x:is>
      </x:c>
      <x:c r="B74" t="n">
        <x:v>3748</x:v>
      </x:c>
      <x:c r="C74" t="inlineStr">
        <x:is>
          <x:t xml:space="preserve">ยาแก้ปวด, ลดไข้</x:t>
        </x:is>
      </x:c>
      <x:c r="D74" t="inlineStr">
        <x:is>
          <x:t xml:space="preserve">Tylenol 8 Hour</x:t>
        </x:is>
      </x:c>
      <x:c r="E74" t="inlineStr">
        <x:is>
          <x:t xml:space="preserve">Paracetamol 650 mg.</x:t>
        </x:is>
      </x:c>
      <x:c r="F74" t="inlineStr">
        <x:is>
          <x:t xml:space="preserve">กล่อง 10 เม็ด</x:t>
        </x:is>
      </x:c>
      <x:c r="G74" t="inlineStr">
        <x:is>
          <x:t xml:space="preserve">รับประทานครั้งละ 2 เม็ด ทุก 8 ชั่วโมง หรือเมื่อมีอาการ</x:t>
        </x:is>
      </x:c>
    </x:row>
    <x:row r="75">
      <x:c r="A75" t="inlineStr">
        <x:is>
          <x:t xml:space="preserve">BDS040016</x:t>
        </x:is>
      </x:c>
      <x:c r="B75" t="n">
        <x:v>40016</x:v>
      </x:c>
      <x:c r="C75" t="inlineStr">
        <x:is>
          <x:t xml:space="preserve">ยาแก้ปวด, ลดไข้ (D)</x:t>
        </x:is>
      </x:c>
      <x:c r="D75" t="inlineStr">
        <x:is>
          <x:t xml:space="preserve">Adavil F/C tabslets </x:t>
        </x:is>
      </x:c>
      <x:c r="E75" t="inlineStr">
        <x:is>
          <x:t xml:space="preserve">Ibuprofen 400 mg.</x:t>
        </x:is>
      </x:c>
      <x:c r="F75" t="inlineStr">
        <x:is>
          <x:t xml:space="preserve">แผง 10 เม็ด</x:t>
        </x:is>
      </x:c>
      <x:c r="G75" t="inlineStr">
        <x:is>
          <x:t xml:space="preserve">รับประทานครั้งละ 1 เม็ด วันละ 3-4 ครั้ง หลังอาหารทันที </x:t>
        </x:is>
      </x:c>
    </x:row>
    <x:row r="76">
      <x:c r="A76" t="inlineStr">
        <x:is>
          <x:t xml:space="preserve">BDS040623</x:t>
        </x:is>
      </x:c>
      <x:c r="B76" t="n">
        <x:v>40623</x:v>
      </x:c>
      <x:c r="C76" t="inlineStr">
        <x:is>
          <x:t xml:space="preserve">ยาแก้ปวด, ลดไข้ (D)</x:t>
        </x:is>
      </x:c>
      <x:c r="D76" t="inlineStr">
        <x:is>
          <x:t xml:space="preserve">Brusoft 400</x:t>
        </x:is>
      </x:c>
      <x:c r="E76" t="inlineStr">
        <x:is>
          <x:t xml:space="preserve">Ibuprofen 400 mg.</x:t>
        </x:is>
      </x:c>
      <x:c r="F76" t="inlineStr">
        <x:is>
          <x:t xml:space="preserve">กล่อง 10 แคปซูล</x:t>
        </x:is>
      </x:c>
      <x:c r="G76" t="inlineStr">
        <x:is>
          <x:t xml:space="preserve">รับประทานครั้งละ 1 แคปซูล ทุก 4-6 ชั่วโมง </x:t>
        </x:is>
      </x:c>
    </x:row>
    <x:row r="77">
      <x:c r="A77" t="inlineStr">
        <x:is>
          <x:t xml:space="preserve">BDS040629</x:t>
        </x:is>
      </x:c>
      <x:c r="B77" t="n">
        <x:v>40629</x:v>
      </x:c>
      <x:c r="C77" t="inlineStr">
        <x:is>
          <x:t xml:space="preserve">ยาแก้ปวด, ลดไข้ (D)</x:t>
        </x:is>
      </x:c>
      <x:c r="D77" t="inlineStr">
        <x:is>
          <x:t xml:space="preserve">Brustan</x:t>
        </x:is>
      </x:c>
      <x:c r="E77" t="inlineStr">
        <x:is>
          <x:t xml:space="preserve">Ibuprofen 400 mg.+Paracetamol 325 mg.</x:t>
        </x:is>
      </x:c>
      <x:c r="F77" t="inlineStr">
        <x:is>
          <x:t xml:space="preserve">กล่อง 10 เม็ด</x:t>
        </x:is>
      </x:c>
      <x:c r="G77" t="inlineStr">
        <x:is>
          <x:t xml:space="preserve">รับประทานครั้งละ 1 เม็ด วันละ 3  ครั้ง หลังอาหารทันที</x:t>
        </x:is>
      </x:c>
    </x:row>
    <x:row r="78">
      <x:c r="A78" t="inlineStr">
        <x:is>
          <x:t xml:space="preserve">BDS007040</x:t>
        </x:is>
      </x:c>
      <x:c r="B78" t="n">
        <x:v>7040</x:v>
      </x:c>
      <x:c r="C78" t="inlineStr">
        <x:is>
          <x:t xml:space="preserve">ยาแก้ปวด, ลดไข้ (D)</x:t>
        </x:is>
      </x:c>
      <x:c r="D78" t="inlineStr">
        <x:is>
          <x:t xml:space="preserve">Cefen 400P</x:t>
        </x:is>
      </x:c>
      <x:c r="E78" t="inlineStr">
        <x:is>
          <x:t xml:space="preserve">Ibuprofen 400 mg.</x:t>
        </x:is>
      </x:c>
      <x:c r="F78" t="inlineStr">
        <x:is>
          <x:t xml:space="preserve">แผง 10 เม็ด</x:t>
        </x:is>
      </x:c>
      <x:c r="G78" t="inlineStr">
        <x:is>
          <x:t xml:space="preserve">รับประทานครั้งละ 1 เม็ด วันละ 3 ครั้ง หลังอาหารทันที</x:t>
        </x:is>
      </x:c>
    </x:row>
    <x:row r="79">
      <x:c r="A79" t="inlineStr">
        <x:is>
          <x:t xml:space="preserve">BDS001618</x:t>
        </x:is>
      </x:c>
      <x:c r="B79" t="n">
        <x:v>1618</x:v>
      </x:c>
      <x:c r="C79" t="inlineStr">
        <x:is>
          <x:t xml:space="preserve">ยาแก้ปวด, ลดไข้ (D)</x:t>
        </x:is>
      </x:c>
      <x:c r="D79" t="inlineStr">
        <x:is>
          <x:t xml:space="preserve">Duran</x:t>
        </x:is>
      </x:c>
      <x:c r="E79" t="inlineStr">
        <x:is>
          <x:t xml:space="preserve">Ibuprofen 400 mg.</x:t>
        </x:is>
      </x:c>
      <x:c r="F79" t="inlineStr">
        <x:is>
          <x:t xml:space="preserve">กล่อง 10 เม็ด</x:t>
        </x:is>
      </x:c>
      <x:c r="G79" t="inlineStr">
        <x:is>
          <x:t xml:space="preserve">รับประทานครั้งละ 1 เม็ด วันละ 3-4 ครั้ง หลังอาหารทันที</x:t>
        </x:is>
      </x:c>
      <x:c r="I79" t="n">
        <x:v>30</x:v>
      </x:c>
      <x:c r="J79" t="n">
        <x:v>3</x:v>
      </x:c>
      <x:c r="K79" t="inlineStr">
        <x:is>
          <x:t xml:space="preserve">https://www.migrainethailand.com/ibuprofen-migraine/</x:t>
        </x:is>
      </x:c>
      <x:c r="L79" t="inlineStr">
        <x:is>
          <x:t xml:space="preserve">2026-02-07</x:t>
        </x:is>
      </x:c>
      <x:c r="M79" t="inlineStr">
        <x:is>
          <x:t xml:space="preserve">Estimated midpoint from Thai retail range 25–34 THB per 10 tablets (generic ibuprofen 400 mg).</x:t>
        </x:is>
      </x:c>
    </x:row>
    <x:row r="80">
      <x:c r="A80" t="inlineStr">
        <x:is>
          <x:t xml:space="preserve">BDS002042</x:t>
        </x:is>
      </x:c>
      <x:c r="B80" t="n">
        <x:v>2042</x:v>
      </x:c>
      <x:c r="C80" t="inlineStr">
        <x:is>
          <x:t xml:space="preserve">ยาแก้ปวด, ลดไข้ (D)</x:t>
        </x:is>
      </x:c>
      <x:c r="D80" t="inlineStr">
        <x:is>
          <x:t xml:space="preserve">Gofen 400</x:t>
        </x:is>
      </x:c>
      <x:c r="E80" t="inlineStr">
        <x:is>
          <x:t xml:space="preserve">Ibuprofen 400 mg.+Polyethylene 400+Porpylene Glycol</x:t>
        </x:is>
      </x:c>
      <x:c r="F80" t="inlineStr">
        <x:is>
          <x:t xml:space="preserve">กล่อง 10 แคปซูล</x:t>
        </x:is>
      </x:c>
      <x:c r="G80" t="inlineStr">
        <x:is>
          <x:t xml:space="preserve">รับประทานครั้งละ 1 แคปซูล ทุก 4-6 ชั่วโมง </x:t>
        </x:is>
      </x:c>
      <x:c r="I80" t="n">
        <x:v>103</x:v>
      </x:c>
      <x:c r="J80" t="n">
        <x:v>10.3</x:v>
      </x:c>
      <x:c r="K80" t="inlineStr">
        <x:is>
          <x:t xml:space="preserve">https://bigya.co.th/product-detail/217</x:t>
        </x:is>
      </x:c>
      <x:c r="L80" t="inlineStr">
        <x:is>
          <x:t xml:space="preserve">2026-02-07</x:t>
        </x:is>
      </x:c>
      <x:c r="M80" t="inlineStr">
        <x:is>
          <x:t xml:space="preserve">Retail price at BIGYA (strip 10 softgel capsules).</x:t>
        </x:is>
      </x:c>
    </x:row>
    <x:row r="81">
      <x:c r="A81" t="inlineStr">
        <x:is>
          <x:t xml:space="preserve">BDS002036</x:t>
        </x:is>
      </x:c>
      <x:c r="B81" t="n">
        <x:v>2036</x:v>
      </x:c>
      <x:c r="C81" t="inlineStr">
        <x:is>
          <x:t xml:space="preserve">ยาแก้ปวด, ลดไข้ (D)</x:t>
        </x:is>
      </x:c>
      <x:c r="D81" t="inlineStr">
        <x:is>
          <x:t xml:space="preserve">Greatofen-400 mg</x:t>
        </x:is>
      </x:c>
      <x:c r="E81" t="inlineStr">
        <x:is>
          <x:t xml:space="preserve">Ibuprofen 400 mg.</x:t>
        </x:is>
      </x:c>
      <x:c r="F81" t="inlineStr">
        <x:is>
          <x:t xml:space="preserve">แผง 10 เม็ด</x:t>
        </x:is>
      </x:c>
      <x:c r="G81" t="inlineStr">
        <x:is>
          <x:t xml:space="preserve">รับประทานครั้งละ 1-2 เม็ด วันละ 3 ครั้ง หลังอาหารทันที</x:t>
        </x:is>
      </x:c>
    </x:row>
    <x:row r="82">
      <x:c r="A82" t="inlineStr">
        <x:is>
          <x:t xml:space="preserve">BDS007161</x:t>
        </x:is>
      </x:c>
      <x:c r="B82" t="n">
        <x:v>7161</x:v>
      </x:c>
      <x:c r="C82" t="inlineStr">
        <x:is>
          <x:t xml:space="preserve">ยาแก้ปวด, ลดไข้ (D)</x:t>
        </x:is>
      </x:c>
      <x:c r="D82" t="inlineStr">
        <x:is>
          <x:t xml:space="preserve">Ibuman-Plus</x:t>
        </x:is>
      </x:c>
      <x:c r="E82" t="inlineStr">
        <x:is>
          <x:t xml:space="preserve">Ibuprofen 400 mg.+Paracetamol 325 mg.</x:t>
        </x:is>
      </x:c>
      <x:c r="F82" t="inlineStr">
        <x:is>
          <x:t xml:space="preserve">แผง 10 เม็ด</x:t>
        </x:is>
      </x:c>
      <x:c r="G82" t="inlineStr">
        <x:is>
          <x:t xml:space="preserve">รับประทานครั้งละ 1 เม็ด วันละ 3  ครั้ง หลังอาหารทันที</x:t>
        </x:is>
      </x:c>
    </x:row>
    <x:row r="83">
      <x:c r="A83" t="inlineStr">
        <x:is>
          <x:t xml:space="preserve">BDS007165</x:t>
        </x:is>
      </x:c>
      <x:c r="B83" t="n">
        <x:v>7165</x:v>
      </x:c>
      <x:c r="C83" t="inlineStr">
        <x:is>
          <x:t xml:space="preserve">ยาแก้ปวด, ลดไข้ (D)</x:t>
        </x:is>
      </x:c>
      <x:c r="D83" t="inlineStr">
        <x:is>
          <x:t xml:space="preserve">Kintal B</x:t>
        </x:is>
      </x:c>
      <x:c r="E83" t="inlineStr">
        <x:is>
          <x:t xml:space="preserve">Ibuprofen 400 mg.+Paracetamol 325 mg.</x:t>
        </x:is>
      </x:c>
      <x:c r="F83" t="inlineStr">
        <x:is>
          <x:t xml:space="preserve">แผง 10 เม็ด</x:t>
        </x:is>
      </x:c>
      <x:c r="G83" t="inlineStr">
        <x:is>
          <x:t xml:space="preserve">รับประทานครั้งละ 1 เม็ด วันละ 3 ครั้ง หลังอาหารทันที</x:t>
        </x:is>
      </x:c>
    </x:row>
    <x:row r="84">
      <x:c r="A84" t="inlineStr">
        <x:is>
          <x:t xml:space="preserve">BDS045600</x:t>
        </x:is>
      </x:c>
      <x:c r="B84" t="n">
        <x:v>45600</x:v>
      </x:c>
      <x:c r="C84" t="inlineStr">
        <x:is>
          <x:t xml:space="preserve">ยาแก้ปวด, ลดไข้ (D)</x:t>
        </x:is>
      </x:c>
      <x:c r="D84" t="inlineStr">
        <x:is>
          <x:t xml:space="preserve">Nurofen Zavance</x:t>
        </x:is>
      </x:c>
      <x:c r="E84" t="inlineStr">
        <x:is>
          <x:t xml:space="preserve">Ibuprofen 400 mg</x:t>
        </x:is>
      </x:c>
      <x:c r="F84" t="inlineStr">
        <x:is>
          <x:t xml:space="preserve">กล่อง 10 แคปซูล</x:t>
        </x:is>
      </x:c>
      <x:c r="G84" t="inlineStr">
        <x:is>
          <x:t xml:space="preserve">รับประทานครั้งละ 1 แคปซูล ทุก 6 ชั่วโมงเมื่อมีอาการ  </x:t>
        </x:is>
      </x:c>
      <x:c r="I84" t="n">
        <x:v>178</x:v>
      </x:c>
      <x:c r="J84" t="n">
        <x:v>17.8</x:v>
      </x:c>
      <x:c r="K84" t="inlineStr">
        <x:is>
          <x:t xml:space="preserve">https://bigya.co.th/product-detail/343</x:t>
        </x:is>
      </x:c>
      <x:c r="L84" t="inlineStr">
        <x:is>
          <x:t xml:space="preserve">2026-02-07</x:t>
        </x:is>
      </x:c>
      <x:c r="M84" t="inlineStr">
        <x:is>
          <x:t xml:space="preserve">Retail price at BIGYA (strip 10 softgel capsules).</x:t>
        </x:is>
      </x:c>
    </x:row>
    <x:row r="85">
      <x:c r="A85" t="inlineStr">
        <x:is>
          <x:t xml:space="preserve">BDS002846</x:t>
        </x:is>
      </x:c>
      <x:c r="B85" t="n">
        <x:v>2846</x:v>
      </x:c>
      <x:c r="C85" t="inlineStr">
        <x:is>
          <x:t xml:space="preserve">ยาแก้ปวด, ลดไข้ (D)</x:t>
        </x:is>
      </x:c>
      <x:c r="D85" t="inlineStr">
        <x:is>
          <x:t xml:space="preserve">Nurofen-400</x:t>
        </x:is>
      </x:c>
      <x:c r="E85" t="inlineStr">
        <x:is>
          <x:t xml:space="preserve">Ibuprofen 400 mg.</x:t>
        </x:is>
      </x:c>
      <x:c r="F85" t="inlineStr">
        <x:is>
          <x:t xml:space="preserve">แผง 6 เม็ด</x:t>
        </x:is>
      </x:c>
      <x:c r="G85" t="inlineStr">
        <x:is>
          <x:t xml:space="preserve">รับประทานครั้งละ 1 เม็ด วันละ 3 ครั้ง หลังอาหารทันที</x:t>
        </x:is>
      </x:c>
    </x:row>
    <x:row r="86">
      <x:c r="A86" t="inlineStr">
        <x:is>
          <x:t xml:space="preserve">BDS047673</x:t>
        </x:is>
      </x:c>
      <x:c r="B86" t="n">
        <x:v>47673</x:v>
      </x:c>
      <x:c r="C86" t="inlineStr">
        <x:is>
          <x:t xml:space="preserve">ยาแก้ปวด, ลดไข้ (D)</x:t>
        </x:is>
      </x:c>
      <x:c r="D86" t="inlineStr">
        <x:is>
          <x:t xml:space="preserve">Solufen 400</x:t>
        </x:is>
      </x:c>
      <x:c r="E86" t="inlineStr">
        <x:is>
          <x:t xml:space="preserve">Ibuprofen 400 mg.</x:t>
        </x:is>
      </x:c>
      <x:c r="F86" t="inlineStr">
        <x:is>
          <x:t xml:space="preserve">กล่อง 10 แคปซูล</x:t>
        </x:is>
      </x:c>
      <x:c r="G86" t="inlineStr">
        <x:is>
          <x:t xml:space="preserve">รับประทานครั้งละ 1 แคปซูล ทุก 4-6 ชั่วโมง </x:t>
        </x:is>
      </x:c>
    </x:row>
    <x:row r="87">
      <x:c r="A87" t="inlineStr">
        <x:is>
          <x:t xml:space="preserve">BDS040613</x:t>
        </x:is>
      </x:c>
      <x:c r="B87" t="n">
        <x:v>40613</x:v>
      </x:c>
      <x:c r="C87" t="inlineStr">
        <x:is>
          <x:t xml:space="preserve">ยาแก้ปวด, ลดไข้ (OTC)</x:t>
        </x:is>
      </x:c>
      <x:c r="D87" t="inlineStr">
        <x:is>
          <x:t xml:space="preserve">Bakamol 500 mg strip 10s</x:t>
        </x:is>
      </x:c>
      <x:c r="E87" t="inlineStr">
        <x:is>
          <x:t xml:space="preserve">Paracetamol 500 mg.</x:t>
        </x:is>
      </x:c>
      <x:c r="F87" t="inlineStr">
        <x:is>
          <x:t xml:space="preserve">แผง 10 เม็ด</x:t>
        </x:is>
      </x:c>
      <x:c r="G87" t="inlineStr">
        <x:is>
          <x:t xml:space="preserve">รับประทานครั้งละ 1-2 เม็ด ทุก 4-6 ชั่วโมง</x:t>
        </x:is>
      </x:c>
      <x:c r="H87" t="inlineStr">
        <x:is>
          <x:t xml:space="preserve">Take 1-2 tablets every 4-6 hours</x:t>
        </x:is>
      </x:c>
    </x:row>
    <x:row r="88">
      <x:c r="A88" t="inlineStr">
        <x:is>
          <x:t xml:space="preserve">BDS007044</x:t>
        </x:is>
      </x:c>
      <x:c r="B88" t="n">
        <x:v>7044</x:v>
      </x:c>
      <x:c r="C88" t="inlineStr">
        <x:is>
          <x:t xml:space="preserve">ยาแก้ปวด, ลดไข้ (OTC)</x:t>
        </x:is>
      </x:c>
      <x:c r="D88" t="inlineStr">
        <x:is>
          <x:t xml:space="preserve">Cemol 500 mg strip 10s เม็ดรี</x:t>
        </x:is>
      </x:c>
      <x:c r="E88" t="inlineStr">
        <x:is>
          <x:t xml:space="preserve">Paracetamol 500 mg.</x:t>
        </x:is>
      </x:c>
      <x:c r="F88" t="inlineStr">
        <x:is>
          <x:t xml:space="preserve">แผง 10 เม็ด</x:t>
        </x:is>
      </x:c>
      <x:c r="G88" t="inlineStr">
        <x:is>
          <x:t xml:space="preserve">รับประทานครั้งละ 1-2 เม็ด ทุก 4 ชั่วโมง หรือเมื่อมีอาการ</x:t>
        </x:is>
      </x:c>
      <x:c r="H88" t="inlineStr">
        <x:is>
          <x:t xml:space="preserve">Take 1-2 tablets every 4 hours or if symptoms occur</x:t>
        </x:is>
      </x:c>
    </x:row>
    <x:row r="89">
      <x:c r="A89" t="inlineStr">
        <x:is>
          <x:t xml:space="preserve">BDS003108</x:t>
        </x:is>
      </x:c>
      <x:c r="B89" t="n">
        <x:v>3108</x:v>
      </x:c>
      <x:c r="C89" t="inlineStr">
        <x:is>
          <x:t xml:space="preserve">ยาแก้ปวด, ลดไข้ (OTC)</x:t>
        </x:is>
      </x:c>
      <x:c r="D89" t="inlineStr">
        <x:is>
          <x:t xml:space="preserve">Para Cap strip 10s</x:t>
        </x:is>
      </x:c>
      <x:c r="E89" t="inlineStr">
        <x:is>
          <x:t xml:space="preserve">Paracetamol 500 mg.</x:t>
        </x:is>
      </x:c>
      <x:c r="F89" t="inlineStr">
        <x:is>
          <x:t xml:space="preserve">แผง 10 เม็ด</x:t>
        </x:is>
      </x:c>
      <x:c r="G89" t="inlineStr">
        <x:is>
          <x:t xml:space="preserve">รับประทานครั้งละ 1-2 เม็ด ทุก 4-6 ชั่วโมง</x:t>
        </x:is>
      </x:c>
      <x:c r="H89" t="inlineStr">
        <x:is>
          <x:t xml:space="preserve">Take 1-2 tablets every 4-6 hours</x:t>
        </x:is>
      </x:c>
    </x:row>
    <x:row r="90">
      <x:c r="A90" t="inlineStr">
        <x:is>
          <x:t xml:space="preserve">BDS003503</x:t>
        </x:is>
      </x:c>
      <x:c r="B90" t="n">
        <x:v>3503</x:v>
      </x:c>
      <x:c r="C90" t="inlineStr">
        <x:is>
          <x:t xml:space="preserve">ยาแก้ปวด, ลดไข้ (OTC)</x:t>
        </x:is>
      </x:c>
      <x:c r="D90" t="inlineStr">
        <x:is>
          <x:t xml:space="preserve">Sara เม็ดกลม แผง 10s</x:t>
        </x:is>
      </x:c>
      <x:c r="E90" t="inlineStr">
        <x:is>
          <x:t xml:space="preserve">Paracetamol 500 mg.</x:t>
        </x:is>
      </x:c>
      <x:c r="F90" t="inlineStr">
        <x:is>
          <x:t xml:space="preserve">แผง 10 เม็ด</x:t>
        </x:is>
      </x:c>
      <x:c r="G90" t="inlineStr">
        <x:is>
          <x:t xml:space="preserve">รับประทานครั้งละ 1-2 เม็ด ทุก 4-6 ชั่วโมง</x:t>
        </x:is>
      </x:c>
      <x:c r="H90" t="inlineStr">
        <x:is>
          <x:t xml:space="preserve">Take 1-2 tablets every 4-6 hours</x:t>
        </x:is>
      </x:c>
    </x:row>
    <x:row r="91">
      <x:c r="A91" t="inlineStr">
        <x:is>
          <x:t xml:space="preserve">BDS003654</x:t>
        </x:is>
      </x:c>
      <x:c r="B91" t="n">
        <x:v>3654</x:v>
      </x:c>
      <x:c r="C91" t="inlineStr">
        <x:is>
          <x:t xml:space="preserve">ยาแก้ปวด, ลดไข้ (OTC)</x:t>
        </x:is>
      </x:c>
      <x:c r="D91" t="inlineStr">
        <x:is>
          <x:t xml:space="preserve">Sara เม็ดรี แผง 10s</x:t>
        </x:is>
      </x:c>
      <x:c r="E91" t="inlineStr">
        <x:is>
          <x:t xml:space="preserve">Paracetamol 500 mg.</x:t>
        </x:is>
      </x:c>
      <x:c r="F91" t="inlineStr">
        <x:is>
          <x:t xml:space="preserve">แผง 10 เม็ด</x:t>
        </x:is>
      </x:c>
      <x:c r="G91" t="inlineStr">
        <x:is>
          <x:t xml:space="preserve">รับประทานครั้งละ1-2 เม็ด  ทุก 4-6 ชั่วโมง</x:t>
        </x:is>
      </x:c>
      <x:c r="H91" t="inlineStr">
        <x:is>
          <x:t xml:space="preserve">Take 1-2 tablets every 4-6 hours</x:t>
        </x:is>
      </x:c>
    </x:row>
    <x:row r="92">
      <x:c r="A92" t="inlineStr">
        <x:is>
          <x:t xml:space="preserve">BDS003762</x:t>
        </x:is>
      </x:c>
      <x:c r="B92" t="n">
        <x:v>3762</x:v>
      </x:c>
      <x:c r="C92" t="inlineStr">
        <x:is>
          <x:t xml:space="preserve">ยาแก้ปวด, ลดไข้ (OTC)</x:t>
        </x:is>
      </x:c>
      <x:c r="D92" t="inlineStr">
        <x:is>
          <x:t xml:space="preserve">Tylenol 500 mg strip 10s</x:t>
        </x:is>
      </x:c>
      <x:c r="E92" t="inlineStr">
        <x:is>
          <x:t xml:space="preserve">Paracetamol 500 mg.</x:t>
        </x:is>
      </x:c>
      <x:c r="F92" t="inlineStr">
        <x:is>
          <x:t xml:space="preserve">แผง 10 เม็ด</x:t>
        </x:is>
      </x:c>
      <x:c r="G92" t="inlineStr">
        <x:is>
          <x:t xml:space="preserve">รับประทานครั้งละ 1-2  เม็ด ทุก 4-6 ชั่วโมง</x:t>
        </x:is>
      </x:c>
      <x:c r="H92" t="inlineStr">
        <x:is>
          <x:t xml:space="preserve">Take 1-2 tablets every 4-6 hours</x:t>
        </x:is>
      </x:c>
      <x:c r="I92" t="n">
        <x:v>36</x:v>
      </x:c>
      <x:c r="J92" t="n">
        <x:v>3.6</x:v>
      </x:c>
      <x:c r="K92" t="inlineStr">
        <x:is>
          <x:t xml:space="preserve">USER</x:t>
        </x:is>
      </x:c>
      <x:c r="L92" t="inlineStr">
        <x:is>
          <x:t xml:space="preserve">2026-02-07</x:t>
        </x:is>
      </x:c>
      <x:c r="M92" t="inlineStr">
        <x:is>
          <x:t xml:space="preserve">User provided price (online). Unit price per tablet (10 tabs strip).</x:t>
        </x:is>
      </x:c>
    </x:row>
    <x:row r="93">
      <x:c r="A93" t="inlineStr">
        <x:is>
          <x:t xml:space="preserve">BDS008609</x:t>
        </x:is>
      </x:c>
      <x:c r="B93" t="n">
        <x:v>8609</x:v>
      </x:c>
      <x:c r="C93" t="inlineStr">
        <x:is>
          <x:t xml:space="preserve">ยาแก้ปวด, ลดไข้ ชนิดน้ำ</x:t>
        </x:is>
      </x:c>
      <x:c r="D93" t="inlineStr">
        <x:is>
          <x:t xml:space="preserve">Ampol Suspension</x:t>
        </x:is>
      </x:c>
      <x:c r="E93" t="inlineStr">
        <x:is>
          <x:t xml:space="preserve">Paracetamol 120 mg./5 ml.</x:t>
        </x:is>
      </x:c>
      <x:c r="F93" t="inlineStr">
        <x:is>
          <x:t xml:space="preserve">ขวด 60 ml.</x:t>
        </x:is>
      </x:c>
      <x:c r="G93" t="inlineStr">
        <x:is>
          <x:t xml:space="preserve">เด็กเล็กรับประทานครั้งละ 1-2 ช้อนชา ทุก 4-6 ชั่วโมง</x:t>
        </x:is>
      </x:c>
    </x:row>
    <x:row r="94">
      <x:c r="A94" t="inlineStr">
        <x:is>
          <x:t xml:space="preserve">BDS002407</x:t>
        </x:is>
      </x:c>
      <x:c r="B94" t="n">
        <x:v>2407</x:v>
      </x:c>
      <x:c r="C94" t="inlineStr">
        <x:is>
          <x:t xml:space="preserve">ยาแก้ปวด, ลดไข้ ชนิดน้ำ</x:t>
        </x:is>
      </x:c>
      <x:c r="D94" t="inlineStr">
        <x:is>
          <x:t xml:space="preserve">Kit-F Drops</x:t>
        </x:is>
      </x:c>
      <x:c r="E94" t="inlineStr">
        <x:is>
          <x:t xml:space="preserve">Paracetamol 60 mg./0.6 ml.</x:t>
        </x:is>
      </x:c>
      <x:c r="F94" t="inlineStr">
        <x:is>
          <x:t xml:space="preserve">ขวด 15 ml.</x:t>
        </x:is>
      </x:c>
      <x:c r="G94" t="inlineStr">
        <x:is>
          <x:t xml:space="preserve">รับประทานครั้งละ 1-2 หลอดหยด วันละ 3-4 ครั้ง</x:t>
        </x:is>
      </x:c>
    </x:row>
    <x:row r="95">
      <x:c r="A95" t="inlineStr">
        <x:is>
          <x:t xml:space="preserve">BDS007583</x:t>
        </x:is>
      </x:c>
      <x:c r="B95" t="n">
        <x:v>7583</x:v>
      </x:c>
      <x:c r="C95" t="inlineStr">
        <x:is>
          <x:t xml:space="preserve">ยาแก้ปวด, ลดไข้ ชนิดน้ำ</x:t>
        </x:is>
      </x:c>
      <x:c r="D95" t="inlineStr">
        <x:is>
          <x:t xml:space="preserve">Newtamol Syrup</x:t>
        </x:is>
      </x:c>
      <x:c r="E95" t="inlineStr">
        <x:is>
          <x:t xml:space="preserve">Paracetamol 150 mg./5 ml.</x:t>
        </x:is>
      </x:c>
      <x:c r="F95" t="inlineStr">
        <x:is>
          <x:t xml:space="preserve">ขวด 60 ml.</x:t>
        </x:is>
      </x:c>
      <x:c r="G95" t="inlineStr">
        <x:is>
          <x:t xml:space="preserve">เด็กโตรับประทานครั้งละ 2 ช้อนชา วันละ 3 ครั้ง หรือทุก 4 ชั่วโมง</x:t>
        </x:is>
      </x:c>
    </x:row>
    <x:row r="96">
      <x:c r="A96" t="inlineStr">
        <x:is>
          <x:t xml:space="preserve">BDS002861</x:t>
        </x:is>
      </x:c>
      <x:c r="B96" t="n">
        <x:v>2861</x:v>
      </x:c>
      <x:c r="C96" t="inlineStr">
        <x:is>
          <x:t xml:space="preserve">ยาแก้ปวด, ลดไข้ ชนิดน้ำ</x:t>
        </x:is>
      </x:c>
      <x:c r="D96" t="inlineStr">
        <x:is>
          <x:t xml:space="preserve">Panadol Orange Suspension</x:t>
        </x:is>
      </x:c>
      <x:c r="E96" t="inlineStr">
        <x:is>
          <x:t xml:space="preserve">Paracetamol 250 mg./5 ml.</x:t>
        </x:is>
      </x:c>
      <x:c r="F96" t="inlineStr">
        <x:is>
          <x:t xml:space="preserve">ขวด 60 ml.</x:t>
        </x:is>
      </x:c>
      <x:c r="G96" t="inlineStr">
        <x:is>
          <x:t xml:space="preserve">รับประทานครั้งละ 1-2 ช้อนชาทุก 4-6 ชั่วโมง เมื่อมีอาการ</x:t>
        </x:is>
      </x:c>
    </x:row>
    <x:row r="97">
      <x:c r="A97" t="inlineStr">
        <x:is>
          <x:t xml:space="preserve">BDS002847</x:t>
        </x:is>
      </x:c>
      <x:c r="B97" t="n">
        <x:v>2847</x:v>
      </x:c>
      <x:c r="C97" t="inlineStr">
        <x:is>
          <x:t xml:space="preserve">ยาแก้ปวด, ลดไข้ ชนิดน้ำ</x:t>
        </x:is>
      </x:c>
      <x:c r="D97" t="inlineStr">
        <x:is>
          <x:t xml:space="preserve">Panadol Strawberry Suspension</x:t>
        </x:is>
      </x:c>
      <x:c r="E97" t="inlineStr">
        <x:is>
          <x:t xml:space="preserve">Paracetamol 120 mg./5 ml.</x:t>
        </x:is>
      </x:c>
      <x:c r="F97" t="inlineStr">
        <x:is>
          <x:t xml:space="preserve">ขวด 60 ml.</x:t>
        </x:is>
      </x:c>
      <x:c r="G97" t="inlineStr">
        <x:is>
          <x:t xml:space="preserve">รับประทานครั้งละ 1/2-2 ช้อนชาทุก 4-6 ชั่วโมง เมื่อมีอาการ</x:t>
        </x:is>
      </x:c>
    </x:row>
    <x:row r="98">
      <x:c r="A98" t="inlineStr">
        <x:is>
          <x:t xml:space="preserve">BDS008137</x:t>
        </x:is>
      </x:c>
      <x:c r="B98" t="n">
        <x:v>8137</x:v>
      </x:c>
      <x:c r="C98" t="inlineStr">
        <x:is>
          <x:t xml:space="preserve">ยาแก้ปวด, ลดไข้ ชนิดน้ำ</x:t>
        </x:is>
      </x:c>
      <x:c r="D98" t="inlineStr">
        <x:is>
          <x:t xml:space="preserve">Poro Suspension</x:t>
        </x:is>
      </x:c>
      <x:c r="E98" t="inlineStr">
        <x:is>
          <x:t xml:space="preserve">Paracetamol 250 mg./5 ml.</x:t>
        </x:is>
      </x:c>
      <x:c r="F98" t="inlineStr">
        <x:is>
          <x:t xml:space="preserve">ขวด 60 ml.</x:t>
        </x:is>
      </x:c>
      <x:c r="G98" t="inlineStr">
        <x:is>
          <x:t xml:space="preserve">เด็กโตรับประทานครั้งละ 1-2 ช้อนชา ทุก 4-6 ชั่วโมง</x:t>
        </x:is>
      </x:c>
    </x:row>
    <x:row r="99">
      <x:c r="A99" t="inlineStr">
        <x:is>
          <x:t xml:space="preserve">BDS003597</x:t>
        </x:is>
      </x:c>
      <x:c r="B99" t="n">
        <x:v>3597</x:v>
      </x:c>
      <x:c r="C99" t="inlineStr">
        <x:is>
          <x:t xml:space="preserve">ยาแก้ปวด, ลดไข้ ชนิดน้ำ</x:t>
        </x:is>
      </x:c>
      <x:c r="D99" t="inlineStr">
        <x:is>
          <x:t xml:space="preserve">Sara Infant Drops (รสองุ่น)</x:t>
        </x:is>
      </x:c>
      <x:c r="E99" t="inlineStr">
        <x:is>
          <x:t xml:space="preserve">Paracetamol 60 mg./0.6 ml.</x:t>
        </x:is>
      </x:c>
      <x:c r="F99" t="inlineStr">
        <x:is>
          <x:t xml:space="preserve">ขวด 15 ml.</x:t>
        </x:is>
      </x:c>
      <x:c r="G99" t="inlineStr">
        <x:is>
          <x:t xml:space="preserve">เด็กเล็กรับประทานครั้งละ 2-3 หลอดหยด วันละ 3-4 ครั้ง</x:t>
        </x:is>
      </x:c>
    </x:row>
    <x:row r="100">
      <x:c r="A100" t="inlineStr">
        <x:is>
          <x:t xml:space="preserve">BDS003596</x:t>
        </x:is>
      </x:c>
      <x:c r="B100" t="n">
        <x:v>3596</x:v>
      </x:c>
      <x:c r="C100" t="inlineStr">
        <x:is>
          <x:t xml:space="preserve">ยาแก้ปวด, ลดไข้ ชนิดน้ำ</x:t>
        </x:is>
      </x:c>
      <x:c r="D100" t="inlineStr">
        <x:is>
          <x:t xml:space="preserve">Sara น้ำรสสตรอเบอร์รี่</x:t>
        </x:is>
      </x:c>
      <x:c r="E100" t="inlineStr">
        <x:is>
          <x:t xml:space="preserve">Paracetamol 120 mg./5 ml.</x:t>
        </x:is>
      </x:c>
      <x:c r="F100" t="inlineStr">
        <x:is>
          <x:t xml:space="preserve">ขวด 60 ml.</x:t>
        </x:is>
      </x:c>
      <x:c r="G100" t="inlineStr">
        <x:is>
          <x:t xml:space="preserve">รับประทานครั้งละ 1-2 ช้อนชา วันละ 3-4 ครั้ง</x:t>
        </x:is>
      </x:c>
    </x:row>
    <x:row r="101">
      <x:c r="A101" t="inlineStr">
        <x:is>
          <x:t xml:space="preserve">BDS003504</x:t>
        </x:is>
      </x:c>
      <x:c r="B101" t="n">
        <x:v>3504</x:v>
      </x:c>
      <x:c r="C101" t="inlineStr">
        <x:is>
          <x:t xml:space="preserve">ยาแก้ปวด, ลดไข้ ชนิดน้ำ</x:t>
        </x:is>
      </x:c>
      <x:c r="D101" t="inlineStr">
        <x:is>
          <x:t xml:space="preserve">Sara น้ำรสส้ม</x:t>
        </x:is>
      </x:c>
      <x:c r="E101" t="inlineStr">
        <x:is>
          <x:t xml:space="preserve">Paracetamol 250 mg./5 ml.</x:t>
        </x:is>
      </x:c>
      <x:c r="F101" t="inlineStr">
        <x:is>
          <x:t xml:space="preserve">ขวด 60 ml.</x:t>
        </x:is>
      </x:c>
      <x:c r="G101" t="inlineStr">
        <x:is>
          <x:t xml:space="preserve">รับประทานครั้งละ 1-2 ช้อนชา วันละ 3-4 ครั้ง </x:t>
        </x:is>
      </x:c>
    </x:row>
    <x:row r="102">
      <x:c r="A102" t="inlineStr">
        <x:is>
          <x:t xml:space="preserve">BDS003600</x:t>
        </x:is>
      </x:c>
      <x:c r="B102" t="n">
        <x:v>3600</x:v>
      </x:c>
      <x:c r="C102" t="inlineStr">
        <x:is>
          <x:t xml:space="preserve">ยาแก้ปวด, ลดไข้ ชนิดน้ำ</x:t>
        </x:is>
      </x:c>
      <x:c r="D102" t="inlineStr">
        <x:is>
          <x:t xml:space="preserve">Sara น้ำรสองุ่น</x:t>
        </x:is>
      </x:c>
      <x:c r="E102" t="inlineStr">
        <x:is>
          <x:t xml:space="preserve">Paracetamol 160 mg./5 ml.</x:t>
        </x:is>
      </x:c>
      <x:c r="F102" t="inlineStr">
        <x:is>
          <x:t xml:space="preserve">ขวด 60 ml.</x:t>
        </x:is>
      </x:c>
      <x:c r="G102" t="inlineStr">
        <x:is>
          <x:t xml:space="preserve">รับประทานครั้งละ 1 ช้อนชา วันละ 3-4 ครั้ง</x:t>
        </x:is>
      </x:c>
    </x:row>
    <x:row r="103">
      <x:c r="A103" t="inlineStr">
        <x:is>
          <x:t xml:space="preserve">BDS003711</x:t>
        </x:is>
      </x:c>
      <x:c r="B103" t="n">
        <x:v>3711</x:v>
      </x:c>
      <x:c r="C103" t="inlineStr">
        <x:is>
          <x:t xml:space="preserve">ยาแก้ปวด, ลดไข้ ชนิดน้ำ</x:t>
        </x:is>
      </x:c>
      <x:c r="D103" t="inlineStr">
        <x:is>
          <x:t xml:space="preserve">Tempra Drop</x:t>
        </x:is>
      </x:c>
      <x:c r="E103" t="inlineStr">
        <x:is>
          <x:t xml:space="preserve">Paracetamol 80 mg./0.8 ml.</x:t>
        </x:is>
      </x:c>
      <x:c r="F103" t="inlineStr">
        <x:is>
          <x:t xml:space="preserve">ขวด 15 ml.</x:t>
        </x:is>
      </x:c>
      <x:c r="G103" t="inlineStr">
        <x:is>
          <x:t xml:space="preserve">รับประทานครั้งละ 1-2 หลอดหยด แต่ละครั้งห่างกันอย่างน้อย 4 ชม. วันละไม่เกิน 5 ครั้ง</x:t>
        </x:is>
      </x:c>
    </x:row>
    <x:row r="104">
      <x:c r="A104" t="inlineStr">
        <x:is>
          <x:t xml:space="preserve">BDS003712</x:t>
        </x:is>
      </x:c>
      <x:c r="B104" t="n">
        <x:v>3712</x:v>
      </x:c>
      <x:c r="C104" t="inlineStr">
        <x:is>
          <x:t xml:space="preserve">ยาแก้ปวด, ลดไข้ ชนิดน้ำ</x:t>
        </x:is>
      </x:c>
      <x:c r="D104" t="inlineStr">
        <x:is>
          <x:t xml:space="preserve">Tempra Forte</x:t>
        </x:is>
      </x:c>
      <x:c r="E104" t="inlineStr">
        <x:is>
          <x:t xml:space="preserve">Paracetamol 250 mg./5 ml.</x:t>
        </x:is>
      </x:c>
      <x:c r="F104" t="inlineStr">
        <x:is>
          <x:t xml:space="preserve">ขวด 60 ml.</x:t>
        </x:is>
      </x:c>
      <x:c r="G104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</x:row>
    <x:row r="105">
      <x:c r="A105" t="inlineStr">
        <x:is>
          <x:t xml:space="preserve">BDS048670</x:t>
        </x:is>
      </x:c>
      <x:c r="B105" t="n">
        <x:v>48670</x:v>
      </x:c>
      <x:c r="C105" t="inlineStr">
        <x:is>
          <x:t xml:space="preserve">ยาแก้ปวด, ลดไข้ ชนิดน้ำ</x:t>
        </x:is>
      </x:c>
      <x:c r="D105" t="inlineStr">
        <x:is>
          <x:t xml:space="preserve">Tempra Kids Orange</x:t>
        </x:is>
      </x:c>
      <x:c r="E105" t="inlineStr">
        <x:is>
          <x:t xml:space="preserve">Paracetamol 120 mg./5 ml.</x:t>
        </x:is>
      </x:c>
      <x:c r="F105" t="inlineStr">
        <x:is>
          <x:t xml:space="preserve">ขวด 60 ml.</x:t>
        </x:is>
      </x:c>
      <x:c r="G105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</x:row>
    <x:row r="106">
      <x:c r="A106" t="inlineStr">
        <x:is>
          <x:t xml:space="preserve">BDS003713</x:t>
        </x:is>
      </x:c>
      <x:c r="B106" t="n">
        <x:v>3713</x:v>
      </x:c>
      <x:c r="C106" t="inlineStr">
        <x:is>
          <x:t xml:space="preserve">ยาแก้ปวด, ลดไข้ ชนิดน้ำ</x:t>
        </x:is>
      </x:c>
      <x:c r="D106" t="inlineStr">
        <x:is>
          <x:t xml:space="preserve">Tempra Kids Strawberry</x:t>
        </x:is>
      </x:c>
      <x:c r="E106" t="inlineStr">
        <x:is>
          <x:t xml:space="preserve">Paracetamol 120 mg./5 ml.</x:t>
        </x:is>
      </x:c>
      <x:c r="F106" t="inlineStr">
        <x:is>
          <x:t xml:space="preserve">ขวด 60 ml.</x:t>
        </x:is>
      </x:c>
      <x:c r="G106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</x:row>
    <x:row r="107">
      <x:c r="A107" t="inlineStr">
        <x:is>
          <x:t xml:space="preserve">BDS003737</x:t>
        </x:is>
      </x:c>
      <x:c r="B107" t="n">
        <x:v>3737</x:v>
      </x:c>
      <x:c r="C107" t="inlineStr">
        <x:is>
          <x:t xml:space="preserve">ยาแก้ปวด, ลดไข้ ชนิดน้ำ</x:t>
        </x:is>
      </x:c>
      <x:c r="D107" t="inlineStr">
        <x:is>
          <x:t xml:space="preserve">Tylenol Drop</x:t>
        </x:is>
      </x:c>
      <x:c r="E107" t="inlineStr">
        <x:is>
          <x:t xml:space="preserve">Paracetamol 80 mg./0.8 ml.</x:t>
        </x:is>
      </x:c>
      <x:c r="F107" t="inlineStr">
        <x:is>
          <x:t xml:space="preserve">ขวด 15 ml.</x:t>
        </x:is>
      </x:c>
      <x:c r="G107" t="inlineStr">
        <x:is>
          <x:t xml:space="preserve">รับประทานครั้งละ 0.8 ml./5.5-7.9 kg. ทุก 4 ชั่วโมง</x:t>
        </x:is>
      </x:c>
    </x:row>
    <x:row r="108">
      <x:c r="A108" t="inlineStr">
        <x:is>
          <x:t xml:space="preserve">BDS003763</x:t>
        </x:is>
      </x:c>
      <x:c r="B108" t="n">
        <x:v>3763</x:v>
      </x:c>
      <x:c r="C108" t="inlineStr">
        <x:is>
          <x:t xml:space="preserve">ยาแก้ปวด, ลดไข้ ชนิดน้ำ</x:t>
        </x:is>
      </x:c>
      <x:c r="D108" t="inlineStr">
        <x:is>
          <x:t xml:space="preserve">Tylenol Suspension</x:t>
        </x:is>
      </x:c>
      <x:c r="E108" t="inlineStr">
        <x:is>
          <x:t xml:space="preserve">Paracetamol 160 mg./5 ml.</x:t>
        </x:is>
      </x:c>
      <x:c r="F108" t="inlineStr">
        <x:is>
          <x:t xml:space="preserve">ขวด 60 ml.</x:t>
        </x:is>
      </x:c>
      <x:c r="G108" t="inlineStr">
        <x:is>
          <x:t xml:space="preserve">รับประทานครั้งละ 5 ซีซี วันละ 3-4 ครั้ง</x:t>
        </x:is>
      </x:c>
    </x:row>
    <x:row r="109">
      <x:c r="A109" t="inlineStr">
        <x:is>
          <x:t xml:space="preserve">BDS001665</x:t>
        </x:is>
      </x:c>
      <x:c r="B109" t="n">
        <x:v>1665</x:v>
      </x:c>
      <x:c r="C109" t="inlineStr">
        <x:is>
          <x:t xml:space="preserve">ยาแก้ปวด, ลดไข้ ชนิดน้ำ (D)</x:t>
        </x:is>
      </x:c>
      <x:c r="D109" t="inlineStr">
        <x:is>
          <x:t xml:space="preserve">Duran Suspension</x:t>
        </x:is>
      </x:c>
      <x:c r="E109" t="inlineStr">
        <x:is>
          <x:t xml:space="preserve">Ibuprofen 100 mg./5 ml.</x:t>
        </x:is>
      </x:c>
      <x:c r="F109" t="inlineStr">
        <x:is>
          <x:t xml:space="preserve">ขวด 60 ml.</x:t>
        </x:is>
      </x:c>
      <x:c r="G109" t="inlineStr">
        <x:is>
          <x:t xml:space="preserve">รับประทานครั้งละ 1-2 ช้อนชา วันละ 4 ครั้ง หลังอาหาร หรือตามแพทย์สั่ง</x:t>
        </x:is>
      </x:c>
    </x:row>
    <x:row r="110">
      <x:c r="A110" t="inlineStr">
        <x:is>
          <x:t xml:space="preserve">BDS007151</x:t>
        </x:is>
      </x:c>
      <x:c r="B110" t="n">
        <x:v>7151</x:v>
      </x:c>
      <x:c r="C110" t="inlineStr">
        <x:is>
          <x:t xml:space="preserve">ยาแก้ปวด, ลดไข้ ชนิดน้ำ (D)</x:t>
        </x:is>
      </x:c>
      <x:c r="D110" t="inlineStr">
        <x:is>
          <x:t xml:space="preserve">Ibukids Suspension</x:t>
        </x:is>
      </x:c>
      <x:c r="E110" t="inlineStr">
        <x:is>
          <x:t xml:space="preserve">Ibuprofen 100 mg./5 ml.</x:t>
        </x:is>
      </x:c>
      <x:c r="F110" t="inlineStr">
        <x:is>
          <x:t xml:space="preserve">ขวด 60 ml.</x:t>
        </x:is>
      </x:c>
      <x:c r="G110" t="inlineStr">
        <x:is>
          <x:t xml:space="preserve">เด็กโตรับประทานครั้งละ 2 ช้อนชา วันละ 3 ครั้ง หลังอาหาร</x:t>
        </x:is>
      </x:c>
    </x:row>
    <x:row r="111">
      <x:c r="A111" t="inlineStr">
        <x:is>
          <x:t xml:space="preserve">BDS002845</x:t>
        </x:is>
      </x:c>
      <x:c r="B111" t="n">
        <x:v>2845</x:v>
      </x:c>
      <x:c r="C111" t="inlineStr">
        <x:is>
          <x:t xml:space="preserve">ยาแก้ปวด, ลดไข้ ชนิดน้ำ (D)</x:t>
        </x:is>
      </x:c>
      <x:c r="D111" t="inlineStr">
        <x:is>
          <x:t xml:space="preserve">Nurofen Suspension</x:t>
        </x:is>
      </x:c>
      <x:c r="E111" t="inlineStr">
        <x:is>
          <x:t xml:space="preserve">Ibuprofen 100 mg./5 ml.</x:t>
        </x:is>
      </x:c>
      <x:c r="F111" t="inlineStr">
        <x:is>
          <x:t xml:space="preserve">ขวด 60 ml.</x:t>
        </x:is>
      </x:c>
      <x:c r="G111" t="inlineStr">
        <x:is>
          <x:t xml:space="preserve">รับประทานครั้งละ 1-2 ช้อนชา วันละ 3-4 ครั้ง หลังอาหาร</x:t>
        </x:is>
      </x:c>
    </x:row>
    <x:row r="112">
      <x:c r="A112" t="inlineStr">
        <x:is>
          <x:t xml:space="preserve">BDS003739</x:t>
        </x:is>
      </x:c>
      <x:c r="B112" t="n">
        <x:v>3739</x:v>
      </x:c>
      <x:c r="C112" t="inlineStr">
        <x:is>
          <x:t xml:space="preserve">ยาแก้ปวดรุนแรง (D)</x:t>
        </x:is>
      </x:c>
      <x:c r="D112" t="inlineStr">
        <x:is>
          <x:t xml:space="preserve">Tramal</x:t>
        </x:is>
      </x:c>
      <x:c r="E112" t="inlineStr">
        <x:is>
          <x:t xml:space="preserve">Tramadol HCl 50 mg.</x:t>
        </x:is>
      </x:c>
      <x:c r="F112" t="inlineStr">
        <x:is>
          <x:t xml:space="preserve">กล่อง 10 แคปซูล</x:t>
        </x:is>
      </x:c>
      <x:c r="G112" t="inlineStr">
        <x:is>
          <x:t xml:space="preserve">รับประทานครั้งละ 1 แคปซูลวันละ 3 ครั้ง หลังอาหาร</x:t>
        </x:is>
      </x:c>
    </x:row>
    <x:row r="113">
      <x:c r="A113" t="inlineStr">
        <x:is>
          <x:t xml:space="preserve">BDS040009</x:t>
        </x:is>
      </x:c>
      <x:c r="B113" t="n">
        <x:v>40009</x:v>
      </x:c>
      <x:c r="C113" t="inlineStr">
        <x:is>
          <x:t xml:space="preserve">ยาแก้ปวดอักเสบกลุ่ม NSAIDs (D)</x:t>
        </x:is>
      </x:c>
      <x:c r="D113" t="inlineStr">
        <x:is>
          <x:t xml:space="preserve">Anpuzz 520 </x:t>
        </x:is>
      </x:c>
      <x:c r="E113" t="inlineStr">
        <x:is>
          <x:t xml:space="preserve">Mefenamic acid 500 mg. + Dicyclomine HCl 20 mg.</x:t>
        </x:is>
      </x:c>
      <x:c r="F113" t="inlineStr">
        <x:is>
          <x:t xml:space="preserve">กล่อง 10 เม็ด</x:t>
        </x:is>
      </x:c>
      <x:c r="G113" t="inlineStr">
        <x:is>
          <x:t xml:space="preserve">รับประทานครั้งละ 1 เม็ด วันละ 3 ครั้ง หลังอาหารทันที </x:t>
        </x:is>
      </x:c>
    </x:row>
    <x:row r="114">
      <x:c r="A114" t="inlineStr">
        <x:is>
          <x:t xml:space="preserve">BDS001076</x:t>
        </x:is>
      </x:c>
      <x:c r="B114" t="n">
        <x:v>1076</x:v>
      </x:c>
      <x:c r="C114" t="inlineStr">
        <x:is>
          <x:t xml:space="preserve">ยาแก้ปวดอักเสบกลุ่ม NSAIDs (D)</x:t>
        </x:is>
      </x:c>
      <x:c r="D114" t="inlineStr">
        <x:is>
          <x:t xml:space="preserve">Arcoxia 120 mg</x:t>
        </x:is>
      </x:c>
      <x:c r="E114" t="inlineStr">
        <x:is>
          <x:t xml:space="preserve">Etoricoxib 120 mg.</x:t>
        </x:is>
      </x:c>
      <x:c r="F114" t="inlineStr">
        <x:is>
          <x:t xml:space="preserve">แผง 5 เม็ด</x:t>
        </x:is>
      </x:c>
      <x:c r="G114" t="inlineStr">
        <x:is>
          <x:t xml:space="preserve">รับประทานครั้งละ 1 เม็ด วันละ 1 ครั้ง หลังอาหารทันที</x:t>
        </x:is>
      </x:c>
    </x:row>
    <x:row r="115">
      <x:c r="A115" t="inlineStr">
        <x:is>
          <x:t xml:space="preserve">BDS001078</x:t>
        </x:is>
      </x:c>
      <x:c r="B115" t="n">
        <x:v>1078</x:v>
      </x:c>
      <x:c r="C115" t="inlineStr">
        <x:is>
          <x:t xml:space="preserve">ยาแก้ปวดอักเสบกลุ่ม NSAIDs (D)</x:t>
        </x:is>
      </x:c>
      <x:c r="D115" t="inlineStr">
        <x:is>
          <x:t xml:space="preserve">Arcoxia 60 mg</x:t>
        </x:is>
      </x:c>
      <x:c r="E115" t="inlineStr">
        <x:is>
          <x:t xml:space="preserve">Etoricoxib 60 mg.</x:t>
        </x:is>
      </x:c>
      <x:c r="F115" t="inlineStr">
        <x:is>
          <x:t xml:space="preserve">แผง 5 เม็ด</x:t>
        </x:is>
      </x:c>
      <x:c r="G115" t="inlineStr">
        <x:is>
          <x:t xml:space="preserve">รับประทานครั้งละ 1 เม็ด วันละ 1 ครั้ง หลังอาหารทันที</x:t>
        </x:is>
      </x:c>
    </x:row>
    <x:row r="116">
      <x:c r="A116" t="inlineStr">
        <x:is>
          <x:t xml:space="preserve">BDS001075</x:t>
        </x:is>
      </x:c>
      <x:c r="B116" t="n">
        <x:v>1075</x:v>
      </x:c>
      <x:c r="C116" t="inlineStr">
        <x:is>
          <x:t xml:space="preserve">ยาแก้ปวดอักเสบกลุ่ม NSAIDs (D)</x:t>
        </x:is>
      </x:c>
      <x:c r="D116" t="inlineStr">
        <x:is>
          <x:t xml:space="preserve">Arcoxia 90 mg</x:t>
        </x:is>
      </x:c>
      <x:c r="E116" t="inlineStr">
        <x:is>
          <x:t xml:space="preserve">Etoricoxib 90 mg.</x:t>
        </x:is>
      </x:c>
      <x:c r="F116" t="inlineStr">
        <x:is>
          <x:t xml:space="preserve">แผง 5 เม็ด</x:t>
        </x:is>
      </x:c>
      <x:c r="G116" t="inlineStr">
        <x:is>
          <x:t xml:space="preserve">รับประทานครั้งละ 1 เม็ด  วันละ 1 ครั้ง หลังอาหารทันที</x:t>
        </x:is>
      </x:c>
    </x:row>
    <x:row r="117">
      <x:c r="A117" t="inlineStr">
        <x:is>
          <x:t xml:space="preserve">BDS040616</x:t>
        </x:is>
      </x:c>
      <x:c r="B117" t="n">
        <x:v>40616</x:v>
      </x:c>
      <x:c r="C117" t="inlineStr">
        <x:is>
          <x:t xml:space="preserve">ยาแก้ปวดอักเสบกลุ่ม NSAIDs (D)</x:t>
        </x:is>
      </x:c>
      <x:c r="D117" t="inlineStr">
        <x:is>
          <x:t xml:space="preserve">Biocoxib 90 mg.</x:t>
        </x:is>
      </x:c>
      <x:c r="E117" t="inlineStr">
        <x:is>
          <x:t xml:space="preserve">Etoricoxib 90 mg.</x:t>
        </x:is>
      </x:c>
      <x:c r="F117" t="inlineStr">
        <x:is>
          <x:t xml:space="preserve">แผง 5 เม็ด</x:t>
        </x:is>
      </x:c>
      <x:c r="G117" t="inlineStr">
        <x:is>
          <x:t xml:space="preserve">รับประทานครั้งละ 1 เม็ด  วันละ 1 ครั้ง หลังอาหารทันที</x:t>
        </x:is>
      </x:c>
    </x:row>
    <x:row r="118">
      <x:c r="A118" t="inlineStr">
        <x:is>
          <x:t xml:space="preserve">BDS008116</x:t>
        </x:is>
      </x:c>
      <x:c r="B118" t="n">
        <x:v>8116</x:v>
      </x:c>
      <x:c r="C118" t="inlineStr">
        <x:is>
          <x:t xml:space="preserve">ยาแก้ปวดอักเสบกลุ่ม NSAIDs (D)</x:t>
        </x:is>
      </x:c>
      <x:c r="D118" t="inlineStr">
        <x:is>
          <x:t xml:space="preserve">Cambic 15</x:t>
        </x:is>
      </x:c>
      <x:c r="E118" t="inlineStr">
        <x:is>
          <x:t xml:space="preserve">Meloxicam 15 mg.</x:t>
        </x:is>
      </x:c>
      <x:c r="F118" t="inlineStr">
        <x:is>
          <x:t xml:space="preserve">แผง 10 เม็ด</x:t>
        </x:is>
      </x:c>
      <x:c r="G118" t="inlineStr">
        <x:is>
          <x:t xml:space="preserve">รับประทานครั้งละ 1 เม็ด วันละ 1 ครั้ง หลังอาหารทันที</x:t>
        </x:is>
      </x:c>
    </x:row>
    <x:row r="119">
      <x:c r="A119" t="inlineStr">
        <x:is>
          <x:t xml:space="preserve">BDS041402</x:t>
        </x:is>
      </x:c>
      <x:c r="B119" t="n">
        <x:v>41402</x:v>
      </x:c>
      <x:c r="C119" t="inlineStr">
        <x:is>
          <x:t xml:space="preserve">ยาแก้ปวดอักเสบกลุ่ม NSAIDs (D)</x:t>
        </x:is>
      </x:c>
      <x:c r="D119" t="inlineStr">
        <x:is>
          <x:t xml:space="preserve">Cataflam 50 mg</x:t>
        </x:is>
      </x:c>
      <x:c r="E119" t="inlineStr">
        <x:is>
          <x:t xml:space="preserve">Diclofenac Potassium 50 mg</x:t>
        </x:is>
      </x:c>
      <x:c r="F119" t="inlineStr">
        <x:is>
          <x:t xml:space="preserve">แผง 10 เม็ด</x:t>
        </x:is>
      </x:c>
      <x:c r="G119" t="inlineStr">
        <x:is>
          <x:t xml:space="preserve">รับประทานครั้งละ 1 เม็ด วันละ 1-2 ครั้ง หลังอาหารทันที หรือตามแพทย์สั่ง</x:t>
        </x:is>
      </x:c>
    </x:row>
    <x:row r="120">
      <x:c r="A120" t="inlineStr">
        <x:is>
          <x:t xml:space="preserve">BDS007035</x:t>
        </x:is>
      </x:c>
      <x:c r="B120" t="n">
        <x:v>7035</x:v>
      </x:c>
      <x:c r="C120" t="inlineStr">
        <x:is>
          <x:t xml:space="preserve">ยาแก้ปวดอักเสบกลุ่ม NSAIDs (D)</x:t>
        </x:is>
      </x:c>
      <x:c r="D120" t="inlineStr">
        <x:is>
          <x:t xml:space="preserve">Catanac 50 mg</x:t>
        </x:is>
      </x:c>
      <x:c r="E120" t="inlineStr">
        <x:is>
          <x:t xml:space="preserve">Diclofenac Potassium 50 mg.</x:t>
        </x:is>
      </x:c>
      <x:c r="F120" t="inlineStr">
        <x:is>
          <x:t xml:space="preserve">แผง 10 เม็ด</x:t>
        </x:is>
      </x:c>
      <x:c r="G120" t="inlineStr">
        <x:is>
          <x:t xml:space="preserve">รับประทานครั้งละ 1 เม็ด วันละ 3 ครั้ง หลังอาหารทันที</x:t>
        </x:is>
      </x:c>
    </x:row>
    <x:row r="121">
      <x:c r="A121" t="inlineStr">
        <x:is>
          <x:t xml:space="preserve">BDS001509</x:t>
        </x:is>
      </x:c>
      <x:c r="B121" t="n">
        <x:v>1509</x:v>
      </x:c>
      <x:c r="C121" t="inlineStr">
        <x:is>
          <x:t xml:space="preserve">ยาแก้ปวดอักเสบกลุ่ม NSAIDs (D)</x:t>
        </x:is>
      </x:c>
      <x:c r="D121" t="inlineStr">
        <x:is>
          <x:t xml:space="preserve">Celebrex 200 mg</x:t>
        </x:is>
      </x:c>
      <x:c r="E121" t="inlineStr">
        <x:is>
          <x:t xml:space="preserve">Celecoxib 200 mg.</x:t>
        </x:is>
      </x:c>
      <x:c r="F121" t="inlineStr">
        <x:is>
          <x:t xml:space="preserve">กล่อง 10 แคปซูล</x:t>
        </x:is>
      </x:c>
      <x:c r="G121" t="inlineStr">
        <x:is>
          <x:t xml:space="preserve">รับประทานครั้งละ 1 แคปซูล วันละ 2 ครั้ง หลังอาหารทันที</x:t>
        </x:is>
      </x:c>
    </x:row>
    <x:row r="122">
      <x:c r="A122" t="inlineStr">
        <x:is>
          <x:t xml:space="preserve">BDS001507</x:t>
        </x:is>
      </x:c>
      <x:c r="B122" t="n">
        <x:v>1507</x:v>
      </x:c>
      <x:c r="C122" t="inlineStr">
        <x:is>
          <x:t xml:space="preserve">ยาแก้ปวดอักเสบกลุ่ม NSAIDs (D)</x:t>
        </x:is>
      </x:c>
      <x:c r="D122" t="inlineStr">
        <x:is>
          <x:t xml:space="preserve">Celebrex 400 mg</x:t>
        </x:is>
      </x:c>
      <x:c r="E122" t="inlineStr">
        <x:is>
          <x:t xml:space="preserve">Celecoxib 400 mg.</x:t>
        </x:is>
      </x:c>
      <x:c r="F122" t="inlineStr">
        <x:is>
          <x:t xml:space="preserve">กล่อง 10 แคปซูล</x:t>
        </x:is>
      </x:c>
      <x:c r="G122" t="inlineStr">
        <x:is>
          <x:t xml:space="preserve">รับประทานครั้งละ 1 แคปซูล วันละ 1 ครั้ง หลังอาหารทันที</x:t>
        </x:is>
      </x:c>
    </x:row>
    <x:row r="123">
      <x:c r="A123" t="inlineStr">
        <x:is>
          <x:t xml:space="preserve">BDS001822</x:t>
        </x:is>
      </x:c>
      <x:c r="B123" t="n">
        <x:v>1822</x:v>
      </x:c>
      <x:c r="C123" t="inlineStr">
        <x:is>
          <x:t xml:space="preserve">ยาแก้ปวดอักเสบกลุ่ม NSAIDs (D)</x:t>
        </x:is>
      </x:c>
      <x:c r="D123" t="inlineStr">
        <x:is>
          <x:t xml:space="preserve">Dosanac 25</x:t>
        </x:is>
      </x:c>
      <x:c r="E123" t="inlineStr">
        <x:is>
          <x:t xml:space="preserve">Diclofenac Sodium 25 mg.</x:t>
        </x:is>
      </x:c>
      <x:c r="F123" t="inlineStr">
        <x:is>
          <x:t xml:space="preserve">กล่อง 10 เม็ด</x:t>
        </x:is>
      </x:c>
      <x:c r="G123" t="inlineStr">
        <x:is>
          <x:t xml:space="preserve">รับประทานครั้งละ 1-2 เม็ด วันละ 3 ครั้ง หลังอาหารทันที หรือตามแพทย์สั่ง</x:t>
        </x:is>
      </x:c>
    </x:row>
    <x:row r="124">
      <x:c r="A124" t="inlineStr">
        <x:is>
          <x:t xml:space="preserve">BDS001824</x:t>
        </x:is>
      </x:c>
      <x:c r="B124" t="n">
        <x:v>1824</x:v>
      </x:c>
      <x:c r="C124" t="inlineStr">
        <x:is>
          <x:t xml:space="preserve">ยาแก้ปวดอักเสบกลุ่ม NSAIDs (D)</x:t>
        </x:is>
      </x:c>
      <x:c r="D124" t="inlineStr">
        <x:is>
          <x:t xml:space="preserve">Dosanac 50</x:t>
        </x:is>
      </x:c>
      <x:c r="E124" t="inlineStr">
        <x:is>
          <x:t xml:space="preserve">Diclofenac Sodium 50 mg.</x:t>
        </x:is>
      </x:c>
      <x:c r="F124" t="inlineStr">
        <x:is>
          <x:t xml:space="preserve">กล่อง 10 เม็ด</x:t>
        </x:is>
      </x:c>
      <x:c r="G124" t="inlineStr">
        <x:is>
          <x:t xml:space="preserve">รับประทานครั้งละ 1 เม็ดวันละ 3 ครั้ง หลังอาหารทันที หรือตามแพทย์สั่ง</x:t>
        </x:is>
      </x:c>
    </x:row>
    <x:row r="125">
      <x:c r="A125" t="inlineStr">
        <x:is>
          <x:t xml:space="preserve">BDS042806</x:t>
        </x:is>
      </x:c>
      <x:c r="B125" t="n">
        <x:v>42806</x:v>
      </x:c>
      <x:c r="C125" t="inlineStr">
        <x:is>
          <x:t xml:space="preserve">ยาแก้ปวดอักเสบกลุ่ม NSAIDs (D)</x:t>
        </x:is>
      </x:c>
      <x:c r="D125" t="inlineStr">
        <x:is>
          <x:t xml:space="preserve">Eberil 120</x:t>
        </x:is>
      </x:c>
      <x:c r="E125" t="inlineStr">
        <x:is>
          <x:t xml:space="preserve">Etoricoxib 120 mg.</x:t>
        </x:is>
      </x:c>
      <x:c r="F125" t="inlineStr">
        <x:is>
          <x:t xml:space="preserve">กล่อง 5 เม็ด</x:t>
        </x:is>
      </x:c>
      <x:c r="G125" t="inlineStr">
        <x:is>
          <x:t xml:space="preserve">รับประทานครั้งละ 1 เม็ด วันละ 1 ครั้ง หลังอาหารทันที</x:t>
        </x:is>
      </x:c>
    </x:row>
    <x:row r="126">
      <x:c r="A126" t="inlineStr">
        <x:is>
          <x:t xml:space="preserve">BDS008061</x:t>
        </x:is>
      </x:c>
      <x:c r="B126" t="n">
        <x:v>8061</x:v>
      </x:c>
      <x:c r="C126" t="inlineStr">
        <x:is>
          <x:t xml:space="preserve">ยาแก้ปวดอักเสบกลุ่ม NSAIDs (D)</x:t>
        </x:is>
      </x:c>
      <x:c r="D126" t="inlineStr">
        <x:is>
          <x:t xml:space="preserve">Felcam</x:t>
        </x:is>
      </x:c>
      <x:c r="E126" t="inlineStr">
        <x:is>
          <x:t xml:space="preserve">Piroxicam 20 mg.</x:t>
        </x:is>
      </x:c>
      <x:c r="F126" t="inlineStr">
        <x:is>
          <x:t xml:space="preserve">แผง 10 เม็ด</x:t>
        </x:is>
      </x:c>
      <x:c r="G126" t="inlineStr">
        <x:is>
          <x:t xml:space="preserve">รับประทานครั้งละ 1 เม็ด วันละ 1-2 ครั้ง หลังอาหารทันที</x:t>
        </x:is>
      </x:c>
    </x:row>
    <x:row r="127">
      <x:c r="A127" t="inlineStr">
        <x:is>
          <x:t xml:space="preserve">BDS007602</x:t>
        </x:is>
      </x:c>
      <x:c r="B127" t="n">
        <x:v>7602</x:v>
      </x:c>
      <x:c r="C127" t="inlineStr">
        <x:is>
          <x:t xml:space="preserve">ยาแก้ปวดอักเสบกลุ่ม NSAIDs (D)</x:t>
        </x:is>
      </x:c>
      <x:c r="D127" t="inlineStr">
        <x:is>
          <x:t xml:space="preserve">Felcam Capsule</x:t>
        </x:is>
      </x:c>
      <x:c r="E127" t="inlineStr">
        <x:is>
          <x:t xml:space="preserve">Piroxicam 10 mg.</x:t>
        </x:is>
      </x:c>
      <x:c r="F127" t="inlineStr">
        <x:is>
          <x:t xml:space="preserve">แผง 10 แคปซูล</x:t>
        </x:is>
      </x:c>
      <x:c r="G127" t="inlineStr">
        <x:is>
          <x:t xml:space="preserve">รับประทานครั้งละ 1-2 แคปซูล วันละ 2 ครั้ง หลังอาหารทันที</x:t>
        </x:is>
      </x:c>
    </x:row>
    <x:row r="128">
      <x:c r="A128" t="inlineStr">
        <x:is>
          <x:t xml:space="preserve">BDS044250</x:t>
        </x:is>
      </x:c>
      <x:c r="B128" t="n">
        <x:v>44250</x:v>
      </x:c>
      <x:c r="C128" t="inlineStr">
        <x:is>
          <x:t xml:space="preserve">ยาแก้ปวดอักเสบกลุ่ม NSAIDs (D)</x:t>
        </x:is>
      </x:c>
      <x:c r="D128" t="inlineStr">
        <x:is>
          <x:t xml:space="preserve">Japrolox tabslets</x:t>
        </x:is>
      </x:c>
      <x:c r="E128" t="inlineStr">
        <x:is>
          <x:t xml:space="preserve">Loxoprofen sodium 60 mg.</x:t>
        </x:is>
      </x:c>
      <x:c r="F128" t="inlineStr">
        <x:is>
          <x:t xml:space="preserve">กล่อง 20 เม็ด</x:t>
        </x:is>
      </x:c>
      <x:c r="G128" t="inlineStr">
        <x:is>
          <x:t xml:space="preserve">รับประทานครั้งละ 1 เม็ด วันละ 3 ครั้ง หลังอาหารทันที</x:t>
        </x:is>
      </x:c>
    </x:row>
    <x:row r="129">
      <x:c r="A129" t="inlineStr">
        <x:is>
          <x:t xml:space="preserve">BDS044900</x:t>
        </x:is>
      </x:c>
      <x:c r="B129" t="n">
        <x:v>44900</x:v>
      </x:c>
      <x:c r="C129" t="inlineStr">
        <x:is>
          <x:t xml:space="preserve">ยาแก้ปวดอักเสบกลุ่ม NSAIDs (D)</x:t>
        </x:is>
      </x:c>
      <x:c r="D129" t="inlineStr">
        <x:is>
          <x:t xml:space="preserve">Mefamed 500</x:t>
        </x:is>
      </x:c>
      <x:c r="E129" t="inlineStr">
        <x:is>
          <x:t xml:space="preserve">Mefenamic acid 500 mg.</x:t>
        </x:is>
      </x:c>
      <x:c r="F129" t="inlineStr">
        <x:is>
          <x:t xml:space="preserve">แผง 10 เม็ด</x:t>
        </x:is>
      </x:c>
      <x:c r="G129" t="inlineStr">
        <x:is>
          <x:t xml:space="preserve">รับประทานครั้งละ 1 เม็ด วันละ 3 ครั้ง หลังอาหารทันที </x:t>
        </x:is>
      </x:c>
    </x:row>
    <x:row r="130">
      <x:c r="A130" t="inlineStr">
        <x:is>
          <x:t xml:space="preserve">BDS002669</x:t>
        </x:is>
      </x:c>
      <x:c r="B130" t="n">
        <x:v>2669</x:v>
      </x:c>
      <x:c r="C130" t="inlineStr">
        <x:is>
          <x:t xml:space="preserve">ยาแก้ปวดอักเสบกลุ่ม NSAIDs (D)</x:t>
        </x:is>
      </x:c>
      <x:c r="D130" t="inlineStr">
        <x:is>
          <x:t xml:space="preserve">Melcam</x:t>
        </x:is>
      </x:c>
      <x:c r="E130" t="inlineStr">
        <x:is>
          <x:t xml:space="preserve">Meloxicam 7.5 mg.</x:t>
        </x:is>
      </x:c>
      <x:c r="F130" t="inlineStr">
        <x:is>
          <x:t xml:space="preserve">แผง 10 เม็ด</x:t>
        </x:is>
      </x:c>
      <x:c r="G130" t="inlineStr">
        <x:is>
          <x:t xml:space="preserve">รับประทานครั้งละ 1 เม็ด  วันละ 1-2 ครั้ง หลังอาหารทันที</x:t>
        </x:is>
      </x:c>
    </x:row>
    <x:row r="131">
      <x:c r="A131" t="inlineStr">
        <x:is>
          <x:t xml:space="preserve">BDS044909</x:t>
        </x:is>
      </x:c>
      <x:c r="B131" t="n">
        <x:v>44909</x:v>
      </x:c>
      <x:c r="C131" t="inlineStr">
        <x:is>
          <x:t xml:space="preserve">ยาแก้ปวดอักเสบกลุ่ม NSAIDs (D)</x:t>
        </x:is>
      </x:c>
      <x:c r="D131" t="inlineStr">
        <x:is>
          <x:t xml:space="preserve">Meomic 500 </x:t>
        </x:is>
      </x:c>
      <x:c r="E131" t="inlineStr">
        <x:is>
          <x:t xml:space="preserve">Mefenamic acid 500 mg.</x:t>
        </x:is>
      </x:c>
      <x:c r="F131" t="inlineStr">
        <x:is>
          <x:t xml:space="preserve">แผง 10 เม็ด</x:t>
        </x:is>
      </x:c>
      <x:c r="G131" t="inlineStr">
        <x:is>
          <x:t xml:space="preserve">รับประทานครั้งละ 1 เม็ด วันละ 3 ครั้ง หลังอาหารทันที </x:t>
        </x:is>
      </x:c>
    </x:row>
    <x:row r="132">
      <x:c r="A132" t="inlineStr">
        <x:is>
          <x:t xml:space="preserve">BDS002642</x:t>
        </x:is>
      </x:c>
      <x:c r="B132" t="n">
        <x:v>2642</x:v>
      </x:c>
      <x:c r="C132" t="inlineStr">
        <x:is>
          <x:t xml:space="preserve">ยาแก้ปวดอักเสบกลุ่ม NSAIDs (D)</x:t>
        </x:is>
      </x:c>
      <x:c r="D132" t="inlineStr">
        <x:is>
          <x:t xml:space="preserve">Mobic 7.5 mg</x:t>
        </x:is>
      </x:c>
      <x:c r="E132" t="inlineStr">
        <x:is>
          <x:t xml:space="preserve">Meloxicam 7.5 mg.</x:t>
        </x:is>
      </x:c>
      <x:c r="F132" t="inlineStr">
        <x:is>
          <x:t xml:space="preserve">แผง 10  เม็ด</x:t>
        </x:is>
      </x:c>
      <x:c r="G132" t="inlineStr">
        <x:is>
          <x:t xml:space="preserve">รับประทานครั้งละ 1-2 เม็ด วันละ 1-2 ครั้ง หลังอาหารทันที</x:t>
        </x:is>
      </x:c>
    </x:row>
    <x:row r="133">
      <x:c r="A133" t="inlineStr">
        <x:is>
          <x:t xml:space="preserve">BDS045624</x:t>
        </x:is>
      </x:c>
      <x:c r="B133" t="n">
        <x:v>45624</x:v>
      </x:c>
      <x:c r="C133" t="inlineStr">
        <x:is>
          <x:t xml:space="preserve">ยาแก้ปวดอักเสบกลุ่ม NSAIDs (D)</x:t>
        </x:is>
      </x:c>
      <x:c r="D133" t="inlineStr">
        <x:is>
          <x:t xml:space="preserve">Naprofazt</x:t>
        </x:is>
      </x:c>
      <x:c r="E133" t="inlineStr">
        <x:is>
          <x:t xml:space="preserve">Naproxen (as Naproxen Sodium) 250 mg.</x:t>
        </x:is>
      </x:c>
      <x:c r="F133" t="inlineStr">
        <x:is>
          <x:t xml:space="preserve">แผง 10 แคปซูล</x:t>
        </x:is>
      </x:c>
      <x:c r="G133" t="inlineStr">
        <x:is>
          <x:t xml:space="preserve">รับประทานครั้งละ 1 แคปซูล วันละ 2 ครั้ง หลังอาหารทันที</x:t>
        </x:is>
      </x:c>
    </x:row>
    <x:row r="134">
      <x:c r="A134" t="inlineStr">
        <x:is>
          <x:t xml:space="preserve">BDS007214</x:t>
        </x:is>
      </x:c>
      <x:c r="B134" t="n">
        <x:v>7214</x:v>
      </x:c>
      <x:c r="C134" t="inlineStr">
        <x:is>
          <x:t xml:space="preserve">ยาแก้ปวดอักเสบกลุ่ม NSAIDs (D)</x:t>
        </x:is>
      </x:c>
      <x:c r="D134" t="inlineStr">
        <x:is>
          <x:t xml:space="preserve">Naproflex</x:t>
        </x:is>
      </x:c>
      <x:c r="E134" t="inlineStr">
        <x:is>
          <x:t xml:space="preserve">Naproxen sodium 275 mg.</x:t>
        </x:is>
      </x:c>
      <x:c r="F134" t="inlineStr">
        <x:is>
          <x:t xml:space="preserve">แผง 6 เม็ด</x:t>
        </x:is>
      </x:c>
      <x:c r="G134" t="inlineStr">
        <x:is>
          <x:t xml:space="preserve">รับประทานครั้งละ 1 เม็ด วันละ 2 ครั้ง หลังอาหารทันที</x:t>
        </x:is>
      </x:c>
    </x:row>
    <x:row r="135">
      <x:c r="A135" t="inlineStr">
        <x:is>
          <x:t xml:space="preserve">BDS007576</x:t>
        </x:is>
      </x:c>
      <x:c r="B135" t="n">
        <x:v>7576</x:v>
      </x:c>
      <x:c r="C135" t="inlineStr">
        <x:is>
          <x:t xml:space="preserve">ยาแก้ปวดอักเสบกลุ่ม NSAIDs (D)</x:t>
        </x:is>
      </x:c>
      <x:c r="D135" t="inlineStr">
        <x:is>
          <x:t xml:space="preserve">Naprosian</x:t>
        </x:is>
      </x:c>
      <x:c r="E135" t="inlineStr">
        <x:is>
          <x:t xml:space="preserve">Naproxen 250 mg.</x:t>
        </x:is>
      </x:c>
      <x:c r="F135" t="inlineStr">
        <x:is>
          <x:t xml:space="preserve">แผง 10 เม็ด</x:t>
        </x:is>
      </x:c>
      <x:c r="G135" t="inlineStr">
        <x:is>
          <x:t xml:space="preserve">รับประทานครั้งละ 1 เม็ด วันละ 2 ครั้ง หลังอาหารทันที</x:t>
        </x:is>
      </x:c>
    </x:row>
    <x:row r="136">
      <x:c r="A136" t="inlineStr">
        <x:is>
          <x:t xml:space="preserve">BDS003422</x:t>
        </x:is>
      </x:c>
      <x:c r="B136" t="n">
        <x:v>3422</x:v>
      </x:c>
      <x:c r="C136" t="inlineStr">
        <x:is>
          <x:t xml:space="preserve">ยาแก้ปวดอักเสบกลุ่ม NSAIDs (D)</x:t>
        </x:is>
      </x:c>
      <x:c r="D136" t="inlineStr">
        <x:is>
          <x:t xml:space="preserve">Pircam 20 mg</x:t>
        </x:is>
      </x:c>
      <x:c r="E136" t="inlineStr">
        <x:is>
          <x:t xml:space="preserve">Piroxicam 20 mg.</x:t>
        </x:is>
      </x:c>
      <x:c r="F136" t="inlineStr">
        <x:is>
          <x:t xml:space="preserve">แผง 10 แคปซูล</x:t>
        </x:is>
      </x:c>
      <x:c r="G136" t="inlineStr">
        <x:is>
          <x:t xml:space="preserve">รับประทานครั้งละ 1 แคปซูล วันละ 2 ครั้ง หลังอาหารทันที</x:t>
        </x:is>
      </x:c>
    </x:row>
    <x:row r="137">
      <x:c r="A137" t="inlineStr">
        <x:is>
          <x:t xml:space="preserve">BDS003131</x:t>
        </x:is>
      </x:c>
      <x:c r="B137" t="n">
        <x:v>3131</x:v>
      </x:c>
      <x:c r="C137" t="inlineStr">
        <x:is>
          <x:t xml:space="preserve">ยาแก้ปวดอักเสบกลุ่ม NSAIDs (D)</x:t>
        </x:is>
      </x:c>
      <x:c r="D137" t="inlineStr">
        <x:is>
          <x:t xml:space="preserve">Ponstan 500 mg</x:t>
        </x:is>
      </x:c>
      <x:c r="E137" t="inlineStr">
        <x:is>
          <x:t xml:space="preserve">Mefenamic acid 500 mg.</x:t>
        </x:is>
      </x:c>
      <x:c r="F137" t="inlineStr">
        <x:is>
          <x:t xml:space="preserve">แผง 10 เม็ด</x:t>
        </x:is>
      </x:c>
      <x:c r="G137" t="inlineStr">
        <x:is>
          <x:t xml:space="preserve">รับประทานครั้งละ 1 เม็ด วันละ 3 ครั้ง หลังอาหารทันที</x:t>
        </x:is>
      </x:c>
    </x:row>
    <x:row r="138">
      <x:c r="A138" t="inlineStr">
        <x:is>
          <x:t xml:space="preserve">BDS003581</x:t>
        </x:is>
      </x:c>
      <x:c r="B138" t="n">
        <x:v>3581</x:v>
      </x:c>
      <x:c r="C138" t="inlineStr">
        <x:is>
          <x:t xml:space="preserve">ยาแก้ปวดอักเสบกลุ่ม NSAIDs (D)</x:t>
        </x:is>
      </x:c>
      <x:c r="D138" t="inlineStr">
        <x:is>
          <x:t xml:space="preserve">S-Pro 600</x:t>
        </x:is>
      </x:c>
      <x:c r="E138" t="inlineStr">
        <x:is>
          <x:t xml:space="preserve">Ibuprofen 600 mg.</x:t>
        </x:is>
      </x:c>
      <x:c r="F138" t="inlineStr">
        <x:is>
          <x:t xml:space="preserve">แผง 10 เม็ด</x:t>
        </x:is>
      </x:c>
      <x:c r="G138" t="inlineStr">
        <x:is>
          <x:t xml:space="preserve">รับประทานครั้งละ 1 เม็ด ทุก 6 ชั่วโมง เมื่อมีอาการ</x:t>
        </x:is>
      </x:c>
    </x:row>
    <x:row r="139">
      <x:c r="A139" t="inlineStr">
        <x:is>
          <x:t xml:space="preserve">BDS047654</x:t>
        </x:is>
      </x:c>
      <x:c r="B139" t="n">
        <x:v>47654</x:v>
      </x:c>
      <x:c r="C139" t="inlineStr">
        <x:is>
          <x:t xml:space="preserve">ยาแก้ปวดอักเสบกลุ่ม NSAIDs (D)</x:t>
        </x:is>
      </x:c>
      <x:c r="D139" t="inlineStr">
        <x:is>
          <x:t xml:space="preserve">Soproxen</x:t>
        </x:is>
      </x:c>
      <x:c r="E139" t="inlineStr">
        <x:is>
          <x:t xml:space="preserve">Naproxen sodium 275 mg. (eq. to Naproxen 250 mg.)</x:t>
        </x:is>
      </x:c>
      <x:c r="F139" t="inlineStr">
        <x:is>
          <x:t xml:space="preserve">แผง 10 เม็ด</x:t>
        </x:is>
      </x:c>
      <x:c r="G139" t="inlineStr">
        <x:is>
          <x:t xml:space="preserve">รับประทานครั้งละ 1 เม็ด วันละ 2 ครั้ง หลังอาหารทันที</x:t>
        </x:is>
      </x:c>
    </x:row>
    <x:row r="140">
      <x:c r="A140" t="inlineStr">
        <x:is>
          <x:t xml:space="preserve">BDS003599</x:t>
        </x:is>
      </x:c>
      <x:c r="B140" t="n">
        <x:v>3599</x:v>
      </x:c>
      <x:c r="C140" t="inlineStr">
        <x:is>
          <x:t xml:space="preserve">ยาแก้ปวดอักเสบกลุ่ม NSAIDs (D)</x:t>
        </x:is>
      </x:c>
      <x:c r="D140" t="inlineStr">
        <x:is>
          <x:t xml:space="preserve">Subsyde-CR</x:t>
        </x:is>
      </x:c>
      <x:c r="E140" t="inlineStr">
        <x:is>
          <x:t xml:space="preserve">Diclofenac Sodium 100 mg. (Controlled Release cap)</x:t>
        </x:is>
      </x:c>
      <x:c r="F140" t="inlineStr">
        <x:is>
          <x:t xml:space="preserve">แผง 10 แคปซูล</x:t>
        </x:is>
      </x:c>
      <x:c r="G140" t="inlineStr">
        <x:is>
          <x:t xml:space="preserve">รับประทานครั้งละ 1 แคปซูล วันละ 1 ครั้ง หลังอาหารทันที</x:t>
        </x:is>
      </x:c>
    </x:row>
    <x:row r="141">
      <x:c r="A141" t="inlineStr">
        <x:is>
          <x:t xml:space="preserve">BDS003568</x:t>
        </x:is>
      </x:c>
      <x:c r="B141" t="n">
        <x:v>3568</x:v>
      </x:c>
      <x:c r="C141" t="inlineStr">
        <x:is>
          <x:t xml:space="preserve">ยาแก้ปวดอักเสบกลุ่ม NSAIDs (D)</x:t>
        </x:is>
      </x:c>
      <x:c r="D141" t="inlineStr">
        <x:is>
          <x:t xml:space="preserve">Synflex</x:t>
        </x:is>
      </x:c>
      <x:c r="E141" t="inlineStr">
        <x:is>
          <x:t xml:space="preserve">Naproxen sodium 275 mg.</x:t>
        </x:is>
      </x:c>
      <x:c r="F141" t="inlineStr">
        <x:is>
          <x:t xml:space="preserve">แผง 6 เม็ด</x:t>
        </x:is>
      </x:c>
      <x:c r="G141" t="inlineStr">
        <x:is>
          <x:t xml:space="preserve">รับประทานครั้งละ 1 เม็ด วันละ 2 ครั้ง หลังอาหารทันที </x:t>
        </x:is>
      </x:c>
    </x:row>
    <x:row r="142">
      <x:c r="A142" t="inlineStr">
        <x:is>
          <x:t xml:space="preserve">BDS049251</x:t>
        </x:is>
      </x:c>
      <x:c r="B142" t="n">
        <x:v>49251</x:v>
      </x:c>
      <x:c r="C142" t="inlineStr">
        <x:is>
          <x:t xml:space="preserve">ยาแก้ปวดอักเสบกลุ่ม NSAIDs (D)</x:t>
        </x:is>
      </x:c>
      <x:c r="D142" t="inlineStr">
        <x:is>
          <x:t xml:space="preserve">Voltaren SR 100 mg</x:t>
        </x:is>
      </x:c>
      <x:c r="E142" t="inlineStr">
        <x:is>
          <x:t xml:space="preserve">Diclofenac Sodium 100 mg.</x:t>
        </x:is>
      </x:c>
      <x:c r="F142" t="inlineStr">
        <x:is>
          <x:t xml:space="preserve">แผง 10 เม็ด</x:t>
        </x:is>
      </x:c>
      <x:c r="G142" t="inlineStr">
        <x:is>
          <x:t xml:space="preserve">รับประทานครั้งละ 1 เม็ด วันละ 1 ครั้ง หลังอาหารทันที</x:t>
        </x:is>
      </x:c>
    </x:row>
    <x:row r="143">
      <x:c r="A143" t="inlineStr">
        <x:is>
          <x:t xml:space="preserve">BDS004052</x:t>
        </x:is>
      </x:c>
      <x:c r="B143" t="n">
        <x:v>4052</x:v>
      </x:c>
      <x:c r="C143" t="inlineStr">
        <x:is>
          <x:t xml:space="preserve">ยาแก้ปวดอักเสบกลุ่ม NSAIDs (D)</x:t>
        </x:is>
      </x:c>
      <x:c r="D143" t="inlineStr">
        <x:is>
          <x:t xml:space="preserve">Voltaren SR 75 mg</x:t>
        </x:is>
      </x:c>
      <x:c r="E143" t="inlineStr">
        <x:is>
          <x:t xml:space="preserve">Diclofenac Sodium 75 mg.</x:t>
        </x:is>
      </x:c>
      <x:c r="F143" t="inlineStr">
        <x:is>
          <x:t xml:space="preserve">แผง 10 เม็ด</x:t>
        </x:is>
      </x:c>
      <x:c r="G143" t="inlineStr">
        <x:is>
          <x:t xml:space="preserve">รับประทานครั้งละ 1-2 เม็ด วันละ 1 ครั้ง หลังอาหารทันที</x:t>
        </x:is>
      </x:c>
    </x:row>
    <x:row r="144">
      <x:c r="A144" t="inlineStr">
        <x:is>
          <x:t xml:space="preserve">BDS004041</x:t>
        </x:is>
      </x:c>
      <x:c r="B144" t="n">
        <x:v>4041</x:v>
      </x:c>
      <x:c r="C144" t="inlineStr">
        <x:is>
          <x:t xml:space="preserve">ยาแก้ปวดอักเสบกลุ่ม NSAIDs (D)</x:t>
        </x:is>
      </x:c>
      <x:c r="D144" t="inlineStr">
        <x:is>
          <x:t xml:space="preserve">Voltaren-25</x:t>
        </x:is>
      </x:c>
      <x:c r="E144" t="inlineStr">
        <x:is>
          <x:t xml:space="preserve">Diclofenac Sodium 25 mg.</x:t>
        </x:is>
      </x:c>
      <x:c r="F144" t="inlineStr">
        <x:is>
          <x:t xml:space="preserve">แผง 10 เม็ด</x:t>
        </x:is>
      </x:c>
      <x:c r="G144" t="inlineStr">
        <x:is>
          <x:t xml:space="preserve">รับประทานครั้งละ 1-2 เม็ด วันละ 3 ครั้ง หลังอาหารทันที</x:t>
        </x:is>
      </x:c>
    </x:row>
    <x:row r="145">
      <x:c r="A145" t="inlineStr">
        <x:is>
          <x:t xml:space="preserve">BDS049777</x:t>
        </x:is>
      </x:c>
      <x:c r="B145" t="n">
        <x:v>49777</x:v>
      </x:c>
      <x:c r="C145" t="inlineStr">
        <x:is>
          <x:t xml:space="preserve">ยาแก้ปวดอักเสบกลุ่ม NSAIDs (D)</x:t>
        </x:is>
      </x:c>
      <x:c r="D145" t="inlineStr">
        <x:is>
          <x:t xml:space="preserve">Zobrex</x:t>
        </x:is>
      </x:c>
      <x:c r="E145" t="inlineStr">
        <x:is>
          <x:t xml:space="preserve">Celecoxib 200 mg.</x:t>
        </x:is>
      </x:c>
      <x:c r="F145" t="inlineStr">
        <x:is>
          <x:t xml:space="preserve">กล่อง 10 แคปซูล</x:t>
        </x:is>
      </x:c>
      <x:c r="G145" t="inlineStr">
        <x:is>
          <x:t xml:space="preserve">รับประทานครั้งละ 1-2 แคปซูล วันละ 1 ครั้ง หลังอาหารทันที หรือตามแพทย์สั่ง </x:t>
        </x:is>
      </x:c>
    </x:row>
    <x:row r="146">
      <x:c r="A146" t="inlineStr">
        <x:is>
          <x:t xml:space="preserve">BDS001283</x:t>
        </x:is>
      </x:c>
      <x:c r="B146" t="n">
        <x:v>1283</x:v>
      </x:c>
      <x:c r="C146" t="inlineStr">
        <x:is>
          <x:t xml:space="preserve">ยาแก้ปวดเกร็งกล้ามเนื้อเรียบ (D)</x:t>
        </x:is>
      </x:c>
      <x:c r="D146" t="inlineStr">
        <x:is>
          <x:t xml:space="preserve">Buscopan</x:t>
        </x:is>
      </x:c>
      <x:c r="E146" t="inlineStr">
        <x:is>
          <x:t xml:space="preserve">Hyoscine-N-butylbromide 10 mg.</x:t>
        </x:is>
      </x:c>
      <x:c r="F146" t="inlineStr">
        <x:is>
          <x:t xml:space="preserve">แผง 10 เม็ด</x:t>
        </x:is>
      </x:c>
      <x:c r="G146" t="inlineStr">
        <x:is>
          <x:t xml:space="preserve">รับประทานครั้งละ 1-2 เม็ด วันละ 3-5 ครั้ง </x:t>
        </x:is>
      </x:c>
    </x:row>
    <x:row r="147">
      <x:c r="A147" t="inlineStr">
        <x:is>
          <x:t xml:space="preserve">BDS007061</x:t>
        </x:is>
      </x:c>
      <x:c r="B147" t="n">
        <x:v>7061</x:v>
      </x:c>
      <x:c r="C147" t="inlineStr">
        <x:is>
          <x:t xml:space="preserve">ยาแก้ปวดเกร็งกล้ามเนื้อเรียบ (D)</x:t>
        </x:is>
      </x:c>
      <x:c r="D147" t="inlineStr">
        <x:is>
          <x:t xml:space="preserve">Cencopan-S</x:t>
        </x:is>
      </x:c>
      <x:c r="E147" t="inlineStr">
        <x:is>
          <x:t xml:space="preserve">Hyoscine-N-butylbromide 10 mg.</x:t>
        </x:is>
      </x:c>
      <x:c r="F147" t="inlineStr">
        <x:is>
          <x:t xml:space="preserve">แผง 10 เม็ด</x:t>
        </x:is>
      </x:c>
      <x:c r="G147" t="inlineStr">
        <x:is>
          <x:t xml:space="preserve">รับประทานครั้งละ 1-2 เม็ด วันละ 3 ครั้ง หรือเมื่อมีอาการ</x:t>
        </x:is>
      </x:c>
    </x:row>
    <x:row r="148">
      <x:c r="A148" t="inlineStr">
        <x:is>
          <x:t xml:space="preserve">BDS001484</x:t>
        </x:is>
      </x:c>
      <x:c r="B148" t="n">
        <x:v>1484</x:v>
      </x:c>
      <x:c r="C148" t="inlineStr">
        <x:is>
          <x:t xml:space="preserve">ยาแก้ปวดเกร็งกล้ามเนื้อเรียบ (D)</x:t>
        </x:is>
      </x:c>
      <x:c r="D148" t="inlineStr">
        <x:is>
          <x:t xml:space="preserve">Colofac 135</x:t>
        </x:is>
      </x:c>
      <x:c r="E148" t="inlineStr">
        <x:is>
          <x:t xml:space="preserve">Mebeverine HCl 135 mg.</x:t>
        </x:is>
      </x:c>
      <x:c r="F148" t="inlineStr">
        <x:is>
          <x:t xml:space="preserve">แผง 10 เม็ด</x:t>
        </x:is>
      </x:c>
      <x:c r="G148" t="inlineStr">
        <x:is>
          <x:t xml:space="preserve">รับประทานครั้งละ 1 เม็ด วันละ 3 ครั้ง ก่อนอาหาร</x:t>
        </x:is>
      </x:c>
    </x:row>
    <x:row r="149">
      <x:c r="A149" t="inlineStr">
        <x:is>
          <x:t xml:space="preserve">BDS001707</x:t>
        </x:is>
      </x:c>
      <x:c r="B149" t="n">
        <x:v>1707</x:v>
      </x:c>
      <x:c r="C149" t="inlineStr">
        <x:is>
          <x:t xml:space="preserve">ยาแก้ปวดเกร็งกล้ามเนื้อเรียบ (D)</x:t>
        </x:is>
      </x:c>
      <x:c r="D149" t="inlineStr">
        <x:is>
          <x:t xml:space="preserve">Duspatin 135</x:t>
        </x:is>
      </x:c>
      <x:c r="E149" t="inlineStr">
        <x:is>
          <x:t xml:space="preserve">Mebeverine HCl 135 mg.</x:t>
        </x:is>
      </x:c>
      <x:c r="F149" t="inlineStr">
        <x:is>
          <x:t xml:space="preserve">แผง 10 เม็ด</x:t>
        </x:is>
      </x:c>
      <x:c r="G149" t="inlineStr">
        <x:is>
          <x:t xml:space="preserve">รับประทานครั้งละ 1 เม็ด พร้อมน้ำ วันละ 3 ครั้ง ก่อนอาหาร 20 นาที</x:t>
        </x:is>
      </x:c>
    </x:row>
    <x:row r="150">
      <x:c r="A150" t="inlineStr">
        <x:is>
          <x:t xml:space="preserve">BDS007284</x:t>
        </x:is>
      </x:c>
      <x:c r="B150" t="n">
        <x:v>7284</x:v>
      </x:c>
      <x:c r="C150" t="inlineStr">
        <x:is>
          <x:t xml:space="preserve">ยาแก้ปวดเกร็งกล้ามเนื้อเรียบ (D)</x:t>
        </x:is>
      </x:c>
      <x:c r="D150" t="inlineStr">
        <x:is>
          <x:t xml:space="preserve">Scopas S/C tabslets</x:t>
        </x:is>
      </x:c>
      <x:c r="E150" t="inlineStr">
        <x:is>
          <x:t xml:space="preserve">Hyoscine-N-butylbromide 10 mg.</x:t>
        </x:is>
      </x:c>
      <x:c r="F150" t="inlineStr">
        <x:is>
          <x:t xml:space="preserve">แผง 10 เม็ด</x:t>
        </x:is>
      </x:c>
      <x:c r="G150" t="inlineStr">
        <x:is>
          <x:t xml:space="preserve">รับประทานครั้งละ 1-2 เม็ด วันละ 3 ครั้ง หรือเมื่อมีอาการ</x:t>
        </x:is>
      </x:c>
    </x:row>
    <x:row r="151">
      <x:c r="A151" t="inlineStr">
        <x:is>
          <x:t xml:space="preserve">BDS007303</x:t>
        </x:is>
      </x:c>
      <x:c r="B151" t="n">
        <x:v>7303</x:v>
      </x:c>
      <x:c r="C151" t="inlineStr">
        <x:is>
          <x:t xml:space="preserve">ยาแก้ปวดเกร็งกล้ามเนื้อเรียบ (D)</x:t>
        </x:is>
      </x:c>
      <x:c r="D151" t="inlineStr">
        <x:is>
          <x:t xml:space="preserve">Spacovin 40</x:t>
        </x:is>
      </x:c>
      <x:c r="E151" t="inlineStr">
        <x:is>
          <x:t xml:space="preserve">Drotaverine Hydrochloride 40 mg.</x:t>
        </x:is>
      </x:c>
      <x:c r="F151" t="inlineStr">
        <x:is>
          <x:t xml:space="preserve">แผง 10 เม็ด</x:t>
        </x:is>
      </x:c>
      <x:c r="G151" t="inlineStr">
        <x:is>
          <x:t xml:space="preserve">รับประทานครั้งละ 1-2 เม็ด วันละ 3 ครั้ง หรือเมื่อมีอาการ</x:t>
        </x:is>
      </x:c>
    </x:row>
    <x:row r="152">
      <x:c r="A152" t="inlineStr">
        <x:is>
          <x:t xml:space="preserve">BDS007107</x:t>
        </x:is>
      </x:c>
      <x:c r="B152" t="n">
        <x:v>7107</x:v>
      </x:c>
      <x:c r="C152" t="inlineStr">
        <x:is>
          <x:t xml:space="preserve">ยาแก้ปวดเกร็งกล้ามเนื้อเรียบ (D)</x:t>
        </x:is>
      </x:c>
      <x:c r="D152" t="inlineStr">
        <x:is>
          <x:t xml:space="preserve">Sparta</x:t>
        </x:is>
      </x:c>
      <x:c r="E152" t="inlineStr">
        <x:is>
          <x:t xml:space="preserve">Drotaverine Hydrochloride 40 mg.</x:t>
        </x:is>
      </x:c>
      <x:c r="F152" t="inlineStr">
        <x:is>
          <x:t xml:space="preserve">แผง 10 เม็ด</x:t>
        </x:is>
      </x:c>
      <x:c r="G152" t="inlineStr">
        <x:is>
          <x:t xml:space="preserve">รับประทานครั้งละ 1-2 เม็ด วันละ 3 ครั้ง หรือเมื่อมีอาการ</x:t>
        </x:is>
      </x:c>
    </x:row>
    <x:row r="153">
      <x:c r="A153" t="inlineStr">
        <x:is>
          <x:t xml:space="preserve">BDS007274</x:t>
        </x:is>
      </x:c>
      <x:c r="B153" t="n">
        <x:v>7274</x:v>
      </x:c>
      <x:c r="C153" t="inlineStr">
        <x:is>
          <x:t xml:space="preserve">ยาแก้ปวดเกร็งกล้ามเนื้อเรียบ (D)</x:t>
        </x:is>
      </x:c>
      <x:c r="D153" t="inlineStr">
        <x:is>
          <x:t xml:space="preserve">Spasuri</x:t>
        </x:is>
      </x:c>
      <x:c r="E153" t="inlineStr">
        <x:is>
          <x:t xml:space="preserve">Flavoxate HCl 100 mg.</x:t>
        </x:is>
      </x:c>
      <x:c r="F153" t="inlineStr">
        <x:is>
          <x:t xml:space="preserve">แผง 10 เม็ด</x:t>
        </x:is>
      </x:c>
      <x:c r="G153" t="inlineStr">
        <x:is>
          <x:t xml:space="preserve">รับประทานครั้งละ 1-2 เม็ด วันละ 3 ครั้ง หรือเมื่อมีอาการ</x:t>
        </x:is>
      </x:c>
    </x:row>
    <x:row r="154">
      <x:c r="A154" t="inlineStr">
        <x:is>
          <x:t xml:space="preserve">BDS008325</x:t>
        </x:is>
      </x:c>
      <x:c r="B154" t="n">
        <x:v>8325</x:v>
      </x:c>
      <x:c r="C154" t="inlineStr">
        <x:is>
          <x:t xml:space="preserve">ยาแก้ปวดเกร็งท้อง ชนิดน้ำ (D)</x:t>
        </x:is>
      </x:c>
      <x:c r="D154" t="inlineStr">
        <x:is>
          <x:t xml:space="preserve">Oscin Syrup</x:t>
        </x:is>
      </x:c>
      <x:c r="E154" t="inlineStr">
        <x:is>
          <x:t xml:space="preserve">Hyoscine-N-butylbromide 5 mg./5 ml.</x:t>
        </x:is>
      </x:c>
      <x:c r="F154" t="inlineStr">
        <x:is>
          <x:t xml:space="preserve">ขวด 30 ml.</x:t>
        </x:is>
      </x:c>
      <x:c r="G154" t="inlineStr">
        <x:is>
          <x:t xml:space="preserve">เด็กเล็กรับประทานครั้งละ 1-2 ช้อนชา วันละ 3 ครั้งหรือเมื่อมีอาการ</x:t>
        </x:is>
      </x:c>
    </x:row>
    <x:row r="155">
      <x:c r="A155" t="inlineStr">
        <x:is>
          <x:t xml:space="preserve">BDS001071</x:t>
        </x:is>
      </x:c>
      <x:c r="B155" t="n">
        <x:v>1071</x:v>
      </x:c>
      <x:c r="C155" t="inlineStr">
        <x:is>
          <x:t xml:space="preserve">ยาแก้ปวดไมเกรน (D)</x:t>
        </x:is>
      </x:c>
      <x:c r="D155" t="inlineStr">
        <x:is>
          <x:t xml:space="preserve">Avamigran</x:t>
        </x:is>
      </x:c>
      <x:c r="E155" t="inlineStr">
        <x:is>
          <x:t xml:space="preserve">Ergotamine tartrate 1 mg.+Caffeine 100 mg.</x:t>
        </x:is>
      </x:c>
      <x:c r="F155" t="inlineStr">
        <x:is>
          <x:t xml:space="preserve">กล่อง 1 แผง</x:t>
        </x:is>
      </x:c>
      <x:c r="G155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</x:row>
    <x:row r="156">
      <x:c r="A156" t="inlineStr">
        <x:is>
          <x:t xml:space="preserve">BDS001405</x:t>
        </x:is>
      </x:c>
      <x:c r="B156" t="n">
        <x:v>1405</x:v>
      </x:c>
      <x:c r="C156" t="inlineStr">
        <x:is>
          <x:t xml:space="preserve">ยาแก้ปวดไมเกรน (D)</x:t>
        </x:is>
      </x:c>
      <x:c r="D156" t="inlineStr">
        <x:is>
          <x:t xml:space="preserve">Cafergot</x:t>
        </x:is>
      </x:c>
      <x:c r="E156" t="inlineStr">
        <x:is>
          <x:t xml:space="preserve">Ergotamine tartrate 1 mg.+Caffeine 100 mg.</x:t>
        </x:is>
      </x:c>
      <x:c r="F156" t="inlineStr">
        <x:is>
          <x:t xml:space="preserve">กล่อง 10 เม็ด</x:t>
        </x:is>
      </x:c>
      <x:c r="G156" t="inlineStr">
        <x:is>
          <x:t xml:space="preserve"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</x:row>
    <x:row r="157">
      <x:c r="A157" t="inlineStr">
        <x:is>
          <x:t xml:space="preserve">BDS006840</x:t>
        </x:is>
      </x:c>
      <x:c r="B157" t="n">
        <x:v>6840</x:v>
      </x:c>
      <x:c r="C157" t="inlineStr">
        <x:is>
          <x:t xml:space="preserve">ยาแก้ปวดไมเกรน (D)</x:t>
        </x:is>
      </x:c>
      <x:c r="D157" t="inlineStr">
        <x:is>
          <x:t xml:space="preserve">Relpax 40 mg</x:t>
        </x:is>
      </x:c>
      <x:c r="E157" t="inlineStr">
        <x:is>
          <x:t xml:space="preserve">Eletriptan 40 mg.</x:t>
        </x:is>
      </x:c>
      <x:c r="F157" t="inlineStr">
        <x:is>
          <x:t xml:space="preserve">กล่อง 2 เม็ด</x:t>
        </x:is>
      </x:c>
      <x:c r="G157" t="inlineStr">
        <x:is>
          <x:t xml:space="preserve">รับประทานครั้งละ 1 เม็ด เมื่อเริ่มมีอาการ รับประทานเม็ดที่ 2 ได้ ห่างจากเม็ดแรก 2 ชั่วโมง</x:t>
        </x:is>
      </x:c>
    </x:row>
    <x:row r="158">
      <x:c r="A158" t="inlineStr">
        <x:is>
          <x:t xml:space="preserve">BDS047646</x:t>
        </x:is>
      </x:c>
      <x:c r="B158" t="n">
        <x:v>47646</x:v>
      </x:c>
      <x:c r="C158" t="inlineStr">
        <x:is>
          <x:t xml:space="preserve">ยาแก้ปวดไมเกรน (D)</x:t>
        </x:is>
      </x:c>
      <x:c r="D158" t="inlineStr">
        <x:is>
          <x:t xml:space="preserve">Siagran 50 mg</x:t>
        </x:is>
      </x:c>
      <x:c r="E158" t="inlineStr">
        <x:is>
          <x:t xml:space="preserve">Sumatriptan succinate (eq. to Sumatriptan 50 mg.)</x:t>
        </x:is>
      </x:c>
      <x:c r="F158" t="inlineStr">
        <x:is>
          <x:t xml:space="preserve">กล่อง 4 เม็ด</x:t>
        </x:is>
      </x:c>
      <x:c r="G158" t="inlineStr">
        <x:is>
          <x:t xml:space="preserve">รับประทานครั้งละ 1 เม็ด เมื่อเริ่มมีอาการ รับประทานซ้ำได้ หลังจากรับประทานเม็ดแรกแล้ว 2 ชั่วโมง</x:t>
        </x:is>
      </x:c>
    </x:row>
    <x:row r="159">
      <x:c r="A159" t="inlineStr">
        <x:is>
          <x:t xml:space="preserve">BDS001404</x:t>
        </x:is>
      </x:c>
      <x:c r="B159" t="n">
        <x:v>1404</x:v>
      </x:c>
      <x:c r="C159" t="inlineStr">
        <x:is>
          <x:t xml:space="preserve">ยาแก้ปวดไมเกรน (D)</x:t>
        </x:is>
      </x:c>
      <x:c r="D159" t="inlineStr">
        <x:is>
          <x:t xml:space="preserve">Tofago</x:t>
        </x:is>
      </x:c>
      <x:c r="E159" t="inlineStr">
        <x:is>
          <x:t xml:space="preserve">Ergotamine tartrate 1 mg.+Caffeine 100 mg.</x:t>
        </x:is>
      </x:c>
      <x:c r="F159" t="inlineStr">
        <x:is>
          <x:t xml:space="preserve">กล่อง 10 เม็ด</x:t>
        </x:is>
      </x:c>
      <x:c r="G159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</x:v>
      </x:c>
      <x:c r="B2" t="inlineStr">
        <x:is>
          <x:t xml:space="preserve">ยาฆ่าเชื้อแบคทีเรียทางเดินหายใจ (D)</x:t>
        </x:is>
      </x:c>
      <x:c r="C2" t="n">
        <x:v>40078</x:v>
      </x:c>
      <x:c r="D2" t="inlineStr">
        <x:is>
          <x:t xml:space="preserve">A.M.Mox 500</x:t>
        </x:is>
      </x:c>
      <x:c r="E2" t="inlineStr">
        <x:is>
          <x:t xml:space="preserve">แผง 10 แคปซูล</x:t>
        </x:is>
      </x:c>
      <x:c r="F2" t="inlineStr">
        <x:is>
          <x:t xml:space="preserve">Amoxicillin 500 mg.</x:t>
        </x:is>
      </x:c>
      <x:c r="G2" t="inlineStr">
        <x:is>
          <x:t xml:space="preserve">BDS040078</x:t>
        </x:is>
      </x:c>
      <x:c r="H2" t="inlineStr">
        <x:is>
          <x:t xml:space="preserve">A.M.Mox 500 (10 cap)</x:t>
        </x:is>
      </x:c>
      <x:c r="I2" t="inlineStr">
        <x:is>
          <x:t xml:space="preserve">รับประทานครั้งละ 1 แคปซูล วันละ 4 ครั้ง</x:t>
        </x:is>
      </x:c>
      <x:c r="J2" t="inlineStr">
        <x:is>
          <x:t xml:space="preserve">Take 1 capsule 4 times daily.</x:t>
        </x:is>
      </x:c>
      <x:c r="P2" t="inlineStr">
        <x:is>
          <x:t xml:space="preserve">Respiratory antibiotics</x:t>
        </x:is>
      </x:c>
    </x:row>
    <x:row r="3">
      <x:c r="A3" t="n">
        <x:v>2</x:v>
      </x:c>
      <x:c r="B3" t="inlineStr">
        <x:is>
          <x:t xml:space="preserve">ยาฆ่าเชื้อแบคทีเรียทางเดินหายใจ (D)</x:t>
        </x:is>
      </x:c>
      <x:c r="C3" t="n">
        <x:v>1103</x:v>
      </x:c>
      <x:c r="D3" t="inlineStr">
        <x:is>
          <x:t xml:space="preserve">AMK 1000 mg</x:t>
        </x:is>
      </x:c>
      <x:c r="E3" t="inlineStr">
        <x:is>
          <x:t xml:space="preserve">กล่อง 10 เม็ด</x:t>
        </x:is>
      </x:c>
      <x:c r="F3" t="inlineStr">
        <x:is>
          <x:t xml:space="preserve">Amoxicillin 875 mg.+Clavulanic Acid 125 mg.</x:t>
        </x:is>
      </x:c>
      <x:c r="G3" t="inlineStr">
        <x:is>
          <x:t xml:space="preserve">BDS001103</x:t>
        </x:is>
      </x:c>
      <x:c r="H3" t="inlineStr">
        <x:is>
          <x:t xml:space="preserve">AMK 1000 mg (10 tabs)</x:t>
        </x:is>
      </x:c>
      <x:c r="I3" t="inlineStr">
        <x:is>
          <x:t xml:space="preserve">รับประทานครั้งละ 1 เม็ด วันละ 2 ครั้ง หรือตามแพทย์สั่ง</x:t>
        </x:is>
      </x:c>
      <x:c r="J3" t="inlineStr">
        <x:is>
          <x:t xml:space="preserve">Take 1 tablet 2 times daily or as directed by a doctor.</x:t>
        </x:is>
      </x:c>
      <x:c r="P3" t="inlineStr">
        <x:is>
          <x:t xml:space="preserve">Respiratory antibiotics</x:t>
        </x:is>
      </x:c>
    </x:row>
    <x:row r="4">
      <x:c r="A4" t="n">
        <x:v>3</x:v>
      </x:c>
      <x:c r="B4" t="inlineStr">
        <x:is>
          <x:t xml:space="preserve">ยาฆ่าเชื้อแบคทีเรียทางเดินหายใจ (D)</x:t>
        </x:is>
      </x:c>
      <x:c r="C4" t="n">
        <x:v>1035</x:v>
      </x:c>
      <x:c r="D4" t="inlineStr">
        <x:is>
          <x:t xml:space="preserve">Amoksiklav 1000 mg</x:t>
        </x:is>
      </x:c>
      <x:c r="E4" t="inlineStr">
        <x:is>
          <x:t xml:space="preserve">กล่อง 10 เม็ด</x:t>
        </x:is>
      </x:c>
      <x:c r="F4" t="inlineStr">
        <x:is>
          <x:t xml:space="preserve">Amoxicillin 875 mg.+Clavulanic Acid 125 mg.</x:t>
        </x:is>
      </x:c>
      <x:c r="G4" t="inlineStr">
        <x:is>
          <x:t xml:space="preserve">BDS001035</x:t>
        </x:is>
      </x:c>
      <x:c r="H4" t="inlineStr">
        <x:is>
          <x:t xml:space="preserve">Amoksiklav 1000 mg (10 tabs)</x:t>
        </x:is>
      </x:c>
      <x:c r="I4" t="inlineStr">
        <x:is>
          <x:t xml:space="preserve">รับประทานครั้งละ 1 เม็ด วันละ 2 ครั้ง หรือตามแพทย์สั่ง</x:t>
        </x:is>
      </x:c>
      <x:c r="J4" t="inlineStr">
        <x:is>
          <x:t xml:space="preserve">Take 1 tablet 2 times daily or as directed by a doctor.</x:t>
        </x:is>
      </x:c>
      <x:c r="P4" t="inlineStr">
        <x:is>
          <x:t xml:space="preserve">Respiratory antibiotics</x:t>
        </x:is>
      </x:c>
    </x:row>
    <x:row r="5">
      <x:c r="A5" t="n">
        <x:v>4</x:v>
      </x:c>
      <x:c r="B5" t="inlineStr">
        <x:is>
          <x:t xml:space="preserve">ยาฆ่าเชื้อแบคทีเรียทางเดินหายใจ (D)</x:t>
        </x:is>
      </x:c>
      <x:c r="C5" t="n">
        <x:v>40017</x:v>
      </x:c>
      <x:c r="D5" t="inlineStr">
        <x:is>
          <x:t xml:space="preserve">Augmentin 1 g.</x:t>
        </x:is>
      </x:c>
      <x:c r="E5" t="inlineStr">
        <x:is>
          <x:t xml:space="preserve">กล่อง 10 เม็ด</x:t>
        </x:is>
      </x:c>
      <x:c r="F5" t="inlineStr">
        <x:is>
          <x:t xml:space="preserve">Amoxicillin Trihydrate (eq. to Amoxicillin 875 mg.)+Clavulanic Potassium (eq. to Clavulanic Acid 125 mg.)</x:t>
        </x:is>
      </x:c>
      <x:c r="G5" t="inlineStr">
        <x:is>
          <x:t xml:space="preserve">BDS040017</x:t>
        </x:is>
      </x:c>
      <x:c r="H5" t="inlineStr">
        <x:is>
          <x:t xml:space="preserve">Augmentin 1 g. (10 tabs)</x:t>
        </x:is>
      </x:c>
      <x:c r="I5" t="inlineStr">
        <x:is>
          <x:t xml:space="preserve">รับประทานครั้งละ 1 เม็ด  วันละ 2 ครั้ง </x:t>
        </x:is>
      </x:c>
      <x:c r="J5" t="inlineStr">
        <x:is>
          <x:t xml:space="preserve">Take 1 tablet 2 times daily. </x:t>
        </x:is>
      </x:c>
      <x:c r="P5" t="inlineStr">
        <x:is>
          <x:t xml:space="preserve">Respiratory antibiotics</x:t>
        </x:is>
      </x:c>
    </x:row>
    <x:row r="6">
      <x:c r="A6" t="n">
        <x:v>5</x:v>
      </x:c>
      <x:c r="B6" t="inlineStr">
        <x:is>
          <x:t xml:space="preserve">ยาฆ่าเชื้อแบคทีเรียทางเดินหายใจ (D)</x:t>
        </x:is>
      </x:c>
      <x:c r="C6" t="n">
        <x:v>1494</x:v>
      </x:c>
      <x:c r="D6" t="inlineStr">
        <x:is>
          <x:t xml:space="preserve">Azithro 250 mg</x:t>
        </x:is>
      </x:c>
      <x:c r="E6" t="inlineStr">
        <x:is>
          <x:t xml:space="preserve">กล่อง 6 แคปซูล</x:t>
        </x:is>
      </x:c>
      <x:c r="F6" t="inlineStr">
        <x:is>
          <x:t xml:space="preserve">Azithromycin 250 mg.</x:t>
        </x:is>
      </x:c>
      <x:c r="G6" t="inlineStr">
        <x:is>
          <x:t xml:space="preserve">BDS001494</x:t>
        </x:is>
      </x:c>
      <x:c r="H6" t="inlineStr">
        <x:is>
          <x:t xml:space="preserve">Azithro 250 mg (6 cap)</x:t>
        </x:is>
      </x:c>
      <x:c r="I6" t="inlineStr">
        <x:is>
          <x:t xml:space="preserve">รับประทานครั้งละ 2 แคปซูล วันละ 1 ครั้ง ก่อนอาหาร</x:t>
        </x:is>
      </x:c>
      <x:c r="J6" t="inlineStr">
        <x:is>
          <x:t xml:space="preserve">Take 2 capsules 1 time daily before meals.</x:t>
        </x:is>
      </x:c>
      <x:c r="P6" t="inlineStr">
        <x:is>
          <x:t xml:space="preserve">Respiratory antibiotics</x:t>
        </x:is>
      </x:c>
    </x:row>
    <x:row r="7">
      <x:c r="A7" t="n">
        <x:v>6</x:v>
      </x:c>
      <x:c r="B7" t="inlineStr">
        <x:is>
          <x:t xml:space="preserve">ยาฆ่าเชื้อแบคทีเรียทางเดินหายใจ (D)</x:t>
        </x:is>
      </x:c>
      <x:c r="C7" t="n">
        <x:v>6115</x:v>
      </x:c>
      <x:c r="D7" t="inlineStr">
        <x:is>
          <x:t xml:space="preserve">Azycin 250 mg (GPO)</x:t>
        </x:is>
      </x:c>
      <x:c r="E7" t="inlineStr">
        <x:is>
          <x:t xml:space="preserve">กล่อง 6 แคปซูล</x:t>
        </x:is>
      </x:c>
      <x:c r="F7" t="inlineStr">
        <x:is>
          <x:t xml:space="preserve">Azithromycin 250 mg.</x:t>
        </x:is>
      </x:c>
      <x:c r="G7" t="inlineStr">
        <x:is>
          <x:t xml:space="preserve">BDS006115</x:t>
        </x:is>
      </x:c>
      <x:c r="H7" t="inlineStr">
        <x:is>
          <x:t xml:space="preserve">Azycin 250 mg (GPO) (6 cap)</x:t>
        </x:is>
      </x:c>
      <x:c r="I7" t="inlineStr">
        <x:is>
          <x:t xml:space="preserve">รับประทานครั้งละ 2 แคปซูล วันละ 1 ครั้ง ก่อนอาหาร</x:t>
        </x:is>
      </x:c>
      <x:c r="J7" t="inlineStr">
        <x:is>
          <x:t xml:space="preserve">Take 2 capsules 1 time daily before meals.</x:t>
        </x:is>
      </x:c>
      <x:c r="P7" t="inlineStr">
        <x:is>
          <x:t xml:space="preserve">Respiratory antibiotics</x:t>
        </x:is>
      </x:c>
    </x:row>
    <x:row r="8">
      <x:c r="A8" t="n">
        <x:v>7</x:v>
      </x:c>
      <x:c r="B8" t="inlineStr">
        <x:is>
          <x:t xml:space="preserve">ยาฆ่าเชื้อแบคทีเรียทางเดินหายใจ (D)</x:t>
        </x:is>
      </x:c>
      <x:c r="C8" t="n">
        <x:v>7066</x:v>
      </x:c>
      <x:c r="D8" t="inlineStr">
        <x:is>
          <x:t xml:space="preserve">B.Roxi</x:t>
        </x:is>
      </x:c>
      <x:c r="E8" t="inlineStr">
        <x:is>
          <x:t xml:space="preserve">แผง 10 เม็ด</x:t>
        </x:is>
      </x:c>
      <x:c r="F8" t="inlineStr">
        <x:is>
          <x:t xml:space="preserve">Roxithromycin 150 mg.</x:t>
        </x:is>
      </x:c>
      <x:c r="G8" t="inlineStr">
        <x:is>
          <x:t xml:space="preserve">BDS007066</x:t>
        </x:is>
      </x:c>
      <x:c r="H8" t="inlineStr">
        <x:is>
          <x:t xml:space="preserve">B.Roxi (10 tabs)</x:t>
        </x:is>
      </x:c>
      <x:c r="I8" t="inlineStr">
        <x:is>
          <x:t xml:space="preserve">รับประทานครั้งละ 1 เม็ด วันละ 2 ครั้ง ก่อนอาหาร เช้า-เย็น</x:t>
        </x:is>
      </x:c>
      <x:c r="J8" t="inlineStr">
        <x:is>
          <x:t xml:space="preserve">Take 1 tablet 2 times a day before meals, morning and evening.</x:t>
        </x:is>
      </x:c>
      <x:c r="P8" t="inlineStr">
        <x:is>
          <x:t xml:space="preserve">Respiratory antibiotics</x:t>
        </x:is>
      </x:c>
    </x:row>
    <x:row r="9">
      <x:c r="A9" t="n">
        <x:v>8</x:v>
      </x:c>
      <x:c r="B9" t="inlineStr">
        <x:is>
          <x:t xml:space="preserve">ยาฆ่าเชื้อแบคทีเรียทางเดินหายใจ (D)</x:t>
        </x:is>
      </x:c>
      <x:c r="C9" t="n">
        <x:v>1545</x:v>
      </x:c>
      <x:c r="D9" t="inlineStr">
        <x:is>
          <x:t xml:space="preserve">Cavumox 1 g</x:t>
        </x:is>
      </x:c>
      <x:c r="E9" t="inlineStr">
        <x:is>
          <x:t xml:space="preserve">แผง 3 เม็ด</x:t>
        </x:is>
      </x:c>
      <x:c r="F9" t="inlineStr">
        <x:is>
          <x:t xml:space="preserve">Amoxicillin 875 mg.+Clavulanic Acid 125 mg.</x:t>
        </x:is>
      </x:c>
      <x:c r="G9" t="inlineStr">
        <x:is>
          <x:t xml:space="preserve">BDS001545</x:t>
        </x:is>
      </x:c>
      <x:c r="H9" t="inlineStr">
        <x:is>
          <x:t xml:space="preserve">Cavumox 1 g (3 tabs)</x:t>
        </x:is>
      </x:c>
      <x:c r="I9" t="inlineStr">
        <x:is>
          <x:t xml:space="preserve">รับประทานครั้งละ 1 เม็ด  วันละ 2 ครั้ง </x:t>
        </x:is>
      </x:c>
      <x:c r="J9" t="inlineStr">
        <x:is>
          <x:t xml:space="preserve">Take 1 tablet 2 times daily. </x:t>
        </x:is>
      </x:c>
      <x:c r="P9" t="inlineStr">
        <x:is>
          <x:t xml:space="preserve">Respiratory antibiotics</x:t>
        </x:is>
      </x:c>
    </x:row>
    <x:row r="10">
      <x:c r="A10" t="n">
        <x:v>9</x:v>
      </x:c>
      <x:c r="B10" t="inlineStr">
        <x:is>
          <x:t xml:space="preserve">ยาฆ่าเชื้อแบคทีเรียทางเดินหายใจ (D)</x:t>
        </x:is>
      </x:c>
      <x:c r="C10" t="n">
        <x:v>7784</x:v>
      </x:c>
      <x:c r="D10" t="inlineStr">
        <x:is>
          <x:t xml:space="preserve">Cephalex-500</x:t>
        </x:is>
      </x:c>
      <x:c r="E10" t="inlineStr">
        <x:is>
          <x:t xml:space="preserve">แผง 10 แคปซูล</x:t>
        </x:is>
      </x:c>
      <x:c r="F10" t="inlineStr">
        <x:is>
          <x:t xml:space="preserve">Cephalexin 500 mg.</x:t>
        </x:is>
      </x:c>
      <x:c r="G10" t="inlineStr">
        <x:is>
          <x:t xml:space="preserve">BDS007784</x:t>
        </x:is>
      </x:c>
      <x:c r="H10" t="inlineStr">
        <x:is>
          <x:t xml:space="preserve">Cephalex-500 (10 cap)</x:t>
        </x:is>
      </x:c>
      <x:c r="I10" t="inlineStr">
        <x:is>
          <x:t xml:space="preserve">รับประทานครั้งละ 1 แคปซูล วันละ 4 ครั้ง</x:t>
        </x:is>
      </x:c>
      <x:c r="J10" t="inlineStr">
        <x:is>
          <x:t xml:space="preserve">Take 1 capsule 4 times daily.</x:t>
        </x:is>
      </x:c>
      <x:c r="P10" t="inlineStr">
        <x:is>
          <x:t xml:space="preserve">Respiratory antibiotics</x:t>
        </x:is>
      </x:c>
    </x:row>
    <x:row r="11">
      <x:c r="A11" t="n">
        <x:v>10</x:v>
      </x:c>
      <x:c r="B11" t="inlineStr">
        <x:is>
          <x:t xml:space="preserve">ยาฆ่าเชื้อแบคทีเรียทางเดินหายใจ (D)</x:t>
        </x:is>
      </x:c>
      <x:c r="C11" t="n">
        <x:v>1452</x:v>
      </x:c>
      <x:c r="D11" t="inlineStr">
        <x:is>
          <x:t xml:space="preserve">Clarith 500</x:t>
        </x:is>
      </x:c>
      <x:c r="E11" t="inlineStr">
        <x:is>
          <x:t xml:space="preserve">แผง 7 เม็ด</x:t>
        </x:is>
      </x:c>
      <x:c r="F11" t="inlineStr">
        <x:is>
          <x:t xml:space="preserve">Clarithromycin 500 mg.</x:t>
        </x:is>
      </x:c>
      <x:c r="G11" t="inlineStr">
        <x:is>
          <x:t xml:space="preserve">BDS001452</x:t>
        </x:is>
      </x:c>
      <x:c r="H11" t="inlineStr">
        <x:is>
          <x:t xml:space="preserve">Clarith 500 (7 tabs)</x:t>
        </x:is>
      </x:c>
      <x:c r="I11" t="inlineStr">
        <x:is>
          <x:t xml:space="preserve">รับประทานตามแพทย์สั่ง </x:t>
        </x:is>
      </x:c>
      <x:c r="J11" t="inlineStr">
        <x:is>
          <x:t xml:space="preserve">Take as directed by your doctor. </x:t>
        </x:is>
      </x:c>
      <x:c r="P11" t="inlineStr">
        <x:is>
          <x:t xml:space="preserve">Respiratory antibiotics</x:t>
        </x:is>
      </x:c>
    </x:row>
    <x:row r="12">
      <x:c r="A12" t="n">
        <x:v>11</x:v>
      </x:c>
      <x:c r="B12" t="inlineStr">
        <x:is>
          <x:t xml:space="preserve">ยาฆ่าเชื้อแบคทีเรียทางเดินหายใจ (D)</x:t>
        </x:is>
      </x:c>
      <x:c r="C12" t="n">
        <x:v>8652</x:v>
      </x:c>
      <x:c r="D12" t="inlineStr">
        <x:is>
          <x:t xml:space="preserve">Dicloxilin-500</x:t>
        </x:is>
      </x:c>
      <x:c r="E12" t="inlineStr">
        <x:is>
          <x:t xml:space="preserve">แผง 10 แคปซูล</x:t>
        </x:is>
      </x:c>
      <x:c r="F12" t="inlineStr">
        <x:is>
          <x:t xml:space="preserve">Dicloxacillin 500 mg.</x:t>
        </x:is>
      </x:c>
      <x:c r="G12" t="inlineStr">
        <x:is>
          <x:t xml:space="preserve">BDS008652</x:t>
        </x:is>
      </x:c>
      <x:c r="H12" t="inlineStr">
        <x:is>
          <x:t xml:space="preserve">Dicloxilin-500 (10 cap)</x:t>
        </x:is>
      </x:c>
      <x:c r="I12" t="inlineStr">
        <x:is>
          <x:t xml:space="preserve">รับประทานครั้งละ 1 แคปซูลวันละ 4 ครั้ง ก่อนอาหาร</x:t>
        </x:is>
      </x:c>
      <x:c r="J12" t="inlineStr">
        <x:is>
          <x:t xml:space="preserve">Take 1 capsule 4 times daily before meals</x:t>
        </x:is>
      </x:c>
      <x:c r="P12" t="inlineStr">
        <x:is>
          <x:t xml:space="preserve">Respiratory antibiotics</x:t>
        </x:is>
      </x:c>
    </x:row>
    <x:row r="13">
      <x:c r="A13" t="n">
        <x:v>12</x:v>
      </x:c>
      <x:c r="B13" t="inlineStr">
        <x:is>
          <x:t xml:space="preserve">ยาฆ่าเชื้อแบคทีเรียทางเดินหายใจ (D)</x:t>
        </x:is>
      </x:c>
      <x:c r="C13" t="n">
        <x:v>8702</x:v>
      </x:c>
      <x:c r="D13" t="inlineStr">
        <x:is>
          <x:t xml:space="preserve">Dicloxman-500</x:t>
        </x:is>
      </x:c>
      <x:c r="E13" t="inlineStr">
        <x:is>
          <x:t xml:space="preserve">แผง 10 แคปซูล</x:t>
        </x:is>
      </x:c>
      <x:c r="F13" t="inlineStr">
        <x:is>
          <x:t xml:space="preserve">Dicloxacillin 500 mg.</x:t>
        </x:is>
      </x:c>
      <x:c r="G13" t="inlineStr">
        <x:is>
          <x:t xml:space="preserve">BDS008702</x:t>
        </x:is>
      </x:c>
      <x:c r="H13" t="inlineStr">
        <x:is>
          <x:t xml:space="preserve">Dicloxman-500 (10 cap)</x:t>
        </x:is>
      </x:c>
      <x:c r="I13" t="inlineStr">
        <x:is>
          <x:t xml:space="preserve">รับประทานครั้งละ 1 แคปซูล วันละ 4 ครั้ง ก่อนอาหาร</x:t>
        </x:is>
      </x:c>
      <x:c r="J13" t="inlineStr">
        <x:is>
          <x:t xml:space="preserve">Take 1 capsule 4 times daily before meals</x:t>
        </x:is>
      </x:c>
      <x:c r="P13" t="inlineStr">
        <x:is>
          <x:t xml:space="preserve">Respiratory antibiotics</x:t>
        </x:is>
      </x:c>
    </x:row>
    <x:row r="14">
      <x:c r="A14" t="n">
        <x:v>13</x:v>
      </x:c>
      <x:c r="B14" t="inlineStr">
        <x:is>
          <x:t xml:space="preserve">ยาฆ่าเชื้อแบคทีเรียทางเดินหายใจ (D)</x:t>
        </x:is>
      </x:c>
      <x:c r="C14" t="n">
        <x:v>1943</x:v>
      </x:c>
      <x:c r="D14" t="inlineStr">
        <x:is>
          <x:t xml:space="preserve">Floctil 250</x:t>
        </x:is>
      </x:c>
      <x:c r="E14" t="inlineStr">
        <x:is>
          <x:t xml:space="preserve">กล่อง 6 แคปซูล</x:t>
        </x:is>
      </x:c>
      <x:c r="F14" t="inlineStr">
        <x:is>
          <x:t xml:space="preserve">Azithromycin 250 mg.</x:t>
        </x:is>
      </x:c>
      <x:c r="G14" t="inlineStr">
        <x:is>
          <x:t xml:space="preserve">BDS001943</x:t>
        </x:is>
      </x:c>
      <x:c r="H14" t="inlineStr">
        <x:is>
          <x:t xml:space="preserve">Floctil 250 (6 cap)</x:t>
        </x:is>
      </x:c>
      <x:c r="I14" t="inlineStr">
        <x:is>
          <x:t xml:space="preserve">รับประทานครั้งละ 2 แคปซูล วันละ 1 ครั้ง ก่อนอาหาร</x:t>
        </x:is>
      </x:c>
      <x:c r="J14" t="inlineStr">
        <x:is>
          <x:t xml:space="preserve">Take 2 capsules 1 time daily before meals</x:t>
        </x:is>
      </x:c>
      <x:c r="P14" t="inlineStr">
        <x:is>
          <x:t xml:space="preserve">Respiratory antibiotics</x:t>
        </x:is>
      </x:c>
    </x:row>
    <x:row r="15">
      <x:c r="A15" t="n">
        <x:v>14</x:v>
      </x:c>
      <x:c r="B15" t="inlineStr">
        <x:is>
          <x:t xml:space="preserve">ยาฆ่าเชื้อแบคทีเรียทางเดินหายใจ (D)</x:t>
        </x:is>
      </x:c>
      <x:c r="C15" t="n">
        <x:v>2201</x:v>
      </x:c>
      <x:c r="D15" t="inlineStr">
        <x:is>
          <x:t xml:space="preserve">Ibiamox 500 mg</x:t>
        </x:is>
      </x:c>
      <x:c r="E15" t="inlineStr">
        <x:is>
          <x:t xml:space="preserve">แผง 10 แคปซูล</x:t>
        </x:is>
      </x:c>
      <x:c r="F15" t="inlineStr">
        <x:is>
          <x:t xml:space="preserve">Amoxicillin 500 mg.</x:t>
        </x:is>
      </x:c>
      <x:c r="G15" t="inlineStr">
        <x:is>
          <x:t xml:space="preserve">BDS002201</x:t>
        </x:is>
      </x:c>
      <x:c r="H15" t="inlineStr">
        <x:is>
          <x:t xml:space="preserve">Ibiamox 500 mg (10 cap)</x:t>
        </x:is>
      </x:c>
      <x:c r="I15" t="inlineStr">
        <x:is>
          <x:t xml:space="preserve">รับประทานครั้งละ 1 แคปซูล วันละ 3 ครั้ง หรือตามแพทย์สั่ง</x:t>
        </x:is>
      </x:c>
      <x:c r="J15" t="inlineStr">
        <x:is>
          <x:t xml:space="preserve">Take 1 capsule 3 times daily or as directed by a doctor</x:t>
        </x:is>
      </x:c>
      <x:c r="P15" t="inlineStr">
        <x:is>
          <x:t xml:space="preserve">Respiratory antibiotics</x:t>
        </x:is>
      </x:c>
    </x:row>
    <x:row r="16">
      <x:c r="A16" t="n">
        <x:v>15</x:v>
      </x:c>
      <x:c r="B16" t="inlineStr">
        <x:is>
          <x:t xml:space="preserve">ยาฆ่าเชื้อแบคทีเรียทางเดินหายใจ (D)</x:t>
        </x:is>
      </x:c>
      <x:c r="C16" t="n">
        <x:v>2447</x:v>
      </x:c>
      <x:c r="D16" t="inlineStr">
        <x:is>
          <x:t xml:space="preserve">Klacid MR 500 mg</x:t>
        </x:is>
      </x:c>
      <x:c r="E16" t="inlineStr">
        <x:is>
          <x:t xml:space="preserve">กล่อง 7 เม็ด</x:t>
        </x:is>
      </x:c>
      <x:c r="F16" t="inlineStr">
        <x:is>
          <x:t xml:space="preserve">Clarithromycin 500 mg.</x:t>
        </x:is>
      </x:c>
      <x:c r="G16" t="inlineStr">
        <x:is>
          <x:t xml:space="preserve">BDS002447</x:t>
        </x:is>
      </x:c>
      <x:c r="H16" t="inlineStr">
        <x:is>
          <x:t xml:space="preserve">Klacid MR 500 mg (7 tabs)</x:t>
        </x:is>
      </x:c>
      <x:c r="I16" t="inlineStr">
        <x:is>
          <x:t xml:space="preserve">ผู้ใหญ่รับประทานครั้งละ 1 เม็ด วันละ 1 ครั้ง หลังอาหาร</x:t>
        </x:is>
      </x:c>
      <x:c r="J16" t="inlineStr">
        <x:is>
          <x:t xml:space="preserve">Adults take 1 tablet 1 time daily after meals</x:t>
        </x:is>
      </x:c>
      <x:c r="P16" t="inlineStr">
        <x:is>
          <x:t xml:space="preserve">Respiratory antibiotics</x:t>
        </x:is>
      </x:c>
    </x:row>
    <x:row r="17">
      <x:c r="A17" t="n">
        <x:v>16</x:v>
      </x:c>
      <x:c r="B17" t="inlineStr">
        <x:is>
          <x:t xml:space="preserve">ยาฆ่าเชื้อแบคทีเรียทางเดินหายใจ (D)</x:t>
        </x:is>
      </x:c>
      <x:c r="C17" t="n">
        <x:v>2692</x:v>
      </x:c>
      <x:c r="D17" t="inlineStr">
        <x:is>
          <x:t xml:space="preserve">Meiact tabslet</x:t>
        </x:is>
      </x:c>
      <x:c r="E17" t="inlineStr">
        <x:is>
          <x:t xml:space="preserve">แผง 10 เม็ด</x:t>
        </x:is>
      </x:c>
      <x:c r="F17" t="inlineStr">
        <x:is>
          <x:t xml:space="preserve">Cefditoren 100 mg.</x:t>
        </x:is>
      </x:c>
      <x:c r="G17" t="inlineStr">
        <x:is>
          <x:t xml:space="preserve">BDS002692</x:t>
        </x:is>
      </x:c>
      <x:c r="H17" t="inlineStr">
        <x:is>
          <x:t xml:space="preserve">Meiact tabslet (10 tabs)</x:t>
        </x:is>
      </x:c>
      <x:c r="I17" t="inlineStr">
        <x:is>
          <x:t xml:space="preserve">รับประทานตามแพทย์สั่ง </x:t>
        </x:is>
      </x:c>
      <x:c r="J17" t="inlineStr">
        <x:is>
          <x:t xml:space="preserve">Take as directed by your doctor. </x:t>
        </x:is>
      </x:c>
      <x:c r="P17" t="inlineStr">
        <x:is>
          <x:t xml:space="preserve">Respiratory antibiotics</x:t>
        </x:is>
      </x:c>
    </x:row>
    <x:row r="18">
      <x:c r="A18" t="n">
        <x:v>17</x:v>
      </x:c>
      <x:c r="B18" t="inlineStr">
        <x:is>
          <x:t xml:space="preserve">ยาฆ่าเชื้อแบคทีเรียทางเดินหายใจ (D)</x:t>
        </x:is>
      </x:c>
      <x:c r="C18" t="n">
        <x:v>3078</x:v>
      </x:c>
      <x:c r="D18" t="inlineStr">
        <x:is>
          <x:t xml:space="preserve">Omnicef 100 mg</x:t>
        </x:is>
      </x:c>
      <x:c r="E18" t="inlineStr">
        <x:is>
          <x:t xml:space="preserve">แผง 10 แคปซูล</x:t>
        </x:is>
      </x:c>
      <x:c r="F18" t="inlineStr">
        <x:is>
          <x:t xml:space="preserve">Cefdinir 100 mg.</x:t>
        </x:is>
      </x:c>
      <x:c r="G18" t="inlineStr">
        <x:is>
          <x:t xml:space="preserve">BDS003078</x:t>
        </x:is>
      </x:c>
      <x:c r="H18" t="inlineStr">
        <x:is>
          <x:t xml:space="preserve">Omnicef 100 mg (10 cap)</x:t>
        </x:is>
      </x:c>
      <x:c r="I18" t="inlineStr">
        <x:is>
          <x:t xml:space="preserve">รับประทานตามแพทย์สั่ง </x:t>
        </x:is>
      </x:c>
      <x:c r="J18" t="inlineStr">
        <x:is>
          <x:t xml:space="preserve">Take as directed by your doctor. </x:t>
        </x:is>
      </x:c>
      <x:c r="P18" t="inlineStr">
        <x:is>
          <x:t xml:space="preserve">Respiratory antibiotics</x:t>
        </x:is>
      </x:c>
    </x:row>
    <x:row r="19">
      <x:c r="A19" t="n">
        <x:v>18</x:v>
      </x:c>
      <x:c r="B19" t="inlineStr">
        <x:is>
          <x:t xml:space="preserve">ยาฆ่าเชื้อแบคทีเรียทางเดินหายใจ (D)</x:t>
        </x:is>
      </x:c>
      <x:c r="C19" t="n">
        <x:v>8121</x:v>
      </x:c>
      <x:c r="D19" t="inlineStr">
        <x:is>
          <x:t xml:space="preserve">Rintacin</x:t>
        </x:is>
      </x:c>
      <x:c r="E19" t="inlineStr">
        <x:is>
          <x:t xml:space="preserve">แผง 10 เม็ด</x:t>
        </x:is>
      </x:c>
      <x:c r="F19" t="inlineStr">
        <x:is>
          <x:t xml:space="preserve">Erythromycin stearate 250 mg.</x:t>
        </x:is>
      </x:c>
      <x:c r="G19" t="inlineStr">
        <x:is>
          <x:t xml:space="preserve">BDS008121</x:t>
        </x:is>
      </x:c>
      <x:c r="H19" t="inlineStr">
        <x:is>
          <x:t xml:space="preserve">Rintacin (10 tabs)</x:t>
        </x:is>
      </x:c>
      <x:c r="I19" t="inlineStr">
        <x:is>
          <x:t xml:space="preserve">รับประทานครั้งละ 1 เม็ด วันละ 4 ครั้ง ก่อนอาหาร</x:t>
        </x:is>
      </x:c>
      <x:c r="J19" t="inlineStr">
        <x:is>
          <x:t xml:space="preserve">Take 1 tablet 4 times daily before meals</x:t>
        </x:is>
      </x:c>
      <x:c r="P19" t="inlineStr">
        <x:is>
          <x:t xml:space="preserve">Respiratory antibiotics</x:t>
        </x:is>
      </x:c>
    </x:row>
    <x:row r="20">
      <x:c r="A20" t="n">
        <x:v>19</x:v>
      </x:c>
      <x:c r="B20" t="inlineStr">
        <x:is>
          <x:t xml:space="preserve">ยาฆ่าเชื้อแบคทีเรียทางเดินหายใจ (D)</x:t>
        </x:is>
      </x:c>
      <x:c r="C20" t="n">
        <x:v>3423</x:v>
      </x:c>
      <x:c r="D20" t="inlineStr">
        <x:is>
          <x:t xml:space="preserve">Rothricin 150 mg</x:t>
        </x:is>
      </x:c>
      <x:c r="E20" t="inlineStr">
        <x:is>
          <x:t xml:space="preserve">แผง 10 เม็ด</x:t>
        </x:is>
      </x:c>
      <x:c r="F20" t="inlineStr">
        <x:is>
          <x:t xml:space="preserve">Roxithromycin 150 mg.</x:t>
        </x:is>
      </x:c>
      <x:c r="G20" t="inlineStr">
        <x:is>
          <x:t xml:space="preserve">BDS003423</x:t>
        </x:is>
      </x:c>
      <x:c r="H20" t="inlineStr">
        <x:is>
          <x:t xml:space="preserve">Rothricin 150 mg (10 tabs)</x:t>
        </x:is>
      </x:c>
      <x:c r="I20" t="inlineStr">
        <x:is>
          <x:t xml:space="preserve">รับประทานครั้งละ 1 เม็ด วันละ 2 ครั้ง ก่อนอาหาร เช้า-เย็น</x:t>
        </x:is>
      </x:c>
      <x:c r="J20" t="inlineStr">
        <x:is>
          <x:t xml:space="preserve">Take 1 tablet 2 times a day before meals, morning and evening</x:t>
        </x:is>
      </x:c>
      <x:c r="P20" t="inlineStr">
        <x:is>
          <x:t xml:space="preserve">Respiratory antibiotics</x:t>
        </x:is>
      </x:c>
    </x:row>
    <x:row r="21">
      <x:c r="A21" t="n">
        <x:v>20</x:v>
      </x:c>
      <x:c r="B21" t="inlineStr">
        <x:is>
          <x:t xml:space="preserve">ยาฆ่าเชื้อแบคทีเรียทางเดินหายใจ (D)</x:t>
        </x:is>
      </x:c>
      <x:c r="C21" t="n">
        <x:v>7976</x:v>
      </x:c>
      <x:c r="D21" t="inlineStr">
        <x:is>
          <x:t xml:space="preserve">Roxitop 300</x:t>
        </x:is>
      </x:c>
      <x:c r="E21" t="inlineStr">
        <x:is>
          <x:t xml:space="preserve">แผง 10 เม็ด</x:t>
        </x:is>
      </x:c>
      <x:c r="F21" t="inlineStr">
        <x:is>
          <x:t xml:space="preserve">Roxithromycin 300 mg.</x:t>
        </x:is>
      </x:c>
      <x:c r="G21" t="inlineStr">
        <x:is>
          <x:t xml:space="preserve">BDS007976</x:t>
        </x:is>
      </x:c>
      <x:c r="H21" t="inlineStr">
        <x:is>
          <x:t xml:space="preserve">Roxitop 300 (10 tabs)</x:t>
        </x:is>
      </x:c>
      <x:c r="I21" t="inlineStr">
        <x:is>
          <x:t xml:space="preserve">รับประทานครั้งละ 1 เม็ด วันละ 1 ครั้ง ก่อนอาหาร</x:t>
        </x:is>
      </x:c>
      <x:c r="J21" t="inlineStr">
        <x:is>
          <x:t xml:space="preserve">Take 1 tablet 1 time daily before meals</x:t>
        </x:is>
      </x:c>
      <x:c r="P21" t="inlineStr">
        <x:is>
          <x:t xml:space="preserve">Respiratory antibiotics</x:t>
        </x:is>
      </x:c>
    </x:row>
    <x:row r="22">
      <x:c r="A22" t="n">
        <x:v>21</x:v>
      </x:c>
      <x:c r="B22" t="inlineStr">
        <x:is>
          <x:t xml:space="preserve">ยาฆ่าเชื้อแบคทีเรียทางเดินหายใจ (D)</x:t>
        </x:is>
      </x:c>
      <x:c r="C22" t="n">
        <x:v>3428</x:v>
      </x:c>
      <x:c r="D22" t="inlineStr">
        <x:is>
          <x:t xml:space="preserve">Rulid 150 mg</x:t>
        </x:is>
      </x:c>
      <x:c r="E22" t="inlineStr">
        <x:is>
          <x:t xml:space="preserve">กล่อง 10 เม็ด</x:t>
        </x:is>
      </x:c>
      <x:c r="F22" t="inlineStr">
        <x:is>
          <x:t xml:space="preserve">Roxithromycin 150 mg.</x:t>
        </x:is>
      </x:c>
      <x:c r="G22" t="inlineStr">
        <x:is>
          <x:t xml:space="preserve">BDS003428</x:t>
        </x:is>
      </x:c>
      <x:c r="H22" t="inlineStr">
        <x:is>
          <x:t xml:space="preserve">Rulid 150 mg (10 tabs)</x:t>
        </x:is>
      </x:c>
      <x:c r="I22" t="inlineStr">
        <x:is>
          <x:t xml:space="preserve">รับประทานครั้งละ 1 เม็ด วันละ 2 ครั้ง ก่อนอาหาร เช้า-เย็น</x:t>
        </x:is>
      </x:c>
      <x:c r="J22" t="inlineStr">
        <x:is>
          <x:t xml:space="preserve">Take 1 tablet 2 times a day before meals, morning and evening</x:t>
        </x:is>
      </x:c>
      <x:c r="P22" t="inlineStr">
        <x:is>
          <x:t xml:space="preserve">Respiratory antibiotics</x:t>
        </x:is>
      </x:c>
    </x:row>
    <x:row r="23">
      <x:c r="A23" t="n">
        <x:v>22</x:v>
      </x:c>
      <x:c r="B23" t="inlineStr">
        <x:is>
          <x:t xml:space="preserve">ยาฆ่าเชื้อแบคทีเรียทางเดินหายใจ (D)</x:t>
        </x:is>
      </x:c>
      <x:c r="C23" t="n">
        <x:v>7007</x:v>
      </x:c>
      <x:c r="D23" t="inlineStr">
        <x:is>
          <x:t xml:space="preserve">Uramox 500</x:t>
        </x:is>
      </x:c>
      <x:c r="E23" t="inlineStr">
        <x:is>
          <x:t xml:space="preserve">แผง 10 แคปซูล</x:t>
        </x:is>
      </x:c>
      <x:c r="F23" t="inlineStr">
        <x:is>
          <x:t xml:space="preserve">Amoxicillin 500 mg.</x:t>
        </x:is>
      </x:c>
      <x:c r="G23" t="inlineStr">
        <x:is>
          <x:t xml:space="preserve">BDS007007</x:t>
        </x:is>
      </x:c>
      <x:c r="H23" t="inlineStr">
        <x:is>
          <x:t xml:space="preserve">Uramox 500 (10 cap)</x:t>
        </x:is>
      </x:c>
      <x:c r="I23" t="inlineStr">
        <x:is>
          <x:t xml:space="preserve">รับประทานครั้งละ 1 แคปซูล วันละ 4 ครั้ง</x:t>
        </x:is>
      </x:c>
      <x:c r="P23" t="inlineStr">
        <x:is>
          <x:t xml:space="preserve">Respiratory antibiotics</x:t>
        </x:is>
      </x:c>
    </x:row>
    <x:row r="24">
      <x:c r="A24" t="n">
        <x:v>23</x:v>
      </x:c>
      <x:c r="B24" t="inlineStr">
        <x:is>
          <x:t xml:space="preserve">ยาฆ่าเชื้อแบคทีเรียทางเดินหายใจ (D)</x:t>
        </x:is>
      </x:c>
      <x:c r="C24" t="n">
        <x:v>49776</x:v>
      </x:c>
      <x:c r="D24" t="inlineStr">
        <x:is>
          <x:t xml:space="preserve">Zithromax tabslet 250 mg</x:t>
        </x:is>
      </x:c>
      <x:c r="E24" t="inlineStr">
        <x:is>
          <x:t xml:space="preserve">กล่อง 6 เม็ด</x:t>
        </x:is>
      </x:c>
      <x:c r="F24" t="inlineStr">
        <x:is>
          <x:t xml:space="preserve">Azithromycin 250 mg.</x:t>
        </x:is>
      </x:c>
      <x:c r="G24" t="inlineStr">
        <x:is>
          <x:t xml:space="preserve">BDS049776</x:t>
        </x:is>
      </x:c>
      <x:c r="H24" t="inlineStr">
        <x:is>
          <x:t xml:space="preserve">Zithromax tabslet 250 mg (6 tabs)</x:t>
        </x:is>
      </x:c>
      <x:c r="I24" t="inlineStr">
        <x:is>
          <x:t xml:space="preserve">รับประทานครั้งละ 2 เม็ด วันละ 1 ครั้ง ก่อนอาหาร</x:t>
        </x:is>
      </x:c>
      <x:c r="P24" t="inlineStr">
        <x:is>
          <x:t xml:space="preserve">Respiratory antibiotics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24</x:v>
      </x:c>
      <x:c r="B2" t="inlineStr">
        <x:is>
          <x:t xml:space="preserve">ยาแก้ปวด, ลดไข้</x:t>
        </x:is>
      </x:c>
      <x:c r="C2" t="n">
        <x:v>40614</x:v>
      </x:c>
      <x:c r="D2" t="inlineStr">
        <x:is>
          <x:t xml:space="preserve">Bakamol 500 mg bottle 100s</x:t>
        </x:is>
      </x:c>
      <x:c r="E2" t="inlineStr">
        <x:is>
          <x:t xml:space="preserve">กระปุก 100 เม็ด</x:t>
        </x:is>
      </x:c>
      <x:c r="F2" t="inlineStr">
        <x:is>
          <x:t xml:space="preserve">Paracetamol 500 mg.</x:t>
        </x:is>
      </x:c>
      <x:c r="G2" t="inlineStr">
        <x:is>
          <x:t xml:space="preserve">BDS040614</x:t>
        </x:is>
      </x:c>
      <x:c r="H2" t="inlineStr">
        <x:is>
          <x:t xml:space="preserve">Bakamol 500 mg bottle 100s (100 tabs)</x:t>
        </x:is>
      </x:c>
      <x:c r="I2" t="inlineStr">
        <x:is>
          <x:t xml:space="preserve">รับประทานครั้งละ 1-2 เม็ด ทุก 4-6 ชั่วโมง</x:t>
        </x:is>
      </x:c>
      <x:c r="P2" t="inlineStr">
        <x:is>
          <x:t xml:space="preserve">General analgesics/antipyretics</x:t>
        </x:is>
      </x:c>
    </x:row>
    <x:row r="3">
      <x:c r="A3" t="n">
        <x:v>25</x:v>
      </x:c>
      <x:c r="B3" t="inlineStr">
        <x:is>
          <x:t xml:space="preserve">ยาแก้ปวด, ลดไข้</x:t>
        </x:is>
      </x:c>
      <x:c r="C3" t="n">
        <x:v>7047</x:v>
      </x:c>
      <x:c r="D3" t="inlineStr">
        <x:is>
          <x:t xml:space="preserve">Cemol 500 mg bottle 100s ฟ้า-ขาว</x:t>
        </x:is>
      </x:c>
      <x:c r="E3" t="inlineStr">
        <x:is>
          <x:t xml:space="preserve">กระปุก 100 เม็ด</x:t>
        </x:is>
      </x:c>
      <x:c r="F3" t="inlineStr">
        <x:is>
          <x:t xml:space="preserve">Paracetamol 500 mg.</x:t>
        </x:is>
      </x:c>
      <x:c r="G3" t="inlineStr">
        <x:is>
          <x:t xml:space="preserve">BDS007047</x:t>
        </x:is>
      </x:c>
      <x:c r="H3" t="inlineStr">
        <x:is>
          <x:t xml:space="preserve">Cemol 500 mg bottle 100s ฟ้า-ขาว (100 tabs)</x:t>
        </x:is>
      </x:c>
      <x:c r="I3" t="inlineStr">
        <x:is>
          <x:t xml:space="preserve">รับประทานครั้งละ 1-2 เม็ด ทุก 4 ชั่วโมง หรือเมื่อมีอาการ</x:t>
        </x:is>
      </x:c>
      <x:c r="P3" t="inlineStr">
        <x:is>
          <x:t xml:space="preserve">General analgesics/antipyretics</x:t>
        </x:is>
      </x:c>
    </x:row>
    <x:row r="4">
      <x:c r="A4" t="n">
        <x:v>26</x:v>
      </x:c>
      <x:c r="B4" t="inlineStr">
        <x:is>
          <x:t xml:space="preserve">ยาแก้ปวด, ลดไข้</x:t>
        </x:is>
      </x:c>
      <x:c r="C4" t="n">
        <x:v>7041</x:v>
      </x:c>
      <x:c r="D4" t="inlineStr">
        <x:is>
          <x:t xml:space="preserve">Cemol 500 mg bottle 100s เม็ดกลม</x:t>
        </x:is>
      </x:c>
      <x:c r="E4" t="inlineStr">
        <x:is>
          <x:t xml:space="preserve">กระปุก 100 เม็ด</x:t>
        </x:is>
      </x:c>
      <x:c r="F4" t="inlineStr">
        <x:is>
          <x:t xml:space="preserve">Paracetamol 500 mg.</x:t>
        </x:is>
      </x:c>
      <x:c r="G4" t="inlineStr">
        <x:is>
          <x:t xml:space="preserve">BDS007041</x:t>
        </x:is>
      </x:c>
      <x:c r="H4" t="inlineStr">
        <x:is>
          <x:t xml:space="preserve">Cemol 500 mg bottle 100s เม็ดกลม (100 tabs)</x:t>
        </x:is>
      </x:c>
      <x:c r="I4" t="inlineStr">
        <x:is>
          <x:t xml:space="preserve">รับประทานครั้งละ 1-2 เม็ด ทุก 4 ชั่วโมง หรือเมื่อมีอาการ</x:t>
        </x:is>
      </x:c>
      <x:c r="P4" t="inlineStr">
        <x:is>
          <x:t xml:space="preserve">General analgesics/antipyretics</x:t>
        </x:is>
      </x:c>
    </x:row>
    <x:row r="5">
      <x:c r="A5" t="n">
        <x:v>27</x:v>
      </x:c>
      <x:c r="B5" t="inlineStr">
        <x:is>
          <x:t xml:space="preserve">ยาแก้ปวด, ลดไข้</x:t>
        </x:is>
      </x:c>
      <x:c r="C5" t="n">
        <x:v>46505</x:v>
      </x:c>
      <x:c r="D5" t="inlineStr">
        <x:is>
          <x:t xml:space="preserve">Panadol Actifast </x:t>
        </x:is>
      </x:c>
      <x:c r="E5" t="inlineStr">
        <x:is>
          <x:t xml:space="preserve">กล่อง 10 เม็ด</x:t>
        </x:is>
      </x:c>
      <x:c r="F5" t="inlineStr">
        <x:is>
          <x:t xml:space="preserve">Paracetamol 500 mg.</x:t>
        </x:is>
      </x:c>
      <x:c r="G5" t="inlineStr">
        <x:is>
          <x:t xml:space="preserve">BDS046505</x:t>
        </x:is>
      </x:c>
      <x:c r="H5" t="inlineStr">
        <x:is>
          <x:t xml:space="preserve">Panadol Actifast  (10 tabs)</x:t>
        </x:is>
      </x:c>
      <x:c r="I5" t="inlineStr">
        <x:is>
          <x:t xml:space="preserve">รับประทานครั้งละ 1-2  เม็ด ทุก 4-6 ชั่วโมง เมื่อมีอาการ</x:t>
        </x:is>
      </x:c>
      <x:c r="P5" t="inlineStr">
        <x:is>
          <x:t xml:space="preserve">General analgesics/antipyretics</x:t>
        </x:is>
      </x:c>
    </x:row>
    <x:row r="6">
      <x:c r="A6" t="n">
        <x:v>28</x:v>
      </x:c>
      <x:c r="B6" t="inlineStr">
        <x:is>
          <x:t xml:space="preserve">ยาแก้ปวด, ลดไข้</x:t>
        </x:is>
      </x:c>
      <x:c r="C6" t="n">
        <x:v>3109</x:v>
      </x:c>
      <x:c r="D6" t="inlineStr">
        <x:is>
          <x:t xml:space="preserve">Para Cap bottle 100s</x:t>
        </x:is>
      </x:c>
      <x:c r="E6" t="inlineStr">
        <x:is>
          <x:t xml:space="preserve">กระปุก 100 เม็ด</x:t>
        </x:is>
      </x:c>
      <x:c r="F6" t="inlineStr">
        <x:is>
          <x:t xml:space="preserve">Paracetamol 500 mg.</x:t>
        </x:is>
      </x:c>
      <x:c r="G6" t="inlineStr">
        <x:is>
          <x:t xml:space="preserve">BDS003109</x:t>
        </x:is>
      </x:c>
      <x:c r="H6" t="inlineStr">
        <x:is>
          <x:t xml:space="preserve">Para Cap bottle 100s (100 tabs)</x:t>
        </x:is>
      </x:c>
      <x:c r="I6" t="inlineStr">
        <x:is>
          <x:t xml:space="preserve">รับประทานครั้งละ 1-2 เม็ด ทุก 4-6 ชั่วโมง</x:t>
        </x:is>
      </x:c>
      <x:c r="P6" t="inlineStr">
        <x:is>
          <x:t xml:space="preserve">General analgesics/antipyretics</x:t>
        </x:is>
      </x:c>
    </x:row>
    <x:row r="7">
      <x:c r="A7" t="n">
        <x:v>29</x:v>
      </x:c>
      <x:c r="B7" t="inlineStr">
        <x:is>
          <x:t xml:space="preserve">ยาแก้ปวด, ลดไข้</x:t>
        </x:is>
      </x:c>
      <x:c r="C7" t="n">
        <x:v>3595</x:v>
      </x:c>
      <x:c r="D7" t="inlineStr">
        <x:is>
          <x:t xml:space="preserve">Sara เม็ดรี กระปุก 100s</x:t>
        </x:is>
      </x:c>
      <x:c r="E7" t="inlineStr">
        <x:is>
          <x:t xml:space="preserve">กระปุก 100 เม็ด</x:t>
        </x:is>
      </x:c>
      <x:c r="F7" t="inlineStr">
        <x:is>
          <x:t xml:space="preserve">Paracetamol 500 mg.</x:t>
        </x:is>
      </x:c>
      <x:c r="G7" t="inlineStr">
        <x:is>
          <x:t xml:space="preserve">BDS003595</x:t>
        </x:is>
      </x:c>
      <x:c r="H7" t="inlineStr">
        <x:is>
          <x:t xml:space="preserve">Sara เม็ดรี กระปุก 100s (100 tabs)</x:t>
        </x:is>
      </x:c>
      <x:c r="I7" t="inlineStr">
        <x:is>
          <x:t xml:space="preserve">รับประทานครั้งละ 1-2 เม็ด ทุก 4-6 ชั่วโมง</x:t>
        </x:is>
      </x:c>
      <x:c r="P7" t="inlineStr">
        <x:is>
          <x:t xml:space="preserve">General analgesics/antipyretics</x:t>
        </x:is>
      </x:c>
    </x:row>
    <x:row r="8">
      <x:c r="A8" t="n">
        <x:v>30</x:v>
      </x:c>
      <x:c r="B8" t="inlineStr">
        <x:is>
          <x:t xml:space="preserve">ยาแก้ปวด, ลดไข้</x:t>
        </x:is>
      </x:c>
      <x:c r="C8" t="n">
        <x:v>3764</x:v>
      </x:c>
      <x:c r="D8" t="inlineStr">
        <x:is>
          <x:t xml:space="preserve">Tylenol 500 mg bottle 100s</x:t>
        </x:is>
      </x:c>
      <x:c r="E8" t="inlineStr">
        <x:is>
          <x:t xml:space="preserve">กระปุก 100 เม็ด</x:t>
        </x:is>
      </x:c>
      <x:c r="F8" t="inlineStr">
        <x:is>
          <x:t xml:space="preserve">Paracetamol 500 mg.</x:t>
        </x:is>
      </x:c>
      <x:c r="G8" t="inlineStr">
        <x:is>
          <x:t xml:space="preserve">BDS003764</x:t>
        </x:is>
      </x:c>
      <x:c r="H8" t="inlineStr">
        <x:is>
          <x:t xml:space="preserve">Tylenol 500 mg bottle 100s (100 tabs)</x:t>
        </x:is>
      </x:c>
      <x:c r="I8" t="inlineStr">
        <x:is>
          <x:t xml:space="preserve">รับประทานครั้งละ 1-2 เม็ด ทุก 4-6 ชั่วโมง</x:t>
        </x:is>
      </x:c>
      <x:c r="P8" t="inlineStr">
        <x:is>
          <x:t xml:space="preserve">General analgesics/antipyretics</x:t>
        </x:is>
      </x:c>
    </x:row>
    <x:row r="9">
      <x:c r="A9" t="n">
        <x:v>31</x:v>
      </x:c>
      <x:c r="B9" t="inlineStr">
        <x:is>
          <x:t xml:space="preserve">ยาแก้ปวด, ลดไข้</x:t>
        </x:is>
      </x:c>
      <x:c r="C9" t="n">
        <x:v>3748</x:v>
      </x:c>
      <x:c r="D9" t="inlineStr">
        <x:is>
          <x:t xml:space="preserve">Tylenol 8 Hour</x:t>
        </x:is>
      </x:c>
      <x:c r="E9" t="inlineStr">
        <x:is>
          <x:t xml:space="preserve">กล่อง 10 เม็ด</x:t>
        </x:is>
      </x:c>
      <x:c r="F9" t="inlineStr">
        <x:is>
          <x:t xml:space="preserve">Paracetamol 650 mg.</x:t>
        </x:is>
      </x:c>
      <x:c r="G9" t="inlineStr">
        <x:is>
          <x:t xml:space="preserve">BDS003748</x:t>
        </x:is>
      </x:c>
      <x:c r="H9" t="inlineStr">
        <x:is>
          <x:t xml:space="preserve">Tylenol 8 Hour (10 tabs)</x:t>
        </x:is>
      </x:c>
      <x:c r="I9" t="inlineStr">
        <x:is>
          <x:t xml:space="preserve">รับประทานครั้งละ 2 เม็ด ทุก 8 ชั่วโมง หรือเมื่อมีอาการ</x:t>
        </x:is>
      </x:c>
      <x:c r="P9" t="inlineStr">
        <x:is>
          <x:t xml:space="preserve">General analgesics/antipyretics</x:t>
        </x:is>
      </x:c>
    </x:row>
    <x:row r="10">
      <x:c r="A10" t="n">
        <x:v>185</x:v>
      </x:c>
      <x:c r="B10" t="inlineStr">
        <x:is>
          <x:t xml:space="preserve">ยาแก้ปวด, ลดไข้ ชนิดน้ำ</x:t>
        </x:is>
      </x:c>
      <x:c r="C10" t="n">
        <x:v>8609</x:v>
      </x:c>
      <x:c r="D10" t="inlineStr">
        <x:is>
          <x:t xml:space="preserve">Ampol Suspension</x:t>
        </x:is>
      </x:c>
      <x:c r="E10" t="inlineStr">
        <x:is>
          <x:t xml:space="preserve">ขวด 60 ml.</x:t>
        </x:is>
      </x:c>
      <x:c r="F10" t="inlineStr">
        <x:is>
          <x:t xml:space="preserve">Paracetamol 120 mg./5 ml.</x:t>
        </x:is>
      </x:c>
      <x:c r="G10" t="inlineStr">
        <x:is>
          <x:t xml:space="preserve">BDS008609</x:t>
        </x:is>
      </x:c>
      <x:c r="H10" t="inlineStr">
        <x:is>
          <x:t xml:space="preserve">Ampol Suspension (60 ml.)</x:t>
        </x:is>
      </x:c>
      <x:c r="I10" t="inlineStr">
        <x:is>
          <x:t xml:space="preserve">เด็กเล็กรับประทานครั้งละ 1-2 ช้อนชา ทุก 4-6 ชั่วโมง</x:t>
        </x:is>
      </x:c>
      <x:c r="P10" t="inlineStr">
        <x:is>
          <x:t xml:space="preserve">General analgesics/antipyretics</x:t>
        </x:is>
      </x:c>
    </x:row>
    <x:row r="11">
      <x:c r="A11" t="n">
        <x:v>186</x:v>
      </x:c>
      <x:c r="B11" t="inlineStr">
        <x:is>
          <x:t xml:space="preserve">ยาแก้ปวด, ลดไข้ ชนิดน้ำ</x:t>
        </x:is>
      </x:c>
      <x:c r="C11" t="n">
        <x:v>2407</x:v>
      </x:c>
      <x:c r="D11" t="inlineStr">
        <x:is>
          <x:t xml:space="preserve">Kit-F Drops</x:t>
        </x:is>
      </x:c>
      <x:c r="E11" t="inlineStr">
        <x:is>
          <x:t xml:space="preserve">ขวด 15 ml.</x:t>
        </x:is>
      </x:c>
      <x:c r="F11" t="inlineStr">
        <x:is>
          <x:t xml:space="preserve">Paracetamol 60 mg./0.6 ml.</x:t>
        </x:is>
      </x:c>
      <x:c r="G11" t="inlineStr">
        <x:is>
          <x:t xml:space="preserve">BDS002407</x:t>
        </x:is>
      </x:c>
      <x:c r="H11" t="inlineStr">
        <x:is>
          <x:t xml:space="preserve">Kit-F Drops (15 ml.)</x:t>
        </x:is>
      </x:c>
      <x:c r="I11" t="inlineStr">
        <x:is>
          <x:t xml:space="preserve">รับประทานครั้งละ 1-2 หลอดหยด วันละ 3-4 ครั้ง</x:t>
        </x:is>
      </x:c>
      <x:c r="P11" t="inlineStr">
        <x:is>
          <x:t xml:space="preserve">General analgesics/antipyretics</x:t>
        </x:is>
      </x:c>
    </x:row>
    <x:row r="12">
      <x:c r="A12" t="n">
        <x:v>187</x:v>
      </x:c>
      <x:c r="B12" t="inlineStr">
        <x:is>
          <x:t xml:space="preserve">ยาแก้ปวด, ลดไข้ ชนิดน้ำ</x:t>
        </x:is>
      </x:c>
      <x:c r="C12" t="n">
        <x:v>7583</x:v>
      </x:c>
      <x:c r="D12" t="inlineStr">
        <x:is>
          <x:t xml:space="preserve">Newtamol Syrup</x:t>
        </x:is>
      </x:c>
      <x:c r="E12" t="inlineStr">
        <x:is>
          <x:t xml:space="preserve">ขวด 60 ml.</x:t>
        </x:is>
      </x:c>
      <x:c r="F12" t="inlineStr">
        <x:is>
          <x:t xml:space="preserve">Paracetamol 150 mg./5 ml.</x:t>
        </x:is>
      </x:c>
      <x:c r="G12" t="inlineStr">
        <x:is>
          <x:t xml:space="preserve">BDS007583</x:t>
        </x:is>
      </x:c>
      <x:c r="H12" t="inlineStr">
        <x:is>
          <x:t xml:space="preserve">Newtamol Syrup (60 ml.)</x:t>
        </x:is>
      </x:c>
      <x:c r="I12" t="inlineStr">
        <x:is>
          <x:t xml:space="preserve">เด็กโตรับประทานครั้งละ 2 ช้อนชา วันละ 3 ครั้ง หรือทุก 4 ชั่วโมง</x:t>
        </x:is>
      </x:c>
      <x:c r="P12" t="inlineStr">
        <x:is>
          <x:t xml:space="preserve">General analgesics/antipyretics</x:t>
        </x:is>
      </x:c>
    </x:row>
    <x:row r="13">
      <x:c r="A13" t="n">
        <x:v>188</x:v>
      </x:c>
      <x:c r="B13" t="inlineStr">
        <x:is>
          <x:t xml:space="preserve">ยาแก้ปวด, ลดไข้ ชนิดน้ำ</x:t>
        </x:is>
      </x:c>
      <x:c r="C13" t="n">
        <x:v>2861</x:v>
      </x:c>
      <x:c r="D13" t="inlineStr">
        <x:is>
          <x:t xml:space="preserve">Panadol Orange Suspension</x:t>
        </x:is>
      </x:c>
      <x:c r="E13" t="inlineStr">
        <x:is>
          <x:t xml:space="preserve">ขวด 60 ml.</x:t>
        </x:is>
      </x:c>
      <x:c r="F13" t="inlineStr">
        <x:is>
          <x:t xml:space="preserve">Paracetamol 250 mg./5 ml.</x:t>
        </x:is>
      </x:c>
      <x:c r="G13" t="inlineStr">
        <x:is>
          <x:t xml:space="preserve">BDS002861</x:t>
        </x:is>
      </x:c>
      <x:c r="H13" t="inlineStr">
        <x:is>
          <x:t xml:space="preserve">Panadol Orange Suspension (60 ml.)</x:t>
        </x:is>
      </x:c>
      <x:c r="I13" t="inlineStr">
        <x:is>
          <x:t xml:space="preserve">รับประทานครั้งละ 1-2 ช้อนชาทุก 4-6 ชั่วโมง เมื่อมีอาการ</x:t>
        </x:is>
      </x:c>
      <x:c r="P13" t="inlineStr">
        <x:is>
          <x:t xml:space="preserve">General analgesics/antipyretics</x:t>
        </x:is>
      </x:c>
    </x:row>
    <x:row r="14">
      <x:c r="A14" t="n">
        <x:v>189</x:v>
      </x:c>
      <x:c r="B14" t="inlineStr">
        <x:is>
          <x:t xml:space="preserve">ยาแก้ปวด, ลดไข้ ชนิดน้ำ</x:t>
        </x:is>
      </x:c>
      <x:c r="C14" t="n">
        <x:v>2847</x:v>
      </x:c>
      <x:c r="D14" t="inlineStr">
        <x:is>
          <x:t xml:space="preserve">Panadol Strawberry Suspension</x:t>
        </x:is>
      </x:c>
      <x:c r="E14" t="inlineStr">
        <x:is>
          <x:t xml:space="preserve">ขวด 60 ml.</x:t>
        </x:is>
      </x:c>
      <x:c r="F14" t="inlineStr">
        <x:is>
          <x:t xml:space="preserve">Paracetamol 120 mg./5 ml.</x:t>
        </x:is>
      </x:c>
      <x:c r="G14" t="inlineStr">
        <x:is>
          <x:t xml:space="preserve">BDS002847</x:t>
        </x:is>
      </x:c>
      <x:c r="H14" t="inlineStr">
        <x:is>
          <x:t xml:space="preserve">Panadol Strawberry Suspension (60 ml.)</x:t>
        </x:is>
      </x:c>
      <x:c r="I14" t="inlineStr">
        <x:is>
          <x:t xml:space="preserve">รับประทานครั้งละ 1/2-2 ช้อนชาทุก 4-6 ชั่วโมง เมื่อมีอาการ</x:t>
        </x:is>
      </x:c>
      <x:c r="P14" t="inlineStr">
        <x:is>
          <x:t xml:space="preserve">General analgesics/antipyretics</x:t>
        </x:is>
      </x:c>
    </x:row>
    <x:row r="15">
      <x:c r="A15" t="n">
        <x:v>190</x:v>
      </x:c>
      <x:c r="B15" t="inlineStr">
        <x:is>
          <x:t xml:space="preserve">ยาแก้ปวด, ลดไข้ ชนิดน้ำ</x:t>
        </x:is>
      </x:c>
      <x:c r="C15" t="n">
        <x:v>8137</x:v>
      </x:c>
      <x:c r="D15" t="inlineStr">
        <x:is>
          <x:t xml:space="preserve">Poro Suspension</x:t>
        </x:is>
      </x:c>
      <x:c r="E15" t="inlineStr">
        <x:is>
          <x:t xml:space="preserve">ขวด 60 ml.</x:t>
        </x:is>
      </x:c>
      <x:c r="F15" t="inlineStr">
        <x:is>
          <x:t xml:space="preserve">Paracetamol 250 mg./5 ml.</x:t>
        </x:is>
      </x:c>
      <x:c r="G15" t="inlineStr">
        <x:is>
          <x:t xml:space="preserve">BDS008137</x:t>
        </x:is>
      </x:c>
      <x:c r="H15" t="inlineStr">
        <x:is>
          <x:t xml:space="preserve">Poro Suspension (60 ml.)</x:t>
        </x:is>
      </x:c>
      <x:c r="I15" t="inlineStr">
        <x:is>
          <x:t xml:space="preserve">เด็กโตรับประทานครั้งละ 1-2 ช้อนชา ทุก 4-6 ชั่วโมง</x:t>
        </x:is>
      </x:c>
      <x:c r="P15" t="inlineStr">
        <x:is>
          <x:t xml:space="preserve">General analgesics/antipyretics</x:t>
        </x:is>
      </x:c>
    </x:row>
    <x:row r="16">
      <x:c r="A16" t="n">
        <x:v>191</x:v>
      </x:c>
      <x:c r="B16" t="inlineStr">
        <x:is>
          <x:t xml:space="preserve">ยาแก้ปวด, ลดไข้ ชนิดน้ำ</x:t>
        </x:is>
      </x:c>
      <x:c r="C16" t="n">
        <x:v>3597</x:v>
      </x:c>
      <x:c r="D16" t="inlineStr">
        <x:is>
          <x:t xml:space="preserve">Sara Infant Drops (รสองุ่น)</x:t>
        </x:is>
      </x:c>
      <x:c r="E16" t="inlineStr">
        <x:is>
          <x:t xml:space="preserve">ขวด 15 ml.</x:t>
        </x:is>
      </x:c>
      <x:c r="F16" t="inlineStr">
        <x:is>
          <x:t xml:space="preserve">Paracetamol 60 mg./0.6 ml.</x:t>
        </x:is>
      </x:c>
      <x:c r="G16" t="inlineStr">
        <x:is>
          <x:t xml:space="preserve">BDS003597</x:t>
        </x:is>
      </x:c>
      <x:c r="H16" t="inlineStr">
        <x:is>
          <x:t xml:space="preserve">Sara Infant Drops (รสองุ่น) (15 ml.)</x:t>
        </x:is>
      </x:c>
      <x:c r="I16" t="inlineStr">
        <x:is>
          <x:t xml:space="preserve">เด็กเล็กรับประทานครั้งละ 2-3 หลอดหยด วันละ 3-4 ครั้ง</x:t>
        </x:is>
      </x:c>
      <x:c r="P16" t="inlineStr">
        <x:is>
          <x:t xml:space="preserve">General analgesics/antipyretics</x:t>
        </x:is>
      </x:c>
    </x:row>
    <x:row r="17">
      <x:c r="A17" t="n">
        <x:v>192</x:v>
      </x:c>
      <x:c r="B17" t="inlineStr">
        <x:is>
          <x:t xml:space="preserve">ยาแก้ปวด, ลดไข้ ชนิดน้ำ</x:t>
        </x:is>
      </x:c>
      <x:c r="C17" t="n">
        <x:v>3596</x:v>
      </x:c>
      <x:c r="D17" t="inlineStr">
        <x:is>
          <x:t xml:space="preserve">Sara น้ำรสสตรอเบอร์รี่</x:t>
        </x:is>
      </x:c>
      <x:c r="E17" t="inlineStr">
        <x:is>
          <x:t xml:space="preserve">ขวด 60 ml.</x:t>
        </x:is>
      </x:c>
      <x:c r="F17" t="inlineStr">
        <x:is>
          <x:t xml:space="preserve">Paracetamol 120 mg./5 ml.</x:t>
        </x:is>
      </x:c>
      <x:c r="G17" t="inlineStr">
        <x:is>
          <x:t xml:space="preserve">BDS003596</x:t>
        </x:is>
      </x:c>
      <x:c r="H17" t="inlineStr">
        <x:is>
          <x:t xml:space="preserve">Sara น้ำรสสตรอเบอร์รี่ (60 ml.)</x:t>
        </x:is>
      </x:c>
      <x:c r="I17" t="inlineStr">
        <x:is>
          <x:t xml:space="preserve">รับประทานครั้งละ 1-2 ช้อนชา วันละ 3-4 ครั้ง</x:t>
        </x:is>
      </x:c>
      <x:c r="P17" t="inlineStr">
        <x:is>
          <x:t xml:space="preserve">General analgesics/antipyretics</x:t>
        </x:is>
      </x:c>
    </x:row>
    <x:row r="18">
      <x:c r="A18" t="n">
        <x:v>193</x:v>
      </x:c>
      <x:c r="B18" t="inlineStr">
        <x:is>
          <x:t xml:space="preserve">ยาแก้ปวด, ลดไข้ ชนิดน้ำ</x:t>
        </x:is>
      </x:c>
      <x:c r="C18" t="n">
        <x:v>3504</x:v>
      </x:c>
      <x:c r="D18" t="inlineStr">
        <x:is>
          <x:t xml:space="preserve">Sara น้ำรสส้ม</x:t>
        </x:is>
      </x:c>
      <x:c r="E18" t="inlineStr">
        <x:is>
          <x:t xml:space="preserve">ขวด 60 ml.</x:t>
        </x:is>
      </x:c>
      <x:c r="F18" t="inlineStr">
        <x:is>
          <x:t xml:space="preserve">Paracetamol 250 mg./5 ml.</x:t>
        </x:is>
      </x:c>
      <x:c r="G18" t="inlineStr">
        <x:is>
          <x:t xml:space="preserve">BDS003504</x:t>
        </x:is>
      </x:c>
      <x:c r="H18" t="inlineStr">
        <x:is>
          <x:t xml:space="preserve">Sara น้ำรสส้ม (60 ml.)</x:t>
        </x:is>
      </x:c>
      <x:c r="I18" t="inlineStr">
        <x:is>
          <x:t xml:space="preserve">รับประทานครั้งละ 1-2 ช้อนชา วันละ 3-4 ครั้ง </x:t>
        </x:is>
      </x:c>
      <x:c r="P18" t="inlineStr">
        <x:is>
          <x:t xml:space="preserve">General analgesics/antipyretics</x:t>
        </x:is>
      </x:c>
    </x:row>
    <x:row r="19">
      <x:c r="A19" t="n">
        <x:v>194</x:v>
      </x:c>
      <x:c r="B19" t="inlineStr">
        <x:is>
          <x:t xml:space="preserve">ยาแก้ปวด, ลดไข้ ชนิดน้ำ</x:t>
        </x:is>
      </x:c>
      <x:c r="C19" t="n">
        <x:v>3600</x:v>
      </x:c>
      <x:c r="D19" t="inlineStr">
        <x:is>
          <x:t xml:space="preserve">Sara น้ำรสองุ่น</x:t>
        </x:is>
      </x:c>
      <x:c r="E19" t="inlineStr">
        <x:is>
          <x:t xml:space="preserve">ขวด 60 ml.</x:t>
        </x:is>
      </x:c>
      <x:c r="F19" t="inlineStr">
        <x:is>
          <x:t xml:space="preserve">Paracetamol 160 mg./5 ml.</x:t>
        </x:is>
      </x:c>
      <x:c r="G19" t="inlineStr">
        <x:is>
          <x:t xml:space="preserve">BDS003600</x:t>
        </x:is>
      </x:c>
      <x:c r="H19" t="inlineStr">
        <x:is>
          <x:t xml:space="preserve">Sara น้ำรสองุ่น (60 ml.)</x:t>
        </x:is>
      </x:c>
      <x:c r="I19" t="inlineStr">
        <x:is>
          <x:t xml:space="preserve">รับประทานครั้งละ 1 ช้อนชา วันละ 3-4 ครั้ง</x:t>
        </x:is>
      </x:c>
      <x:c r="P19" t="inlineStr">
        <x:is>
          <x:t xml:space="preserve">General analgesics/antipyretics</x:t>
        </x:is>
      </x:c>
    </x:row>
    <x:row r="20">
      <x:c r="A20" t="n">
        <x:v>195</x:v>
      </x:c>
      <x:c r="B20" t="inlineStr">
        <x:is>
          <x:t xml:space="preserve">ยาแก้ปวด, ลดไข้ ชนิดน้ำ</x:t>
        </x:is>
      </x:c>
      <x:c r="C20" t="n">
        <x:v>3711</x:v>
      </x:c>
      <x:c r="D20" t="inlineStr">
        <x:is>
          <x:t xml:space="preserve">Tempra Drop</x:t>
        </x:is>
      </x:c>
      <x:c r="E20" t="inlineStr">
        <x:is>
          <x:t xml:space="preserve">ขวด 15 ml.</x:t>
        </x:is>
      </x:c>
      <x:c r="F20" t="inlineStr">
        <x:is>
          <x:t xml:space="preserve">Paracetamol 80 mg./0.8 ml.</x:t>
        </x:is>
      </x:c>
      <x:c r="G20" t="inlineStr">
        <x:is>
          <x:t xml:space="preserve">BDS003711</x:t>
        </x:is>
      </x:c>
      <x:c r="H20" t="inlineStr">
        <x:is>
          <x:t xml:space="preserve">Tempra Drop (15 ml.)</x:t>
        </x:is>
      </x:c>
      <x:c r="I20" t="inlineStr">
        <x:is>
          <x:t xml:space="preserve">รับประทานครั้งละ 1-2 หลอดหยด แต่ละครั้งห่างกันอย่างน้อย 4 ชม. วันละไม่เกิน 5 ครั้ง</x:t>
        </x:is>
      </x:c>
      <x:c r="P20" t="inlineStr">
        <x:is>
          <x:t xml:space="preserve">General analgesics/antipyretics</x:t>
        </x:is>
      </x:c>
    </x:row>
    <x:row r="21">
      <x:c r="A21" t="n">
        <x:v>196</x:v>
      </x:c>
      <x:c r="B21" t="inlineStr">
        <x:is>
          <x:t xml:space="preserve">ยาแก้ปวด, ลดไข้ ชนิดน้ำ</x:t>
        </x:is>
      </x:c>
      <x:c r="C21" t="n">
        <x:v>3712</x:v>
      </x:c>
      <x:c r="D21" t="inlineStr">
        <x:is>
          <x:t xml:space="preserve">Tempra Forte</x:t>
        </x:is>
      </x:c>
      <x:c r="E21" t="inlineStr">
        <x:is>
          <x:t xml:space="preserve">ขวด 60 ml.</x:t>
        </x:is>
      </x:c>
      <x:c r="F21" t="inlineStr">
        <x:is>
          <x:t xml:space="preserve">Paracetamol 250 mg./5 ml.</x:t>
        </x:is>
      </x:c>
      <x:c r="G21" t="inlineStr">
        <x:is>
          <x:t xml:space="preserve">BDS003712</x:t>
        </x:is>
      </x:c>
      <x:c r="H21" t="inlineStr">
        <x:is>
          <x:t xml:space="preserve">Tempra Forte (60 ml.)</x:t>
        </x:is>
      </x:c>
      <x:c r="I21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21" t="inlineStr">
        <x:is>
          <x:t xml:space="preserve">General analgesics/antipyretics</x:t>
        </x:is>
      </x:c>
    </x:row>
    <x:row r="22">
      <x:c r="A22" t="n">
        <x:v>197</x:v>
      </x:c>
      <x:c r="B22" t="inlineStr">
        <x:is>
          <x:t xml:space="preserve">ยาแก้ปวด, ลดไข้ ชนิดน้ำ</x:t>
        </x:is>
      </x:c>
      <x:c r="C22" t="n">
        <x:v>48670</x:v>
      </x:c>
      <x:c r="D22" t="inlineStr">
        <x:is>
          <x:t xml:space="preserve">Tempra Kids Orange</x:t>
        </x:is>
      </x:c>
      <x:c r="E22" t="inlineStr">
        <x:is>
          <x:t xml:space="preserve">ขวด 60 ml.</x:t>
        </x:is>
      </x:c>
      <x:c r="F22" t="inlineStr">
        <x:is>
          <x:t xml:space="preserve">Paracetamol 120 mg./5 ml.</x:t>
        </x:is>
      </x:c>
      <x:c r="G22" t="inlineStr">
        <x:is>
          <x:t xml:space="preserve">BDS048670</x:t>
        </x:is>
      </x:c>
      <x:c r="H22" t="inlineStr">
        <x:is>
          <x:t xml:space="preserve">Tempra Kids Orange (60 ml.)</x:t>
        </x:is>
      </x:c>
      <x:c r="I22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22" t="inlineStr">
        <x:is>
          <x:t xml:space="preserve">General analgesics/antipyretics</x:t>
        </x:is>
      </x:c>
    </x:row>
    <x:row r="23">
      <x:c r="A23" t="n">
        <x:v>198</x:v>
      </x:c>
      <x:c r="B23" t="inlineStr">
        <x:is>
          <x:t xml:space="preserve">ยาแก้ปวด, ลดไข้ ชนิดน้ำ</x:t>
        </x:is>
      </x:c>
      <x:c r="C23" t="n">
        <x:v>3713</x:v>
      </x:c>
      <x:c r="D23" t="inlineStr">
        <x:is>
          <x:t xml:space="preserve">Tempra Kids Strawberry</x:t>
        </x:is>
      </x:c>
      <x:c r="E23" t="inlineStr">
        <x:is>
          <x:t xml:space="preserve">ขวด 60 ml.</x:t>
        </x:is>
      </x:c>
      <x:c r="F23" t="inlineStr">
        <x:is>
          <x:t xml:space="preserve">Paracetamol 120 mg./5 ml.</x:t>
        </x:is>
      </x:c>
      <x:c r="G23" t="inlineStr">
        <x:is>
          <x:t xml:space="preserve">BDS003713</x:t>
        </x:is>
      </x:c>
      <x:c r="H23" t="inlineStr">
        <x:is>
          <x:t xml:space="preserve">Tempra Kids Strawberry (60 ml.)</x:t>
        </x:is>
      </x:c>
      <x:c r="I23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23" t="inlineStr">
        <x:is>
          <x:t xml:space="preserve">General analgesics/antipyretics</x:t>
        </x:is>
      </x:c>
    </x:row>
    <x:row r="24">
      <x:c r="A24" t="n">
        <x:v>199</x:v>
      </x:c>
      <x:c r="B24" t="inlineStr">
        <x:is>
          <x:t xml:space="preserve">ยาแก้ปวด, ลดไข้ ชนิดน้ำ</x:t>
        </x:is>
      </x:c>
      <x:c r="C24" t="n">
        <x:v>3737</x:v>
      </x:c>
      <x:c r="D24" t="inlineStr">
        <x:is>
          <x:t xml:space="preserve">Tylenol Drop</x:t>
        </x:is>
      </x:c>
      <x:c r="E24" t="inlineStr">
        <x:is>
          <x:t xml:space="preserve">ขวด 15 ml.</x:t>
        </x:is>
      </x:c>
      <x:c r="F24" t="inlineStr">
        <x:is>
          <x:t xml:space="preserve">Paracetamol 80 mg./0.8 ml.</x:t>
        </x:is>
      </x:c>
      <x:c r="G24" t="inlineStr">
        <x:is>
          <x:t xml:space="preserve">BDS003737</x:t>
        </x:is>
      </x:c>
      <x:c r="H24" t="inlineStr">
        <x:is>
          <x:t xml:space="preserve">Tylenol Drop (15 ml.)</x:t>
        </x:is>
      </x:c>
      <x:c r="I24" t="inlineStr">
        <x:is>
          <x:t xml:space="preserve">รับประทานครั้งละ 0.8 ml./5.5-7.9 kg. ทุก 4 ชั่วโมง</x:t>
        </x:is>
      </x:c>
      <x:c r="P24" t="inlineStr">
        <x:is>
          <x:t xml:space="preserve">General analgesics/antipyretics</x:t>
        </x:is>
      </x:c>
    </x:row>
    <x:row r="25">
      <x:c r="A25" t="n">
        <x:v>200</x:v>
      </x:c>
      <x:c r="B25" t="inlineStr">
        <x:is>
          <x:t xml:space="preserve">ยาแก้ปวด, ลดไข้ ชนิดน้ำ</x:t>
        </x:is>
      </x:c>
      <x:c r="C25" t="n">
        <x:v>3763</x:v>
      </x:c>
      <x:c r="D25" t="inlineStr">
        <x:is>
          <x:t xml:space="preserve">Tylenol Suspension</x:t>
        </x:is>
      </x:c>
      <x:c r="E25" t="inlineStr">
        <x:is>
          <x:t xml:space="preserve">ขวด 60 ml.</x:t>
        </x:is>
      </x:c>
      <x:c r="F25" t="inlineStr">
        <x:is>
          <x:t xml:space="preserve">Paracetamol 160 mg./5 ml.</x:t>
        </x:is>
      </x:c>
      <x:c r="G25" t="inlineStr">
        <x:is>
          <x:t xml:space="preserve">BDS003763</x:t>
        </x:is>
      </x:c>
      <x:c r="H25" t="inlineStr">
        <x:is>
          <x:t xml:space="preserve">Tylenol Suspension (60 ml.)</x:t>
        </x:is>
      </x:c>
      <x:c r="I25" t="inlineStr">
        <x:is>
          <x:t xml:space="preserve">รับประทานครั้งละ 5 ซีซี วันละ 3-4 ครั้ง</x:t>
        </x:is>
      </x:c>
      <x:c r="P25" t="inlineStr">
        <x:is>
          <x:t xml:space="preserve">General analgesics/antipyretics</x:t>
        </x:is>
      </x:c>
    </x:row>
    <x:row r="26">
      <x:c r="A26" t="n">
        <x:v>381</x:v>
      </x:c>
      <x:c r="B26" t="inlineStr">
        <x:is>
          <x:t xml:space="preserve">ยาแก้ปวด, ลดไข้ (D)</x:t>
        </x:is>
      </x:c>
      <x:c r="C26" t="n">
        <x:v>40016</x:v>
      </x:c>
      <x:c r="D26" t="inlineStr">
        <x:is>
          <x:t xml:space="preserve">Adavil F/C tabslets </x:t>
        </x:is>
      </x:c>
      <x:c r="E26" t="inlineStr">
        <x:is>
          <x:t xml:space="preserve">แผง 10 เม็ด</x:t>
        </x:is>
      </x:c>
      <x:c r="F26" t="inlineStr">
        <x:is>
          <x:t xml:space="preserve">Ibuprofen 400 mg.</x:t>
        </x:is>
      </x:c>
      <x:c r="G26" t="inlineStr">
        <x:is>
          <x:t xml:space="preserve">BDS040016</x:t>
        </x:is>
      </x:c>
      <x:c r="H26" t="inlineStr">
        <x:is>
          <x:t xml:space="preserve">Adavil F/C tabslets  (10 tabs)</x:t>
        </x:is>
      </x:c>
      <x:c r="I26" t="inlineStr">
        <x:is>
          <x:t xml:space="preserve">รับประทานครั้งละ 1 เม็ด วันละ 3-4 ครั้ง หลังอาหารทันที </x:t>
        </x:is>
      </x:c>
      <x:c r="P26" t="inlineStr">
        <x:is>
          <x:t xml:space="preserve">General analgesics/antipyretics</x:t>
        </x:is>
      </x:c>
    </x:row>
    <x:row r="27">
      <x:c r="A27" t="n">
        <x:v>382</x:v>
      </x:c>
      <x:c r="B27" t="inlineStr">
        <x:is>
          <x:t xml:space="preserve">ยาแก้ปวด, ลดไข้ (D)</x:t>
        </x:is>
      </x:c>
      <x:c r="C27" t="n">
        <x:v>40623</x:v>
      </x:c>
      <x:c r="D27" t="inlineStr">
        <x:is>
          <x:t xml:space="preserve">Brusoft 400</x:t>
        </x:is>
      </x:c>
      <x:c r="E27" t="inlineStr">
        <x:is>
          <x:t xml:space="preserve">กล่อง 10 แคปซูล</x:t>
        </x:is>
      </x:c>
      <x:c r="F27" t="inlineStr">
        <x:is>
          <x:t xml:space="preserve">Ibuprofen 400 mg.</x:t>
        </x:is>
      </x:c>
      <x:c r="G27" t="inlineStr">
        <x:is>
          <x:t xml:space="preserve">BDS040623</x:t>
        </x:is>
      </x:c>
      <x:c r="H27" t="inlineStr">
        <x:is>
          <x:t xml:space="preserve">Brusoft 400 (10 cap)</x:t>
        </x:is>
      </x:c>
      <x:c r="I27" t="inlineStr">
        <x:is>
          <x:t xml:space="preserve">รับประทานครั้งละ 1 แคปซูล ทุก 4-6 ชั่วโมง </x:t>
        </x:is>
      </x:c>
      <x:c r="P27" t="inlineStr">
        <x:is>
          <x:t xml:space="preserve">General analgesics/antipyretics</x:t>
        </x:is>
      </x:c>
    </x:row>
    <x:row r="28">
      <x:c r="A28" t="n">
        <x:v>383</x:v>
      </x:c>
      <x:c r="B28" t="inlineStr">
        <x:is>
          <x:t xml:space="preserve">ยาแก้ปวด, ลดไข้ (D)</x:t>
        </x:is>
      </x:c>
      <x:c r="C28" t="n">
        <x:v>40629</x:v>
      </x:c>
      <x:c r="D28" t="inlineStr">
        <x:is>
          <x:t xml:space="preserve">Brustan</x:t>
        </x:is>
      </x:c>
      <x:c r="E28" t="inlineStr">
        <x:is>
          <x:t xml:space="preserve">กล่อง 10 เม็ด</x:t>
        </x:is>
      </x:c>
      <x:c r="F28" t="inlineStr">
        <x:is>
          <x:t xml:space="preserve">Ibuprofen 400 mg.+Paracetamol 325 mg.</x:t>
        </x:is>
      </x:c>
      <x:c r="G28" t="inlineStr">
        <x:is>
          <x:t xml:space="preserve">BDS040629</x:t>
        </x:is>
      </x:c>
      <x:c r="H28" t="inlineStr">
        <x:is>
          <x:t xml:space="preserve">Brustan (10 tabs)</x:t>
        </x:is>
      </x:c>
      <x:c r="I28" t="inlineStr">
        <x:is>
          <x:t xml:space="preserve">รับประทานครั้งละ 1 เม็ด วันละ 3  ครั้ง หลังอาหารทันที</x:t>
        </x:is>
      </x:c>
      <x:c r="P28" t="inlineStr">
        <x:is>
          <x:t xml:space="preserve">General analgesics/antipyretics</x:t>
        </x:is>
      </x:c>
    </x:row>
    <x:row r="29">
      <x:c r="A29" t="n">
        <x:v>384</x:v>
      </x:c>
      <x:c r="B29" t="inlineStr">
        <x:is>
          <x:t xml:space="preserve">ยาแก้ปวด, ลดไข้ (D)</x:t>
        </x:is>
      </x:c>
      <x:c r="C29" t="n">
        <x:v>7040</x:v>
      </x:c>
      <x:c r="D29" t="inlineStr">
        <x:is>
          <x:t xml:space="preserve">Cefen 400P</x:t>
        </x:is>
      </x:c>
      <x:c r="E29" t="inlineStr">
        <x:is>
          <x:t xml:space="preserve">แผง 10 เม็ด</x:t>
        </x:is>
      </x:c>
      <x:c r="F29" t="inlineStr">
        <x:is>
          <x:t xml:space="preserve">Ibuprofen 400 mg.</x:t>
        </x:is>
      </x:c>
      <x:c r="G29" t="inlineStr">
        <x:is>
          <x:t xml:space="preserve">BDS007040</x:t>
        </x:is>
      </x:c>
      <x:c r="H29" t="inlineStr">
        <x:is>
          <x:t xml:space="preserve">Cefen 400P (10 tabs)</x:t>
        </x:is>
      </x:c>
      <x:c r="I29" t="inlineStr">
        <x:is>
          <x:t xml:space="preserve">รับประทานครั้งละ 1 เม็ด วันละ 3 ครั้ง หลังอาหารทันที</x:t>
        </x:is>
      </x:c>
      <x:c r="P29" t="inlineStr">
        <x:is>
          <x:t xml:space="preserve">General analgesics/antipyretics</x:t>
        </x:is>
      </x:c>
    </x:row>
    <x:row r="30">
      <x:c r="A30" t="n">
        <x:v>385</x:v>
      </x:c>
      <x:c r="B30" t="inlineStr">
        <x:is>
          <x:t xml:space="preserve">ยาแก้ปวด, ลดไข้ (D)</x:t>
        </x:is>
      </x:c>
      <x:c r="C30" t="n">
        <x:v>1618</x:v>
      </x:c>
      <x:c r="D30" t="inlineStr">
        <x:is>
          <x:t xml:space="preserve">Duran</x:t>
        </x:is>
      </x:c>
      <x:c r="E30" t="inlineStr">
        <x:is>
          <x:t xml:space="preserve">กล่อง 10 เม็ด</x:t>
        </x:is>
      </x:c>
      <x:c r="F30" t="inlineStr">
        <x:is>
          <x:t xml:space="preserve">Ibuprofen 400 mg.</x:t>
        </x:is>
      </x:c>
      <x:c r="G30" t="inlineStr">
        <x:is>
          <x:t xml:space="preserve">BDS001618</x:t>
        </x:is>
      </x:c>
      <x:c r="H30" t="inlineStr">
        <x:is>
          <x:t xml:space="preserve">Duran (10 tabs)</x:t>
        </x:is>
      </x:c>
      <x:c r="I30" t="inlineStr">
        <x:is>
          <x:t xml:space="preserve">รับประทานครั้งละ 1 เม็ด วันละ 3-4 ครั้ง หลังอาหารทันที</x:t>
        </x:is>
      </x:c>
      <x:c r="K30" t="n">
        <x:v>30</x:v>
      </x:c>
      <x:c r="L30" t="n">
        <x:v>3</x:v>
      </x:c>
      <x:c r="M30" t="inlineStr">
        <x:is>
          <x:t xml:space="preserve">https://www.migrainethailand.com/ibuprofen-migraine/</x:t>
        </x:is>
      </x:c>
      <x:c r="N30" t="inlineStr">
        <x:is>
          <x:t xml:space="preserve">2026-02-07</x:t>
        </x:is>
      </x:c>
      <x:c r="O30" t="inlineStr">
        <x:is>
          <x:t xml:space="preserve">Estimated midpoint from Thai retail range 25–34 THB per 10 tablets (generic ibuprofen 400 mg).</x:t>
        </x:is>
      </x:c>
      <x:c r="P30" t="inlineStr">
        <x:is>
          <x:t xml:space="preserve">General analgesics/antipyretics</x:t>
        </x:is>
      </x:c>
    </x:row>
    <x:row r="31">
      <x:c r="A31" t="n">
        <x:v>386</x:v>
      </x:c>
      <x:c r="B31" t="inlineStr">
        <x:is>
          <x:t xml:space="preserve">ยาแก้ปวด, ลดไข้ (D)</x:t>
        </x:is>
      </x:c>
      <x:c r="C31" t="n">
        <x:v>2042</x:v>
      </x:c>
      <x:c r="D31" t="inlineStr">
        <x:is>
          <x:t xml:space="preserve">Gofen 400</x:t>
        </x:is>
      </x:c>
      <x:c r="E31" t="inlineStr">
        <x:is>
          <x:t xml:space="preserve">กล่อง 10 แคปซูล</x:t>
        </x:is>
      </x:c>
      <x:c r="F31" t="inlineStr">
        <x:is>
          <x:t xml:space="preserve">Ibuprofen 400 mg.+Polyethylene 400+Porpylene Glycol</x:t>
        </x:is>
      </x:c>
      <x:c r="G31" t="inlineStr">
        <x:is>
          <x:t xml:space="preserve">BDS002042</x:t>
        </x:is>
      </x:c>
      <x:c r="H31" t="inlineStr">
        <x:is>
          <x:t xml:space="preserve">Gofen 400 (10 cap)</x:t>
        </x:is>
      </x:c>
      <x:c r="I31" t="inlineStr">
        <x:is>
          <x:t xml:space="preserve">รับประทานครั้งละ 1 แคปซูล ทุก 4-6 ชั่วโมง </x:t>
        </x:is>
      </x:c>
      <x:c r="K31" t="n">
        <x:v>177</x:v>
      </x:c>
      <x:c r="L31" t="n">
        <x:v>17.7</x:v>
      </x:c>
      <x:c r="M31" t="inlineStr">
        <x:is>
          <x:t xml:space="preserve">USER</x:t>
        </x:is>
      </x:c>
      <x:c r="N31" t="inlineStr">
        <x:is>
          <x:t xml:space="preserve">2026-02-07</x:t>
        </x:is>
      </x:c>
      <x:c r="O31" t="inlineStr">
        <x:is>
          <x:t xml:space="preserve">User provided price (Gofen 400 10 caps).</x:t>
        </x:is>
      </x:c>
      <x:c r="P31" t="inlineStr">
        <x:is>
          <x:t xml:space="preserve">General analgesics/antipyretics</x:t>
        </x:is>
      </x:c>
    </x:row>
    <x:row r="32">
      <x:c r="A32" t="n">
        <x:v>387</x:v>
      </x:c>
      <x:c r="B32" t="inlineStr">
        <x:is>
          <x:t xml:space="preserve">ยาแก้ปวด, ลดไข้ (D)</x:t>
        </x:is>
      </x:c>
      <x:c r="C32" t="n">
        <x:v>2036</x:v>
      </x:c>
      <x:c r="D32" t="inlineStr">
        <x:is>
          <x:t xml:space="preserve">Greatofen-400 mg</x:t>
        </x:is>
      </x:c>
      <x:c r="E32" t="inlineStr">
        <x:is>
          <x:t xml:space="preserve">แผง 10 เม็ด</x:t>
        </x:is>
      </x:c>
      <x:c r="F32" t="inlineStr">
        <x:is>
          <x:t xml:space="preserve">Ibuprofen 400 mg.</x:t>
        </x:is>
      </x:c>
      <x:c r="G32" t="inlineStr">
        <x:is>
          <x:t xml:space="preserve">BDS002036</x:t>
        </x:is>
      </x:c>
      <x:c r="H32" t="inlineStr">
        <x:is>
          <x:t xml:space="preserve">Greatofen-400 mg (10 tabs)</x:t>
        </x:is>
      </x:c>
      <x:c r="I32" t="inlineStr">
        <x:is>
          <x:t xml:space="preserve">รับประทานครั้งละ 1-2 เม็ด วันละ 3 ครั้ง หลังอาหารทันที</x:t>
        </x:is>
      </x:c>
      <x:c r="P32" t="inlineStr">
        <x:is>
          <x:t xml:space="preserve">General analgesics/antipyretics</x:t>
        </x:is>
      </x:c>
    </x:row>
    <x:row r="33">
      <x:c r="A33" t="n">
        <x:v>388</x:v>
      </x:c>
      <x:c r="B33" t="inlineStr">
        <x:is>
          <x:t xml:space="preserve">ยาแก้ปวด, ลดไข้ (D)</x:t>
        </x:is>
      </x:c>
      <x:c r="C33" t="n">
        <x:v>7161</x:v>
      </x:c>
      <x:c r="D33" t="inlineStr">
        <x:is>
          <x:t xml:space="preserve">Ibuman-Plus</x:t>
        </x:is>
      </x:c>
      <x:c r="E33" t="inlineStr">
        <x:is>
          <x:t xml:space="preserve">แผง 10 เม็ด</x:t>
        </x:is>
      </x:c>
      <x:c r="F33" t="inlineStr">
        <x:is>
          <x:t xml:space="preserve">Ibuprofen 400 mg.+Paracetamol 325 mg.</x:t>
        </x:is>
      </x:c>
      <x:c r="G33" t="inlineStr">
        <x:is>
          <x:t xml:space="preserve">BDS007161</x:t>
        </x:is>
      </x:c>
      <x:c r="H33" t="inlineStr">
        <x:is>
          <x:t xml:space="preserve">Ibuman-Plus (10 tabs)</x:t>
        </x:is>
      </x:c>
      <x:c r="I33" t="inlineStr">
        <x:is>
          <x:t xml:space="preserve">รับประทานครั้งละ 1 เม็ด วันละ 3  ครั้ง หลังอาหารทันที</x:t>
        </x:is>
      </x:c>
      <x:c r="P33" t="inlineStr">
        <x:is>
          <x:t xml:space="preserve">General analgesics/antipyretics</x:t>
        </x:is>
      </x:c>
    </x:row>
    <x:row r="34">
      <x:c r="A34" t="n">
        <x:v>389</x:v>
      </x:c>
      <x:c r="B34" t="inlineStr">
        <x:is>
          <x:t xml:space="preserve">ยาแก้ปวด, ลดไข้ (D)</x:t>
        </x:is>
      </x:c>
      <x:c r="C34" t="n">
        <x:v>7165</x:v>
      </x:c>
      <x:c r="D34" t="inlineStr">
        <x:is>
          <x:t xml:space="preserve">Kintal B</x:t>
        </x:is>
      </x:c>
      <x:c r="E34" t="inlineStr">
        <x:is>
          <x:t xml:space="preserve">แผง 10 เม็ด</x:t>
        </x:is>
      </x:c>
      <x:c r="F34" t="inlineStr">
        <x:is>
          <x:t xml:space="preserve">Ibuprofen 400 mg.+Paracetamol 325 mg.</x:t>
        </x:is>
      </x:c>
      <x:c r="G34" t="inlineStr">
        <x:is>
          <x:t xml:space="preserve">BDS007165</x:t>
        </x:is>
      </x:c>
      <x:c r="H34" t="inlineStr">
        <x:is>
          <x:t xml:space="preserve">Kintal B (10 tabs)</x:t>
        </x:is>
      </x:c>
      <x:c r="I34" t="inlineStr">
        <x:is>
          <x:t xml:space="preserve">รับประทานครั้งละ 1 เม็ด วันละ 3 ครั้ง หลังอาหารทันที</x:t>
        </x:is>
      </x:c>
      <x:c r="P34" t="inlineStr">
        <x:is>
          <x:t xml:space="preserve">General analgesics/antipyretics</x:t>
        </x:is>
      </x:c>
    </x:row>
    <x:row r="35">
      <x:c r="A35" t="n">
        <x:v>390</x:v>
      </x:c>
      <x:c r="B35" t="inlineStr">
        <x:is>
          <x:t xml:space="preserve">ยาแก้ปวด, ลดไข้ (D)</x:t>
        </x:is>
      </x:c>
      <x:c r="C35" t="n">
        <x:v>45600</x:v>
      </x:c>
      <x:c r="D35" t="inlineStr">
        <x:is>
          <x:t xml:space="preserve">Nurofen Zavance</x:t>
        </x:is>
      </x:c>
      <x:c r="E35" t="inlineStr">
        <x:is>
          <x:t xml:space="preserve">กล่อง 10 แคปซูล</x:t>
        </x:is>
      </x:c>
      <x:c r="F35" t="inlineStr">
        <x:is>
          <x:t xml:space="preserve">Ibuprofen 400 mg</x:t>
        </x:is>
      </x:c>
      <x:c r="G35" t="inlineStr">
        <x:is>
          <x:t xml:space="preserve">BDS045600</x:t>
        </x:is>
      </x:c>
      <x:c r="H35" t="inlineStr">
        <x:is>
          <x:t xml:space="preserve">Nurofen Zavance (10 cap)</x:t>
        </x:is>
      </x:c>
      <x:c r="I35" t="inlineStr">
        <x:is>
          <x:t xml:space="preserve">รับประทานครั้งละ 1 แคปซูล ทุก 6 ชั่วโมงเมื่อมีอาการ  </x:t>
        </x:is>
      </x:c>
      <x:c r="K35" t="n">
        <x:v>178</x:v>
      </x:c>
      <x:c r="L35" t="n">
        <x:v>17.8</x:v>
      </x:c>
      <x:c r="M35" t="inlineStr">
        <x:is>
          <x:t xml:space="preserve">https://bigya.co.th/product-detail/343</x:t>
        </x:is>
      </x:c>
      <x:c r="N35" t="inlineStr">
        <x:is>
          <x:t xml:space="preserve">2026-02-07</x:t>
        </x:is>
      </x:c>
      <x:c r="O35" t="inlineStr">
        <x:is>
          <x:t xml:space="preserve">Retail price at BIGYA (strip 10 softgel capsules).</x:t>
        </x:is>
      </x:c>
      <x:c r="P35" t="inlineStr">
        <x:is>
          <x:t xml:space="preserve">General analgesics/antipyretics</x:t>
        </x:is>
      </x:c>
    </x:row>
    <x:row r="36">
      <x:c r="A36" t="n">
        <x:v>391</x:v>
      </x:c>
      <x:c r="B36" t="inlineStr">
        <x:is>
          <x:t xml:space="preserve">ยาแก้ปวด, ลดไข้ (D)</x:t>
        </x:is>
      </x:c>
      <x:c r="C36" t="n">
        <x:v>2846</x:v>
      </x:c>
      <x:c r="D36" t="inlineStr">
        <x:is>
          <x:t xml:space="preserve">Nurofen-400</x:t>
        </x:is>
      </x:c>
      <x:c r="E36" t="inlineStr">
        <x:is>
          <x:t xml:space="preserve">แผง 6 เม็ด</x:t>
        </x:is>
      </x:c>
      <x:c r="F36" t="inlineStr">
        <x:is>
          <x:t xml:space="preserve">Ibuprofen 400 mg.</x:t>
        </x:is>
      </x:c>
      <x:c r="G36" t="inlineStr">
        <x:is>
          <x:t xml:space="preserve">BDS002846</x:t>
        </x:is>
      </x:c>
      <x:c r="H36" t="inlineStr">
        <x:is>
          <x:t xml:space="preserve">Nurofen-400 (6 tabs)</x:t>
        </x:is>
      </x:c>
      <x:c r="I36" t="inlineStr">
        <x:is>
          <x:t xml:space="preserve">รับประทานครั้งละ 1 เม็ด วันละ 3 ครั้ง หลังอาหารทันที</x:t>
        </x:is>
      </x:c>
      <x:c r="P36" t="inlineStr">
        <x:is>
          <x:t xml:space="preserve">General analgesics/antipyretics</x:t>
        </x:is>
      </x:c>
    </x:row>
    <x:row r="37">
      <x:c r="A37" t="n">
        <x:v>392</x:v>
      </x:c>
      <x:c r="B37" t="inlineStr">
        <x:is>
          <x:t xml:space="preserve">ยาแก้ปวด, ลดไข้ (D)</x:t>
        </x:is>
      </x:c>
      <x:c r="C37" t="n">
        <x:v>47673</x:v>
      </x:c>
      <x:c r="D37" t="inlineStr">
        <x:is>
          <x:t xml:space="preserve">Solufen 400</x:t>
        </x:is>
      </x:c>
      <x:c r="E37" t="inlineStr">
        <x:is>
          <x:t xml:space="preserve">กล่อง 10 แคปซูล</x:t>
        </x:is>
      </x:c>
      <x:c r="F37" t="inlineStr">
        <x:is>
          <x:t xml:space="preserve">Ibuprofen 400 mg.</x:t>
        </x:is>
      </x:c>
      <x:c r="G37" t="inlineStr">
        <x:is>
          <x:t xml:space="preserve">BDS047673</x:t>
        </x:is>
      </x:c>
      <x:c r="H37" t="inlineStr">
        <x:is>
          <x:t xml:space="preserve">Solufen 400 (10 cap)</x:t>
        </x:is>
      </x:c>
      <x:c r="I37" t="inlineStr">
        <x:is>
          <x:t xml:space="preserve">รับประทานครั้งละ 1 แคปซูล ทุก 4-6 ชั่วโมง </x:t>
        </x:is>
      </x:c>
      <x:c r="P37" t="inlineStr">
        <x:is>
          <x:t xml:space="preserve">General analgesics/antipyretics</x:t>
        </x:is>
      </x:c>
    </x:row>
    <x:row r="38">
      <x:c r="A38" t="n">
        <x:v>426</x:v>
      </x:c>
      <x:c r="B38" t="inlineStr">
        <x:is>
          <x:t xml:space="preserve">ยาแก้ปวด, ลดไข้ ชนิดน้ำ (D)</x:t>
        </x:is>
      </x:c>
      <x:c r="C38" t="n">
        <x:v>1665</x:v>
      </x:c>
      <x:c r="D38" t="inlineStr">
        <x:is>
          <x:t xml:space="preserve">Duran Suspension</x:t>
        </x:is>
      </x:c>
      <x:c r="E38" t="inlineStr">
        <x:is>
          <x:t xml:space="preserve">ขวด 60 ml.</x:t>
        </x:is>
      </x:c>
      <x:c r="F38" t="inlineStr">
        <x:is>
          <x:t xml:space="preserve">Ibuprofen 100 mg./5 ml.</x:t>
        </x:is>
      </x:c>
      <x:c r="G38" t="inlineStr">
        <x:is>
          <x:t xml:space="preserve">BDS001665</x:t>
        </x:is>
      </x:c>
      <x:c r="H38" t="inlineStr">
        <x:is>
          <x:t xml:space="preserve">Duran Suspension (60 ml.)</x:t>
        </x:is>
      </x:c>
      <x:c r="I38" t="inlineStr">
        <x:is>
          <x:t xml:space="preserve">รับประทานครั้งละ 1-2 ช้อนชา วันละ 4 ครั้ง หลังอาหาร หรือตามแพทย์สั่ง</x:t>
        </x:is>
      </x:c>
      <x:c r="P38" t="inlineStr">
        <x:is>
          <x:t xml:space="preserve">General analgesics/antipyretics</x:t>
        </x:is>
      </x:c>
    </x:row>
    <x:row r="39">
      <x:c r="A39" t="n">
        <x:v>427</x:v>
      </x:c>
      <x:c r="B39" t="inlineStr">
        <x:is>
          <x:t xml:space="preserve">ยาแก้ปวด, ลดไข้ ชนิดน้ำ (D)</x:t>
        </x:is>
      </x:c>
      <x:c r="C39" t="n">
        <x:v>7151</x:v>
      </x:c>
      <x:c r="D39" t="inlineStr">
        <x:is>
          <x:t xml:space="preserve">Ibukids Suspension</x:t>
        </x:is>
      </x:c>
      <x:c r="E39" t="inlineStr">
        <x:is>
          <x:t xml:space="preserve">ขวด 60 ml.</x:t>
        </x:is>
      </x:c>
      <x:c r="F39" t="inlineStr">
        <x:is>
          <x:t xml:space="preserve">Ibuprofen 100 mg./5 ml.</x:t>
        </x:is>
      </x:c>
      <x:c r="G39" t="inlineStr">
        <x:is>
          <x:t xml:space="preserve">BDS007151</x:t>
        </x:is>
      </x:c>
      <x:c r="H39" t="inlineStr">
        <x:is>
          <x:t xml:space="preserve">Ibukids Suspension (60 ml.)</x:t>
        </x:is>
      </x:c>
      <x:c r="I39" t="inlineStr">
        <x:is>
          <x:t xml:space="preserve">เด็กโตรับประทานครั้งละ 2 ช้อนชา วันละ 3 ครั้ง หลังอาหาร</x:t>
        </x:is>
      </x:c>
      <x:c r="P39" t="inlineStr">
        <x:is>
          <x:t xml:space="preserve">General analgesics/antipyretics</x:t>
        </x:is>
      </x:c>
    </x:row>
    <x:row r="40">
      <x:c r="A40" t="n">
        <x:v>428</x:v>
      </x:c>
      <x:c r="B40" t="inlineStr">
        <x:is>
          <x:t xml:space="preserve">ยาแก้ปวด, ลดไข้ ชนิดน้ำ (D)</x:t>
        </x:is>
      </x:c>
      <x:c r="C40" t="n">
        <x:v>2845</x:v>
      </x:c>
      <x:c r="D40" t="inlineStr">
        <x:is>
          <x:t xml:space="preserve">Nurofen Suspension</x:t>
        </x:is>
      </x:c>
      <x:c r="E40" t="inlineStr">
        <x:is>
          <x:t xml:space="preserve">ขวด 60 ml.</x:t>
        </x:is>
      </x:c>
      <x:c r="F40" t="inlineStr">
        <x:is>
          <x:t xml:space="preserve">Ibuprofen 100 mg./5 ml.</x:t>
        </x:is>
      </x:c>
      <x:c r="G40" t="inlineStr">
        <x:is>
          <x:t xml:space="preserve">BDS002845</x:t>
        </x:is>
      </x:c>
      <x:c r="H40" t="inlineStr">
        <x:is>
          <x:t xml:space="preserve">Nurofen Suspension (60 ml.)</x:t>
        </x:is>
      </x:c>
      <x:c r="I40" t="inlineStr">
        <x:is>
          <x:t xml:space="preserve">รับประทานครั้งละ 1-2 ช้อนชา วันละ 3-4 ครั้ง หลังอาหาร</x:t>
        </x:is>
      </x:c>
      <x:c r="P40" t="inlineStr">
        <x:is>
          <x:t xml:space="preserve">General analgesics/antipyretics</x:t>
        </x:is>
      </x:c>
    </x:row>
    <x:row r="41">
      <x:c r="A41" t="n">
        <x:v>487</x:v>
      </x:c>
      <x:c r="B41" t="inlineStr">
        <x:is>
          <x:t xml:space="preserve">ยาแก้ปวด, ลดไข้ (OTC)</x:t>
        </x:is>
      </x:c>
      <x:c r="C41" t="n">
        <x:v>40613</x:v>
      </x:c>
      <x:c r="D41" t="inlineStr">
        <x:is>
          <x:t xml:space="preserve">Bakamol 500 mg strip 10s</x:t>
        </x:is>
      </x:c>
      <x:c r="E41" t="inlineStr">
        <x:is>
          <x:t xml:space="preserve">แผง 10 เม็ด</x:t>
        </x:is>
      </x:c>
      <x:c r="F41" t="inlineStr">
        <x:is>
          <x:t xml:space="preserve">Paracetamol 500 mg.</x:t>
        </x:is>
      </x:c>
      <x:c r="G41" t="inlineStr">
        <x:is>
          <x:t xml:space="preserve">BDS040613</x:t>
        </x:is>
      </x:c>
      <x:c r="H41" t="inlineStr">
        <x:is>
          <x:t xml:space="preserve">Bakamol 500 mg strip 10s (10 tabs)</x:t>
        </x:is>
      </x:c>
      <x:c r="I41" t="inlineStr">
        <x:is>
          <x:t xml:space="preserve">รับประทานครั้งละ 1-2 เม็ด ทุก 4-6 ชั่วโมง</x:t>
        </x:is>
      </x:c>
      <x:c r="J41" t="inlineStr">
        <x:is>
          <x:t xml:space="preserve">Take 1-2 tablets every 4-6 hours</x:t>
        </x:is>
      </x:c>
      <x:c r="P41" t="inlineStr">
        <x:is>
          <x:t xml:space="preserve">General analgesics/antipyretics</x:t>
        </x:is>
      </x:c>
    </x:row>
    <x:row r="42">
      <x:c r="A42" t="n">
        <x:v>488</x:v>
      </x:c>
      <x:c r="B42" t="inlineStr">
        <x:is>
          <x:t xml:space="preserve">ยาแก้ปวด, ลดไข้ (OTC)</x:t>
        </x:is>
      </x:c>
      <x:c r="C42" t="n">
        <x:v>7044</x:v>
      </x:c>
      <x:c r="D42" t="inlineStr">
        <x:is>
          <x:t xml:space="preserve">Cemol 500 mg strip 10s เม็ดรี</x:t>
        </x:is>
      </x:c>
      <x:c r="E42" t="inlineStr">
        <x:is>
          <x:t xml:space="preserve">แผง 10 เม็ด</x:t>
        </x:is>
      </x:c>
      <x:c r="F42" t="inlineStr">
        <x:is>
          <x:t xml:space="preserve">Paracetamol 500 mg.</x:t>
        </x:is>
      </x:c>
      <x:c r="G42" t="inlineStr">
        <x:is>
          <x:t xml:space="preserve">BDS007044</x:t>
        </x:is>
      </x:c>
      <x:c r="H42" t="inlineStr">
        <x:is>
          <x:t xml:space="preserve">Cemol 500 mg strip 10s เม็ดรี (10 tabs)</x:t>
        </x:is>
      </x:c>
      <x:c r="I42" t="inlineStr">
        <x:is>
          <x:t xml:space="preserve">รับประทานครั้งละ 1-2 เม็ด ทุก 4 ชั่วโมง หรือเมื่อมีอาการ</x:t>
        </x:is>
      </x:c>
      <x:c r="J42" t="inlineStr">
        <x:is>
          <x:t xml:space="preserve">Take 1-2 tablets every 4 hours or if symptoms occur</x:t>
        </x:is>
      </x:c>
      <x:c r="P42" t="inlineStr">
        <x:is>
          <x:t xml:space="preserve">General analgesics/antipyretics</x:t>
        </x:is>
      </x:c>
    </x:row>
    <x:row r="43">
      <x:c r="A43" t="n">
        <x:v>489</x:v>
      </x:c>
      <x:c r="B43" t="inlineStr">
        <x:is>
          <x:t xml:space="preserve">ยาแก้ปวด, ลดไข้ (OTC)</x:t>
        </x:is>
      </x:c>
      <x:c r="C43" t="n">
        <x:v>3108</x:v>
      </x:c>
      <x:c r="D43" t="inlineStr">
        <x:is>
          <x:t xml:space="preserve">Para Cap strip 10s</x:t>
        </x:is>
      </x:c>
      <x:c r="E43" t="inlineStr">
        <x:is>
          <x:t xml:space="preserve">แผง 10 เม็ด</x:t>
        </x:is>
      </x:c>
      <x:c r="F43" t="inlineStr">
        <x:is>
          <x:t xml:space="preserve">Paracetamol 500 mg.</x:t>
        </x:is>
      </x:c>
      <x:c r="G43" t="inlineStr">
        <x:is>
          <x:t xml:space="preserve">BDS003108</x:t>
        </x:is>
      </x:c>
      <x:c r="H43" t="inlineStr">
        <x:is>
          <x:t xml:space="preserve">Para Cap strip 10s (10 tabs)</x:t>
        </x:is>
      </x:c>
      <x:c r="I43" t="inlineStr">
        <x:is>
          <x:t xml:space="preserve">รับประทานครั้งละ 1-2 เม็ด ทุก 4-6 ชั่วโมง</x:t>
        </x:is>
      </x:c>
      <x:c r="J43" t="inlineStr">
        <x:is>
          <x:t xml:space="preserve">Take 1-2 tablets every 4-6 hours</x:t>
        </x:is>
      </x:c>
      <x:c r="P43" t="inlineStr">
        <x:is>
          <x:t xml:space="preserve">General analgesics/antipyretics</x:t>
        </x:is>
      </x:c>
    </x:row>
    <x:row r="44">
      <x:c r="A44" t="n">
        <x:v>490</x:v>
      </x:c>
      <x:c r="B44" t="inlineStr">
        <x:is>
          <x:t xml:space="preserve">ยาแก้ปวด, ลดไข้ (OTC)</x:t>
        </x:is>
      </x:c>
      <x:c r="C44" t="n">
        <x:v>3503</x:v>
      </x:c>
      <x:c r="D44" t="inlineStr">
        <x:is>
          <x:t xml:space="preserve">Sara เม็ดกลม แผง 10s</x:t>
        </x:is>
      </x:c>
      <x:c r="E44" t="inlineStr">
        <x:is>
          <x:t xml:space="preserve">แผง 10 เม็ด</x:t>
        </x:is>
      </x:c>
      <x:c r="F44" t="inlineStr">
        <x:is>
          <x:t xml:space="preserve">Paracetamol 500 mg.</x:t>
        </x:is>
      </x:c>
      <x:c r="G44" t="inlineStr">
        <x:is>
          <x:t xml:space="preserve">BDS003503</x:t>
        </x:is>
      </x:c>
      <x:c r="H44" t="inlineStr">
        <x:is>
          <x:t xml:space="preserve">Sara เม็ดกลม แผง 10s (10 tabs)</x:t>
        </x:is>
      </x:c>
      <x:c r="I44" t="inlineStr">
        <x:is>
          <x:t xml:space="preserve">รับประทานครั้งละ 1-2 เม็ด ทุก 4-6 ชั่วโมง</x:t>
        </x:is>
      </x:c>
      <x:c r="J44" t="inlineStr">
        <x:is>
          <x:t xml:space="preserve">Take 1-2 tablets every 4-6 hours</x:t>
        </x:is>
      </x:c>
      <x:c r="P44" t="inlineStr">
        <x:is>
          <x:t xml:space="preserve">General analgesics/antipyretics</x:t>
        </x:is>
      </x:c>
    </x:row>
    <x:row r="45">
      <x:c r="A45" t="n">
        <x:v>491</x:v>
      </x:c>
      <x:c r="B45" t="inlineStr">
        <x:is>
          <x:t xml:space="preserve">ยาแก้ปวด, ลดไข้ (OTC)</x:t>
        </x:is>
      </x:c>
      <x:c r="C45" t="n">
        <x:v>3654</x:v>
      </x:c>
      <x:c r="D45" t="inlineStr">
        <x:is>
          <x:t xml:space="preserve">Sara เม็ดรี แผง 10s</x:t>
        </x:is>
      </x:c>
      <x:c r="E45" t="inlineStr">
        <x:is>
          <x:t xml:space="preserve">แผง 10 เม็ด</x:t>
        </x:is>
      </x:c>
      <x:c r="F45" t="inlineStr">
        <x:is>
          <x:t xml:space="preserve">Paracetamol 500 mg.</x:t>
        </x:is>
      </x:c>
      <x:c r="G45" t="inlineStr">
        <x:is>
          <x:t xml:space="preserve">BDS003654</x:t>
        </x:is>
      </x:c>
      <x:c r="H45" t="inlineStr">
        <x:is>
          <x:t xml:space="preserve">Sara เม็ดรี แผง 10s (10 tabs)</x:t>
        </x:is>
      </x:c>
      <x:c r="I45" t="inlineStr">
        <x:is>
          <x:t xml:space="preserve">รับประทานครั้งละ1-2 เม็ด  ทุก 4-6 ชั่วโมง</x:t>
        </x:is>
      </x:c>
      <x:c r="J45" t="inlineStr">
        <x:is>
          <x:t xml:space="preserve">Take 1-2 tablets every 4-6 hours</x:t>
        </x:is>
      </x:c>
      <x:c r="P45" t="inlineStr">
        <x:is>
          <x:t xml:space="preserve">General analgesics/antipyretics</x:t>
        </x:is>
      </x:c>
    </x:row>
    <x:row r="46">
      <x:c r="A46" t="n">
        <x:v>492</x:v>
      </x:c>
      <x:c r="B46" t="inlineStr">
        <x:is>
          <x:t xml:space="preserve">ยาแก้ปวด, ลดไข้ (OTC)</x:t>
        </x:is>
      </x:c>
      <x:c r="C46" t="n">
        <x:v>3762</x:v>
      </x:c>
      <x:c r="D46" t="inlineStr">
        <x:is>
          <x:t xml:space="preserve">Tylenol 500 mg strip 10s</x:t>
        </x:is>
      </x:c>
      <x:c r="E46" t="inlineStr">
        <x:is>
          <x:t xml:space="preserve">แผง 10 เม็ด</x:t>
        </x:is>
      </x:c>
      <x:c r="F46" t="inlineStr">
        <x:is>
          <x:t xml:space="preserve">Paracetamol 500 mg.</x:t>
        </x:is>
      </x:c>
      <x:c r="G46" t="inlineStr">
        <x:is>
          <x:t xml:space="preserve">BDS003762</x:t>
        </x:is>
      </x:c>
      <x:c r="H46" t="inlineStr">
        <x:is>
          <x:t xml:space="preserve">Tylenol 500 mg strip 10s (10 tabs)</x:t>
        </x:is>
      </x:c>
      <x:c r="I46" t="inlineStr">
        <x:is>
          <x:t xml:space="preserve">รับประทานครั้งละ 1-2  เม็ด ทุก 4-6 ชั่วโมง</x:t>
        </x:is>
      </x:c>
      <x:c r="J46" t="inlineStr">
        <x:is>
          <x:t xml:space="preserve">Take 1-2 tablets every 4-6 hours</x:t>
        </x:is>
      </x:c>
      <x:c r="K46" t="n">
        <x:v>36</x:v>
      </x:c>
      <x:c r="L46" t="n">
        <x:v>3.6</x:v>
      </x:c>
      <x:c r="M46" t="inlineStr">
        <x:is>
          <x:t xml:space="preserve">USER</x:t>
        </x:is>
      </x:c>
      <x:c r="N46" t="inlineStr">
        <x:is>
          <x:t xml:space="preserve">2026-02-07</x:t>
        </x:is>
      </x:c>
      <x:c r="O46" t="inlineStr">
        <x:is>
          <x:t xml:space="preserve">User provided price (online). Unit price per tablet (10 tabs strip).</x:t>
        </x:is>
      </x:c>
      <x:c r="P46" t="inlineStr">
        <x:is>
          <x:t xml:space="preserve">General analgesics/antipyretics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71</x:v>
      </x:c>
      <x:c r="B2" t="inlineStr">
        <x:is>
          <x:t xml:space="preserve">ยาละลายเสมหะ</x:t>
        </x:is>
      </x:c>
      <x:c r="C2" t="n">
        <x:v>1255</x:v>
      </x:c>
      <x:c r="D2" t="inlineStr">
        <x:is>
          <x:t xml:space="preserve">Bisolvon</x:t>
        </x:is>
      </x:c>
      <x:c r="E2" t="inlineStr">
        <x:is>
          <x:t xml:space="preserve">แผง 10 เม็ด</x:t>
        </x:is>
      </x:c>
      <x:c r="F2" t="inlineStr">
        <x:is>
          <x:t xml:space="preserve">Bromhexine HCl 8 mg.</x:t>
        </x:is>
      </x:c>
      <x:c r="G2" t="inlineStr">
        <x:is>
          <x:t xml:space="preserve">BDS001255</x:t>
        </x:is>
      </x:c>
      <x:c r="H2" t="inlineStr">
        <x:is>
          <x:t xml:space="preserve">Bisolvon (10 tabs)</x:t>
        </x:is>
      </x:c>
      <x:c r="I2" t="inlineStr">
        <x:is>
          <x:t xml:space="preserve">รับประทานครั้งละ 1 เม็ด วันละ 3 ครั้ง</x:t>
        </x:is>
      </x:c>
      <x:c r="P2" t="inlineStr">
        <x:is>
          <x:t xml:space="preserve">Cough medicines / mucolytics / expectorants</x:t>
        </x:is>
      </x:c>
    </x:row>
    <x:row r="3">
      <x:c r="A3" t="n">
        <x:v>72</x:v>
      </x:c>
      <x:c r="B3" t="inlineStr">
        <x:is>
          <x:t xml:space="preserve">ยาละลายเสมหะ</x:t>
        </x:is>
      </x:c>
      <x:c r="C3" t="n">
        <x:v>8141</x:v>
      </x:c>
      <x:c r="D3" t="inlineStr">
        <x:is>
          <x:t xml:space="preserve">Bocytin Capsule</x:t>
        </x:is>
      </x:c>
      <x:c r="E3" t="inlineStr">
        <x:is>
          <x:t xml:space="preserve">กล่อง 10 แคปซูล</x:t>
        </x:is>
      </x:c>
      <x:c r="F3" t="inlineStr">
        <x:is>
          <x:t xml:space="preserve">Carbocysteine 375 mg.</x:t>
        </x:is>
      </x:c>
      <x:c r="G3" t="inlineStr">
        <x:is>
          <x:t xml:space="preserve">BDS008141</x:t>
        </x:is>
      </x:c>
      <x:c r="H3" t="inlineStr">
        <x:is>
          <x:t xml:space="preserve">Bocytin Capsule (10 cap)</x:t>
        </x:is>
      </x:c>
      <x:c r="I3" t="inlineStr">
        <x:is>
          <x:t xml:space="preserve">รับประทานครั้งละ 2 แคปซูล วันละ 3 ครั้ง</x:t>
        </x:is>
      </x:c>
      <x:c r="P3" t="inlineStr">
        <x:is>
          <x:t xml:space="preserve">Cough medicines / mucolytics / expectorants</x:t>
        </x:is>
      </x:c>
    </x:row>
    <x:row r="4">
      <x:c r="A4" t="n">
        <x:v>73</x:v>
      </x:c>
      <x:c r="B4" t="inlineStr">
        <x:is>
          <x:t xml:space="preserve">ยาละลายเสมหะ</x:t>
        </x:is>
      </x:c>
      <x:c r="C4" t="n">
        <x:v>1531</x:v>
      </x:c>
      <x:c r="D4" t="inlineStr">
        <x:is>
          <x:t xml:space="preserve">Cystaline</x:t>
        </x:is>
      </x:c>
      <x:c r="E4" t="inlineStr">
        <x:is>
          <x:t xml:space="preserve">หลอด 10 เม็ด</x:t>
        </x:is>
      </x:c>
      <x:c r="F4" t="inlineStr">
        <x:is>
          <x:t xml:space="preserve">Acetylcysteine 600 mg.</x:t>
        </x:is>
      </x:c>
      <x:c r="G4" t="inlineStr">
        <x:is>
          <x:t xml:space="preserve">BDS001531</x:t>
        </x:is>
      </x:c>
      <x:c r="H4" t="inlineStr">
        <x:is>
          <x:t xml:space="preserve">Cystaline (10 tabs)</x:t>
        </x:is>
      </x:c>
      <x:c r="I4" t="inlineStr">
        <x:is>
          <x:t xml:space="preserve">รับประทาน (ละลายยาในน้ำครึ่งแก้ว) ครั้งละ 1 เม็ดฟู่ วันละ 1 ครั้ง ก่อนอาหารเย็น</x:t>
        </x:is>
      </x:c>
      <x:c r="P4" t="inlineStr">
        <x:is>
          <x:t xml:space="preserve">Cough medicines / mucolytics / expectorants</x:t>
        </x:is>
      </x:c>
    </x:row>
    <x:row r="5">
      <x:c r="A5" t="n">
        <x:v>74</x:v>
      </x:c>
      <x:c r="B5" t="inlineStr">
        <x:is>
          <x:t xml:space="preserve">ยาละลายเสมหะ</x:t>
        </x:is>
      </x:c>
      <x:c r="C5" t="n">
        <x:v>43123</x:v>
      </x:c>
      <x:c r="D5" t="inlineStr">
        <x:is>
          <x:t xml:space="preserve">Facil 100</x:t>
        </x:is>
      </x:c>
      <x:c r="E5" t="inlineStr">
        <x:is>
          <x:t xml:space="preserve">ซอง 5 g.</x:t>
        </x:is>
      </x:c>
      <x:c r="F5" t="inlineStr">
        <x:is>
          <x:t xml:space="preserve">Acetylcysteine 100 mg./5 g.</x:t>
        </x:is>
      </x:c>
      <x:c r="G5" t="inlineStr">
        <x:is>
          <x:t xml:space="preserve">BDS043123</x:t>
        </x:is>
      </x:c>
      <x:c r="H5" t="inlineStr">
        <x:is>
          <x:t xml:space="preserve">Facil 100 (5 g.)</x:t>
        </x:is>
      </x:c>
      <x:c r="I5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5" t="inlineStr">
        <x:is>
          <x:t xml:space="preserve">Cough medicines / mucolytics / expectorants</x:t>
        </x:is>
      </x:c>
    </x:row>
    <x:row r="6">
      <x:c r="A6" t="n">
        <x:v>75</x:v>
      </x:c>
      <x:c r="B6" t="inlineStr">
        <x:is>
          <x:t xml:space="preserve">ยาละลายเสมหะ</x:t>
        </x:is>
      </x:c>
      <x:c r="C6" t="n">
        <x:v>43124</x:v>
      </x:c>
      <x:c r="D6" t="inlineStr">
        <x:is>
          <x:t xml:space="preserve">Facil 200</x:t>
        </x:is>
      </x:c>
      <x:c r="E6" t="inlineStr">
        <x:is>
          <x:t xml:space="preserve">ซอง 3 g.</x:t>
        </x:is>
      </x:c>
      <x:c r="F6" t="inlineStr">
        <x:is>
          <x:t xml:space="preserve">Acetylcysteine 200 mg./3 g.</x:t>
        </x:is>
      </x:c>
      <x:c r="G6" t="inlineStr">
        <x:is>
          <x:t xml:space="preserve">BDS043124</x:t>
        </x:is>
      </x:c>
      <x:c r="H6" t="inlineStr">
        <x:is>
          <x:t xml:space="preserve">Facil 200 (3 g.)</x:t>
        </x:is>
      </x:c>
      <x:c r="I6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6" t="inlineStr">
        <x:is>
          <x:t xml:space="preserve">Cough medicines / mucolytics / expectorants</x:t>
        </x:is>
      </x:c>
    </x:row>
    <x:row r="7">
      <x:c r="A7" t="n">
        <x:v>76</x:v>
      </x:c>
      <x:c r="B7" t="inlineStr">
        <x:is>
          <x:t xml:space="preserve">ยาละลายเสมหะ</x:t>
        </x:is>
      </x:c>
      <x:c r="C7" t="n">
        <x:v>1937</x:v>
      </x:c>
      <x:c r="D7" t="inlineStr">
        <x:is>
          <x:t xml:space="preserve">Flemex Foil</x:t>
        </x:is>
      </x:c>
      <x:c r="E7" t="inlineStr">
        <x:is>
          <x:t xml:space="preserve">แผง 10 เม็ด</x:t>
        </x:is>
      </x:c>
      <x:c r="F7" t="inlineStr">
        <x:is>
          <x:t xml:space="preserve">Carbocysteine 375 mg.</x:t>
        </x:is>
      </x:c>
      <x:c r="G7" t="inlineStr">
        <x:is>
          <x:t xml:space="preserve">BDS001937</x:t>
        </x:is>
      </x:c>
      <x:c r="H7" t="inlineStr">
        <x:is>
          <x:t xml:space="preserve">Flemex Foil (10 tabs)</x:t>
        </x:is>
      </x:c>
      <x:c r="I7" t="inlineStr">
        <x:is>
          <x:t xml:space="preserve">รับประทานครั้งละ 2 เม็ด วันละ 3 ครั้ง</x:t>
        </x:is>
      </x:c>
      <x:c r="P7" t="inlineStr">
        <x:is>
          <x:t xml:space="preserve">Cough medicines / mucolytics / expectorants</x:t>
        </x:is>
      </x:c>
    </x:row>
    <x:row r="8">
      <x:c r="A8" t="n">
        <x:v>77</x:v>
      </x:c>
      <x:c r="B8" t="inlineStr">
        <x:is>
          <x:t xml:space="preserve">ยาละลายเสมหะ</x:t>
        </x:is>
      </x:c>
      <x:c r="C8" t="n">
        <x:v>43121</x:v>
      </x:c>
      <x:c r="D8" t="inlineStr">
        <x:is>
          <x:t xml:space="preserve">Flemex-AC OD</x:t>
        </x:is>
      </x:c>
      <x:c r="E8" t="inlineStr">
        <x:is>
          <x:t xml:space="preserve">แผง 2 เม็ด</x:t>
        </x:is>
      </x:c>
      <x:c r="F8" t="inlineStr">
        <x:is>
          <x:t xml:space="preserve">Acetylcysteine 600 mg.</x:t>
        </x:is>
      </x:c>
      <x:c r="G8" t="inlineStr">
        <x:is>
          <x:t xml:space="preserve">BDS043121</x:t>
        </x:is>
      </x:c>
      <x:c r="H8" t="inlineStr">
        <x:is>
          <x:t xml:space="preserve">Flemex-AC OD (2 tabs)</x:t>
        </x:is>
      </x:c>
      <x:c r="I8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8" t="inlineStr">
        <x:is>
          <x:t xml:space="preserve">Cough medicines / mucolytics / expectorants</x:t>
        </x:is>
      </x:c>
    </x:row>
    <x:row r="9">
      <x:c r="A9" t="n">
        <x:v>78</x:v>
      </x:c>
      <x:c r="B9" t="inlineStr">
        <x:is>
          <x:t xml:space="preserve">ยาละลายเสมหะ</x:t>
        </x:is>
      </x:c>
      <x:c r="C9" t="n">
        <x:v>1936</x:v>
      </x:c>
      <x:c r="D9" t="inlineStr">
        <x:is>
          <x:t xml:space="preserve">Fluimucil A 200 mg</x:t>
        </x:is>
      </x:c>
      <x:c r="E9" t="inlineStr">
        <x:is>
          <x:t xml:space="preserve">ซอง 3 g.</x:t>
        </x:is>
      </x:c>
      <x:c r="F9" t="inlineStr">
        <x:is>
          <x:t xml:space="preserve">Acetylcysteine 200 mg./3 g.</x:t>
        </x:is>
      </x:c>
      <x:c r="G9" t="inlineStr">
        <x:is>
          <x:t xml:space="preserve">BDS001936</x:t>
        </x:is>
      </x:c>
      <x:c r="H9" t="inlineStr">
        <x:is>
          <x:t xml:space="preserve">Fluimucil A 200 mg (3 g.)</x:t>
        </x:is>
      </x:c>
      <x:c r="I9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9" t="inlineStr">
        <x:is>
          <x:t xml:space="preserve">Cough medicines / mucolytics / expectorants</x:t>
        </x:is>
      </x:c>
    </x:row>
    <x:row r="10">
      <x:c r="A10" t="n">
        <x:v>79</x:v>
      </x:c>
      <x:c r="B10" t="inlineStr">
        <x:is>
          <x:t xml:space="preserve">ยาละลายเสมหะ</x:t>
        </x:is>
      </x:c>
      <x:c r="C10" t="n">
        <x:v>1909</x:v>
      </x:c>
      <x:c r="D10" t="inlineStr">
        <x:is>
          <x:t xml:space="preserve">Fluimucil A 600 mg</x:t>
        </x:is>
      </x:c>
      <x:c r="E10" t="inlineStr">
        <x:is>
          <x:t xml:space="preserve">แผง 2 เม็ด</x:t>
        </x:is>
      </x:c>
      <x:c r="F10" t="inlineStr">
        <x:is>
          <x:t xml:space="preserve">Acetylcysteine 600 mg.</x:t>
        </x:is>
      </x:c>
      <x:c r="G10" t="inlineStr">
        <x:is>
          <x:t xml:space="preserve">BDS001909</x:t>
        </x:is>
      </x:c>
      <x:c r="H10" t="inlineStr">
        <x:is>
          <x:t xml:space="preserve">Fluimucil A 600 mg (2 tabs)</x:t>
        </x:is>
      </x:c>
      <x:c r="I10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10" t="inlineStr">
        <x:is>
          <x:t xml:space="preserve">Cough medicines / mucolytics / expectorants</x:t>
        </x:is>
      </x:c>
    </x:row>
    <x:row r="11">
      <x:c r="A11" t="n">
        <x:v>80</x:v>
      </x:c>
      <x:c r="B11" t="inlineStr">
        <x:is>
          <x:t xml:space="preserve">ยาละลายเสมหะ</x:t>
        </x:is>
      </x:c>
      <x:c r="C11" t="n">
        <x:v>2574</x:v>
      </x:c>
      <x:c r="D11" t="inlineStr">
        <x:is>
          <x:t xml:space="preserve">Muclear tabslet</x:t>
        </x:is>
      </x:c>
      <x:c r="E11" t="inlineStr">
        <x:is>
          <x:t xml:space="preserve">หลอด 10 เม็ด</x:t>
        </x:is>
      </x:c>
      <x:c r="F11" t="inlineStr">
        <x:is>
          <x:t xml:space="preserve">Acetylcysteine 600 mg.</x:t>
        </x:is>
      </x:c>
      <x:c r="G11" t="inlineStr">
        <x:is>
          <x:t xml:space="preserve">BDS002574</x:t>
        </x:is>
      </x:c>
      <x:c r="H11" t="inlineStr">
        <x:is>
          <x:t xml:space="preserve">Muclear tabslet (10 tabs)</x:t>
        </x:is>
      </x:c>
      <x:c r="I11" t="inlineStr">
        <x:is>
          <x:t xml:space="preserve">ละลายยาครั้งละ 1 เม็ด ลงในน้ำครึ่งแก้ว ดื่มวันละ 1 ครั้ง หลังอาหารเย็น </x:t>
        </x:is>
      </x:c>
      <x:c r="P11" t="inlineStr">
        <x:is>
          <x:t xml:space="preserve">Cough medicines / mucolytics / expectorants</x:t>
        </x:is>
      </x:c>
    </x:row>
    <x:row r="12">
      <x:c r="A12" t="n">
        <x:v>81</x:v>
      </x:c>
      <x:c r="B12" t="inlineStr">
        <x:is>
          <x:t xml:space="preserve">ยาละลายเสมหะ</x:t>
        </x:is>
      </x:c>
      <x:c r="C12" t="n">
        <x:v>2655</x:v>
      </x:c>
      <x:c r="D12" t="inlineStr">
        <x:is>
          <x:t xml:space="preserve">Mucolid</x:t>
        </x:is>
      </x:c>
      <x:c r="E12" t="inlineStr">
        <x:is>
          <x:t xml:space="preserve">แผง 10 เม็ด</x:t>
        </x:is>
      </x:c>
      <x:c r="F12" t="inlineStr">
        <x:is>
          <x:t xml:space="preserve">Ambroxol HCl 30 mg.</x:t>
        </x:is>
      </x:c>
      <x:c r="G12" t="inlineStr">
        <x:is>
          <x:t xml:space="preserve">BDS002655</x:t>
        </x:is>
      </x:c>
      <x:c r="H12" t="inlineStr">
        <x:is>
          <x:t xml:space="preserve">Mucolid (10 tabs)</x:t>
        </x:is>
      </x:c>
      <x:c r="I12" t="inlineStr">
        <x:is>
          <x:t xml:space="preserve">รับประทานครั้งละ 1 เม็ด วันละ 3-4 ครั้ง </x:t>
        </x:is>
      </x:c>
      <x:c r="K12" t="n">
        <x:v>90</x:v>
      </x:c>
      <x:c r="L12" t="n">
        <x:v>9</x:v>
      </x:c>
      <x:c r="M12" t="inlineStr">
        <x:is>
          <x:t xml:space="preserve">USER</x:t>
        </x:is>
      </x:c>
      <x:c r="N12" t="inlineStr">
        <x:is>
          <x:t xml:space="preserve">2026-02-07</x:t>
        </x:is>
      </x:c>
      <x:c r="O12" t="inlineStr">
        <x:is>
          <x:t xml:space="preserve">User provided price (Mucolid 10 tabs).</x:t>
        </x:is>
      </x:c>
      <x:c r="P12" t="inlineStr">
        <x:is>
          <x:t xml:space="preserve">Cough medicines / mucolytics / expectorants</x:t>
        </x:is>
      </x:c>
    </x:row>
    <x:row r="13">
      <x:c r="A13" t="n">
        <x:v>82</x:v>
      </x:c>
      <x:c r="B13" t="inlineStr">
        <x:is>
          <x:t xml:space="preserve">ยาละลายเสมหะ</x:t>
        </x:is>
      </x:c>
      <x:c r="C13" t="n">
        <x:v>2640</x:v>
      </x:c>
      <x:c r="D13" t="inlineStr">
        <x:is>
          <x:t xml:space="preserve">Mucolid SF 600</x:t>
        </x:is>
      </x:c>
      <x:c r="E13" t="inlineStr">
        <x:is>
          <x:t xml:space="preserve">ซอง 7 g.</x:t>
        </x:is>
      </x:c>
      <x:c r="F13" t="inlineStr">
        <x:is>
          <x:t xml:space="preserve">Acetylcysteine 600 mg./7 g.</x:t>
        </x:is>
      </x:c>
      <x:c r="G13" t="inlineStr">
        <x:is>
          <x:t xml:space="preserve">BDS002640</x:t>
        </x:is>
      </x:c>
      <x:c r="H13" t="inlineStr">
        <x:is>
          <x:t xml:space="preserve">Mucolid SF 600 (7 g.)</x:t>
        </x:is>
      </x:c>
      <x:c r="I13" t="inlineStr">
        <x:is>
          <x:t xml:space="preserve">ผู้ใหญ่รับประทาน (ละลาย) ครั้งละ 1 ซอง ต่อน้ำครึ่งถ้วย วันละ 1 ครั้ง หรือตามแพทย์สั่ง</x:t>
        </x:is>
      </x:c>
      <x:c r="P13" t="inlineStr">
        <x:is>
          <x:t xml:space="preserve">Cough medicines / mucolytics / expectorants</x:t>
        </x:is>
      </x:c>
    </x:row>
    <x:row r="14">
      <x:c r="A14" t="n">
        <x:v>83</x:v>
      </x:c>
      <x:c r="B14" t="inlineStr">
        <x:is>
          <x:t xml:space="preserve">ยาละลายเสมหะ</x:t>
        </x:is>
      </x:c>
      <x:c r="C14" t="n">
        <x:v>8135</x:v>
      </x:c>
      <x:c r="D14" t="inlineStr">
        <x:is>
          <x:t xml:space="preserve">Muco-Sea 200</x:t>
        </x:is>
      </x:c>
      <x:c r="E14" t="inlineStr">
        <x:is>
          <x:t xml:space="preserve">ซอง 3 g.</x:t>
        </x:is>
      </x:c>
      <x:c r="F14" t="inlineStr">
        <x:is>
          <x:t xml:space="preserve">Acetylcysteine 200 mg./3 g.</x:t>
        </x:is>
      </x:c>
      <x:c r="G14" t="inlineStr">
        <x:is>
          <x:t xml:space="preserve">BDS008135</x:t>
        </x:is>
      </x:c>
      <x:c r="H14" t="inlineStr">
        <x:is>
          <x:t xml:space="preserve">Muco-Sea 200 (3 g.)</x:t>
        </x:is>
      </x:c>
      <x:c r="I14" t="inlineStr">
        <x:is>
          <x:t xml:space="preserve">ละลายยา 1 ซองต่อน้ำ ครึ่ง แก้ว รับประทานวันละ 3-4  ครั้ง </x:t>
        </x:is>
      </x:c>
      <x:c r="P14" t="inlineStr">
        <x:is>
          <x:t xml:space="preserve">Cough medicines / mucolytics / expectorants</x:t>
        </x:is>
      </x:c>
    </x:row>
    <x:row r="15">
      <x:c r="A15" t="n">
        <x:v>84</x:v>
      </x:c>
      <x:c r="B15" t="inlineStr">
        <x:is>
          <x:t xml:space="preserve">ยาละลายเสมหะ</x:t>
        </x:is>
      </x:c>
      <x:c r="C15" t="n">
        <x:v>2643</x:v>
      </x:c>
      <x:c r="D15" t="inlineStr">
        <x:is>
          <x:t xml:space="preserve">Mucosolvan</x:t>
        </x:is>
      </x:c>
      <x:c r="E15" t="inlineStr">
        <x:is>
          <x:t xml:space="preserve">แผง 10 เม็ด</x:t>
        </x:is>
      </x:c>
      <x:c r="F15" t="inlineStr">
        <x:is>
          <x:t xml:space="preserve">Ambroxol HCl 30 mg.</x:t>
        </x:is>
      </x:c>
      <x:c r="G15" t="inlineStr">
        <x:is>
          <x:t xml:space="preserve">BDS002643</x:t>
        </x:is>
      </x:c>
      <x:c r="H15" t="inlineStr">
        <x:is>
          <x:t xml:space="preserve">Mucosolvan (10 tabs)</x:t>
        </x:is>
      </x:c>
      <x:c r="I15" t="inlineStr">
        <x:is>
          <x:t xml:space="preserve">รับประทานครั้งละ 1 เม็ด วันละ 3-4 ครั้ง</x:t>
        </x:is>
      </x:c>
      <x:c r="P15" t="inlineStr">
        <x:is>
          <x:t xml:space="preserve">Cough medicines / mucolytics / expectorants</x:t>
        </x:is>
      </x:c>
    </x:row>
    <x:row r="16">
      <x:c r="A16" t="n">
        <x:v>85</x:v>
      </x:c>
      <x:c r="B16" t="inlineStr">
        <x:is>
          <x:t xml:space="preserve">ยาละลายเสมหะ</x:t>
        </x:is>
      </x:c>
      <x:c r="C16" t="n">
        <x:v>2639</x:v>
      </x:c>
      <x:c r="D16" t="inlineStr">
        <x:is>
          <x:t xml:space="preserve">Mucosolvan PL</x:t>
        </x:is>
      </x:c>
      <x:c r="E16" t="inlineStr">
        <x:is>
          <x:t xml:space="preserve">แผง 10 แคปซูล</x:t>
        </x:is>
      </x:c>
      <x:c r="F16" t="inlineStr">
        <x:is>
          <x:t xml:space="preserve">Ambroxol HCl 75 mg.</x:t>
        </x:is>
      </x:c>
      <x:c r="G16" t="inlineStr">
        <x:is>
          <x:t xml:space="preserve">BDS002639</x:t>
        </x:is>
      </x:c>
      <x:c r="H16" t="inlineStr">
        <x:is>
          <x:t xml:space="preserve">Mucosolvan PL (10 cap)</x:t>
        </x:is>
      </x:c>
      <x:c r="P16" t="inlineStr">
        <x:is>
          <x:t xml:space="preserve">Cough medicines / mucolytics / expectorants</x:t>
        </x:is>
      </x:c>
    </x:row>
    <x:row r="17">
      <x:c r="A17" t="n">
        <x:v>86</x:v>
      </x:c>
      <x:c r="B17" t="inlineStr">
        <x:is>
          <x:t xml:space="preserve">ยาละลายเสมหะ</x:t>
        </x:is>
      </x:c>
      <x:c r="C17" t="n">
        <x:v>2901</x:v>
      </x:c>
      <x:c r="D17" t="inlineStr">
        <x:is>
          <x:t xml:space="preserve">Nac Long</x:t>
        </x:is>
      </x:c>
      <x:c r="E17" t="inlineStr">
        <x:is>
          <x:t xml:space="preserve">หลอด 10 เม็ด</x:t>
        </x:is>
      </x:c>
      <x:c r="F17" t="inlineStr">
        <x:is>
          <x:t xml:space="preserve">Acetylcysteine 600 mg.</x:t>
        </x:is>
      </x:c>
      <x:c r="G17" t="inlineStr">
        <x:is>
          <x:t xml:space="preserve">BDS002901</x:t>
        </x:is>
      </x:c>
      <x:c r="H17" t="inlineStr">
        <x:is>
          <x:t xml:space="preserve">Nac Long (10 tabs)</x:t>
        </x:is>
      </x:c>
      <x:c r="I17" t="inlineStr">
        <x:is>
          <x:t xml:space="preserve"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x:t>
        </x:is>
      </x:c>
      <x:c r="J17" t="inlineStr">
        <x:is>
          <x:t xml:space="preserve">orally (dissolve the drug in half a glass of water), Take 2-4 tablets once a day before bedtime. 1 time a day before dinner</x:t>
        </x:is>
      </x:c>
      <x:c r="K17" t="n">
        <x:v>270</x:v>
      </x:c>
      <x:c r="L17" t="n">
        <x:v>27</x:v>
      </x:c>
      <x:c r="M17" t="inlineStr">
        <x:is>
          <x:t xml:space="preserve">USER</x:t>
        </x:is>
      </x:c>
      <x:c r="N17" t="inlineStr">
        <x:is>
          <x:t xml:space="preserve">2026-02-07</x:t>
        </x:is>
      </x:c>
      <x:c r="O17" t="inlineStr">
        <x:is>
          <x:t xml:space="preserve">User provided price (online). Unit price is per tablet (10-tab tube).</x:t>
        </x:is>
      </x:c>
      <x:c r="P17" t="inlineStr">
        <x:is>
          <x:t xml:space="preserve">Cough medicines / mucolytics / expectorants</x:t>
        </x:is>
      </x:c>
    </x:row>
    <x:row r="18">
      <x:c r="A18" t="n">
        <x:v>87</x:v>
      </x:c>
      <x:c r="B18" t="inlineStr">
        <x:is>
          <x:t xml:space="preserve">ยาละลายเสมหะ</x:t>
        </x:is>
      </x:c>
      <x:c r="C18" t="n">
        <x:v>3694</x:v>
      </x:c>
      <x:c r="D18" t="inlineStr">
        <x:is>
          <x:t xml:space="preserve">Solmax</x:t>
        </x:is>
      </x:c>
      <x:c r="E18" t="inlineStr">
        <x:is>
          <x:t xml:space="preserve">แผง 10 แคปซูล</x:t>
        </x:is>
      </x:c>
      <x:c r="F18" t="inlineStr">
        <x:is>
          <x:t xml:space="preserve">Carbocysteine 500 mg.</x:t>
        </x:is>
      </x:c>
      <x:c r="G18" t="inlineStr">
        <x:is>
          <x:t xml:space="preserve">BDS003694</x:t>
        </x:is>
      </x:c>
      <x:c r="H18" t="inlineStr">
        <x:is>
          <x:t xml:space="preserve">Solmax (10 cap)</x:t>
        </x:is>
      </x:c>
      <x:c r="I18" t="inlineStr">
        <x:is>
          <x:t xml:space="preserve">รับประทานครั้งละ 1 แคปซูล วันละ 3 ครั้ง</x:t>
        </x:is>
      </x:c>
      <x:c r="P18" t="inlineStr">
        <x:is>
          <x:t xml:space="preserve">Cough medicines / mucolytics / expectorants</x:t>
        </x:is>
      </x:c>
    </x:row>
    <x:row r="19">
      <x:c r="A19" t="n">
        <x:v>168</x:v>
      </x:c>
      <x:c r="B19" t="inlineStr">
        <x:is>
          <x:t xml:space="preserve">ยาแก้ไอแห้ง, คันคอ (D)</x:t>
        </x:is>
      </x:c>
      <x:c r="C19" t="n">
        <x:v>7911</x:v>
      </x:c>
      <x:c r="D19" t="inlineStr">
        <x:is>
          <x:t xml:space="preserve">Dibendryl</x:t>
        </x:is>
      </x:c>
      <x:c r="E19" t="inlineStr">
        <x:is>
          <x:t xml:space="preserve">แผง 10 เม็ด</x:t>
        </x:is>
      </x:c>
      <x:c r="F19" t="inlineStr">
        <x:is>
          <x:t xml:space="preserve">Diphenhydramine 25 mg.</x:t>
        </x:is>
      </x:c>
      <x:c r="G19" t="inlineStr">
        <x:is>
          <x:t xml:space="preserve">BDS007911</x:t>
        </x:is>
      </x:c>
      <x:c r="H19" t="inlineStr">
        <x:is>
          <x:t xml:space="preserve">Dibendryl (10 tabs)</x:t>
        </x:is>
      </x:c>
      <x:c r="I19" t="inlineStr">
        <x:is>
          <x:t xml:space="preserve">รับประทานครั้งละ 1-2 เม็ด วันละ 3-4 ครั้ง</x:t>
        </x:is>
      </x:c>
      <x:c r="P19" t="inlineStr">
        <x:is>
          <x:t xml:space="preserve">Cough medicines / mucolytics / expectorants</x:t>
        </x:is>
      </x:c>
    </x:row>
    <x:row r="20">
      <x:c r="A20" t="n">
        <x:v>169</x:v>
      </x:c>
      <x:c r="B20" t="inlineStr">
        <x:is>
          <x:t xml:space="preserve">ยาแก้ไอแห้ง, คันคอ (D)</x:t>
        </x:is>
      </x:c>
      <x:c r="C20" t="n">
        <x:v>2211</x:v>
      </x:c>
      <x:c r="D20" t="inlineStr">
        <x:is>
          <x:t xml:space="preserve">Icolid (ควบคุมจำนวน)</x:t>
        </x:is>
      </x:c>
      <x:c r="E20" t="inlineStr">
        <x:is>
          <x:t xml:space="preserve">แผง 10 เม็ด</x:t>
        </x:is>
      </x:c>
      <x:c r="F20" t="inlineStr">
        <x:is>
          <x:t xml:space="preserve">Dextromethorphan HBr 15 mg.</x:t>
        </x:is>
      </x:c>
      <x:c r="G20" t="inlineStr">
        <x:is>
          <x:t xml:space="preserve">BDS002211</x:t>
        </x:is>
      </x:c>
      <x:c r="H20" t="inlineStr">
        <x:is>
          <x:t xml:space="preserve">Icolid (ควบคุมจำนวน) (10 tabs)</x:t>
        </x:is>
      </x:c>
      <x:c r="I20" t="inlineStr">
        <x:is>
          <x:t xml:space="preserve">รับประทานครั้งละ 1-2 เม็ด วันละ 3 ครั้ง</x:t>
        </x:is>
      </x:c>
      <x:c r="K20" t="n">
        <x:v>50</x:v>
      </x:c>
      <x:c r="L20" t="n">
        <x:v>5</x:v>
      </x:c>
      <x:c r="M20" t="inlineStr">
        <x:is>
          <x:t xml:space="preserve">USER</x:t>
        </x:is>
      </x:c>
      <x:c r="N20" t="inlineStr">
        <x:is>
          <x:t xml:space="preserve">2026-02-07</x:t>
        </x:is>
      </x:c>
      <x:c r="O20" t="inlineStr">
        <x:is>
          <x:t xml:space="preserve">User provided price (online). Unit price per tablet (10 tabs pack).</x:t>
        </x:is>
      </x:c>
      <x:c r="P20" t="inlineStr">
        <x:is>
          <x:t xml:space="preserve">Cough medicines / mucolytics / expectorants</x:t>
        </x:is>
      </x:c>
    </x:row>
    <x:row r="21">
      <x:c r="A21" t="n">
        <x:v>212</x:v>
      </x:c>
      <x:c r="B21" t="inlineStr">
        <x:is>
          <x:t xml:space="preserve">ยาแก้ไอแห้ง, คันคอ ชนิดน้ำ (D)</x:t>
        </x:is>
      </x:c>
      <x:c r="C21" t="n">
        <x:v>6036</x:v>
      </x:c>
      <x:c r="D21" t="inlineStr">
        <x:is>
          <x:t xml:space="preserve">Icorin Kids Syrup</x:t>
        </x:is>
      </x:c>
      <x:c r="E21" t="inlineStr">
        <x:is>
          <x:t xml:space="preserve">ขวด 60 ml.</x:t>
        </x:is>
      </x:c>
      <x:c r="F21" t="inlineStr">
        <x:is>
          <x:t xml:space="preserve">Butamirate Citrate 4 mg/5 ml</x:t>
        </x:is>
      </x:c>
      <x:c r="G21" t="inlineStr">
        <x:is>
          <x:t xml:space="preserve">BDS006036</x:t>
        </x:is>
      </x:c>
      <x:c r="H21" t="inlineStr">
        <x:is>
          <x:t xml:space="preserve">Icorin Kids Syrup (60 ml.)</x:t>
        </x:is>
      </x:c>
      <x:c r="I21" t="inlineStr">
        <x:is>
          <x:t xml:space="preserve">รับประทานครั้งละ 1-2 ช้อนชา วันละ 3 ครั้ง</x:t>
        </x:is>
      </x:c>
      <x:c r="P21" t="inlineStr">
        <x:is>
          <x:t xml:space="preserve">Cough medicines / mucolytics / expectorants</x:t>
        </x:is>
      </x:c>
    </x:row>
    <x:row r="22">
      <x:c r="A22" t="n">
        <x:v>213</x:v>
      </x:c>
      <x:c r="B22" t="inlineStr">
        <x:is>
          <x:t xml:space="preserve">ยาแก้ไอแห้ง, คันคอ ชนิดน้ำ (D)</x:t>
        </x:is>
      </x:c>
      <x:c r="C22" t="n">
        <x:v>2290</x:v>
      </x:c>
      <x:c r="D22" t="inlineStr">
        <x:is>
          <x:t xml:space="preserve">Ivorin Syrup</x:t>
        </x:is>
      </x:c>
      <x:c r="E22" t="inlineStr">
        <x:is>
          <x:t xml:space="preserve">ขวด 60 ml.</x:t>
        </x:is>
      </x:c>
      <x:c r="F22" t="inlineStr">
        <x:is>
          <x:t xml:space="preserve">Levodropropizine 30 mg./5 ml.</x:t>
        </x:is>
      </x:c>
      <x:c r="G22" t="inlineStr">
        <x:is>
          <x:t xml:space="preserve">BDS002290</x:t>
        </x:is>
      </x:c>
      <x:c r="H22" t="inlineStr">
        <x:is>
          <x:t xml:space="preserve">Ivorin Syrup (60 ml.)</x:t>
        </x:is>
      </x:c>
      <x:c r="I22" t="inlineStr">
        <x:is>
          <x:t xml:space="preserve">ผู้ใหญ่รับประทานครั้งละ 2 ช้อนชา (10 ml.) วันละ 3 ครั้ง</x:t>
        </x:is>
      </x:c>
      <x:c r="P22" t="inlineStr">
        <x:is>
          <x:t xml:space="preserve">Cough medicines / mucolytics / expectorants</x:t>
        </x:is>
      </x:c>
    </x:row>
    <x:row r="23">
      <x:c r="A23" t="n">
        <x:v>214</x:v>
      </x:c>
      <x:c r="B23" t="inlineStr">
        <x:is>
          <x:t xml:space="preserve">ยาละลายเสมหะ ชนิดน้ำ</x:t>
        </x:is>
      </x:c>
      <x:c r="C23" t="n">
        <x:v>1257</x:v>
      </x:c>
      <x:c r="D23" t="inlineStr">
        <x:is>
          <x:t xml:space="preserve">Bisolvon EX Syrup เล็ก</x:t>
        </x:is>
      </x:c>
      <x:c r="E23" t="inlineStr">
        <x:is>
          <x:t xml:space="preserve">ขวด 60 ml.</x:t>
        </x:is>
      </x:c>
      <x:c r="F23" t="inlineStr">
        <x:is>
          <x:t xml:space="preserve">Bromhexine HCl 4 mg.+K guaiacolsulphonate 100 mg./5 ml.</x:t>
        </x:is>
      </x:c>
      <x:c r="G23" t="inlineStr">
        <x:is>
          <x:t xml:space="preserve">BDS001257</x:t>
        </x:is>
      </x:c>
      <x:c r="H23" t="inlineStr">
        <x:is>
          <x:t xml:space="preserve">Bisolvon EX Syrup เล็ก (60 ml.)</x:t>
        </x:is>
      </x:c>
      <x:c r="I23" t="inlineStr">
        <x:is>
          <x:t xml:space="preserve">รับประทานครั้งละ 1-2 ช้อนชา วันละ 3-4 ครั้ง</x:t>
        </x:is>
      </x:c>
      <x:c r="P23" t="inlineStr">
        <x:is>
          <x:t xml:space="preserve">Cough medicines / mucolytics / expectorants</x:t>
        </x:is>
      </x:c>
    </x:row>
    <x:row r="24">
      <x:c r="A24" t="n">
        <x:v>215</x:v>
      </x:c>
      <x:c r="B24" t="inlineStr">
        <x:is>
          <x:t xml:space="preserve">ยาละลายเสมหะ ชนิดน้ำ</x:t>
        </x:is>
      </x:c>
      <x:c r="C24" t="n">
        <x:v>1296</x:v>
      </x:c>
      <x:c r="D24" t="inlineStr">
        <x:is>
          <x:t xml:space="preserve">Bisolvon EX Syrup ใหญ่</x:t>
        </x:is>
      </x:c>
      <x:c r="E24" t="inlineStr">
        <x:is>
          <x:t xml:space="preserve">ขวด 125 ml.</x:t>
        </x:is>
      </x:c>
      <x:c r="F24" t="inlineStr">
        <x:is>
          <x:t xml:space="preserve">Bromhexine HCl 4 mg.+K guaiacolsulphonate 100 mg./5 ml.</x:t>
        </x:is>
      </x:c>
      <x:c r="G24" t="inlineStr">
        <x:is>
          <x:t xml:space="preserve">BDS001296</x:t>
        </x:is>
      </x:c>
      <x:c r="H24" t="inlineStr">
        <x:is>
          <x:t xml:space="preserve">Bisolvon EX Syrup ใหญ่ (125 ml.)</x:t>
        </x:is>
      </x:c>
      <x:c r="I24" t="inlineStr">
        <x:is>
          <x:t xml:space="preserve">รับประทานครั้งละ 1-2 ช้อนชา วันละ 3 ครั้ง</x:t>
        </x:is>
      </x:c>
      <x:c r="P24" t="inlineStr">
        <x:is>
          <x:t xml:space="preserve">Cough medicines / mucolytics / expectorants</x:t>
        </x:is>
      </x:c>
    </x:row>
    <x:row r="25">
      <x:c r="A25" t="n">
        <x:v>216</x:v>
      </x:c>
      <x:c r="B25" t="inlineStr">
        <x:is>
          <x:t xml:space="preserve">ยาละลายเสมหะ ชนิดน้ำ</x:t>
        </x:is>
      </x:c>
      <x:c r="C25" t="n">
        <x:v>1253</x:v>
      </x:c>
      <x:c r="D25" t="inlineStr">
        <x:is>
          <x:t xml:space="preserve">Bisolvon Pediatric Syrup</x:t>
        </x:is>
      </x:c>
      <x:c r="E25" t="inlineStr">
        <x:is>
          <x:t xml:space="preserve">ขวด 60 ml.</x:t>
        </x:is>
      </x:c>
      <x:c r="F25" t="inlineStr">
        <x:is>
          <x:t xml:space="preserve">Bromhexine HCl 4 mg./5 ml.</x:t>
        </x:is>
      </x:c>
      <x:c r="G25" t="inlineStr">
        <x:is>
          <x:t xml:space="preserve">BDS001253</x:t>
        </x:is>
      </x:c>
      <x:c r="H25" t="inlineStr">
        <x:is>
          <x:t xml:space="preserve">Bisolvon Pediatric Syrup (60 ml.)</x:t>
        </x:is>
      </x:c>
      <x:c r="I25" t="inlineStr">
        <x:is>
          <x:t xml:space="preserve">รับประทานครั้งละ 1 ช้อนชา วันละ 3 ครั้ง</x:t>
        </x:is>
      </x:c>
      <x:c r="P25" t="inlineStr">
        <x:is>
          <x:t xml:space="preserve">Cough medicines / mucolytics / expectorants</x:t>
        </x:is>
      </x:c>
    </x:row>
    <x:row r="26">
      <x:c r="A26" t="n">
        <x:v>217</x:v>
      </x:c>
      <x:c r="B26" t="inlineStr">
        <x:is>
          <x:t xml:space="preserve">ยาละลายเสมหะ ชนิดน้ำ</x:t>
        </x:is>
      </x:c>
      <x:c r="C26" t="n">
        <x:v>7033</x:v>
      </x:c>
      <x:c r="D26" t="inlineStr">
        <x:is>
          <x:t xml:space="preserve">Bocytin Syrup</x:t>
        </x:is>
      </x:c>
      <x:c r="E26" t="inlineStr">
        <x:is>
          <x:t xml:space="preserve">ขวด 60 ml.</x:t>
        </x:is>
      </x:c>
      <x:c r="F26" t="inlineStr">
        <x:is>
          <x:t xml:space="preserve">Carbocysteine 250 mg./5 ml.</x:t>
        </x:is>
      </x:c>
      <x:c r="G26" t="inlineStr">
        <x:is>
          <x:t xml:space="preserve">BDS007033</x:t>
        </x:is>
      </x:c>
      <x:c r="H26" t="inlineStr">
        <x:is>
          <x:t xml:space="preserve">Bocytin Syrup (60 ml.)</x:t>
        </x:is>
      </x:c>
      <x:c r="I26" t="inlineStr">
        <x:is>
          <x:t xml:space="preserve">เด็กเล็กรับประทาน 1/2 ช้อนชา วันละ 2 ครั้ง</x:t>
        </x:is>
      </x:c>
      <x:c r="P26" t="inlineStr">
        <x:is>
          <x:t xml:space="preserve">Cough medicines / mucolytics / expectorants</x:t>
        </x:is>
      </x:c>
    </x:row>
    <x:row r="27">
      <x:c r="A27" t="n">
        <x:v>218</x:v>
      </x:c>
      <x:c r="B27" t="inlineStr">
        <x:is>
          <x:t xml:space="preserve">ยาละลายเสมหะ ชนิดน้ำ</x:t>
        </x:is>
      </x:c>
      <x:c r="C27" t="n">
        <x:v>41506</x:v>
      </x:c>
      <x:c r="D27" t="inlineStr">
        <x:is>
          <x:t xml:space="preserve">Carboflex Syrup</x:t>
        </x:is>
      </x:c>
      <x:c r="E27" t="inlineStr">
        <x:is>
          <x:t xml:space="preserve">ขวด 60 ml.</x:t>
        </x:is>
      </x:c>
      <x:c r="F27" t="inlineStr">
        <x:is>
          <x:t xml:space="preserve">Carbocysteine 250 mg./5 ml.</x:t>
        </x:is>
      </x:c>
      <x:c r="G27" t="inlineStr">
        <x:is>
          <x:t xml:space="preserve">BDS041506</x:t>
        </x:is>
      </x:c>
      <x:c r="H27" t="inlineStr">
        <x:is>
          <x:t xml:space="preserve">Carboflex Syrup (60 ml.)</x:t>
        </x:is>
      </x:c>
      <x:c r="I27" t="inlineStr">
        <x:is>
          <x:t xml:space="preserve">เด็กอายุ 6-12 ปี รับประทานครั้งละ 1 ช้อนชา วันละ 3 ครั้ง</x:t>
        </x:is>
      </x:c>
      <x:c r="P27" t="inlineStr">
        <x:is>
          <x:t xml:space="preserve">Cough medicines / mucolytics / expectorants</x:t>
        </x:is>
      </x:c>
    </x:row>
    <x:row r="28">
      <x:c r="A28" t="n">
        <x:v>219</x:v>
      </x:c>
      <x:c r="B28" t="inlineStr">
        <x:is>
          <x:t xml:space="preserve">ยาละลายเสมหะ ชนิดน้ำ</x:t>
        </x:is>
      </x:c>
      <x:c r="C28" t="n">
        <x:v>1495</x:v>
      </x:c>
      <x:c r="D28" t="inlineStr">
        <x:is>
          <x:t xml:space="preserve">Cisteine</x:t>
        </x:is>
      </x:c>
      <x:c r="E28" t="inlineStr">
        <x:is>
          <x:t xml:space="preserve">ขวด 60 ml.</x:t>
        </x:is>
      </x:c>
      <x:c r="F28" t="inlineStr">
        <x:is>
          <x:t xml:space="preserve">Carbocysteine 100 mg./5 ml.</x:t>
        </x:is>
      </x:c>
      <x:c r="G28" t="inlineStr">
        <x:is>
          <x:t xml:space="preserve">BDS001495</x:t>
        </x:is>
      </x:c>
      <x:c r="H28" t="inlineStr">
        <x:is>
          <x:t xml:space="preserve">Cisteine (60 ml.)</x:t>
        </x:is>
      </x:c>
      <x:c r="I28" t="inlineStr">
        <x:is>
          <x:t xml:space="preserve">รับประทานครั้งละ 1 ช้อนชา วันละ 3 ครั้ง</x:t>
        </x:is>
      </x:c>
      <x:c r="P28" t="inlineStr">
        <x:is>
          <x:t xml:space="preserve">Cough medicines / mucolytics / expectorants</x:t>
        </x:is>
      </x:c>
    </x:row>
    <x:row r="29">
      <x:c r="A29" t="n">
        <x:v>220</x:v>
      </x:c>
      <x:c r="B29" t="inlineStr">
        <x:is>
          <x:t xml:space="preserve">ยาละลายเสมหะ ชนิดน้ำ</x:t>
        </x:is>
      </x:c>
      <x:c r="C29" t="n">
        <x:v>1919</x:v>
      </x:c>
      <x:c r="D29" t="inlineStr">
        <x:is>
          <x:t xml:space="preserve">Flemex Kids</x:t>
        </x:is>
      </x:c>
      <x:c r="E29" t="inlineStr">
        <x:is>
          <x:t xml:space="preserve">ขวด 60 ml.</x:t>
        </x:is>
      </x:c>
      <x:c r="F29" t="inlineStr">
        <x:is>
          <x:t xml:space="preserve">Carbocysteine 100 mg./5 ml.</x:t>
        </x:is>
      </x:c>
      <x:c r="G29" t="inlineStr">
        <x:is>
          <x:t xml:space="preserve">BDS001919</x:t>
        </x:is>
      </x:c>
      <x:c r="H29" t="inlineStr">
        <x:is>
          <x:t xml:space="preserve">Flemex Kids (60 ml.)</x:t>
        </x:is>
      </x:c>
      <x:c r="I29" t="inlineStr">
        <x:is>
          <x:t xml:space="preserve">รับประทานครั้งละ 1 ช้อนชา วันละ 2 ครั้ง</x:t>
        </x:is>
      </x:c>
      <x:c r="P29" t="inlineStr">
        <x:is>
          <x:t xml:space="preserve">Cough medicines / mucolytics / expectorants</x:t>
        </x:is>
      </x:c>
    </x:row>
    <x:row r="30">
      <x:c r="A30" t="n">
        <x:v>221</x:v>
      </x:c>
      <x:c r="B30" t="inlineStr">
        <x:is>
          <x:t xml:space="preserve">ยาละลายเสมหะ ชนิดน้ำ</x:t>
        </x:is>
      </x:c>
      <x:c r="C30" t="n">
        <x:v>1920</x:v>
      </x:c>
      <x:c r="D30" t="inlineStr">
        <x:is>
          <x:t xml:space="preserve">Flemex Syrup</x:t>
        </x:is>
      </x:c>
      <x:c r="E30" t="inlineStr">
        <x:is>
          <x:t xml:space="preserve">ขวด 60 ml.</x:t>
        </x:is>
      </x:c>
      <x:c r="F30" t="inlineStr">
        <x:is>
          <x:t xml:space="preserve">Carbocysteine 250 mg./5 ml.</x:t>
        </x:is>
      </x:c>
      <x:c r="G30" t="inlineStr">
        <x:is>
          <x:t xml:space="preserve">BDS001920</x:t>
        </x:is>
      </x:c>
      <x:c r="H30" t="inlineStr">
        <x:is>
          <x:t xml:space="preserve">Flemex Syrup (60 ml.)</x:t>
        </x:is>
      </x:c>
      <x:c r="I30" t="inlineStr">
        <x:is>
          <x:t xml:space="preserve">รับประทานครั้งละ 1 ช้อนโต๊ะ วันละ 3 ครั้ง</x:t>
        </x:is>
      </x:c>
      <x:c r="P30" t="inlineStr">
        <x:is>
          <x:t xml:space="preserve">Cough medicines / mucolytics / expectorants</x:t>
        </x:is>
      </x:c>
    </x:row>
    <x:row r="31">
      <x:c r="A31" t="n">
        <x:v>222</x:v>
      </x:c>
      <x:c r="B31" t="inlineStr">
        <x:is>
          <x:t xml:space="preserve">ยาละลายเสมหะ ชนิดน้ำ</x:t>
        </x:is>
      </x:c>
      <x:c r="C31" t="n">
        <x:v>7742</x:v>
      </x:c>
      <x:c r="D31" t="inlineStr">
        <x:is>
          <x:t xml:space="preserve">Mucobrox</x:t>
        </x:is>
      </x:c>
      <x:c r="E31" t="inlineStr">
        <x:is>
          <x:t xml:space="preserve">ขวด 60 ml.</x:t>
        </x:is>
      </x:c>
      <x:c r="F31" t="inlineStr">
        <x:is>
          <x:t xml:space="preserve">Ambroxol HCl 30 mg./5 ml.</x:t>
        </x:is>
      </x:c>
      <x:c r="G31" t="inlineStr">
        <x:is>
          <x:t xml:space="preserve">BDS007742</x:t>
        </x:is>
      </x:c>
      <x:c r="H31" t="inlineStr">
        <x:is>
          <x:t xml:space="preserve">Mucobrox (60 ml.)</x:t>
        </x:is>
      </x:c>
      <x:c r="I31" t="inlineStr">
        <x:is>
          <x:t xml:space="preserve">ผู้ใหญ่และเด็กโตรับประทาน 1 ช้อนชา  วันละ 3 ครั้ง</x:t>
        </x:is>
      </x:c>
      <x:c r="P31" t="inlineStr">
        <x:is>
          <x:t xml:space="preserve">Cough medicines / mucolytics / expectorants</x:t>
        </x:is>
      </x:c>
    </x:row>
    <x:row r="32">
      <x:c r="A32" t="n">
        <x:v>223</x:v>
      </x:c>
      <x:c r="B32" t="inlineStr">
        <x:is>
          <x:t xml:space="preserve">ยาละลายเสมหะ ชนิดน้ำ</x:t>
        </x:is>
      </x:c>
      <x:c r="C32" t="n">
        <x:v>2659</x:v>
      </x:c>
      <x:c r="D32" t="inlineStr">
        <x:is>
          <x:t xml:space="preserve">Mucoflux Syrup</x:t>
        </x:is>
      </x:c>
      <x:c r="E32" t="inlineStr">
        <x:is>
          <x:t xml:space="preserve">ขวด 60 ml.</x:t>
        </x:is>
      </x:c>
      <x:c r="F32" t="inlineStr">
        <x:is>
          <x:t xml:space="preserve">Cyclidrol 80 mg./10 ml.</x:t>
        </x:is>
      </x:c>
      <x:c r="G32" t="inlineStr">
        <x:is>
          <x:t xml:space="preserve">BDS002659</x:t>
        </x:is>
      </x:c>
      <x:c r="H32" t="inlineStr">
        <x:is>
          <x:t xml:space="preserve">Mucoflux Syrup (60 ml.)</x:t>
        </x:is>
      </x:c>
      <x:c r="I32" t="inlineStr">
        <x:is>
          <x:t xml:space="preserve">รับประทานครั้งละ 2-4 ช้อนชาวันละ 2 ครั้ง</x:t>
        </x:is>
      </x:c>
      <x:c r="P32" t="inlineStr">
        <x:is>
          <x:t xml:space="preserve">Cough medicines / mucolytics / expectorants</x:t>
        </x:is>
      </x:c>
    </x:row>
    <x:row r="33">
      <x:c r="A33" t="n">
        <x:v>224</x:v>
      </x:c>
      <x:c r="B33" t="inlineStr">
        <x:is>
          <x:t xml:space="preserve">ยาละลายเสมหะ ชนิดน้ำ</x:t>
        </x:is>
      </x:c>
      <x:c r="C33" t="n">
        <x:v>2691</x:v>
      </x:c>
      <x:c r="D33" t="inlineStr">
        <x:is>
          <x:t xml:space="preserve">Mucolid Junior บลูเบอร์รี่</x:t>
        </x:is>
      </x:c>
      <x:c r="E33" t="inlineStr">
        <x:is>
          <x:t xml:space="preserve">ขวด 60 ml.</x:t>
        </x:is>
      </x:c>
      <x:c r="F33" t="inlineStr">
        <x:is>
          <x:t xml:space="preserve">Ambroxol HCl 15 mg./5 ml.</x:t>
        </x:is>
      </x:c>
      <x:c r="G33" t="inlineStr">
        <x:is>
          <x:t xml:space="preserve">BDS002691</x:t>
        </x:is>
      </x:c>
      <x:c r="H33" t="inlineStr">
        <x:is>
          <x:t xml:space="preserve">Mucolid Junior บลูเบอร์รี่ (60 ml.)</x:t>
        </x:is>
      </x:c>
      <x:c r="I33" t="inlineStr">
        <x:is>
          <x:t xml:space="preserve">รับประทานครั้งละ 2 ช้อนชา วันละ 3 ครั้ง</x:t>
        </x:is>
      </x:c>
      <x:c r="P33" t="inlineStr">
        <x:is>
          <x:t xml:space="preserve">Cough medicines / mucolytics / expectorants</x:t>
        </x:is>
      </x:c>
    </x:row>
    <x:row r="34">
      <x:c r="A34" t="n">
        <x:v>225</x:v>
      </x:c>
      <x:c r="B34" t="inlineStr">
        <x:is>
          <x:t xml:space="preserve">ยาละลายเสมหะ ชนิดน้ำ</x:t>
        </x:is>
      </x:c>
      <x:c r="C34" t="n">
        <x:v>2654</x:v>
      </x:c>
      <x:c r="D34" t="inlineStr">
        <x:is>
          <x:t xml:space="preserve">Mucolid Syrup</x:t>
        </x:is>
      </x:c>
      <x:c r="E34" t="inlineStr">
        <x:is>
          <x:t xml:space="preserve">ขวด 60 ml.</x:t>
        </x:is>
      </x:c>
      <x:c r="F34" t="inlineStr">
        <x:is>
          <x:t xml:space="preserve">Ambroxol HCl 30 mg./5 ml.</x:t>
        </x:is>
      </x:c>
      <x:c r="G34" t="inlineStr">
        <x:is>
          <x:t xml:space="preserve">BDS002654</x:t>
        </x:is>
      </x:c>
      <x:c r="H34" t="inlineStr">
        <x:is>
          <x:t xml:space="preserve">Mucolid Syrup (60 ml.)</x:t>
        </x:is>
      </x:c>
      <x:c r="I34" t="inlineStr">
        <x:is>
          <x:t xml:space="preserve">รับประทานครั้งละ 1 ช้อนชา วันละ 4 ครั้ง</x:t>
        </x:is>
      </x:c>
      <x:c r="P34" t="inlineStr">
        <x:is>
          <x:t xml:space="preserve">Cough medicines / mucolytics / expectorants</x:t>
        </x:is>
      </x:c>
    </x:row>
    <x:row r="35">
      <x:c r="A35" t="n">
        <x:v>226</x:v>
      </x:c>
      <x:c r="B35" t="inlineStr">
        <x:is>
          <x:t xml:space="preserve">ยาละลายเสมหะ ชนิดน้ำ</x:t>
        </x:is>
      </x:c>
      <x:c r="C35" t="n">
        <x:v>3697</x:v>
      </x:c>
      <x:c r="D35" t="inlineStr">
        <x:is>
          <x:t xml:space="preserve">Solmax Forte Suspension</x:t>
        </x:is>
      </x:c>
      <x:c r="E35" t="inlineStr">
        <x:is>
          <x:t xml:space="preserve">ขวด 60 ml.</x:t>
        </x:is>
      </x:c>
      <x:c r="F35" t="inlineStr">
        <x:is>
          <x:t xml:space="preserve">Carbocysteine 500 mg./5 ml.</x:t>
        </x:is>
      </x:c>
      <x:c r="G35" t="inlineStr">
        <x:is>
          <x:t xml:space="preserve">BDS003697</x:t>
        </x:is>
      </x:c>
      <x:c r="H35" t="inlineStr">
        <x:is>
          <x:t xml:space="preserve">Solmax Forte Suspension (60 ml.)</x:t>
        </x:is>
      </x:c>
      <x:c r="I35" t="inlineStr">
        <x:is>
          <x:t xml:space="preserve">เด็กโตรับประทานครั้งละ ครึ่ง ช้อนชา วันละ 3 ครั้ง</x:t>
        </x:is>
      </x:c>
      <x:c r="P35" t="inlineStr">
        <x:is>
          <x:t xml:space="preserve">Cough medicines / mucolytics / expectorants</x:t>
        </x:is>
      </x:c>
    </x:row>
    <x:row r="36">
      <x:c r="A36" t="n">
        <x:v>227</x:v>
      </x:c>
      <x:c r="B36" t="inlineStr">
        <x:is>
          <x:t xml:space="preserve">ยาละลายเสมหะ ชนิดน้ำ</x:t>
        </x:is>
      </x:c>
      <x:c r="C36" t="n">
        <x:v>3782</x:v>
      </x:c>
      <x:c r="D36" t="inlineStr">
        <x:is>
          <x:t xml:space="preserve">Solmax Kids Suspension</x:t>
        </x:is>
      </x:c>
      <x:c r="E36" t="inlineStr">
        <x:is>
          <x:t xml:space="preserve">ขวด 60 ml.</x:t>
        </x:is>
      </x:c>
      <x:c r="F36" t="inlineStr">
        <x:is>
          <x:t xml:space="preserve">Carbocysteine 200 mg./5 ml.</x:t>
        </x:is>
      </x:c>
      <x:c r="G36" t="inlineStr">
        <x:is>
          <x:t xml:space="preserve">BDS003782</x:t>
        </x:is>
      </x:c>
      <x:c r="H36" t="inlineStr">
        <x:is>
          <x:t xml:space="preserve">Solmax Kids Suspension (60 ml.)</x:t>
        </x:is>
      </x:c>
      <x:c r="I36" t="inlineStr">
        <x:is>
          <x:t xml:space="preserve">เด็กเล็กรับประทาน 1/2 ช้อนชา วันละ 3-4 ครั้ง</x:t>
        </x:is>
      </x:c>
      <x:c r="P36" t="inlineStr">
        <x:is>
          <x:t xml:space="preserve">Cough medicines / mucolytics / expectorants</x:t>
        </x:is>
      </x:c>
    </x:row>
    <x:row r="37">
      <x:c r="A37" t="n">
        <x:v>268</x:v>
      </x:c>
      <x:c r="B37" t="inlineStr">
        <x:is>
          <x:t xml:space="preserve">ยาแก้ไอสูตรผสม (D)</x:t>
        </x:is>
      </x:c>
      <x:c r="C37" t="n">
        <x:v>7973</x:v>
      </x:c>
      <x:c r="D37" t="inlineStr">
        <x:is>
          <x:t xml:space="preserve">Fartussin (ควบคุมจำนวน)</x:t>
        </x:is>
      </x:c>
      <x:c r="E37" t="inlineStr">
        <x:is>
          <x:t xml:space="preserve">แผง 10 เม็ด</x:t>
        </x:is>
      </x:c>
      <x:c r="F37" t="inlineStr">
        <x:is>
          <x:t xml:space="preserve">Dextromethorphan HBr 15 mg.+Glyceryl Guaiacolate 100 mg.+Terpin Hydrate 130 mg.</x:t>
        </x:is>
      </x:c>
      <x:c r="G37" t="inlineStr">
        <x:is>
          <x:t xml:space="preserve">BDS007973</x:t>
        </x:is>
      </x:c>
      <x:c r="H37" t="inlineStr">
        <x:is>
          <x:t xml:space="preserve">Fartussin (ควบคุมจำนวน) (10 tabs)</x:t>
        </x:is>
      </x:c>
      <x:c r="I37" t="inlineStr">
        <x:is>
          <x:t xml:space="preserve">รับประทานครั้งละ 1-2 เม็ด วันละ 3-4 ครั้ง</x:t>
        </x:is>
      </x:c>
      <x:c r="P37" t="inlineStr">
        <x:is>
          <x:t xml:space="preserve">Cough medicines / mucolytics / expectorants</x:t>
        </x:is>
      </x:c>
    </x:row>
    <x:row r="38">
      <x:c r="A38" t="n">
        <x:v>269</x:v>
      </x:c>
      <x:c r="B38" t="inlineStr">
        <x:is>
          <x:t xml:space="preserve">ยาแก้ไอสูตรผสม (D)</x:t>
        </x:is>
      </x:c>
      <x:c r="C38" t="n">
        <x:v>8106</x:v>
      </x:c>
      <x:c r="D38" t="inlineStr">
        <x:is>
          <x:t xml:space="preserve">Kenya-I (ควบคุมจำนวน)</x:t>
        </x:is>
      </x:c>
      <x:c r="E38" t="inlineStr">
        <x:is>
          <x:t xml:space="preserve">แผง 10 เม็ด</x:t>
        </x:is>
      </x:c>
      <x:c r="F38" t="inlineStr">
        <x:is>
          <x:t xml:space="preserve">Dextromethorphan HBr 15 mg+Chlorpheniramine maleate 2 mg+Terpine hydrate 125 mg</x:t>
        </x:is>
      </x:c>
      <x:c r="G38" t="inlineStr">
        <x:is>
          <x:t xml:space="preserve">BDS008106</x:t>
        </x:is>
      </x:c>
      <x:c r="H38" t="inlineStr">
        <x:is>
          <x:t xml:space="preserve">Kenya-I (ควบคุมจำนวน) (10 tabs)</x:t>
        </x:is>
      </x:c>
      <x:c r="I38" t="inlineStr">
        <x:is>
          <x:t xml:space="preserve">รับประทานครั้งละ 1-2 เม็ด วันละ 3-4 ครั้ง</x:t>
        </x:is>
      </x:c>
      <x:c r="P38" t="inlineStr">
        <x:is>
          <x:t xml:space="preserve">Cough medicines / mucolytics / expectorants</x:t>
        </x:is>
      </x:c>
    </x:row>
    <x:row r="39">
      <x:c r="A39" t="n">
        <x:v>270</x:v>
      </x:c>
      <x:c r="B39" t="inlineStr">
        <x:is>
          <x:t xml:space="preserve">ยาแก้ไอสูตรผสม (D)</x:t>
        </x:is>
      </x:c>
      <x:c r="C39" t="n">
        <x:v>3112</x:v>
      </x:c>
      <x:c r="D39" t="inlineStr">
        <x:is>
          <x:t xml:space="preserve">Patar-Cap (ควบคุมจำนวน)</x:t>
        </x:is>
      </x:c>
      <x:c r="E39" t="inlineStr">
        <x:is>
          <x:t xml:space="preserve">แผง 10 แคปซูล</x:t>
        </x:is>
      </x:c>
      <x:c r="F39" t="inlineStr">
        <x:is>
          <x:t xml:space="preserve">Dextromethorphan 10 mg.+Guaifenesin 100 mg.</x:t>
        </x:is>
      </x:c>
      <x:c r="G39" t="inlineStr">
        <x:is>
          <x:t xml:space="preserve">BDS003112</x:t>
        </x:is>
      </x:c>
      <x:c r="H39" t="inlineStr">
        <x:is>
          <x:t xml:space="preserve">Patar-Cap (ควบคุมจำนวน) (10 cap)</x:t>
        </x:is>
      </x:c>
      <x:c r="I39" t="inlineStr">
        <x:is>
          <x:t xml:space="preserve">รับประทานครั้งละ 1-2 แคปซูล วันละ 3-4 ครั้ง</x:t>
        </x:is>
      </x:c>
      <x:c r="P39" t="inlineStr">
        <x:is>
          <x:t xml:space="preserve">Cough medicines / mucolytics / expectorants</x:t>
        </x:is>
      </x:c>
    </x:row>
    <x:row r="40">
      <x:c r="A40" t="n">
        <x:v>271</x:v>
      </x:c>
      <x:c r="B40" t="inlineStr">
        <x:is>
          <x:t xml:space="preserve">ยาแก้ไอสูตรผสม ชนิดน้ำ (D)</x:t>
        </x:is>
      </x:c>
      <x:c r="C40" t="n">
        <x:v>3416</x:v>
      </x:c>
      <x:c r="D40" t="inlineStr">
        <x:is>
          <x:t xml:space="preserve">Robitussin DM เล็ก (ควบคุมจำนวน)</x:t>
        </x:is>
      </x:c>
      <x:c r="E40" t="inlineStr">
        <x:is>
          <x:t xml:space="preserve">ขวด 60 ml.</x:t>
        </x:is>
      </x:c>
      <x:c r="F40" t="inlineStr">
        <x:is>
          <x:t xml:space="preserve">Guaifenesin 200 mg.+Dextromethorphan HBr 10 mg./5 ml.</x:t>
        </x:is>
      </x:c>
      <x:c r="G40" t="inlineStr">
        <x:is>
          <x:t xml:space="preserve">BDS003416</x:t>
        </x:is>
      </x:c>
      <x:c r="H40" t="inlineStr">
        <x:is>
          <x:t xml:space="preserve">Robitussin DM เล็ก (ควบคุมจำนวน) (60 ml.)</x:t>
        </x:is>
      </x:c>
      <x:c r="I40" t="inlineStr">
        <x:is>
          <x:t xml:space="preserve">รับประทานครั้งละ 2 ช้อนชาวันละ 2-3 ครั้ง</x:t>
        </x:is>
      </x:c>
      <x:c r="P40" t="inlineStr">
        <x:is>
          <x:t xml:space="preserve">Cough medicines / mucolytics / expectorants</x:t>
        </x:is>
      </x:c>
    </x:row>
    <x:row r="41">
      <x:c r="A41" t="n">
        <x:v>429</x:v>
      </x:c>
      <x:c r="B41" t="inlineStr">
        <x:is>
          <x:t xml:space="preserve">ยาละลายเสมหะ ชนิดน้ำ (D)</x:t>
        </x:is>
      </x:c>
      <x:c r="C41" t="n">
        <x:v>7031</x:v>
      </x:c>
      <x:c r="D41" t="inlineStr">
        <x:is>
          <x:t xml:space="preserve">Bromhexine Syrup</x:t>
        </x:is>
      </x:c>
      <x:c r="E41" t="inlineStr">
        <x:is>
          <x:t xml:space="preserve">ขวด 60 ml.</x:t>
        </x:is>
      </x:c>
      <x:c r="F41" t="inlineStr">
        <x:is>
          <x:t xml:space="preserve">Bromhexine HCl 4 mg./5 ml.</x:t>
        </x:is>
      </x:c>
      <x:c r="G41" t="inlineStr">
        <x:is>
          <x:t xml:space="preserve">BDS007031</x:t>
        </x:is>
      </x:c>
      <x:c r="H41" t="inlineStr">
        <x:is>
          <x:t xml:space="preserve">Bromhexine Syrup (60 ml.)</x:t>
        </x:is>
      </x:c>
      <x:c r="I41" t="inlineStr">
        <x:is>
          <x:t xml:space="preserve">เด็กอายุ 5-10 ปี รับประทานครั้งละ 1 ช้อนชา วันละ 3 ครั้ง</x:t>
        </x:is>
      </x:c>
      <x:c r="P41" t="inlineStr">
        <x:is>
          <x:t xml:space="preserve">Cough medicines / mucolytics / expectorants</x:t>
        </x:is>
      </x:c>
    </x:row>
    <x:row r="42">
      <x:c r="A42" t="n">
        <x:v>475</x:v>
      </x:c>
      <x:c r="B42" t="inlineStr">
        <x:is>
          <x:t xml:space="preserve">ยาละลายเสมหะ (D)</x:t>
        </x:is>
      </x:c>
      <x:c r="C42" t="n">
        <x:v>40631</x:v>
      </x:c>
      <x:c r="D42" t="inlineStr">
        <x:is>
          <x:t xml:space="preserve">Bromcolex</x:t>
        </x:is>
      </x:c>
      <x:c r="E42" t="inlineStr">
        <x:is>
          <x:t xml:space="preserve">แผง 10 เม็ด</x:t>
        </x:is>
      </x:c>
      <x:c r="F42" t="inlineStr">
        <x:is>
          <x:t xml:space="preserve">Bromhexine HCl 8 mg.</x:t>
        </x:is>
      </x:c>
      <x:c r="G42" t="inlineStr">
        <x:is>
          <x:t xml:space="preserve">BDS040631</x:t>
        </x:is>
      </x:c>
      <x:c r="H42" t="inlineStr">
        <x:is>
          <x:t xml:space="preserve">Bromcolex (10 tabs)</x:t>
        </x:is>
      </x:c>
      <x:c r="I42" t="inlineStr">
        <x:is>
          <x:t xml:space="preserve">รับประทานครั้งละ 1 เม็ด วันละ 3 ครั้ง</x:t>
        </x:is>
      </x:c>
      <x:c r="P42" t="inlineStr">
        <x:is>
          <x:t xml:space="preserve">Cough medicines / mucolytics / expectorants</x:t>
        </x:is>
      </x:c>
    </x:row>
    <x:row r="43">
      <x:c r="A43" t="n">
        <x:v>476</x:v>
      </x:c>
      <x:c r="B43" t="inlineStr">
        <x:is>
          <x:t xml:space="preserve">ยาละลายเสมหะ (D)</x:t>
        </x:is>
      </x:c>
      <x:c r="C43" t="n">
        <x:v>8046</x:v>
      </x:c>
      <x:c r="D43" t="inlineStr">
        <x:is>
          <x:t xml:space="preserve">Extorant</x:t>
        </x:is>
      </x:c>
      <x:c r="E43" t="inlineStr">
        <x:is>
          <x:t xml:space="preserve">แผง 10 เม็ด</x:t>
        </x:is>
      </x:c>
      <x:c r="F43" t="inlineStr">
        <x:is>
          <x:t xml:space="preserve">Bromhexine HCl 4 mg+Guaifenesin 100 mg</x:t>
        </x:is>
      </x:c>
      <x:c r="G43" t="inlineStr">
        <x:is>
          <x:t xml:space="preserve">BDS008046</x:t>
        </x:is>
      </x:c>
      <x:c r="H43" t="inlineStr">
        <x:is>
          <x:t xml:space="preserve">Extorant (10 tabs)</x:t>
        </x:is>
      </x:c>
      <x:c r="I43" t="inlineStr">
        <x:is>
          <x:t xml:space="preserve">รับประทานครั้งละ 1-2 เม็ด วันละ 3-4 ครั้ง </x:t>
        </x:is>
      </x:c>
      <x:c r="P43" t="inlineStr">
        <x:is>
          <x:t xml:space="preserve">Cough medicines / mucolytics / expectorants</x:t>
        </x:is>
      </x:c>
    </x:row>
    <x:row r="44">
      <x:c r="A44" t="n">
        <x:v>477</x:v>
      </x:c>
      <x:c r="B44" t="inlineStr">
        <x:is>
          <x:t xml:space="preserve">ยาละลายเสมหะ (D)</x:t>
        </x:is>
      </x:c>
      <x:c r="C44" t="n">
        <x:v>7196</x:v>
      </x:c>
      <x:c r="D44" t="inlineStr">
        <x:is>
          <x:t xml:space="preserve">Mucoxine-F</x:t>
        </x:is>
      </x:c>
      <x:c r="E44" t="inlineStr">
        <x:is>
          <x:t xml:space="preserve">แผง 10 เม็ด</x:t>
        </x:is>
      </x:c>
      <x:c r="F44" t="inlineStr">
        <x:is>
          <x:t xml:space="preserve">Ambroxol HCl 30 mg.</x:t>
        </x:is>
      </x:c>
      <x:c r="G44" t="inlineStr">
        <x:is>
          <x:t xml:space="preserve">BDS007196</x:t>
        </x:is>
      </x:c>
      <x:c r="H44" t="inlineStr">
        <x:is>
          <x:t xml:space="preserve">Mucoxine-F (10 tabs)</x:t>
        </x:is>
      </x:c>
      <x:c r="I44" t="inlineStr">
        <x:is>
          <x:t xml:space="preserve">รับประทานครั้งละ 1-2 เม็ด วันละ 3 ครั้ง</x:t>
        </x:is>
      </x:c>
      <x:c r="P44" t="inlineStr">
        <x:is>
          <x:t xml:space="preserve">Cough medicines / mucolytics / expectorants</x:t>
        </x:is>
      </x:c>
    </x:row>
    <x:row r="45">
      <x:c r="A45" t="n">
        <x:v>478</x:v>
      </x:c>
      <x:c r="B45" t="inlineStr">
        <x:is>
          <x:t xml:space="preserve">ยาละลายเสมหะ (D)</x:t>
        </x:is>
      </x:c>
      <x:c r="C45" t="n">
        <x:v>7601</x:v>
      </x:c>
      <x:c r="D45" t="inlineStr">
        <x:is>
          <x:t xml:space="preserve">Polibroxol</x:t>
        </x:is>
      </x:c>
      <x:c r="E45" t="inlineStr">
        <x:is>
          <x:t xml:space="preserve">แผง 10 เม็ด</x:t>
        </x:is>
      </x:c>
      <x:c r="F45" t="inlineStr">
        <x:is>
          <x:t xml:space="preserve">Ambroxol HCl 30 mg.</x:t>
        </x:is>
      </x:c>
      <x:c r="G45" t="inlineStr">
        <x:is>
          <x:t xml:space="preserve">BDS007601</x:t>
        </x:is>
      </x:c>
      <x:c r="H45" t="inlineStr">
        <x:is>
          <x:t xml:space="preserve">Polibroxol (10 tabs)</x:t>
        </x:is>
      </x:c>
      <x:c r="I45" t="inlineStr">
        <x:is>
          <x:t xml:space="preserve">รับประทานครั้งละ 1-2 เม็ด วันละ 3 ครั้ง</x:t>
        </x:is>
      </x:c>
      <x:c r="P45" t="inlineStr">
        <x:is>
          <x:t xml:space="preserve">Cough medicines / mucolytics / expectorants</x:t>
        </x:is>
      </x:c>
    </x:row>
    <x:row r="46">
      <x:c r="A46" t="n">
        <x:v>486</x:v>
      </x:c>
      <x:c r="B46" t="inlineStr">
        <x:is>
          <x:t xml:space="preserve">ยาขับเสมหะ</x:t>
        </x:is>
      </x:c>
      <x:c r="C46" t="n">
        <x:v>48649</x:v>
      </x:c>
      <x:c r="D46" t="inlineStr">
        <x:is>
          <x:t xml:space="preserve">Tavipec cap</x:t>
        </x:is>
      </x:c>
      <x:c r="E46" t="inlineStr">
        <x:is>
          <x:t xml:space="preserve">แผง 10 แคปซูล</x:t>
        </x:is>
      </x:c>
      <x:c r="F46" t="inlineStr">
        <x:is>
          <x:t xml:space="preserve">Spike Lavender Oil 150 mg.</x:t>
        </x:is>
      </x:c>
      <x:c r="G46" t="inlineStr">
        <x:is>
          <x:t xml:space="preserve">BDS048649</x:t>
        </x:is>
      </x:c>
      <x:c r="H46" t="inlineStr">
        <x:is>
          <x:t xml:space="preserve">Tavipec cap (10 cap)</x:t>
        </x:is>
      </x:c>
      <x:c r="I46" t="inlineStr">
        <x:is>
          <x:t xml:space="preserve">รับประทานครั้งละ 1-2 แคปซูล วันละ 3 ครั้ง ก่อนอาหาร</x:t>
        </x:is>
      </x:c>
      <x:c r="P46" t="inlineStr">
        <x:is>
          <x:t xml:space="preserve">Cough medicines / mucolytics / expectorants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125</x:v>
      </x:c>
      <x:c r="B2" t="inlineStr">
        <x:is>
          <x:t xml:space="preserve">ยาขยายหลอดลม (D)</x:t>
        </x:is>
      </x:c>
      <x:c r="C2" t="n">
        <x:v>8607</x:v>
      </x:c>
      <x:c r="D2" t="inlineStr">
        <x:is>
          <x:t xml:space="preserve">Durasal-CR 4 mg</x:t>
        </x:is>
      </x:c>
      <x:c r="E2" t="inlineStr">
        <x:is>
          <x:t xml:space="preserve">แผง 10 แคปซูล</x:t>
        </x:is>
      </x:c>
      <x:c r="F2" t="inlineStr">
        <x:is>
          <x:t xml:space="preserve">Salbutamol 4 mg.</x:t>
        </x:is>
      </x:c>
      <x:c r="G2" t="inlineStr">
        <x:is>
          <x:t xml:space="preserve">BDS008607</x:t>
        </x:is>
      </x:c>
      <x:c r="H2" t="inlineStr">
        <x:is>
          <x:t xml:space="preserve">Durasal-CR 4 mg (10 cap)</x:t>
        </x:is>
      </x:c>
      <x:c r="I2" t="inlineStr">
        <x:is>
          <x:t xml:space="preserve">รับประทานครั้งละ 1 แคปซูล วันละ 2 ครั้ง เช้า-เย็น</x:t>
        </x:is>
      </x:c>
      <x:c r="P2" t="inlineStr">
        <x:is>
          <x:t xml:space="preserve">Bronchodilators (inhalers/oral)</x:t>
        </x:is>
      </x:c>
    </x:row>
    <x:row r="3">
      <x:c r="A3" t="n">
        <x:v>126</x:v>
      </x:c>
      <x:c r="B3" t="inlineStr">
        <x:is>
          <x:t xml:space="preserve">ยาขยายหลอดลม (D)</x:t>
        </x:is>
      </x:c>
      <x:c r="C3" t="n">
        <x:v>2616</x:v>
      </x:c>
      <x:c r="D3" t="inlineStr">
        <x:is>
          <x:t xml:space="preserve">Meptin 50</x:t>
        </x:is>
      </x:c>
      <x:c r="E3" t="inlineStr">
        <x:is>
          <x:t xml:space="preserve">แผง 10 เม็ด</x:t>
        </x:is>
      </x:c>
      <x:c r="F3" t="inlineStr">
        <x:is>
          <x:t xml:space="preserve">Procaterol HCl 50 mcg.</x:t>
        </x:is>
      </x:c>
      <x:c r="G3" t="inlineStr">
        <x:is>
          <x:t xml:space="preserve">BDS002616</x:t>
        </x:is>
      </x:c>
      <x:c r="H3" t="inlineStr">
        <x:is>
          <x:t xml:space="preserve">Meptin 50 (10 tabs)</x:t>
        </x:is>
      </x:c>
      <x:c r="I3" t="inlineStr">
        <x:is>
          <x:t xml:space="preserve">รับประทานครั้งละ 1 เม็ด วันละ 2   ครั้ง เช้าและก่อนนอน</x:t>
        </x:is>
      </x:c>
      <x:c r="P3" t="inlineStr">
        <x:is>
          <x:t xml:space="preserve">Bronchodilators (inhalers/oral)</x:t>
        </x:is>
      </x:c>
    </x:row>
    <x:row r="4">
      <x:c r="A4" t="n">
        <x:v>127</x:v>
      </x:c>
      <x:c r="B4" t="inlineStr">
        <x:is>
          <x:t xml:space="preserve">ยาขยายหลอดลม (D)</x:t>
        </x:is>
      </x:c>
      <x:c r="C4" t="n">
        <x:v>2617</x:v>
      </x:c>
      <x:c r="D4" t="inlineStr">
        <x:is>
          <x:t xml:space="preserve">Meptin Mini 25</x:t>
        </x:is>
      </x:c>
      <x:c r="E4" t="inlineStr">
        <x:is>
          <x:t xml:space="preserve">แผง 10 เม็ด</x:t>
        </x:is>
      </x:c>
      <x:c r="F4" t="inlineStr">
        <x:is>
          <x:t xml:space="preserve">Procaterol HCl 25 mcg.</x:t>
        </x:is>
      </x:c>
      <x:c r="G4" t="inlineStr">
        <x:is>
          <x:t xml:space="preserve">BDS002617</x:t>
        </x:is>
      </x:c>
      <x:c r="H4" t="inlineStr">
        <x:is>
          <x:t xml:space="preserve">Meptin Mini 25 (10 tabs)</x:t>
        </x:is>
      </x:c>
      <x:c r="I4" t="inlineStr">
        <x:is>
          <x:t xml:space="preserve">รับประทานครั้งละ 1 เม็ด วันละ 2 ครั้ง เช้าและก่อนนอน</x:t>
        </x:is>
      </x:c>
      <x:c r="P4" t="inlineStr">
        <x:is>
          <x:t xml:space="preserve">Bronchodilators (inhalers/oral)</x:t>
        </x:is>
      </x:c>
    </x:row>
    <x:row r="5">
      <x:c r="A5" t="n">
        <x:v>128</x:v>
      </x:c>
      <x:c r="B5" t="inlineStr">
        <x:is>
          <x:t xml:space="preserve">ยาขยายหลอดลม (D)</x:t>
        </x:is>
      </x:c>
      <x:c r="C5" t="n">
        <x:v>2844</x:v>
      </x:c>
      <x:c r="D5" t="inlineStr">
        <x:is>
          <x:t xml:space="preserve">Nuelin SR</x:t>
        </x:is>
      </x:c>
      <x:c r="E5" t="inlineStr">
        <x:is>
          <x:t xml:space="preserve">แผง 20 เม็ด</x:t>
        </x:is>
      </x:c>
      <x:c r="F5" t="inlineStr">
        <x:is>
          <x:t xml:space="preserve">Theophylline 200 mg.</x:t>
        </x:is>
      </x:c>
      <x:c r="G5" t="inlineStr">
        <x:is>
          <x:t xml:space="preserve">BDS002844</x:t>
        </x:is>
      </x:c>
      <x:c r="H5" t="inlineStr">
        <x:is>
          <x:t xml:space="preserve">Nuelin SR (20 tabs)</x:t>
        </x:is>
      </x:c>
      <x:c r="I5" t="inlineStr">
        <x:is>
          <x:t xml:space="preserve">รับประทานครั้งละ 1 เม็ด วันละ 2 ครั้ง หลังอาหาร หรือตามแพทย์สั่ง</x:t>
        </x:is>
      </x:c>
      <x:c r="P5" t="inlineStr">
        <x:is>
          <x:t xml:space="preserve">Bronchodilators (inhalers/oral)</x:t>
        </x:is>
      </x:c>
    </x:row>
    <x:row r="6">
      <x:c r="A6" t="n">
        <x:v>129</x:v>
      </x:c>
      <x:c r="B6" t="inlineStr">
        <x:is>
          <x:t xml:space="preserve">ยาขยายหลอดลม (D)</x:t>
        </x:is>
      </x:c>
      <x:c r="C6" t="n">
        <x:v>3708</x:v>
      </x:c>
      <x:c r="D6" t="inlineStr">
        <x:is>
          <x:t xml:space="preserve">Terbuhim</x:t>
        </x:is>
      </x:c>
      <x:c r="E6" t="inlineStr">
        <x:is>
          <x:t xml:space="preserve">แผง 10 เม็ด</x:t>
        </x:is>
      </x:c>
      <x:c r="F6" t="inlineStr">
        <x:is>
          <x:t xml:space="preserve">Terbutaline sulfate 2.5 mg</x:t>
        </x:is>
      </x:c>
      <x:c r="G6" t="inlineStr">
        <x:is>
          <x:t xml:space="preserve">BDS003708</x:t>
        </x:is>
      </x:c>
      <x:c r="H6" t="inlineStr">
        <x:is>
          <x:t xml:space="preserve">Terbuhim (10 tabs)</x:t>
        </x:is>
      </x:c>
      <x:c r="I6" t="inlineStr">
        <x:is>
          <x:t xml:space="preserve">รับประทานครั้งละ 1 เม็ด วันละ 3 ครั้ง หลังอาหาร</x:t>
        </x:is>
      </x:c>
      <x:c r="P6" t="inlineStr">
        <x:is>
          <x:t xml:space="preserve">Bronchodilators (inhalers/oral)</x:t>
        </x:is>
      </x:c>
    </x:row>
    <x:row r="7">
      <x:c r="A7" t="n">
        <x:v>272</x:v>
      </x:c>
      <x:c r="B7" t="inlineStr">
        <x:is>
          <x:t xml:space="preserve">ยาขยายหลอดลม ชนิดน้ำ (D)</x:t>
        </x:is>
      </x:c>
      <x:c r="C7" t="n">
        <x:v>1458</x:v>
      </x:c>
      <x:c r="D7" t="inlineStr">
        <x:is>
          <x:t xml:space="preserve">Asthmasian Expectorant Syrup</x:t>
        </x:is>
      </x:c>
      <x:c r="E7" t="inlineStr">
        <x:is>
          <x:t xml:space="preserve">ขวด 60 ml.</x:t>
        </x:is>
      </x:c>
      <x:c r="F7" t="inlineStr">
        <x:is>
          <x:t xml:space="preserve">Terbutaline sulfate 1.5 mg.+Glyceryl guaiacolate 100 mg.</x:t>
        </x:is>
      </x:c>
      <x:c r="G7" t="inlineStr">
        <x:is>
          <x:t xml:space="preserve">BDS001458</x:t>
        </x:is>
      </x:c>
      <x:c r="H7" t="inlineStr">
        <x:is>
          <x:t xml:space="preserve">Asthmasian Expectorant Syrup (60 ml.)</x:t>
        </x:is>
      </x:c>
      <x:c r="I7" t="inlineStr">
        <x:is>
          <x:t xml:space="preserve">เด็กโตรับประทานครั้งละ 1-2 ช้อนชา วันละ 3 ครั้ง</x:t>
        </x:is>
      </x:c>
      <x:c r="P7" t="inlineStr">
        <x:is>
          <x:t xml:space="preserve">Bronchodilators (inhalers/oral)</x:t>
        </x:is>
      </x:c>
    </x:row>
    <x:row r="8">
      <x:c r="A8" t="n">
        <x:v>273</x:v>
      </x:c>
      <x:c r="B8" t="inlineStr">
        <x:is>
          <x:t xml:space="preserve">ยาขยายหลอดลม ชนิดน้ำ (D)</x:t>
        </x:is>
      </x:c>
      <x:c r="C8" t="n">
        <x:v>2618</x:v>
      </x:c>
      <x:c r="D8" t="inlineStr">
        <x:is>
          <x:t xml:space="preserve">Meptin น้ำ มีกล่อง</x:t>
        </x:is>
      </x:c>
      <x:c r="E8" t="inlineStr">
        <x:is>
          <x:t xml:space="preserve">ขวด 60 ml.</x:t>
        </x:is>
      </x:c>
      <x:c r="F8" t="inlineStr">
        <x:is>
          <x:t xml:space="preserve">Procaterol HCl 5 mcg./1 ml.  </x:t>
        </x:is>
      </x:c>
      <x:c r="G8" t="inlineStr">
        <x:is>
          <x:t xml:space="preserve">BDS002618</x:t>
        </x:is>
      </x:c>
      <x:c r="H8" t="inlineStr">
        <x:is>
          <x:t xml:space="preserve">Meptin น้ำ มีกล่อง (60 ml.)</x:t>
        </x:is>
      </x:c>
      <x:c r="I8" t="inlineStr">
        <x:is>
          <x:t xml:space="preserve">รับประทานครั้งละ 1-2 ช้อนชา วันละ 2 ครั้ง</x:t>
        </x:is>
      </x:c>
      <x:c r="P8" t="inlineStr">
        <x:is>
          <x:t xml:space="preserve">Bronchodilators (inhalers/oral)</x:t>
        </x:is>
      </x:c>
    </x:row>
    <x:row r="9">
      <x:c r="A9" t="n">
        <x:v>274</x:v>
      </x:c>
      <x:c r="B9" t="inlineStr">
        <x:is>
          <x:t xml:space="preserve">ยาขยายหลอดลม ชนิดน้ำ (D)</x:t>
        </x:is>
      </x:c>
      <x:c r="C9" t="n">
        <x:v>3645</x:v>
      </x:c>
      <x:c r="D9" t="inlineStr">
        <x:is>
          <x:t xml:space="preserve">Salbulin Syrup</x:t>
        </x:is>
      </x:c>
      <x:c r="E9" t="inlineStr">
        <x:is>
          <x:t xml:space="preserve">ขวด 60 ml.</x:t>
        </x:is>
      </x:c>
      <x:c r="F9" t="inlineStr">
        <x:is>
          <x:t xml:space="preserve">Salbutamol 2.4 mg./5 ml.</x:t>
        </x:is>
      </x:c>
      <x:c r="G9" t="inlineStr">
        <x:is>
          <x:t xml:space="preserve">BDS003645</x:t>
        </x:is>
      </x:c>
      <x:c r="H9" t="inlineStr">
        <x:is>
          <x:t xml:space="preserve">Salbulin Syrup (60 ml.)</x:t>
        </x:is>
      </x:c>
      <x:c r="I9" t="inlineStr">
        <x:is>
          <x:t xml:space="preserve">เด็กโตรับประทานครั้งละ 1 ช้อนชา วันละ 3 ครั้ง หรือตามแพทย์สั่ง</x:t>
        </x:is>
      </x:c>
      <x:c r="P9" t="inlineStr">
        <x:is>
          <x:t xml:space="preserve">Bronchodilators (inhalers/oral)</x:t>
        </x:is>
      </x:c>
    </x:row>
    <x:row r="10">
      <x:c r="A10" t="n">
        <x:v>275</x:v>
      </x:c>
      <x:c r="B10" t="inlineStr">
        <x:is>
          <x:t xml:space="preserve">ยาขยายหลอดลม ชนิดน้ำ (D)</x:t>
        </x:is>
      </x:c>
      <x:c r="C10" t="n">
        <x:v>3589</x:v>
      </x:c>
      <x:c r="D10" t="inlineStr">
        <x:is>
          <x:t xml:space="preserve">Salmol Syrup</x:t>
        </x:is>
      </x:c>
      <x:c r="E10" t="inlineStr">
        <x:is>
          <x:t xml:space="preserve">ขวด 60 ml.</x:t>
        </x:is>
      </x:c>
      <x:c r="F10" t="inlineStr">
        <x:is>
          <x:t xml:space="preserve">Salbutamol 2 mg./5 ml.</x:t>
        </x:is>
      </x:c>
      <x:c r="G10" t="inlineStr">
        <x:is>
          <x:t xml:space="preserve">BDS003589</x:t>
        </x:is>
      </x:c>
      <x:c r="H10" t="inlineStr">
        <x:is>
          <x:t xml:space="preserve">Salmol Syrup (60 ml.)</x:t>
        </x:is>
      </x:c>
      <x:c r="I10" t="inlineStr">
        <x:is>
          <x:t xml:space="preserve">เด็กโตรับประทานครั้งละ 1 ช้อนชา วันละ 3-4 ครั้ง หรือตามแพทย์สั่ง</x:t>
        </x:is>
      </x:c>
      <x:c r="P10" t="inlineStr">
        <x:is>
          <x:t xml:space="preserve">Bronchodilators (inhalers/oral)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138</x:v>
      </x:c>
      <x:c r="B2" t="inlineStr">
        <x:is>
          <x:t xml:space="preserve">ยาขับลม</x:t>
        </x:is>
      </x:c>
      <x:c r="C2" t="n">
        <x:v>1079</x:v>
      </x:c>
      <x:c r="D2" t="inlineStr">
        <x:is>
          <x:t xml:space="preserve">Air-X 120</x:t>
        </x:is>
      </x:c>
      <x:c r="E2" t="inlineStr">
        <x:is>
          <x:t xml:space="preserve">แผง 10 เม็ด</x:t>
        </x:is>
      </x:c>
      <x:c r="F2" t="inlineStr">
        <x:is>
          <x:t xml:space="preserve">Simethicone 120 mg.</x:t>
        </x:is>
      </x:c>
      <x:c r="G2" t="inlineStr">
        <x:is>
          <x:t xml:space="preserve">BDS001079</x:t>
        </x:is>
      </x:c>
      <x:c r="H2" t="inlineStr">
        <x:is>
          <x:t xml:space="preserve">Air-X 120 (10 tabs)</x:t>
        </x:is>
      </x:c>
      <x:c r="I2" t="inlineStr">
        <x:is>
          <x:t xml:space="preserve">รับประทาน (เคี้ยว) ครั้งละ 1 เม็ด วันละ 3-4 ครั้ง</x:t>
        </x:is>
      </x:c>
      <x:c r="P2" t="inlineStr">
        <x:is>
          <x:t xml:space="preserve">Carminatives (gas relief)</x:t>
        </x:is>
      </x:c>
    </x:row>
    <x:row r="3">
      <x:c r="A3" t="n">
        <x:v>139</x:v>
      </x:c>
      <x:c r="B3" t="inlineStr">
        <x:is>
          <x:t xml:space="preserve">ยาขับลม</x:t>
        </x:is>
      </x:c>
      <x:c r="C3" t="n">
        <x:v>6054</x:v>
      </x:c>
      <x:c r="D3" t="inlineStr">
        <x:is>
          <x:t xml:space="preserve">Gogaz</x:t>
        </x:is>
      </x:c>
      <x:c r="E3" t="inlineStr">
        <x:is>
          <x:t xml:space="preserve">กล่อง 10 แคปซูล</x:t>
        </x:is>
      </x:c>
      <x:c r="F3" t="inlineStr">
        <x:is>
          <x:t xml:space="preserve">Simethicone 200 mg.</x:t>
        </x:is>
      </x:c>
      <x:c r="G3" t="inlineStr">
        <x:is>
          <x:t xml:space="preserve">BDS006054</x:t>
        </x:is>
      </x:c>
      <x:c r="H3" t="inlineStr">
        <x:is>
          <x:t xml:space="preserve">Gogaz (10 cap)</x:t>
        </x:is>
      </x:c>
      <x:c r="I3" t="inlineStr">
        <x:is>
          <x:t xml:space="preserve">รับประทานครั้งละ 1 แคปซูล วันละ 1-2 ครั้ง หลังอาหาร หรือก่อนนอน หรือตามแพทย์สั่ง</x:t>
        </x:is>
      </x:c>
      <x:c r="P3" t="inlineStr">
        <x:is>
          <x:t xml:space="preserve">Carminatives (gas relief)</x:t>
        </x:is>
      </x:c>
    </x:row>
    <x:row r="4">
      <x:c r="A4" t="n">
        <x:v>140</x:v>
      </x:c>
      <x:c r="B4" t="inlineStr">
        <x:is>
          <x:t xml:space="preserve">ยาขับลม</x:t>
        </x:is>
      </x:c>
      <x:c r="C4" t="n">
        <x:v>8682</x:v>
      </x:c>
      <x:c r="D4" t="inlineStr">
        <x:is>
          <x:t xml:space="preserve">Pudin Hara</x:t>
        </x:is>
      </x:c>
      <x:c r="E4" t="inlineStr">
        <x:is>
          <x:t xml:space="preserve">แผง 10 แคปซูล</x:t>
        </x:is>
      </x:c>
      <x:c r="F4" t="inlineStr">
        <x:is>
          <x:t xml:space="preserve">Peppermint Oil 150 mg.+Spearmint Oil 30 mg.</x:t>
        </x:is>
      </x:c>
      <x:c r="G4" t="inlineStr">
        <x:is>
          <x:t xml:space="preserve">BDS008682</x:t>
        </x:is>
      </x:c>
      <x:c r="H4" t="inlineStr">
        <x:is>
          <x:t xml:space="preserve">Pudin Hara (10 cap)</x:t>
        </x:is>
      </x:c>
      <x:c r="I4" t="inlineStr">
        <x:is>
          <x:t xml:space="preserve">รับประทานครั้งละ 2 แคปซูล หลังอาหาร พร้อมน้ำ 1 แก้ว </x:t>
        </x:is>
      </x:c>
      <x:c r="P4" t="inlineStr">
        <x:is>
          <x:t xml:space="preserve">Carminatives (gas relief)</x:t>
        </x:is>
      </x:c>
    </x:row>
    <x:row r="5">
      <x:c r="A5" t="n">
        <x:v>141</x:v>
      </x:c>
      <x:c r="B5" t="inlineStr">
        <x:is>
          <x:t xml:space="preserve">ยาขับลม</x:t>
        </x:is>
      </x:c>
      <x:c r="C5" t="n">
        <x:v>47683</x:v>
      </x:c>
      <x:c r="D5" t="inlineStr">
        <x:is>
          <x:t xml:space="preserve">Soda Mint</x:t>
        </x:is>
      </x:c>
      <x:c r="E5" t="inlineStr">
        <x:is>
          <x:t xml:space="preserve">แผง 10 เม็ด</x:t>
        </x:is>
      </x:c>
      <x:c r="F5" t="inlineStr">
        <x:is>
          <x:t xml:space="preserve">Sodium bicarbonate 300 mg+Peppermint Oil 0.003 ml</x:t>
        </x:is>
      </x:c>
      <x:c r="G5" t="inlineStr">
        <x:is>
          <x:t xml:space="preserve">BDS047683</x:t>
        </x:is>
      </x:c>
      <x:c r="H5" t="inlineStr">
        <x:is>
          <x:t xml:space="preserve">Soda Mint (10 tabs)</x:t>
        </x:is>
      </x:c>
      <x:c r="I5" t="inlineStr">
        <x:is>
          <x:t xml:space="preserve">รับประทานครั้งละ 2 เม็ด วันละ 2-4 ครั้ง ก่อนอาหาร หรือตามแพทย์สั่ง</x:t>
        </x:is>
      </x:c>
      <x:c r="P5" t="inlineStr">
        <x:is>
          <x:t xml:space="preserve">Carminatives (gas relief)</x:t>
        </x:is>
      </x:c>
    </x:row>
    <x:row r="6">
      <x:c r="A6" t="n">
        <x:v>142</x:v>
      </x:c>
      <x:c r="B6" t="inlineStr">
        <x:is>
          <x:t xml:space="preserve">ยาขับลม</x:t>
        </x:is>
      </x:c>
      <x:c r="C6" t="n">
        <x:v>3910</x:v>
      </x:c>
      <x:c r="D6" t="inlineStr">
        <x:is>
          <x:t xml:space="preserve">V-Cap</x:t>
        </x:is>
      </x:c>
      <x:c r="E6" t="inlineStr">
        <x:is>
          <x:t xml:space="preserve">แผง 10 แคปซูล</x:t>
        </x:is>
      </x:c>
      <x:c r="F6" t="inlineStr">
        <x:is>
          <x:t xml:space="preserve">Simethicone 150 mg.</x:t>
        </x:is>
      </x:c>
      <x:c r="G6" t="inlineStr">
        <x:is>
          <x:t xml:space="preserve">BDS003910</x:t>
        </x:is>
      </x:c>
      <x:c r="H6" t="inlineStr">
        <x:is>
          <x:t xml:space="preserve">V-Cap (10 cap)</x:t>
        </x:is>
      </x:c>
      <x:c r="I6" t="inlineStr">
        <x:is>
          <x:t xml:space="preserve">รับประทานครั้งละ 1 แคปซูล วันละ 3 ครั้ง</x:t>
        </x:is>
      </x:c>
      <x:c r="P6" t="inlineStr">
        <x:is>
          <x:t xml:space="preserve">Carminatives (gas relief)</x:t>
        </x:is>
      </x:c>
    </x:row>
    <x:row r="7">
      <x:c r="A7" t="n">
        <x:v>293</x:v>
      </x:c>
      <x:c r="B7" t="inlineStr">
        <x:is>
          <x:t xml:space="preserve">ยาขับลม ชนิดน้ำ (D)</x:t>
        </x:is>
      </x:c>
      <x:c r="C7" t="n">
        <x:v>8034</x:v>
      </x:c>
      <x:c r="D7" t="inlineStr">
        <x:is>
          <x:t xml:space="preserve">Berclomine Syrup</x:t>
        </x:is>
      </x:c>
      <x:c r="E7" t="inlineStr">
        <x:is>
          <x:t xml:space="preserve">ขวด 60 ml.</x:t>
        </x:is>
      </x:c>
      <x:c r="F7" t="inlineStr">
        <x:is>
          <x:t xml:space="preserve">Dicyclomine 5 mg.+Simethicone 50 mg./5 ml.</x:t>
        </x:is>
      </x:c>
      <x:c r="G7" t="inlineStr">
        <x:is>
          <x:t xml:space="preserve">BDS008034</x:t>
        </x:is>
      </x:c>
      <x:c r="H7" t="inlineStr">
        <x:is>
          <x:t xml:space="preserve">Berclomine Syrup (60 ml.)</x:t>
        </x:is>
      </x:c>
      <x:c r="I7" t="inlineStr">
        <x:is>
          <x:t xml:space="preserve">รับประทานครั้งละ 1 ช้อนชา วันละ 4 ครั้ง ก่อนอาหาร</x:t>
        </x:is>
      </x:c>
      <x:c r="P7" t="inlineStr">
        <x:is>
          <x:t xml:space="preserve">Carminatives (gas relief)</x:t>
        </x:is>
      </x:c>
    </x:row>
    <x:row r="8">
      <x:c r="A8" t="n">
        <x:v>330</x:v>
      </x:c>
      <x:c r="B8" t="inlineStr">
        <x:is>
          <x:t xml:space="preserve">ยาขับลม ชนิดน้ำ</x:t>
        </x:is>
      </x:c>
      <x:c r="C8" t="n">
        <x:v>1013</x:v>
      </x:c>
      <x:c r="D8" t="inlineStr">
        <x:is>
          <x:t xml:space="preserve">Air-X Drops</x:t>
        </x:is>
      </x:c>
      <x:c r="E8" t="inlineStr">
        <x:is>
          <x:t xml:space="preserve">ขวด 15 ml.</x:t>
        </x:is>
      </x:c>
      <x:c r="F8" t="inlineStr">
        <x:is>
          <x:t xml:space="preserve">Simethicone 40 mg./0.6 ml.</x:t>
        </x:is>
      </x:c>
      <x:c r="G8" t="inlineStr">
        <x:is>
          <x:t xml:space="preserve">BDS001013</x:t>
        </x:is>
      </x:c>
      <x:c r="H8" t="inlineStr">
        <x:is>
          <x:t xml:space="preserve">Air-X Drops (15 ml.)</x:t>
        </x:is>
      </x:c>
      <x:c r="I8" t="inlineStr">
        <x:is>
          <x:t xml:space="preserve">รับประทานครั้งละ 0.3 ml. วันละ 3 ครั้ง หลังอาหาร</x:t>
        </x:is>
      </x:c>
      <x:c r="P8" t="inlineStr">
        <x:is>
          <x:t xml:space="preserve">Carminatives (gas relief)</x:t>
        </x:is>
      </x:c>
    </x:row>
    <x:row r="9">
      <x:c r="A9" t="n">
        <x:v>331</x:v>
      </x:c>
      <x:c r="B9" t="inlineStr">
        <x:is>
          <x:t xml:space="preserve">ยาขับลม ชนิดน้ำ</x:t>
        </x:is>
      </x:c>
      <x:c r="C9" t="n">
        <x:v>2631</x:v>
      </x:c>
      <x:c r="D9" t="inlineStr">
        <x:is>
          <x:t xml:space="preserve">Mixt.Carminative (GPO) 180 ml</x:t>
        </x:is>
      </x:c>
      <x:c r="E9" t="inlineStr">
        <x:is>
          <x:t xml:space="preserve">ขวด 180 ml.</x:t>
        </x:is>
      </x:c>
      <x:c r="F9" t="inlineStr">
        <x:is>
          <x:t xml:space="preserve">Cardamon Tincture 1.80 ml.+Capsicum Tincture 0.06 ml.+Ginger Tincture 0.024 ml./15 ml.</x:t>
        </x:is>
      </x:c>
      <x:c r="G9" t="inlineStr">
        <x:is>
          <x:t xml:space="preserve">BDS002631</x:t>
        </x:is>
      </x:c>
      <x:c r="H9" t="inlineStr">
        <x:is>
          <x:t xml:space="preserve">Mixt.Carminative (GPO) 180 ml (180 ml.)</x:t>
        </x:is>
      </x:c>
      <x:c r="I9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9" t="inlineStr">
        <x:is>
          <x:t xml:space="preserve">Carminatives (gas relief)</x:t>
        </x:is>
      </x:c>
    </x:row>
    <x:row r="10">
      <x:c r="A10" t="n">
        <x:v>332</x:v>
      </x:c>
      <x:c r="B10" t="inlineStr">
        <x:is>
          <x:t xml:space="preserve">ยาขับลม ชนิดน้ำ</x:t>
        </x:is>
      </x:c>
      <x:c r="C10" t="n">
        <x:v>2632</x:v>
      </x:c>
      <x:c r="D10" t="inlineStr">
        <x:is>
          <x:t xml:space="preserve">Mixt.Carminative (GPO) 450 ml</x:t>
        </x:is>
      </x:c>
      <x:c r="E10" t="inlineStr">
        <x:is>
          <x:t xml:space="preserve">ขวด 450 ml.</x:t>
        </x:is>
      </x:c>
      <x:c r="F10" t="inlineStr">
        <x:is>
          <x:t xml:space="preserve">Cardamon Tincture 1.80 ml.+Capsicum Tincture 0.06 ml.+Ginger Tincture 0.024 ml./15 ml.</x:t>
        </x:is>
      </x:c>
      <x:c r="G10" t="inlineStr">
        <x:is>
          <x:t xml:space="preserve">BDS002632</x:t>
        </x:is>
      </x:c>
      <x:c r="H10" t="inlineStr">
        <x:is>
          <x:t xml:space="preserve">Mixt.Carminative (GPO) 450 ml (450 ml.)</x:t>
        </x:is>
      </x:c>
      <x:c r="I10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10" t="inlineStr">
        <x:is>
          <x:t xml:space="preserve">Carminatives (gas relief)</x:t>
        </x:is>
      </x:c>
    </x:row>
    <x:row r="11">
      <x:c r="A11" t="n">
        <x:v>333</x:v>
      </x:c>
      <x:c r="B11" t="inlineStr">
        <x:is>
          <x:t xml:space="preserve">ยาขับลม ชนิดน้ำ</x:t>
        </x:is>
      </x:c>
      <x:c r="C11" t="n">
        <x:v>7967</x:v>
      </x:c>
      <x:c r="D11" t="inlineStr">
        <x:is>
          <x:t xml:space="preserve">Ziga Gas</x:t>
        </x:is>
      </x:c>
      <x:c r="E11" t="inlineStr">
        <x:is>
          <x:t xml:space="preserve">ขวด 240 ml.</x:t>
        </x:is>
      </x:c>
      <x:c r="F11" t="inlineStr">
        <x:is>
          <x:t xml:space="preserve">เปล้าน้อย+สมุลแว้ง+ขมิ้นชัน+กานพลู+ลูกกระวาน+เกล็ดสะระแหน่</x:t>
        </x:is>
      </x:c>
      <x:c r="G11" t="inlineStr">
        <x:is>
          <x:t xml:space="preserve">BDS007967</x:t>
        </x:is>
      </x:c>
      <x:c r="H11" t="inlineStr">
        <x:is>
          <x:t xml:space="preserve">Ziga Gas (240 ml.)</x:t>
        </x:is>
      </x:c>
      <x:c r="I11" t="inlineStr">
        <x:is>
          <x:t xml:space="preserve">รับประทานครั้งละ 1-2 ช้อนโต๊ะ วันละ 3-4 ครั้ง หลังอาหาร และก่อนนอน</x:t>
        </x:is>
      </x:c>
      <x:c r="P11" t="inlineStr">
        <x:is>
          <x:t xml:space="preserve">Carminatives (gas relief)</x:t>
        </x:is>
      </x:c>
    </x:row>
    <x:row r="12">
      <x:c r="A12" t="n">
        <x:v>412</x:v>
      </x:c>
      <x:c r="B12" t="inlineStr">
        <x:is>
          <x:t xml:space="preserve">ยาขับลม (D)</x:t>
        </x:is>
      </x:c>
      <x:c r="C12" t="n">
        <x:v>1038</x:v>
      </x:c>
      <x:c r="D12" t="inlineStr">
        <x:is>
          <x:t xml:space="preserve">Avarin</x:t>
        </x:is>
      </x:c>
      <x:c r="E12" t="inlineStr">
        <x:is>
          <x:t xml:space="preserve">กล่อง 10 แคปซูล</x:t>
        </x:is>
      </x:c>
      <x:c r="F12" t="inlineStr">
        <x:is>
          <x:t xml:space="preserve">Simethicone 300 mg.+Alverine Citrate 60 mg.</x:t>
        </x:is>
      </x:c>
      <x:c r="G12" t="inlineStr">
        <x:is>
          <x:t xml:space="preserve">BDS001038</x:t>
        </x:is>
      </x:c>
      <x:c r="H12" t="inlineStr">
        <x:is>
          <x:t xml:space="preserve">Avarin (10 cap)</x:t>
        </x:is>
      </x:c>
      <x:c r="I12" t="inlineStr">
        <x:is>
          <x:t xml:space="preserve">รับประทานครั้งละ 1 แคปซูล วันละ 3  ครั้ง หลังอาหาร</x:t>
        </x:is>
      </x:c>
      <x:c r="P12" t="inlineStr">
        <x:is>
          <x:t xml:space="preserve">Carminatives (gas relief)</x:t>
        </x:is>
      </x:c>
    </x:row>
    <x:row r="13">
      <x:c r="A13" t="n">
        <x:v>413</x:v>
      </x:c>
      <x:c r="B13" t="inlineStr">
        <x:is>
          <x:t xml:space="preserve">ยาขับลม (D)</x:t>
        </x:is>
      </x:c>
      <x:c r="C13" t="n">
        <x:v>1234</x:v>
      </x:c>
      <x:c r="D13" t="inlineStr">
        <x:is>
          <x:t xml:space="preserve">Berclomin tabs</x:t>
        </x:is>
      </x:c>
      <x:c r="E13" t="inlineStr">
        <x:is>
          <x:t xml:space="preserve">แผง 10 เม็ด</x:t>
        </x:is>
      </x:c>
      <x:c r="F13" t="inlineStr">
        <x:is>
          <x:t xml:space="preserve">Dicyclomine 10 mg.+Simethicone 100 mg.</x:t>
        </x:is>
      </x:c>
      <x:c r="G13" t="inlineStr">
        <x:is>
          <x:t xml:space="preserve">BDS001234</x:t>
        </x:is>
      </x:c>
      <x:c r="H13" t="inlineStr">
        <x:is>
          <x:t xml:space="preserve">Berclomin tabs (10 tabs)</x:t>
        </x:is>
      </x:c>
      <x:c r="I13" t="inlineStr">
        <x:is>
          <x:t xml:space="preserve">รับประทานครั้งละ 1-2 เม็ด วันละ 3-4 ครั้ง ก่อนอาหาร</x:t>
        </x:is>
      </x:c>
      <x:c r="P13" t="inlineStr">
        <x:is>
          <x:t xml:space="preserve">Carminatives (gas relief)</x:t>
        </x:is>
      </x:c>
    </x:row>
    <x:row r="14">
      <x:c r="A14" t="n">
        <x:v>414</x:v>
      </x:c>
      <x:c r="B14" t="inlineStr">
        <x:is>
          <x:t xml:space="preserve">ยาขับลม (D)</x:t>
        </x:is>
      </x:c>
      <x:c r="C14" t="n">
        <x:v>44943</x:v>
      </x:c>
      <x:c r="D14" t="inlineStr">
        <x:is>
          <x:t xml:space="preserve">Meteospasmyl </x:t>
        </x:is>
      </x:c>
      <x:c r="E14" t="inlineStr">
        <x:is>
          <x:t xml:space="preserve">แผง 10 เม็ด</x:t>
        </x:is>
      </x:c>
      <x:c r="F14" t="inlineStr">
        <x:is>
          <x:t xml:space="preserve">Alverine Citrate 60 mg +Simethicone 300 mg</x:t>
        </x:is>
      </x:c>
      <x:c r="G14" t="inlineStr">
        <x:is>
          <x:t xml:space="preserve">BDS044943</x:t>
        </x:is>
      </x:c>
      <x:c r="H14" t="inlineStr">
        <x:is>
          <x:t xml:space="preserve">Meteospasmyl  (10 tabs)</x:t>
        </x:is>
      </x:c>
      <x:c r="I14" t="inlineStr">
        <x:is>
          <x:t xml:space="preserve">รับประทานครั้งละ 1 แคปซูล วันละ 3  ครั้ง หลังอาหาร</x:t>
        </x:is>
      </x:c>
      <x:c r="P14" t="inlineStr">
        <x:is>
          <x:t xml:space="preserve">Carminatives (gas relief)</x:t>
        </x:is>
      </x:c>
    </x:row>
    <x:row r="15">
      <x:c r="A15" t="n">
        <x:v>493</x:v>
      </x:c>
      <x:c r="B15" t="inlineStr">
        <x:is>
          <x:t xml:space="preserve">ยาขับลม (OTC)</x:t>
        </x:is>
      </x:c>
      <x:c r="C15" t="n">
        <x:v>1014</x:v>
      </x:c>
      <x:c r="D15" t="inlineStr">
        <x:is>
          <x:t xml:space="preserve">Air-X</x:t>
        </x:is>
      </x:c>
      <x:c r="E15" t="inlineStr">
        <x:is>
          <x:t xml:space="preserve">แผง 10 เม็ด</x:t>
        </x:is>
      </x:c>
      <x:c r="F15" t="inlineStr">
        <x:is>
          <x:t xml:space="preserve">Simethicone 80 mg.</x:t>
        </x:is>
      </x:c>
      <x:c r="G15" t="inlineStr">
        <x:is>
          <x:t xml:space="preserve">BDS001014</x:t>
        </x:is>
      </x:c>
      <x:c r="H15" t="inlineStr">
        <x:is>
          <x:t xml:space="preserve">Air-X (10 tabs)</x:t>
        </x:is>
      </x:c>
      <x:c r="I15" t="inlineStr">
        <x:is>
          <x:t xml:space="preserve">รับประทาน (เคี้ยว) ครั้งละ 1-2 เม็ด วันละ 3-4 ครั้ง หลังอาหาร</x:t>
        </x:is>
      </x:c>
      <x:c r="P15" t="inlineStr">
        <x:is>
          <x:t xml:space="preserve">Carminatives (gas relief)</x:t>
        </x:is>
      </x:c>
    </x:row>
    <x:row r="16">
      <x:c r="A16" t="n">
        <x:v>494</x:v>
      </x:c>
      <x:c r="B16" t="inlineStr">
        <x:is>
          <x:t xml:space="preserve">ยาขับลม (OTC)</x:t>
        </x:is>
      </x:c>
      <x:c r="C16" t="n">
        <x:v>1089</x:v>
      </x:c>
      <x:c r="D16" t="inlineStr">
        <x:is>
          <x:t xml:space="preserve">Air-X Lemon</x:t>
        </x:is>
      </x:c>
      <x:c r="E16" t="inlineStr">
        <x:is>
          <x:t xml:space="preserve">แผง 10 เม็ด</x:t>
        </x:is>
      </x:c>
      <x:c r="F16" t="inlineStr">
        <x:is>
          <x:t xml:space="preserve">Simethicone 80 mg.</x:t>
        </x:is>
      </x:c>
      <x:c r="G16" t="inlineStr">
        <x:is>
          <x:t xml:space="preserve">BDS001089</x:t>
        </x:is>
      </x:c>
      <x:c r="H16" t="inlineStr">
        <x:is>
          <x:t xml:space="preserve">Air-X Lemon (10 tabs)</x:t>
        </x:is>
      </x:c>
      <x:c r="I16" t="inlineStr">
        <x:is>
          <x:t xml:space="preserve">รับประทาน (เคี้ยว) ครั้งละ 1-2 เม็ด วันละ 3-4 ครั้ง</x:t>
        </x:is>
      </x:c>
      <x:c r="P16" t="inlineStr">
        <x:is>
          <x:t xml:space="preserve">Carminatives (gas relief)</x:t>
        </x:is>
      </x:c>
    </x:row>
    <x:row r="17">
      <x:c r="A17" t="n">
        <x:v>495</x:v>
      </x:c>
      <x:c r="B17" t="inlineStr">
        <x:is>
          <x:t xml:space="preserve">ยาขับลม (OTC)</x:t>
        </x:is>
      </x:c>
      <x:c r="C17" t="n">
        <x:v>1085</x:v>
      </x:c>
      <x:c r="D17" t="inlineStr">
        <x:is>
          <x:t xml:space="preserve">Air-X Orange</x:t>
        </x:is>
      </x:c>
      <x:c r="E17" t="inlineStr">
        <x:is>
          <x:t xml:space="preserve">แผง 10 เม็ด</x:t>
        </x:is>
      </x:c>
      <x:c r="F17" t="inlineStr">
        <x:is>
          <x:t xml:space="preserve">Simethicone 80 mg.</x:t>
        </x:is>
      </x:c>
      <x:c r="G17" t="inlineStr">
        <x:is>
          <x:t xml:space="preserve">BDS001085</x:t>
        </x:is>
      </x:c>
      <x:c r="H17" t="inlineStr">
        <x:is>
          <x:t xml:space="preserve">Air-X Orange (10 tabs)</x:t>
        </x:is>
      </x:c>
      <x:c r="I17" t="inlineStr">
        <x:is>
          <x:t xml:space="preserve">รับประทาน (เคี้ยว) ครั้งละ 2 เม็ด วันละ 3-4 ครั้ง</x:t>
        </x:is>
      </x:c>
      <x:c r="P17" t="inlineStr">
        <x:is>
          <x:t xml:space="preserve">Carminatives (gas relief)</x:t>
        </x:is>
      </x:c>
    </x:row>
    <x:row r="18">
      <x:c r="A18" t="n">
        <x:v>496</x:v>
      </x:c>
      <x:c r="B18" t="inlineStr">
        <x:is>
          <x:t xml:space="preserve">ยาขับลม (OTC)</x:t>
        </x:is>
      </x:c>
      <x:c r="C18" t="n">
        <x:v>1088</x:v>
      </x:c>
      <x:c r="D18" t="inlineStr">
        <x:is>
          <x:t xml:space="preserve">Air-X Sugar Free</x:t>
        </x:is>
      </x:c>
      <x:c r="E18" t="inlineStr">
        <x:is>
          <x:t xml:space="preserve">แผง 10 เม็ด</x:t>
        </x:is>
      </x:c>
      <x:c r="F18" t="inlineStr">
        <x:is>
          <x:t xml:space="preserve">Simethicone 40 mg.</x:t>
        </x:is>
      </x:c>
      <x:c r="G18" t="inlineStr">
        <x:is>
          <x:t xml:space="preserve">BDS001088</x:t>
        </x:is>
      </x:c>
      <x:c r="H18" t="inlineStr">
        <x:is>
          <x:t xml:space="preserve">Air-X Sugar Free (10 tabs)</x:t>
        </x:is>
      </x:c>
      <x:c r="I18" t="inlineStr">
        <x:is>
          <x:t xml:space="preserve">รับประทาน (เคี้ยว) ครั้งละ 1-2 เม็ด วันละ 3-4 ครั้ง หลังอาหาร</x:t>
        </x:is>
      </x:c>
      <x:c r="P18" t="inlineStr">
        <x:is>
          <x:t xml:space="preserve">Carminatives (gas relief)</x:t>
        </x:is>
      </x:c>
    </x:row>
    <x:row r="19">
      <x:c r="A19" t="n">
        <x:v>497</x:v>
      </x:c>
      <x:c r="B19" t="inlineStr">
        <x:is>
          <x:t xml:space="preserve">ยาขับลม (OTC)</x:t>
        </x:is>
      </x:c>
      <x:c r="C19" t="n">
        <x:v>1641</x:v>
      </x:c>
      <x:c r="D19" t="inlineStr">
        <x:is>
          <x:t xml:space="preserve">Dioxzye</x:t>
        </x:is>
      </x:c>
      <x:c r="E19" t="inlineStr">
        <x:is>
          <x:t xml:space="preserve">แผง 10 เม็ด</x:t>
        </x:is>
      </x:c>
      <x:c r="F19" t="inlineStr">
        <x:is>
          <x:t xml:space="preserve">Simethicone 80 mg.</x:t>
        </x:is>
      </x:c>
      <x:c r="G19" t="inlineStr">
        <x:is>
          <x:t xml:space="preserve">BDS001641</x:t>
        </x:is>
      </x:c>
      <x:c r="H19" t="inlineStr">
        <x:is>
          <x:t xml:space="preserve">Dioxzye (10 tabs)</x:t>
        </x:is>
      </x:c>
      <x:c r="I19" t="inlineStr">
        <x:is>
          <x:t xml:space="preserve">รับประทาน (เคี้ยว) ครั้งละ 2 เม็ด วันละ3-4 ครั้ง หลังอาหาร</x:t>
        </x:is>
      </x:c>
      <x:c r="P19" t="inlineStr">
        <x:is>
          <x:t xml:space="preserve">Carminatives (gas relief)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143</x:v>
      </x:c>
      <x:c r="B2" t="inlineStr">
        <x:is>
          <x:t xml:space="preserve">ยาต้านเชื้อรา (D)</x:t>
        </x:is>
      </x:c>
      <x:c r="C2" t="n">
        <x:v>40602</x:v>
      </x:c>
      <x:c r="D2" t="inlineStr">
        <x:is>
          <x:t xml:space="preserve">Biozole 150 mg</x:t>
        </x:is>
      </x:c>
      <x:c r="E2" t="inlineStr">
        <x:is>
          <x:t xml:space="preserve">กล่อง 1 แคปซูล</x:t>
        </x:is>
      </x:c>
      <x:c r="F2" t="inlineStr">
        <x:is>
          <x:t xml:space="preserve">Fluconazole 150 mg.</x:t>
        </x:is>
      </x:c>
      <x:c r="G2" t="inlineStr">
        <x:is>
          <x:t xml:space="preserve">BDS040602</x:t>
        </x:is>
      </x:c>
      <x:c r="H2" t="inlineStr">
        <x:is>
          <x:t xml:space="preserve">Biozole 150 mg (1 cap)</x:t>
        </x:is>
      </x:c>
      <x:c r="I2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2" t="inlineStr">
        <x:is>
          <x:t xml:space="preserve">Antifungals (oral/topical)</x:t>
        </x:is>
      </x:c>
    </x:row>
    <x:row r="3">
      <x:c r="A3" t="n">
        <x:v>144</x:v>
      </x:c>
      <x:c r="B3" t="inlineStr">
        <x:is>
          <x:t xml:space="preserve">ยาต้านเชื้อรา (D)</x:t>
        </x:is>
      </x:c>
      <x:c r="C3" t="n">
        <x:v>7128</x:v>
      </x:c>
      <x:c r="D3" t="inlineStr">
        <x:is>
          <x:t xml:space="preserve">Funa 200 mg</x:t>
        </x:is>
      </x:c>
      <x:c r="E3" t="inlineStr">
        <x:is>
          <x:t xml:space="preserve">กล่อง 1 แคปซูล</x:t>
        </x:is>
      </x:c>
      <x:c r="F3" t="inlineStr">
        <x:is>
          <x:t xml:space="preserve">Fluconazole 200 mg.</x:t>
        </x:is>
      </x:c>
      <x:c r="G3" t="inlineStr">
        <x:is>
          <x:t xml:space="preserve">BDS007128</x:t>
        </x:is>
      </x:c>
      <x:c r="H3" t="inlineStr">
        <x:is>
          <x:t xml:space="preserve">Funa 200 mg (1 cap)</x:t>
        </x:is>
      </x:c>
      <x:c r="I3" t="inlineStr">
        <x:is>
          <x:t xml:space="preserve">รับประทานครั้งละ 1 แคปซูล วันละ 1 ครั้ง หลังอาหาร</x:t>
        </x:is>
      </x:c>
      <x:c r="P3" t="inlineStr">
        <x:is>
          <x:t xml:space="preserve">Antifungals (oral/topical)</x:t>
        </x:is>
      </x:c>
    </x:row>
    <x:row r="4">
      <x:c r="A4" t="n">
        <x:v>145</x:v>
      </x:c>
      <x:c r="B4" t="inlineStr">
        <x:is>
          <x:t xml:space="preserve">ยาต้านเชื้อรา (D)</x:t>
        </x:is>
      </x:c>
      <x:c r="C4" t="n">
        <x:v>7572</x:v>
      </x:c>
      <x:c r="D4" t="inlineStr">
        <x:is>
          <x:t xml:space="preserve">J.V.Nazole</x:t>
        </x:is>
      </x:c>
      <x:c r="E4" t="inlineStr">
        <x:is>
          <x:t xml:space="preserve">แผง 10 เม็ด</x:t>
        </x:is>
      </x:c>
      <x:c r="F4" t="inlineStr">
        <x:is>
          <x:t xml:space="preserve">Ketoconazole 200 mg.</x:t>
        </x:is>
      </x:c>
      <x:c r="G4" t="inlineStr">
        <x:is>
          <x:t xml:space="preserve">BDS007572</x:t>
        </x:is>
      </x:c>
      <x:c r="H4" t="inlineStr">
        <x:is>
          <x:t xml:space="preserve">J.V.Nazole (10 tabs)</x:t>
        </x:is>
      </x:c>
      <x:c r="P4" t="inlineStr">
        <x:is>
          <x:t xml:space="preserve">Antifungals (oral/topical)</x:t>
        </x:is>
      </x:c>
    </x:row>
    <x:row r="5">
      <x:c r="A5" t="n">
        <x:v>146</x:v>
      </x:c>
      <x:c r="B5" t="inlineStr">
        <x:is>
          <x:t xml:space="preserve">ยาต้านเชื้อรา (D)</x:t>
        </x:is>
      </x:c>
      <x:c r="C5" t="n">
        <x:v>2826</x:v>
      </x:c>
      <x:c r="D5" t="inlineStr">
        <x:is>
          <x:t xml:space="preserve">Ninazol T.O.</x:t>
        </x:is>
      </x:c>
      <x:c r="E5" t="inlineStr">
        <x:is>
          <x:t xml:space="preserve">แผง 10 เม็ด</x:t>
        </x:is>
      </x:c>
      <x:c r="F5" t="inlineStr">
        <x:is>
          <x:t xml:space="preserve">Ketoconazole 200 mg.</x:t>
        </x:is>
      </x:c>
      <x:c r="G5" t="inlineStr">
        <x:is>
          <x:t xml:space="preserve">BDS002826</x:t>
        </x:is>
      </x:c>
      <x:c r="H5" t="inlineStr">
        <x:is>
          <x:t xml:space="preserve">Ninazol T.O. (10 tabs)</x:t>
        </x:is>
      </x:c>
      <x:c r="I5" t="inlineStr">
        <x:is>
          <x:t xml:space="preserve">รับประทานครั้งละ 1 เม็ด วันละ 1 ครั้ง หลังอาหาร</x:t>
        </x:is>
      </x:c>
      <x:c r="P5" t="inlineStr">
        <x:is>
          <x:t xml:space="preserve">Antifungals (oral/topical)</x:t>
        </x:is>
      </x:c>
    </x:row>
    <x:row r="6">
      <x:c r="A6" t="n">
        <x:v>147</x:v>
      </x:c>
      <x:c r="B6" t="inlineStr">
        <x:is>
          <x:t xml:space="preserve">ยาต้านเชื้อรา (D)</x:t>
        </x:is>
      </x:c>
      <x:c r="C6" t="n">
        <x:v>45631</x:v>
      </x:c>
      <x:c r="D6" t="inlineStr">
        <x:is>
          <x:t xml:space="preserve">Nyst Oral</x:t>
        </x:is>
      </x:c>
      <x:c r="E6" t="inlineStr">
        <x:is>
          <x:t xml:space="preserve">ขวด 12 ml.</x:t>
        </x:is>
      </x:c>
      <x:c r="F6" t="inlineStr">
        <x:is>
          <x:t xml:space="preserve">Nystatin 100,000 Unit/1 ml.</x:t>
        </x:is>
      </x:c>
      <x:c r="G6" t="inlineStr">
        <x:is>
          <x:t xml:space="preserve">BDS045631</x:t>
        </x:is>
      </x:c>
      <x:c r="H6" t="inlineStr">
        <x:is>
          <x:t xml:space="preserve">Nyst Oral (12 ml.)</x:t>
        </x:is>
      </x:c>
      <x:c r="I6" t="inlineStr">
        <x:is>
          <x:t xml:space="preserve">รับประทานครั้งละ 1 หลอดหยด วันละ 4 ครั้ง หลังอาหารและก่อนนอน</x:t>
        </x:is>
      </x:c>
      <x:c r="P6" t="inlineStr">
        <x:is>
          <x:t xml:space="preserve">Antifungals (oral/topical)</x:t>
        </x:is>
      </x:c>
    </x:row>
    <x:row r="7">
      <x:c r="A7" t="n">
        <x:v>148</x:v>
      </x:c>
      <x:c r="B7" t="inlineStr">
        <x:is>
          <x:t xml:space="preserve">ยาต้านเชื้อรา (D)</x:t>
        </x:is>
      </x:c>
      <x:c r="C7" t="n">
        <x:v>3653</x:v>
      </x:c>
      <x:c r="D7" t="inlineStr">
        <x:is>
          <x:t xml:space="preserve">Spornar</x:t>
        </x:is>
      </x:c>
      <x:c r="E7" t="inlineStr">
        <x:is>
          <x:t xml:space="preserve">กล่อง 10 แคปซูล</x:t>
        </x:is>
      </x:c>
      <x:c r="F7" t="inlineStr">
        <x:is>
          <x:t xml:space="preserve">Itraconazole 100 mg.</x:t>
        </x:is>
      </x:c>
      <x:c r="G7" t="inlineStr">
        <x:is>
          <x:t xml:space="preserve">BDS003653</x:t>
        </x:is>
      </x:c>
      <x:c r="H7" t="inlineStr">
        <x:is>
          <x:t xml:space="preserve">Spornar (10 cap)</x:t>
        </x:is>
      </x:c>
      <x:c r="I7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7" t="inlineStr">
        <x:is>
          <x:t xml:space="preserve">Antifungals (oral/topical)</x:t>
        </x:is>
      </x:c>
    </x:row>
    <x:row r="8">
      <x:c r="A8" t="n">
        <x:v>715</x:v>
      </x:c>
      <x:c r="B8" t="inlineStr">
        <x:is>
          <x:t xml:space="preserve">ยาทาฆ่าเชื้อราและแก้คัน (D)</x:t>
        </x:is>
      </x:c>
      <x:c r="C8" t="n">
        <x:v>1491</x:v>
      </x:c>
      <x:c r="D8" t="inlineStr">
        <x:is>
          <x:t xml:space="preserve">Canasone C.B. Cream</x:t>
        </x:is>
      </x:c>
      <x:c r="E8" t="inlineStr">
        <x:is>
          <x:t xml:space="preserve">หลอด 15 g.</x:t>
        </x:is>
      </x:c>
      <x:c r="F8" t="inlineStr">
        <x:is>
          <x:t xml:space="preserve">Clotrimazole 1%+Betamethasone Dipropionate (eq. to Betamethasone 0.1%) w/w</x:t>
        </x:is>
      </x:c>
      <x:c r="G8" t="inlineStr">
        <x:is>
          <x:t xml:space="preserve">BDS001491</x:t>
        </x:is>
      </x:c>
      <x:c r="H8" t="inlineStr">
        <x:is>
          <x:t xml:space="preserve">Canasone C.B. Cream (15 g.)</x:t>
        </x:is>
      </x:c>
      <x:c r="I8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8" t="inlineStr">
        <x:is>
          <x:t xml:space="preserve">Antifungals (oral/topical)</x:t>
        </x:is>
      </x:c>
    </x:row>
    <x:row r="9">
      <x:c r="A9" t="n">
        <x:v>716</x:v>
      </x:c>
      <x:c r="B9" t="inlineStr">
        <x:is>
          <x:t xml:space="preserve">ยาทาฆ่าเชื้อราและแก้คัน (D)</x:t>
        </x:is>
      </x:c>
      <x:c r="C9" t="n">
        <x:v>1417</x:v>
      </x:c>
      <x:c r="D9" t="inlineStr">
        <x:is>
          <x:t xml:space="preserve">Canazol-Be Cream ใหญ่</x:t>
        </x:is>
      </x:c>
      <x:c r="E9" t="inlineStr">
        <x:is>
          <x:t xml:space="preserve">หลอด 15 g.</x:t>
        </x:is>
      </x:c>
      <x:c r="F9" t="inlineStr">
        <x:is>
          <x:t xml:space="preserve">Clotrimazole 1 g+Betamethasone Dipropionate (eq. to Betamethasone 0.1 g)/100 g</x:t>
        </x:is>
      </x:c>
      <x:c r="G9" t="inlineStr">
        <x:is>
          <x:t xml:space="preserve">BDS001417</x:t>
        </x:is>
      </x:c>
      <x:c r="H9" t="inlineStr">
        <x:is>
          <x:t xml:space="preserve">Canazol-Be Cream ใหญ่ (15 g.)</x:t>
        </x:is>
      </x:c>
      <x:c r="I9" t="inlineStr">
        <x:is>
          <x:t xml:space="preserve">ทาบางๆ บริเวณที่มีอาการ วันละ 2-3 ครั้ง</x:t>
        </x:is>
      </x:c>
      <x:c r="P9" t="inlineStr">
        <x:is>
          <x:t xml:space="preserve">Antifungals (oral/topical)</x:t>
        </x:is>
      </x:c>
    </x:row>
    <x:row r="10">
      <x:c r="A10" t="n">
        <x:v>717</x:v>
      </x:c>
      <x:c r="B10" t="inlineStr">
        <x:is>
          <x:t xml:space="preserve">ยาทาฆ่าเชื้อราและแก้คัน (D)</x:t>
        </x:is>
      </x:c>
      <x:c r="C10" t="n">
        <x:v>7517</x:v>
      </x:c>
      <x:c r="D10" t="inlineStr">
        <x:is>
          <x:t xml:space="preserve">Clotribet-D Cream เล็ก</x:t>
        </x:is>
      </x:c>
      <x:c r="E10" t="inlineStr">
        <x:is>
          <x:t xml:space="preserve">หลอด 5 g.</x:t>
        </x:is>
      </x:c>
      <x:c r="F10" t="inlineStr">
        <x:is>
          <x:t xml:space="preserve">Clotrimazole 1 g+Betamethasone Dipropionate 0.064 g (eq. to Betamethasone 0.05 g)/100 g</x:t>
        </x:is>
      </x:c>
      <x:c r="G10" t="inlineStr">
        <x:is>
          <x:t xml:space="preserve">BDS007517</x:t>
        </x:is>
      </x:c>
      <x:c r="H10" t="inlineStr">
        <x:is>
          <x:t xml:space="preserve">Clotribet-D Cream เล็ก (5 g.)</x:t>
        </x:is>
      </x:c>
      <x:c r="I10" t="inlineStr">
        <x:is>
          <x:t xml:space="preserve">ทาครีมบางๆ บริเวณที่มีอาการ วันละ 2-3 ครั้ง</x:t>
        </x:is>
      </x:c>
      <x:c r="P10" t="inlineStr">
        <x:is>
          <x:t xml:space="preserve">Antifungals (oral/topical)</x:t>
        </x:is>
      </x:c>
    </x:row>
    <x:row r="11">
      <x:c r="A11" t="n">
        <x:v>718</x:v>
      </x:c>
      <x:c r="B11" t="inlineStr">
        <x:is>
          <x:t xml:space="preserve">ยาทาฆ่าเชื้อราและแก้คัน (D)</x:t>
        </x:is>
      </x:c>
      <x:c r="C11" t="n">
        <x:v>7516</x:v>
      </x:c>
      <x:c r="D11" t="inlineStr">
        <x:is>
          <x:t xml:space="preserve">Clotribet-D Cream ใหญ่</x:t>
        </x:is>
      </x:c>
      <x:c r="E11" t="inlineStr">
        <x:is>
          <x:t xml:space="preserve">หลอด 15 g.</x:t>
        </x:is>
      </x:c>
      <x:c r="F11" t="inlineStr">
        <x:is>
          <x:t xml:space="preserve">Clotrimazole 1 g+Betamethasone Dipropionate 0.064 g (eq. to Betamethasone 0.05 g)/100 g</x:t>
        </x:is>
      </x:c>
      <x:c r="G11" t="inlineStr">
        <x:is>
          <x:t xml:space="preserve">BDS007516</x:t>
        </x:is>
      </x:c>
      <x:c r="H11" t="inlineStr">
        <x:is>
          <x:t xml:space="preserve">Clotribet-D Cream ใหญ่ (15 g.)</x:t>
        </x:is>
      </x:c>
      <x:c r="I11" t="inlineStr">
        <x:is>
          <x:t xml:space="preserve">ทาครีมบางๆ บริเวณที่มีอาการ วันละ 2-3 ครั้ง</x:t>
        </x:is>
      </x:c>
      <x:c r="P11" t="inlineStr">
        <x:is>
          <x:t xml:space="preserve">Antifungals (oral/topical)</x:t>
        </x:is>
      </x:c>
    </x:row>
    <x:row r="12">
      <x:c r="A12" t="n">
        <x:v>719</x:v>
      </x:c>
      <x:c r="B12" t="inlineStr">
        <x:is>
          <x:t xml:space="preserve">ยาทาฆ่าเชื้อราและแก้คัน (D)</x:t>
        </x:is>
      </x:c>
      <x:c r="C12" t="n">
        <x:v>7736</x:v>
      </x:c>
      <x:c r="D12" t="inlineStr">
        <x:is>
          <x:t xml:space="preserve">Fango-B Cream เล็ก</x:t>
        </x:is>
      </x:c>
      <x:c r="E12" t="inlineStr">
        <x:is>
          <x:t xml:space="preserve">หลอด 5 g.</x:t>
        </x:is>
      </x:c>
      <x:c r="F12" t="inlineStr">
        <x:is>
          <x:t xml:space="preserve">Clotrimazole 1 g+Betamethasone Valerate (eq. to Betamethasone 0.1 g)/100 g</x:t>
        </x:is>
      </x:c>
      <x:c r="G12" t="inlineStr">
        <x:is>
          <x:t xml:space="preserve">BDS007736</x:t>
        </x:is>
      </x:c>
      <x:c r="H12" t="inlineStr">
        <x:is>
          <x:t xml:space="preserve">Fango-B Cream เล็ก (5 g.)</x:t>
        </x:is>
      </x:c>
      <x:c r="I12" t="inlineStr">
        <x:is>
          <x:t xml:space="preserve">ทาครีมบางๆ บริเวณที่มีอาการ วันละ 2-3 ครั้ง</x:t>
        </x:is>
      </x:c>
      <x:c r="P12" t="inlineStr">
        <x:is>
          <x:t xml:space="preserve">Antifungals (oral/topical)</x:t>
        </x:is>
      </x:c>
    </x:row>
    <x:row r="13">
      <x:c r="A13" t="n">
        <x:v>720</x:v>
      </x:c>
      <x:c r="B13" t="inlineStr">
        <x:is>
          <x:t xml:space="preserve">ยาทาฆ่าเชื้อราและแก้คัน (D)</x:t>
        </x:is>
      </x:c>
      <x:c r="C13" t="n">
        <x:v>1956</x:v>
      </x:c>
      <x:c r="D13" t="inlineStr">
        <x:is>
          <x:t xml:space="preserve">Fango-B Cream ใหญ่</x:t>
        </x:is>
      </x:c>
      <x:c r="E13" t="inlineStr">
        <x:is>
          <x:t xml:space="preserve">หลอด 15 g.</x:t>
        </x:is>
      </x:c>
      <x:c r="F13" t="inlineStr">
        <x:is>
          <x:t xml:space="preserve">Clotrimazole 1 g+Betamethasone Valerate (eq. to Betamethasone 0.1 g)/100 g</x:t>
        </x:is>
      </x:c>
      <x:c r="G13" t="inlineStr">
        <x:is>
          <x:t xml:space="preserve">BDS001956</x:t>
        </x:is>
      </x:c>
      <x:c r="H13" t="inlineStr">
        <x:is>
          <x:t xml:space="preserve">Fango-B Cream ใหญ่ (15 g.)</x:t>
        </x:is>
      </x:c>
      <x:c r="I13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13" t="inlineStr">
        <x:is>
          <x:t xml:space="preserve">Antifungals (oral/topical)</x:t>
        </x:is>
      </x:c>
    </x:row>
    <x:row r="14">
      <x:c r="A14" t="n">
        <x:v>721</x:v>
      </x:c>
      <x:c r="B14" t="inlineStr">
        <x:is>
          <x:t xml:space="preserve">ยาทาฆ่าเชื้อราและแก้คัน (D)</x:t>
        </x:is>
      </x:c>
      <x:c r="C14" t="n">
        <x:v>1932</x:v>
      </x:c>
      <x:c r="D14" t="inlineStr">
        <x:is>
          <x:t xml:space="preserve">Fungiderm-B</x:t>
        </x:is>
      </x:c>
      <x:c r="E14" t="inlineStr">
        <x:is>
          <x:t xml:space="preserve">หลอด 20 g.</x:t>
        </x:is>
      </x:c>
      <x:c r="F14" t="inlineStr">
        <x:is>
          <x:t xml:space="preserve">Clotrimazole 1 g+Betamethasone Valerate (eq. to Betamethasone 0.1 g)/100 g</x:t>
        </x:is>
      </x:c>
      <x:c r="G14" t="inlineStr">
        <x:is>
          <x:t xml:space="preserve">BDS001932</x:t>
        </x:is>
      </x:c>
      <x:c r="H14" t="inlineStr">
        <x:is>
          <x:t xml:space="preserve">Fungiderm-B (20 g.)</x:t>
        </x:is>
      </x:c>
      <x:c r="I14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14" t="inlineStr">
        <x:is>
          <x:t xml:space="preserve">Antifungals (oral/topical)</x:t>
        </x:is>
      </x:c>
    </x:row>
    <x:row r="15">
      <x:c r="A15" t="n">
        <x:v>722</x:v>
      </x:c>
      <x:c r="B15" t="inlineStr">
        <x:is>
          <x:t xml:space="preserve">ยาทาฆ่าเชื้อราและแก้คัน (D)</x:t>
        </x:is>
      </x:c>
      <x:c r="C15" t="n">
        <x:v>2538</x:v>
      </x:c>
      <x:c r="D15" t="inlineStr">
        <x:is>
          <x:t xml:space="preserve">Lymarin Cream ใหญ่</x:t>
        </x:is>
      </x:c>
      <x:c r="E15" t="inlineStr">
        <x:is>
          <x:t xml:space="preserve">หลอด 15 g.</x:t>
        </x:is>
      </x:c>
      <x:c r="F15" t="inlineStr">
        <x:is>
          <x:t xml:space="preserve">Miconazole Nitrate 2%+Triamcinolone Acetonide 0.2% w/w</x:t>
        </x:is>
      </x:c>
      <x:c r="G15" t="inlineStr">
        <x:is>
          <x:t xml:space="preserve">BDS002538</x:t>
        </x:is>
      </x:c>
      <x:c r="H15" t="inlineStr">
        <x:is>
          <x:t xml:space="preserve">Lymarin Cream ใหญ่ (15 g.)</x:t>
        </x:is>
      </x:c>
      <x:c r="I15" t="inlineStr">
        <x:is>
          <x:t xml:space="preserve">ทาครีมบางๆ บริเวณที่ติดเชื้อ วันละ 2-3 ครั้ง</x:t>
        </x:is>
      </x:c>
      <x:c r="P15" t="inlineStr">
        <x:is>
          <x:t xml:space="preserve">Antifungals (oral/topical)</x:t>
        </x:is>
      </x:c>
    </x:row>
    <x:row r="16">
      <x:c r="A16" t="n">
        <x:v>723</x:v>
      </x:c>
      <x:c r="B16" t="inlineStr">
        <x:is>
          <x:t xml:space="preserve">ยาทาฆ่าเชื้อราและแก้คัน (D)</x:t>
        </x:is>
      </x:c>
      <x:c r="C16" t="n">
        <x:v>2650</x:v>
      </x:c>
      <x:c r="D16" t="inlineStr">
        <x:is>
          <x:t xml:space="preserve">Myda-B Cream เล็ก</x:t>
        </x:is>
      </x:c>
      <x:c r="E16" t="inlineStr">
        <x:is>
          <x:t xml:space="preserve">หลอด 5 g.</x:t>
        </x:is>
      </x:c>
      <x:c r="F16" t="inlineStr">
        <x:is>
          <x:t xml:space="preserve">Clotrimazole 1%+Betamethasone Valerate (eq. to Betamethasone 0.1%) w/w</x:t>
        </x:is>
      </x:c>
      <x:c r="G16" t="inlineStr">
        <x:is>
          <x:t xml:space="preserve">BDS002650</x:t>
        </x:is>
      </x:c>
      <x:c r="H16" t="inlineStr">
        <x:is>
          <x:t xml:space="preserve">Myda-B Cream เล็ก (5 g.)</x:t>
        </x:is>
      </x:c>
      <x:c r="I16" t="inlineStr">
        <x:is>
          <x:t xml:space="preserve">ทาครีมบางๆ บริเวณที่มีอาการ วันละ 2-3 ครั้ง</x:t>
        </x:is>
      </x:c>
      <x:c r="P16" t="inlineStr">
        <x:is>
          <x:t xml:space="preserve">Antifungals (oral/topical)</x:t>
        </x:is>
      </x:c>
    </x:row>
    <x:row r="17">
      <x:c r="A17" t="n">
        <x:v>724</x:v>
      </x:c>
      <x:c r="B17" t="inlineStr">
        <x:is>
          <x:t xml:space="preserve">ยาทาฆ่าเชื้อราและแก้คัน (D)</x:t>
        </x:is>
      </x:c>
      <x:c r="C17" t="n">
        <x:v>2651</x:v>
      </x:c>
      <x:c r="D17" t="inlineStr">
        <x:is>
          <x:t xml:space="preserve">Myda-B Cream ใหญ่</x:t>
        </x:is>
      </x:c>
      <x:c r="E17" t="inlineStr">
        <x:is>
          <x:t xml:space="preserve">หลอด 15 g.</x:t>
        </x:is>
      </x:c>
      <x:c r="F17" t="inlineStr">
        <x:is>
          <x:t xml:space="preserve">Clotrimazole 1%+Betamethasone Valerate (eq. to Betamethasone 0.1%) w/w</x:t>
        </x:is>
      </x:c>
      <x:c r="G17" t="inlineStr">
        <x:is>
          <x:t xml:space="preserve">BDS002651</x:t>
        </x:is>
      </x:c>
      <x:c r="H17" t="inlineStr">
        <x:is>
          <x:t xml:space="preserve">Myda-B Cream ใหญ่ (15 g.)</x:t>
        </x:is>
      </x:c>
      <x:c r="I17" t="inlineStr">
        <x:is>
          <x:t xml:space="preserve">ทาครีมบางๆ บริเวณที่มีอาการ วันละ 2-3 ครั้ง</x:t>
        </x:is>
      </x:c>
      <x:c r="P17" t="inlineStr">
        <x:is>
          <x:t xml:space="preserve">Antifungals (oral/topical)</x:t>
        </x:is>
      </x:c>
    </x:row>
    <x:row r="18">
      <x:c r="A18" t="n">
        <x:v>725</x:v>
      </x:c>
      <x:c r="B18" t="inlineStr">
        <x:is>
          <x:t xml:space="preserve">ยาทาฆ่าเชื้อราและแก้คัน (D)</x:t>
        </x:is>
      </x:c>
      <x:c r="C18" t="n">
        <x:v>8239</x:v>
      </x:c>
      <x:c r="D18" t="inlineStr">
        <x:is>
          <x:t xml:space="preserve">Myrazole-B Cream</x:t>
        </x:is>
      </x:c>
      <x:c r="E18" t="inlineStr">
        <x:is>
          <x:t xml:space="preserve">หลอด 5 g.</x:t>
        </x:is>
      </x:c>
      <x:c r="F18" t="inlineStr">
        <x:is>
          <x:t xml:space="preserve">Clotrimazole 1%+Betamethasone Valerate (eq. to Betamethasone 0.1%) w/w</x:t>
        </x:is>
      </x:c>
      <x:c r="G18" t="inlineStr">
        <x:is>
          <x:t xml:space="preserve">BDS008239</x:t>
        </x:is>
      </x:c>
      <x:c r="H18" t="inlineStr">
        <x:is>
          <x:t xml:space="preserve">Myrazole-B Cream (5 g.)</x:t>
        </x:is>
      </x:c>
      <x:c r="I18" t="inlineStr">
        <x:is>
          <x:t xml:space="preserve">ทาครีมบางๆ บริเวณที่มีอาการ วันละ 2-3 ครั้ง</x:t>
        </x:is>
      </x:c>
      <x:c r="P18" t="inlineStr">
        <x:is>
          <x:t xml:space="preserve">Antifungals (oral/topical)</x:t>
        </x:is>
      </x:c>
    </x:row>
    <x:row r="19">
      <x:c r="A19" t="n">
        <x:v>726</x:v>
      </x:c>
      <x:c r="B19" t="inlineStr">
        <x:is>
          <x:t xml:space="preserve">ยาทาฆ่าเชื้อราและแก้คัน (D)</x:t>
        </x:is>
      </x:c>
      <x:c r="C19" t="n">
        <x:v>8221</x:v>
      </x:c>
      <x:c r="D19" t="inlineStr">
        <x:is>
          <x:t xml:space="preserve">Tara-Plus Cream</x:t>
        </x:is>
      </x:c>
      <x:c r="E19" t="inlineStr">
        <x:is>
          <x:t xml:space="preserve">หลอด 15 g.</x:t>
        </x:is>
      </x:c>
      <x:c r="F19" t="inlineStr">
        <x:is>
          <x:t xml:space="preserve">Miconazole Nitrate 2 g+Triamcinolone Acetonide 0.1 g/100 g </x:t>
        </x:is>
      </x:c>
      <x:c r="G19" t="inlineStr">
        <x:is>
          <x:t xml:space="preserve">BDS008221</x:t>
        </x:is>
      </x:c>
      <x:c r="H19" t="inlineStr">
        <x:is>
          <x:t xml:space="preserve">Tara-Plus Cream (15 g.)</x:t>
        </x:is>
      </x:c>
      <x:c r="I19" t="inlineStr">
        <x:is>
          <x:t xml:space="preserve">ทาบริเวณที่เป็น วันละ 2 ครั้ง เช้า-เย็น</x:t>
        </x:is>
      </x:c>
      <x:c r="P19" t="inlineStr">
        <x:is>
          <x:t xml:space="preserve">Antifungals (oral/topical)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149</x:v>
      </x:c>
      <x:c r="B2" t="inlineStr">
        <x:is>
          <x:t xml:space="preserve">ยาต้านเชื้อไวรัส (D)</x:t>
        </x:is>
      </x:c>
      <x:c r="C2" t="n">
        <x:v>8064</x:v>
      </x:c>
      <x:c r="D2" t="inlineStr">
        <x:is>
          <x:t xml:space="preserve">Acyvir 400 mg</x:t>
        </x:is>
      </x:c>
      <x:c r="E2" t="inlineStr">
        <x:is>
          <x:t xml:space="preserve">แผง 5 เม็ด</x:t>
        </x:is>
      </x:c>
      <x:c r="F2" t="inlineStr">
        <x:is>
          <x:t xml:space="preserve">Acyclovir 400 mg.</x:t>
        </x:is>
      </x:c>
      <x:c r="G2" t="inlineStr">
        <x:is>
          <x:t xml:space="preserve">BDS008064</x:t>
        </x:is>
      </x:c>
      <x:c r="H2" t="inlineStr">
        <x:is>
          <x:t xml:space="preserve">Acyvir 400 mg (5 tabs)</x:t>
        </x:is>
      </x:c>
      <x:c r="I2" t="inlineStr">
        <x:is>
          <x:t xml:space="preserve">กรณีเริม รับประทานครั้งละ 1 เม็ด ทุก 6 ชั่วโมง (วันละ 3 ครั้ง)</x:t>
        </x:is>
      </x:c>
      <x:c r="P2" t="inlineStr">
        <x:is>
          <x:t xml:space="preserve">Antivirals (oral/topical)</x:t>
        </x:is>
      </x:c>
    </x:row>
    <x:row r="3">
      <x:c r="A3" t="n">
        <x:v>150</x:v>
      </x:c>
      <x:c r="B3" t="inlineStr">
        <x:is>
          <x:t xml:space="preserve">ยาต้านเชื้อไวรัส (D)</x:t>
        </x:is>
      </x:c>
      <x:c r="C3" t="n">
        <x:v>8065</x:v>
      </x:c>
      <x:c r="D3" t="inlineStr">
        <x:is>
          <x:t xml:space="preserve">Acyvir 800 mg</x:t>
        </x:is>
      </x:c>
      <x:c r="E3" t="inlineStr">
        <x:is>
          <x:t xml:space="preserve">แผง 5 เม็ด</x:t>
        </x:is>
      </x:c>
      <x:c r="F3" t="inlineStr">
        <x:is>
          <x:t xml:space="preserve">Acyclovir 800 mg.</x:t>
        </x:is>
      </x:c>
      <x:c r="G3" t="inlineStr">
        <x:is>
          <x:t xml:space="preserve">BDS008065</x:t>
        </x:is>
      </x:c>
      <x:c r="H3" t="inlineStr">
        <x:is>
          <x:t xml:space="preserve">Acyvir 800 mg (5 tabs)</x:t>
        </x:is>
      </x:c>
      <x:c r="I3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3" t="inlineStr">
        <x:is>
          <x:t xml:space="preserve">Antivirals (oral/topical)</x:t>
        </x:is>
      </x:c>
    </x:row>
    <x:row r="4">
      <x:c r="A4" t="n">
        <x:v>151</x:v>
      </x:c>
      <x:c r="B4" t="inlineStr">
        <x:is>
          <x:t xml:space="preserve">ยาต้านเชื้อไวรัส (D)</x:t>
        </x:is>
      </x:c>
      <x:c r="C4" t="n">
        <x:v>7782</x:v>
      </x:c>
      <x:c r="D4" t="inlineStr">
        <x:is>
          <x:t xml:space="preserve">Clinovir 200 mg</x:t>
        </x:is>
      </x:c>
      <x:c r="E4" t="inlineStr">
        <x:is>
          <x:t xml:space="preserve">แผง 5 เม็ด</x:t>
        </x:is>
      </x:c>
      <x:c r="F4" t="inlineStr">
        <x:is>
          <x:t xml:space="preserve">Acyclovir 200 mg.</x:t>
        </x:is>
      </x:c>
      <x:c r="G4" t="inlineStr">
        <x:is>
          <x:t xml:space="preserve">BDS007782</x:t>
        </x:is>
      </x:c>
      <x:c r="H4" t="inlineStr">
        <x:is>
          <x:t xml:space="preserve">Clinovir 200 mg (5 tabs)</x:t>
        </x:is>
      </x:c>
      <x:c r="I4" t="inlineStr">
        <x:is>
          <x:t xml:space="preserve">รับประทานครั้งละ 1 เม็ด ทุก 4 ชั่วโมง (วันละ 5 ครั้ง)</x:t>
        </x:is>
      </x:c>
      <x:c r="P4" t="inlineStr">
        <x:is>
          <x:t xml:space="preserve">Antivirals (oral/topical)</x:t>
        </x:is>
      </x:c>
    </x:row>
    <x:row r="5">
      <x:c r="A5" t="n">
        <x:v>152</x:v>
      </x:c>
      <x:c r="B5" t="inlineStr">
        <x:is>
          <x:t xml:space="preserve">ยาต้านเชื้อไวรัส (D)</x:t>
        </x:is>
      </x:c>
      <x:c r="C5" t="n">
        <x:v>7783</x:v>
      </x:c>
      <x:c r="D5" t="inlineStr">
        <x:is>
          <x:t xml:space="preserve">Clinovir 400 mg</x:t>
        </x:is>
      </x:c>
      <x:c r="E5" t="inlineStr">
        <x:is>
          <x:t xml:space="preserve">แผง 5 เม็ด</x:t>
        </x:is>
      </x:c>
      <x:c r="F5" t="inlineStr">
        <x:is>
          <x:t xml:space="preserve">Acyclovir 400 mg.</x:t>
        </x:is>
      </x:c>
      <x:c r="G5" t="inlineStr">
        <x:is>
          <x:t xml:space="preserve">BDS007783</x:t>
        </x:is>
      </x:c>
      <x:c r="H5" t="inlineStr">
        <x:is>
          <x:t xml:space="preserve">Clinovir 400 mg (5 tabs)</x:t>
        </x:is>
      </x:c>
      <x:c r="I5" t="inlineStr">
        <x:is>
          <x:t xml:space="preserve">กรณีเริม รับประทานครั้งละ 1 เม็ด ทุก 6 ชั่วโมง (วันละ 3 ครั้ง)</x:t>
        </x:is>
      </x:c>
      <x:c r="P5" t="inlineStr">
        <x:is>
          <x:t xml:space="preserve">Antivirals (oral/topical)</x:t>
        </x:is>
      </x:c>
    </x:row>
    <x:row r="6">
      <x:c r="A6" t="n">
        <x:v>153</x:v>
      </x:c>
      <x:c r="B6" t="inlineStr">
        <x:is>
          <x:t xml:space="preserve">ยาต้านเชื้อไวรัส (D)</x:t>
        </x:is>
      </x:c>
      <x:c r="C6" t="n">
        <x:v>7781</x:v>
      </x:c>
      <x:c r="D6" t="inlineStr">
        <x:is>
          <x:t xml:space="preserve">Clinovir 800 mg</x:t>
        </x:is>
      </x:c>
      <x:c r="E6" t="inlineStr">
        <x:is>
          <x:t xml:space="preserve">แผง 5 เม็ด</x:t>
        </x:is>
      </x:c>
      <x:c r="F6" t="inlineStr">
        <x:is>
          <x:t xml:space="preserve">Acyclovir 800 mg.</x:t>
        </x:is>
      </x:c>
      <x:c r="G6" t="inlineStr">
        <x:is>
          <x:t xml:space="preserve">BDS007781</x:t>
        </x:is>
      </x:c>
      <x:c r="H6" t="inlineStr">
        <x:is>
          <x:t xml:space="preserve">Clinovir 800 mg (5 tabs)</x:t>
        </x:is>
      </x:c>
      <x:c r="I6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6" t="inlineStr">
        <x:is>
          <x:t xml:space="preserve">Antivirals (oral/topical)</x:t>
        </x:is>
      </x:c>
    </x:row>
    <x:row r="7">
      <x:c r="A7" t="n">
        <x:v>154</x:v>
      </x:c>
      <x:c r="B7" t="inlineStr">
        <x:is>
          <x:t xml:space="preserve">ยาต้านเชื้อไวรัส (D)</x:t>
        </x:is>
      </x:c>
      <x:c r="C7" t="n">
        <x:v>4019</x:v>
      </x:c>
      <x:c r="D7" t="inlineStr">
        <x:is>
          <x:t xml:space="preserve">Vilerm 200 mg 5s</x:t>
        </x:is>
      </x:c>
      <x:c r="E7" t="inlineStr">
        <x:is>
          <x:t xml:space="preserve">แผง 5 เม็ด</x:t>
        </x:is>
      </x:c>
      <x:c r="F7" t="inlineStr">
        <x:is>
          <x:t xml:space="preserve">Acyclovir 200 mg.</x:t>
        </x:is>
      </x:c>
      <x:c r="G7" t="inlineStr">
        <x:is>
          <x:t xml:space="preserve">BDS004019</x:t>
        </x:is>
      </x:c>
      <x:c r="H7" t="inlineStr">
        <x:is>
          <x:t xml:space="preserve">Vilerm 200 mg 5s (5 tabs)</x:t>
        </x:is>
      </x:c>
      <x:c r="I7" t="inlineStr">
        <x:is>
          <x:t xml:space="preserve">รับประทานครั้งละ 1 เม็ด วันละ 5 ครั้ง นาน 5 วัน</x:t>
        </x:is>
      </x:c>
      <x:c r="P7" t="inlineStr">
        <x:is>
          <x:t xml:space="preserve">Antivirals (oral/topical)</x:t>
        </x:is>
      </x:c>
    </x:row>
    <x:row r="8">
      <x:c r="A8" t="n">
        <x:v>155</x:v>
      </x:c>
      <x:c r="B8" t="inlineStr">
        <x:is>
          <x:t xml:space="preserve">ยาต้านเชื้อไวรัส (D)</x:t>
        </x:is>
      </x:c>
      <x:c r="C8" t="n">
        <x:v>4086</x:v>
      </x:c>
      <x:c r="D8" t="inlineStr">
        <x:is>
          <x:t xml:space="preserve">Vilerm 400 mg 5s</x:t>
        </x:is>
      </x:c>
      <x:c r="E8" t="inlineStr">
        <x:is>
          <x:t xml:space="preserve">แผง 5 เม็ด</x:t>
        </x:is>
      </x:c>
      <x:c r="F8" t="inlineStr">
        <x:is>
          <x:t xml:space="preserve">Acyclovir 400 mg.</x:t>
        </x:is>
      </x:c>
      <x:c r="G8" t="inlineStr">
        <x:is>
          <x:t xml:space="preserve">BDS004086</x:t>
        </x:is>
      </x:c>
      <x:c r="H8" t="inlineStr">
        <x:is>
          <x:t xml:space="preserve">Vilerm 400 mg 5s (5 tabs)</x:t>
        </x:is>
      </x:c>
      <x:c r="I8" t="inlineStr">
        <x:is>
          <x:t xml:space="preserve">รับประทานครั้งละ 1 เม็ด วันละ 5 ครั้ง นาน 5 วัน</x:t>
        </x:is>
      </x:c>
      <x:c r="P8" t="inlineStr">
        <x:is>
          <x:t xml:space="preserve">Antivirals (oral/topical)</x:t>
        </x:is>
      </x:c>
    </x:row>
    <x:row r="9">
      <x:c r="A9" t="n">
        <x:v>156</x:v>
      </x:c>
      <x:c r="B9" t="inlineStr">
        <x:is>
          <x:t xml:space="preserve">ยาต้านเชื้อไวรัส (D)</x:t>
        </x:is>
      </x:c>
      <x:c r="C9" t="n">
        <x:v>4011</x:v>
      </x:c>
      <x:c r="D9" t="inlineStr">
        <x:is>
          <x:t xml:space="preserve">Vilerm 800 mg 5s</x:t>
        </x:is>
      </x:c>
      <x:c r="E9" t="inlineStr">
        <x:is>
          <x:t xml:space="preserve">แผง 5 เม็ด</x:t>
        </x:is>
      </x:c>
      <x:c r="F9" t="inlineStr">
        <x:is>
          <x:t xml:space="preserve">Acyclovir 800 mg.</x:t>
        </x:is>
      </x:c>
      <x:c r="G9" t="inlineStr">
        <x:is>
          <x:t xml:space="preserve">BDS004011</x:t>
        </x:is>
      </x:c>
      <x:c r="H9" t="inlineStr">
        <x:is>
          <x:t xml:space="preserve">Vilerm 800 mg 5s (5 tabs)</x:t>
        </x:is>
      </x:c>
      <x:c r="I9" t="inlineStr">
        <x:is>
          <x:t xml:space="preserve">รับประทานครั้งละ 1 เม็ด ทุก 4 ชั่วโมง (วันละ 5 ครั้ง)</x:t>
        </x:is>
      </x:c>
      <x:c r="P9" t="inlineStr">
        <x:is>
          <x:t xml:space="preserve">Antivirals (oral/topical)</x:t>
        </x:is>
      </x:c>
    </x:row>
    <x:row r="10">
      <x:c r="A10" t="n">
        <x:v>783</x:v>
      </x:c>
      <x:c r="B10" t="inlineStr">
        <x:is>
          <x:t xml:space="preserve">ยาทาฆ่าเชื้อไวรัส (D)</x:t>
        </x:is>
      </x:c>
      <x:c r="C10" t="n">
        <x:v>7001</x:v>
      </x:c>
      <x:c r="D10" t="inlineStr">
        <x:is>
          <x:t xml:space="preserve">Acevax Cream</x:t>
        </x:is>
      </x:c>
      <x:c r="E10" t="inlineStr">
        <x:is>
          <x:t xml:space="preserve">ซอง 1 g.</x:t>
        </x:is>
      </x:c>
      <x:c r="F10" t="inlineStr">
        <x:is>
          <x:t xml:space="preserve">Acyclovir 5 g./100 g.</x:t>
        </x:is>
      </x:c>
      <x:c r="G10" t="inlineStr">
        <x:is>
          <x:t xml:space="preserve">BDS007001</x:t>
        </x:is>
      </x:c>
      <x:c r="H10" t="inlineStr">
        <x:is>
          <x:t xml:space="preserve">Acevax Cream (1 g.)</x:t>
        </x:is>
      </x:c>
      <x:c r="I10" t="inlineStr">
        <x:is>
          <x:t xml:space="preserve">ทาครีมบางๆ บริเวณที่ติดเชื้อหรือบริเวณที่เริ่มแสดงอาการ ทุก 3-4 ชั่วโมง ต่อเนื่อง 5-7 วัน</x:t>
        </x:is>
      </x:c>
      <x:c r="P10" t="inlineStr">
        <x:is>
          <x:t xml:space="preserve">Antivirals (oral/topical)</x:t>
        </x:is>
      </x:c>
    </x:row>
    <x:row r="11">
      <x:c r="A11" t="n">
        <x:v>784</x:v>
      </x:c>
      <x:c r="B11" t="inlineStr">
        <x:is>
          <x:t xml:space="preserve">ยาทาฆ่าเชื้อไวรัส (D)</x:t>
        </x:is>
      </x:c>
      <x:c r="C11" t="n">
        <x:v>7719</x:v>
      </x:c>
      <x:c r="D11" t="inlineStr">
        <x:is>
          <x:t xml:space="preserve">Clinovir Cream</x:t>
        </x:is>
      </x:c>
      <x:c r="E11" t="inlineStr">
        <x:is>
          <x:t xml:space="preserve">หลอด 5 g.</x:t>
        </x:is>
      </x:c>
      <x:c r="F11" t="inlineStr">
        <x:is>
          <x:t xml:space="preserve">Acyclovir 5%w/w</x:t>
        </x:is>
      </x:c>
      <x:c r="G11" t="inlineStr">
        <x:is>
          <x:t xml:space="preserve">BDS007719</x:t>
        </x:is>
      </x:c>
      <x:c r="H11" t="inlineStr">
        <x:is>
          <x:t xml:space="preserve">Clinovir Cream (5 g.)</x:t>
        </x:is>
      </x:c>
      <x:c r="I11" t="inlineStr">
        <x:is>
          <x:t xml:space="preserve">ทาครีมบางๆ บริเวณที่ติดเชื้อหรือบริเวณที่เริ่มแสดงอาการ ทุก 4 ชั่วโมง (วันละ 5 ครั้ง) ต่อเนื่อง 5 วัน</x:t>
        </x:is>
      </x:c>
      <x:c r="P11" t="inlineStr">
        <x:is>
          <x:t xml:space="preserve">Antivirals (oral/topical)</x:t>
        </x:is>
      </x:c>
    </x:row>
    <x:row r="12">
      <x:c r="A12" t="n">
        <x:v>785</x:v>
      </x:c>
      <x:c r="B12" t="inlineStr">
        <x:is>
          <x:t xml:space="preserve">ยาทาฆ่าเชื้อไวรัส (D)</x:t>
        </x:is>
      </x:c>
      <x:c r="C12" t="n">
        <x:v>4046</x:v>
      </x:c>
      <x:c r="D12" t="inlineStr">
        <x:is>
          <x:t xml:space="preserve">Vilerm Cream 5 g</x:t>
        </x:is>
      </x:c>
      <x:c r="E12" t="inlineStr">
        <x:is>
          <x:t xml:space="preserve">หลอด 5 g.</x:t>
        </x:is>
      </x:c>
      <x:c r="F12" t="inlineStr">
        <x:is>
          <x:t xml:space="preserve">Acyclovir 5 g./100 g.</x:t>
        </x:is>
      </x:c>
      <x:c r="G12" t="inlineStr">
        <x:is>
          <x:t xml:space="preserve">BDS004046</x:t>
        </x:is>
      </x:c>
      <x:c r="H12" t="inlineStr">
        <x:is>
          <x:t xml:space="preserve">Vilerm Cream 5 g (5 g.)</x:t>
        </x:is>
      </x:c>
      <x:c r="I12" t="inlineStr">
        <x:is>
          <x:t xml:space="preserve">ทาบริเวณที่ติดเชื้อ วันละ 5 ครั้ง ทุก 4 ชั่วโมง</x:t>
        </x:is>
      </x:c>
      <x:c r="P12" t="inlineStr">
        <x:is>
          <x:t xml:space="preserve">Antivirals (oral/topical)</x:t>
        </x:is>
      </x:c>
    </x:row>
    <x:row r="13">
      <x:c r="A13" t="n">
        <x:v>786</x:v>
      </x:c>
      <x:c r="B13" t="inlineStr">
        <x:is>
          <x:t xml:space="preserve">ยาทาฆ่าเชื้อไวรัส (D)</x:t>
        </x:is>
      </x:c>
      <x:c r="C13" t="n">
        <x:v>4020</x:v>
      </x:c>
      <x:c r="D13" t="inlineStr">
        <x:is>
          <x:t xml:space="preserve">Vilerm Cream sachet 1 g</x:t>
        </x:is>
      </x:c>
      <x:c r="E13" t="inlineStr">
        <x:is>
          <x:t xml:space="preserve">ซอง 1 g.</x:t>
        </x:is>
      </x:c>
      <x:c r="F13" t="inlineStr">
        <x:is>
          <x:t xml:space="preserve">Acyclovir 5 g./100 g.</x:t>
        </x:is>
      </x:c>
      <x:c r="G13" t="inlineStr">
        <x:is>
          <x:t xml:space="preserve">BDS004020</x:t>
        </x:is>
      </x:c>
      <x:c r="H13" t="inlineStr">
        <x:is>
          <x:t xml:space="preserve">Vilerm Cream sachet 1 g (1 g.)</x:t>
        </x:is>
      </x:c>
      <x:c r="I13" t="inlineStr">
        <x:is>
          <x:t xml:space="preserve">ทาบริเวณที่ติดเชื้อ วันละ 5 ครั้ง ทุก 4 ชั่วโมง</x:t>
        </x:is>
      </x:c>
      <x:c r="P13" t="inlineStr">
        <x:is>
          <x:t xml:space="preserve">Antivirals (oral/topical)</x:t>
        </x:is>
      </x:c>
    </x:row>
    <x:row r="14">
      <x:c r="A14" t="n">
        <x:v>787</x:v>
      </x:c>
      <x:c r="B14" t="inlineStr">
        <x:is>
          <x:t xml:space="preserve">ยาทาฆ่าเชื้อไวรัส (D)</x:t>
        </x:is>
      </x:c>
      <x:c r="C14" t="n">
        <x:v>4216</x:v>
      </x:c>
      <x:c r="D14" t="inlineStr">
        <x:is>
          <x:t xml:space="preserve">Zevin Cream</x:t>
        </x:is>
      </x:c>
      <x:c r="E14" t="inlineStr">
        <x:is>
          <x:t xml:space="preserve">หลอด 3 g.</x:t>
        </x:is>
      </x:c>
      <x:c r="F14" t="inlineStr">
        <x:is>
          <x:t xml:space="preserve">Acyclovir 5 g./100 g.</x:t>
        </x:is>
      </x:c>
      <x:c r="G14" t="inlineStr">
        <x:is>
          <x:t xml:space="preserve">BDS004216</x:t>
        </x:is>
      </x:c>
      <x:c r="H14" t="inlineStr">
        <x:is>
          <x:t xml:space="preserve">Zevin Cream (3 g.)</x:t>
        </x:is>
      </x:c>
      <x:c r="I14" t="inlineStr">
        <x:is>
          <x:t xml:space="preserve">ทาบริเวณที่ติดเชื้อ วันละ 5 ครั้ง ทุก 4 ชั่วโมง</x:t>
        </x:is>
      </x:c>
      <x:c r="P14" t="inlineStr">
        <x:is>
          <x:t xml:space="preserve">Antivirals (oral/topical)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157</x:v>
      </x:c>
      <x:c r="B2" t="inlineStr">
        <x:is>
          <x:t xml:space="preserve">ยาฆ่าพยาธิ</x:t>
        </x:is>
      </x:c>
      <x:c r="C2" t="n">
        <x:v>1230</x:v>
      </x:c>
      <x:c r="D2" t="inlineStr">
        <x:is>
          <x:t xml:space="preserve">Benda 500</x:t>
        </x:is>
      </x:c>
      <x:c r="E2" t="inlineStr">
        <x:is>
          <x:t xml:space="preserve">กล่อง 1 เม็ด</x:t>
        </x:is>
      </x:c>
      <x:c r="F2" t="inlineStr">
        <x:is>
          <x:t xml:space="preserve">Mebendazole 500 mg.</x:t>
        </x:is>
      </x:c>
      <x:c r="G2" t="inlineStr">
        <x:is>
          <x:t xml:space="preserve">BDS001230</x:t>
        </x:is>
      </x:c>
      <x:c r="H2" t="inlineStr">
        <x:is>
          <x:t xml:space="preserve">Benda 500 (1 tab)</x:t>
        </x:is>
      </x:c>
      <x:c r="I2" t="inlineStr">
        <x:is>
          <x:t xml:space="preserve">รับประทาน (เคี้ยว) ครั้งละ 1 เม็ด วันละ 1 ครั้ง ก่อนนอน</x:t>
        </x:is>
      </x:c>
      <x:c r="P2" t="inlineStr">
        <x:is>
          <x:t xml:space="preserve">Antiparasitics / deworming</x:t>
        </x:is>
      </x:c>
    </x:row>
    <x:row r="3">
      <x:c r="A3" t="n">
        <x:v>158</x:v>
      </x:c>
      <x:c r="B3" t="inlineStr">
        <x:is>
          <x:t xml:space="preserve">ยาฆ่าพยาธิ</x:t>
        </x:is>
      </x:c>
      <x:c r="C3" t="n">
        <x:v>1227</x:v>
      </x:c>
      <x:c r="D3" t="inlineStr">
        <x:is>
          <x:t xml:space="preserve">Benda 500 กลิ่นเลมอน</x:t>
        </x:is>
      </x:c>
      <x:c r="E3" t="inlineStr">
        <x:is>
          <x:t xml:space="preserve">กล่อง 1 เม็ด</x:t>
        </x:is>
      </x:c>
      <x:c r="F3" t="inlineStr">
        <x:is>
          <x:t xml:space="preserve">Mebendazole 500 mg.</x:t>
        </x:is>
      </x:c>
      <x:c r="G3" t="inlineStr">
        <x:is>
          <x:t xml:space="preserve">BDS001227</x:t>
        </x:is>
      </x:c>
      <x:c r="H3" t="inlineStr">
        <x:is>
          <x:t xml:space="preserve">Benda 500 กลิ่นเลมอน (1 tab)</x:t>
        </x:is>
      </x:c>
      <x:c r="I3" t="inlineStr">
        <x:is>
          <x:t xml:space="preserve">รับประทาน (เคี้ยว) ครั้งละ 1 เม็ด วันละ 1 ครั้ง ก่อนนอน</x:t>
        </x:is>
      </x:c>
      <x:c r="P3" t="inlineStr">
        <x:is>
          <x:t xml:space="preserve">Antiparasitics / deworming</x:t>
        </x:is>
      </x:c>
    </x:row>
    <x:row r="4">
      <x:c r="A4" t="n">
        <x:v>159</x:v>
      </x:c>
      <x:c r="B4" t="inlineStr">
        <x:is>
          <x:t xml:space="preserve">ยาฆ่าพยาธิ</x:t>
        </x:is>
      </x:c>
      <x:c r="C4" t="n">
        <x:v>1927</x:v>
      </x:c>
      <x:c r="D4" t="inlineStr">
        <x:is>
          <x:t xml:space="preserve">Fugacar 500 รสผลไม้</x:t>
        </x:is>
      </x:c>
      <x:c r="E4" t="inlineStr">
        <x:is>
          <x:t xml:space="preserve">กล่อง 1 เม็ด</x:t>
        </x:is>
      </x:c>
      <x:c r="F4" t="inlineStr">
        <x:is>
          <x:t xml:space="preserve">Mebendazole 500 mg.</x:t>
        </x:is>
      </x:c>
      <x:c r="G4" t="inlineStr">
        <x:is>
          <x:t xml:space="preserve">BDS001927</x:t>
        </x:is>
      </x:c>
      <x:c r="H4" t="inlineStr">
        <x:is>
          <x:t xml:space="preserve">Fugacar 500 รสผลไม้ (1 tab)</x:t>
        </x:is>
      </x:c>
      <x:c r="I4" t="inlineStr">
        <x:is>
          <x:t xml:space="preserve">รับประทาน (เคี้ยว) ครั้งละ 1  เม็ด วันละ 1 ครั้ง ก่อนนอน</x:t>
        </x:is>
      </x:c>
      <x:c r="P4" t="inlineStr">
        <x:is>
          <x:t xml:space="preserve">Antiparasitics / deworming</x:t>
        </x:is>
      </x:c>
    </x:row>
    <x:row r="5">
      <x:c r="A5" t="n">
        <x:v>266</x:v>
      </x:c>
      <x:c r="B5" t="inlineStr">
        <x:is>
          <x:t xml:space="preserve">ยาฆ่าพยาธิ ชนิดน้ำ (D)</x:t>
        </x:is>
      </x:c>
      <x:c r="C5" t="n">
        <x:v>1231</x:v>
      </x:c>
      <x:c r="D5" t="inlineStr">
        <x:is>
          <x:t xml:space="preserve">Benda Syrup กลิ่นผลไม้รวม</x:t>
        </x:is>
      </x:c>
      <x:c r="E5" t="inlineStr">
        <x:is>
          <x:t xml:space="preserve">ขวด 30 ml.</x:t>
        </x:is>
      </x:c>
      <x:c r="F5" t="inlineStr">
        <x:is>
          <x:t xml:space="preserve">Mebendazole 100 mg./5 ml.</x:t>
        </x:is>
      </x:c>
      <x:c r="G5" t="inlineStr">
        <x:is>
          <x:t xml:space="preserve">BDS001231</x:t>
        </x:is>
      </x:c>
      <x:c r="H5" t="inlineStr">
        <x:is>
          <x:t xml:space="preserve">Benda Syrup กลิ่นผลไม้รวม (30 ml.)</x:t>
        </x:is>
      </x:c>
      <x:c r="I5" t="inlineStr">
        <x:is>
          <x:t xml:space="preserve">รับประทานครั้งละ 1 ช้อนชา วันละ 2 ครั้ง ติดต่อกัน 3 วัน</x:t>
        </x:is>
      </x:c>
      <x:c r="P5" t="inlineStr">
        <x:is>
          <x:t xml:space="preserve">Antiparasitics / deworming</x:t>
        </x:is>
      </x:c>
    </x:row>
    <x:row r="6">
      <x:c r="A6" t="n">
        <x:v>267</x:v>
      </x:c>
      <x:c r="B6" t="inlineStr">
        <x:is>
          <x:t xml:space="preserve">ยาฆ่าพยาธิ ชนิดน้ำ (D)</x:t>
        </x:is>
      </x:c>
      <x:c r="C6" t="n">
        <x:v>49775</x:v>
      </x:c>
      <x:c r="D6" t="inlineStr">
        <x:is>
          <x:t xml:space="preserve">Zenzera-200 Suspension</x:t>
        </x:is>
      </x:c>
      <x:c r="E6" t="inlineStr">
        <x:is>
          <x:t xml:space="preserve">ซอง 10 ml.</x:t>
        </x:is>
      </x:c>
      <x:c r="F6" t="inlineStr">
        <x:is>
          <x:t xml:space="preserve">Albendazole 200 mg./5 ml.</x:t>
        </x:is>
      </x:c>
      <x:c r="G6" t="inlineStr">
        <x:is>
          <x:t xml:space="preserve">BDS049775</x:t>
        </x:is>
      </x:c>
      <x:c r="H6" t="inlineStr">
        <x:is>
          <x:t xml:space="preserve">Zenzera-200 Suspension (10 ml.)</x:t>
        </x:is>
      </x:c>
      <x:c r="I6" t="inlineStr">
        <x:is>
          <x:t xml:space="preserve">รับประทานครั้งละ 10 ml. (1 ซอง) วันละ 2 ครั้ง ติดต่อกัน 3 วัน </x:t>
        </x:is>
      </x:c>
      <x:c r="P6" t="inlineStr">
        <x:is>
          <x:t xml:space="preserve">Antiparasitics / deworming</x:t>
        </x:is>
      </x:c>
    </x:row>
    <x:row r="7">
      <x:c r="A7" t="n">
        <x:v>415</x:v>
      </x:c>
      <x:c r="B7" t="inlineStr">
        <x:is>
          <x:t xml:space="preserve">ยาฆ่าพยาธิ (D)</x:t>
        </x:is>
      </x:c>
      <x:c r="C7" t="n">
        <x:v>8455</x:v>
      </x:c>
      <x:c r="D7" t="inlineStr">
        <x:is>
          <x:t xml:space="preserve">CB-400</x:t>
        </x:is>
      </x:c>
      <x:c r="E7" t="inlineStr">
        <x:is>
          <x:t xml:space="preserve">กล่อง 1 เม็ด</x:t>
        </x:is>
      </x:c>
      <x:c r="F7" t="inlineStr">
        <x:is>
          <x:t xml:space="preserve">Albendazole 400 mg.</x:t>
        </x:is>
      </x:c>
      <x:c r="G7" t="inlineStr">
        <x:is>
          <x:t xml:space="preserve">BDS008455</x:t>
        </x:is>
      </x:c>
      <x:c r="H7" t="inlineStr">
        <x:is>
          <x:t xml:space="preserve">CB-400 (1 tab)</x:t>
        </x:is>
      </x:c>
      <x:c r="I7" t="inlineStr">
        <x:is>
          <x:t xml:space="preserve">สำหรับพยาธิตัวกลม รับประทานครั้งละ 1 เม็ด วันละ 1 ครั้ง</x:t>
        </x:is>
      </x:c>
      <x:c r="P7" t="inlineStr">
        <x:is>
          <x:t xml:space="preserve">Antiparasitics / deworming</x:t>
        </x:is>
      </x:c>
    </x:row>
    <x:row r="8">
      <x:c r="A8" t="n">
        <x:v>416</x:v>
      </x:c>
      <x:c r="B8" t="inlineStr">
        <x:is>
          <x:t xml:space="preserve">ยาฆ่าพยาธิ (D)</x:t>
        </x:is>
      </x:c>
      <x:c r="C8" t="n">
        <x:v>2104</x:v>
      </x:c>
      <x:c r="D8" t="inlineStr">
        <x:is>
          <x:t xml:space="preserve">Hexin ฆ่าพยาธิ</x:t>
        </x:is>
      </x:c>
      <x:c r="E8" t="inlineStr">
        <x:is>
          <x:t xml:space="preserve">แผง 4 เม็ด</x:t>
        </x:is>
      </x:c>
      <x:c r="F8" t="inlineStr">
        <x:is>
          <x:t xml:space="preserve">Niclosamide 500 mg.+Phenolphthalein 75 mg.</x:t>
        </x:is>
      </x:c>
      <x:c r="G8" t="inlineStr">
        <x:is>
          <x:t xml:space="preserve">BDS002104</x:t>
        </x:is>
      </x:c>
      <x:c r="H8" t="inlineStr">
        <x:is>
          <x:t xml:space="preserve">Hexin ฆ่าพยาธิ (4 tabs)</x:t>
        </x:is>
      </x:c>
      <x:c r="I8" t="inlineStr">
        <x:is>
          <x:t xml:space="preserve">ผู้ใหญ่รับประทาน (เคี้ยว) ครั้งละ 4 เม็ด วันละ 1 ครั้ง ก่อนนอน </x:t>
        </x:is>
      </x:c>
      <x:c r="P8" t="inlineStr">
        <x:is>
          <x:t xml:space="preserve">Antiparasitics / deworming</x:t>
        </x:is>
      </x:c>
    </x:row>
    <x:row r="9">
      <x:c r="A9" t="n">
        <x:v>417</x:v>
      </x:c>
      <x:c r="B9" t="inlineStr">
        <x:is>
          <x:t xml:space="preserve">ยาฆ่าพยาธิ (D)</x:t>
        </x:is>
      </x:c>
      <x:c r="C9" t="n">
        <x:v>4217</x:v>
      </x:c>
      <x:c r="D9" t="inlineStr">
        <x:is>
          <x:t xml:space="preserve">Zentel 400 mg</x:t>
        </x:is>
      </x:c>
      <x:c r="E9" t="inlineStr">
        <x:is>
          <x:t xml:space="preserve">กล่อง 1 เม็ด</x:t>
        </x:is>
      </x:c>
      <x:c r="F9" t="inlineStr">
        <x:is>
          <x:t xml:space="preserve">Albendazole 400 mg.</x:t>
        </x:is>
      </x:c>
      <x:c r="G9" t="inlineStr">
        <x:is>
          <x:t xml:space="preserve">BDS004217</x:t>
        </x:is>
      </x:c>
      <x:c r="H9" t="inlineStr">
        <x:is>
          <x:t xml:space="preserve">Zentel 400 mg (1 tab)</x:t>
        </x:is>
      </x:c>
      <x:c r="I9" t="inlineStr">
        <x:is>
          <x:t xml:space="preserve">สำหรับพยาธิตัวกลม รับประทานครั้งละ 1 เม็ด วันละ 1 ครั้ง</x:t>
        </x:is>
      </x:c>
      <x:c r="P9" t="inlineStr">
        <x:is>
          <x:t xml:space="preserve">Antiparasitics / deworming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160</x:v>
      </x:c>
      <x:c r="B2" t="inlineStr">
        <x:is>
          <x:t xml:space="preserve">ยาดูดซับสารพิษ</x:t>
        </x:is>
      </x:c>
      <x:c r="C2" t="n">
        <x:v>42304</x:v>
      </x:c>
      <x:c r="D2" t="inlineStr">
        <x:is>
          <x:t xml:space="preserve">Dehecta</x:t>
        </x:is>
      </x:c>
      <x:c r="E2" t="inlineStr">
        <x:is>
          <x:t xml:space="preserve">ซอง 20 ml.</x:t>
        </x:is>
      </x:c>
      <x:c r="F2" t="inlineStr">
        <x:is>
          <x:t xml:space="preserve">Dioctahedral Smectite 3 g./20 ml.</x:t>
        </x:is>
      </x:c>
      <x:c r="G2" t="inlineStr">
        <x:is>
          <x:t xml:space="preserve">BDS042304</x:t>
        </x:is>
      </x:c>
      <x:c r="H2" t="inlineStr">
        <x:is>
          <x:t xml:space="preserve">Dehecta (20 ml.)</x:t>
        </x:is>
      </x:c>
      <x:c r="I2" t="inlineStr">
        <x:is>
          <x:t xml:space="preserve">รับประทานครั้งละ 1 ซอง วันละ 3-4 ครั้ง </x:t>
        </x:is>
      </x:c>
      <x:c r="P2" t="inlineStr">
        <x:is>
          <x:t xml:space="preserve">Adsorbents / toxin binders</x:t>
        </x:is>
      </x:c>
    </x:row>
    <x:row r="3">
      <x:c r="A3" t="n">
        <x:v>161</x:v>
      </x:c>
      <x:c r="B3" t="inlineStr">
        <x:is>
          <x:t xml:space="preserve">ยาดูดซับสารพิษ</x:t>
        </x:is>
      </x:c>
      <x:c r="C3" t="n">
        <x:v>7122</x:v>
      </x:c>
      <x:c r="D3" t="inlineStr">
        <x:is>
          <x:t xml:space="preserve">Deltacarbon</x:t>
        </x:is>
      </x:c>
      <x:c r="E3" t="inlineStr">
        <x:is>
          <x:t xml:space="preserve">กล่อง 10 เม็ด</x:t>
        </x:is>
      </x:c>
      <x:c r="F3" t="inlineStr">
        <x:is>
          <x:t xml:space="preserve">Medicinal Charcoal 250 mg.</x:t>
        </x:is>
      </x:c>
      <x:c r="G3" t="inlineStr">
        <x:is>
          <x:t xml:space="preserve">BDS007122</x:t>
        </x:is>
      </x:c>
      <x:c r="H3" t="inlineStr">
        <x:is>
          <x:t xml:space="preserve">Deltacarbon (10 tabs)</x:t>
        </x:is>
      </x:c>
      <x:c r="I3" t="inlineStr">
        <x:is>
          <x:t xml:space="preserve">รับประทานครั้งละ 3 เม็ด วันละ 3-4 ครั้ง</x:t>
        </x:is>
      </x:c>
      <x:c r="P3" t="inlineStr">
        <x:is>
          <x:t xml:space="preserve">Adsorbents / toxin binders</x:t>
        </x:is>
      </x:c>
    </x:row>
    <x:row r="4">
      <x:c r="A4" t="n">
        <x:v>162</x:v>
      </x:c>
      <x:c r="B4" t="inlineStr">
        <x:is>
          <x:t xml:space="preserve">ยาดูดซับสารพิษ</x:t>
        </x:is>
      </x:c>
      <x:c r="C4" t="n">
        <x:v>45666</x:v>
      </x:c>
      <x:c r="D4" t="inlineStr">
        <x:is>
          <x:t xml:space="preserve">Ny-C-Bon</x:t>
        </x:is>
      </x:c>
      <x:c r="E4" t="inlineStr">
        <x:is>
          <x:t xml:space="preserve">กล่อง 10 แคปซูล</x:t>
        </x:is>
      </x:c>
      <x:c r="F4" t="inlineStr">
        <x:is>
          <x:t xml:space="preserve">Activated Charcoal 260 mg.</x:t>
        </x:is>
      </x:c>
      <x:c r="G4" t="inlineStr">
        <x:is>
          <x:t xml:space="preserve">BDS045666</x:t>
        </x:is>
      </x:c>
      <x:c r="H4" t="inlineStr">
        <x:is>
          <x:t xml:space="preserve">Ny-C-Bon (10 cap)</x:t>
        </x:is>
      </x:c>
      <x:c r="I4" t="inlineStr">
        <x:is>
          <x:t xml:space="preserve">รับประทานครั้งละ 3 เม็ด วันละ 3-4 ครั้ง </x:t>
        </x:is>
      </x:c>
      <x:c r="P4" t="inlineStr">
        <x:is>
          <x:t xml:space="preserve">Adsorbents / toxin binders</x:t>
        </x:is>
      </x:c>
    </x:row>
    <x:row r="5">
      <x:c r="A5" t="n">
        <x:v>163</x:v>
      </x:c>
      <x:c r="B5" t="inlineStr">
        <x:is>
          <x:t xml:space="preserve">ยาดูดซับสารพิษ</x:t>
        </x:is>
      </x:c>
      <x:c r="C5" t="n">
        <x:v>3546</x:v>
      </x:c>
      <x:c r="D5" t="inlineStr">
        <x:is>
          <x:t xml:space="preserve">Smecta</x:t>
        </x:is>
      </x:c>
      <x:c r="E5" t="inlineStr">
        <x:is>
          <x:t xml:space="preserve">ซอง 3 g.</x:t>
        </x:is>
      </x:c>
      <x:c r="F5" t="inlineStr">
        <x:is>
          <x:t xml:space="preserve">Dioctahedral Smectite 3 g.</x:t>
        </x:is>
      </x:c>
      <x:c r="G5" t="inlineStr">
        <x:is>
          <x:t xml:space="preserve">BDS003546</x:t>
        </x:is>
      </x:c>
      <x:c r="H5" t="inlineStr">
        <x:is>
          <x:t xml:space="preserve">Smecta (3 g.)</x:t>
        </x:is>
      </x:c>
      <x:c r="I5" t="inlineStr">
        <x:is>
          <x:t xml:space="preserve">ผสมสเมคต้าในน้ำประมาณ 30-50 ml. วันละ 3 ซอง</x:t>
        </x:is>
      </x:c>
      <x:c r="P5" t="inlineStr">
        <x:is>
          <x:t xml:space="preserve">Adsorbents / toxin binders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164</x:v>
      </x:c>
      <x:c r="B2" t="inlineStr">
        <x:is>
          <x:t xml:space="preserve">ยาฆ่าเชื้อแบคทีเรียอื่นๆ (D)</x:t>
        </x:is>
      </x:c>
      <x:c r="C2" t="n">
        <x:v>3912</x:v>
      </x:c>
      <x:c r="D2" t="inlineStr">
        <x:is>
          <x:t xml:space="preserve">Dacin-F 300</x:t>
        </x:is>
      </x:c>
      <x:c r="E2" t="inlineStr">
        <x:is>
          <x:t xml:space="preserve">แผง 10 แคปซูล</x:t>
        </x:is>
      </x:c>
      <x:c r="F2" t="inlineStr">
        <x:is>
          <x:t xml:space="preserve">Clindamycin 300 mg.</x:t>
        </x:is>
      </x:c>
      <x:c r="G2" t="inlineStr">
        <x:is>
          <x:t xml:space="preserve">BDS003912</x:t>
        </x:is>
      </x:c>
      <x:c r="H2" t="inlineStr">
        <x:is>
          <x:t xml:space="preserve">Dacin-F 300 (10 cap)</x:t>
        </x:is>
      </x:c>
      <x:c r="I2" t="inlineStr">
        <x:is>
          <x:t xml:space="preserve">รับประทานครั้งละ 1 แคปซูล วันละ 3  ครั้ง หลังอาหาร</x:t>
        </x:is>
      </x:c>
      <x:c r="P2" t="inlineStr">
        <x:is>
          <x:t xml:space="preserve">Other antibiotics</x:t>
        </x:is>
      </x:c>
    </x:row>
    <x:row r="3">
      <x:c r="A3" t="n">
        <x:v>165</x:v>
      </x:c>
      <x:c r="B3" t="inlineStr">
        <x:is>
          <x:t xml:space="preserve">ยาฆ่าเชื้อแบคทีเรียอื่นๆ (D)</x:t>
        </x:is>
      </x:c>
      <x:c r="C3" t="n">
        <x:v>7723</x:v>
      </x:c>
      <x:c r="D3" t="inlineStr">
        <x:is>
          <x:t xml:space="preserve">Doxylcap</x:t>
        </x:is>
      </x:c>
      <x:c r="E3" t="inlineStr">
        <x:is>
          <x:t xml:space="preserve">แผง 10 แคปซูล</x:t>
        </x:is>
      </x:c>
      <x:c r="F3" t="inlineStr">
        <x:is>
          <x:t xml:space="preserve">Doxycycline Hyclate (eq. to Doxycycline 100 mg.)</x:t>
        </x:is>
      </x:c>
      <x:c r="G3" t="inlineStr">
        <x:is>
          <x:t xml:space="preserve">BDS007723</x:t>
        </x:is>
      </x:c>
      <x:c r="H3" t="inlineStr">
        <x:is>
          <x:t xml:space="preserve">Doxylcap (10 cap)</x:t>
        </x:is>
      </x:c>
      <x:c r="I3" t="inlineStr">
        <x:is>
          <x:t xml:space="preserve">รับประทานครั้งละ 1 แคปซูล วันละ 2 ครั้ง หลังอาหาร</x:t>
        </x:is>
      </x:c>
      <x:c r="P3" t="inlineStr">
        <x:is>
          <x:t xml:space="preserve">Other antibiotics</x:t>
        </x:is>
      </x:c>
    </x:row>
    <x:row r="4">
      <x:c r="A4" t="n">
        <x:v>166</x:v>
      </x:c>
      <x:c r="B4" t="inlineStr">
        <x:is>
          <x:t xml:space="preserve">ยาฆ่าเชื้อแบคทีเรียอื่นๆ (D)</x:t>
        </x:is>
      </x:c>
      <x:c r="C4" t="n">
        <x:v>44901</x:v>
      </x:c>
      <x:c r="D4" t="inlineStr">
        <x:is>
          <x:t xml:space="preserve">Metrolex 400 mg</x:t>
        </x:is>
      </x:c>
      <x:c r="E4" t="inlineStr">
        <x:is>
          <x:t xml:space="preserve">แผง 10 เม็ด</x:t>
        </x:is>
      </x:c>
      <x:c r="F4" t="inlineStr">
        <x:is>
          <x:t xml:space="preserve">Metronidazole 400 mg.</x:t>
        </x:is>
      </x:c>
      <x:c r="G4" t="inlineStr">
        <x:is>
          <x:t xml:space="preserve">BDS044901</x:t>
        </x:is>
      </x:c>
      <x:c r="H4" t="inlineStr">
        <x:is>
          <x:t xml:space="preserve">Metrolex 400 mg (10 tabs)</x:t>
        </x:is>
      </x:c>
      <x:c r="I4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4" t="inlineStr">
        <x:is>
          <x:t xml:space="preserve">Other antibiotics</x:t>
        </x:is>
      </x:c>
    </x:row>
    <x:row r="5">
      <x:c r="A5" t="n">
        <x:v>167</x:v>
      </x:c>
      <x:c r="B5" t="inlineStr">
        <x:is>
          <x:t xml:space="preserve">ยาฆ่าเชื้อแบคทีเรียอื่นๆ (D)</x:t>
        </x:is>
      </x:c>
      <x:c r="C5" t="n">
        <x:v>7193</x:v>
      </x:c>
      <x:c r="D5" t="inlineStr">
        <x:is>
          <x:t xml:space="preserve">Metronidazole 400</x:t>
        </x:is>
      </x:c>
      <x:c r="E5" t="inlineStr">
        <x:is>
          <x:t xml:space="preserve">แผง 10 เม็ด</x:t>
        </x:is>
      </x:c>
      <x:c r="F5" t="inlineStr">
        <x:is>
          <x:t xml:space="preserve">Metronidazole 400 mg.</x:t>
        </x:is>
      </x:c>
      <x:c r="G5" t="inlineStr">
        <x:is>
          <x:t xml:space="preserve">BDS007193</x:t>
        </x:is>
      </x:c>
      <x:c r="H5" t="inlineStr">
        <x:is>
          <x:t xml:space="preserve">Metronidazole 400 (10 tabs)</x:t>
        </x:is>
      </x:c>
      <x:c r="I5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5" t="inlineStr">
        <x:is>
          <x:t xml:space="preserve">Other antibiotics</x:t>
        </x:is>
      </x:c>
    </x:row>
    <x:row r="6">
      <x:c r="A6" t="n">
        <x:v>170</x:v>
      </x:c>
      <x:c r="B6" t="inlineStr">
        <x:is>
          <x:t xml:space="preserve">ยาฆ่าเชื้อแบคทีเรีย ชนิดน้ำ (D)</x:t>
        </x:is>
      </x:c>
      <x:c r="C6" t="n">
        <x:v>1046</x:v>
      </x:c>
      <x:c r="D6" t="inlineStr">
        <x:is>
          <x:t xml:space="preserve">AMK 228</x:t>
        </x:is>
      </x:c>
      <x:c r="E6" t="inlineStr">
        <x:is>
          <x:t xml:space="preserve">ขวด 70 ml.</x:t>
        </x:is>
      </x:c>
      <x:c r="F6" t="inlineStr">
        <x:is>
          <x:t xml:space="preserve">Amoxicillin 200 mg.+Clavulanic Acid 28 mg./5 ml.</x:t>
        </x:is>
      </x:c>
      <x:c r="G6" t="inlineStr">
        <x:is>
          <x:t xml:space="preserve">BDS001046</x:t>
        </x:is>
      </x:c>
      <x:c r="H6" t="inlineStr">
        <x:is>
          <x:t xml:space="preserve">AMK 228 (70 ml.)</x:t>
        </x:is>
      </x:c>
      <x:c r="I6" t="inlineStr">
        <x:is>
          <x:t xml:space="preserve">รับประทานครั้งละ 1 ช้อนชา (5 ml.) วันละ 2 ครั้ง</x:t>
        </x:is>
      </x:c>
      <x:c r="P6" t="inlineStr">
        <x:is>
          <x:t xml:space="preserve">Other antibiotics</x:t>
        </x:is>
      </x:c>
    </x:row>
    <x:row r="7">
      <x:c r="A7" t="n">
        <x:v>171</x:v>
      </x:c>
      <x:c r="B7" t="inlineStr">
        <x:is>
          <x:t xml:space="preserve">ยาฆ่าเชื้อแบคทีเรีย ชนิดน้ำ (D)</x:t>
        </x:is>
      </x:c>
      <x:c r="C7" t="n">
        <x:v>1047</x:v>
      </x:c>
      <x:c r="D7" t="inlineStr">
        <x:is>
          <x:t xml:space="preserve">AMK 457</x:t>
        </x:is>
      </x:c>
      <x:c r="E7" t="inlineStr">
        <x:is>
          <x:t xml:space="preserve">ขวด 70 ml.</x:t>
        </x:is>
      </x:c>
      <x:c r="F7" t="inlineStr">
        <x:is>
          <x:t xml:space="preserve">Amoxicillin 400 mg.+Clavulanic Acid 57 mg./5 ml.</x:t>
        </x:is>
      </x:c>
      <x:c r="G7" t="inlineStr">
        <x:is>
          <x:t xml:space="preserve">BDS001047</x:t>
        </x:is>
      </x:c>
      <x:c r="H7" t="inlineStr">
        <x:is>
          <x:t xml:space="preserve">AMK 457 (70 ml.)</x:t>
        </x:is>
      </x:c>
      <x:c r="I7" t="inlineStr">
        <x:is>
          <x:t xml:space="preserve">เด็กเล็กรับประทานครั้งละ ครึ่ง ช้อนชา (2.5 ml.) วันละ 2 ครั้ง</x:t>
        </x:is>
      </x:c>
      <x:c r="P7" t="inlineStr">
        <x:is>
          <x:t xml:space="preserve">Other antibiotics</x:t>
        </x:is>
      </x:c>
    </x:row>
    <x:row r="8">
      <x:c r="A8" t="n">
        <x:v>172</x:v>
      </x:c>
      <x:c r="B8" t="inlineStr">
        <x:is>
          <x:t xml:space="preserve">ยาฆ่าเชื้อแบคทีเรีย ชนิดน้ำ (D)</x:t>
        </x:is>
      </x:c>
      <x:c r="C8" t="n">
        <x:v>1056</x:v>
      </x:c>
      <x:c r="D8" t="inlineStr">
        <x:is>
          <x:t xml:space="preserve">Augmentin 457 mg</x:t>
        </x:is>
      </x:c>
      <x:c r="E8" t="inlineStr">
        <x:is>
          <x:t xml:space="preserve">ขวด 70 ml.</x:t>
        </x:is>
      </x:c>
      <x:c r="F8" t="inlineStr">
        <x:is>
          <x:t xml:space="preserve">Amoxicillin 400 mg.+Clavulanic Acid 57 mg./5 ml.</x:t>
        </x:is>
      </x:c>
      <x:c r="G8" t="inlineStr">
        <x:is>
          <x:t xml:space="preserve">BDS001056</x:t>
        </x:is>
      </x:c>
      <x:c r="H8" t="inlineStr">
        <x:is>
          <x:t xml:space="preserve">Augmentin 457 mg (70 ml.)</x:t>
        </x:is>
      </x:c>
      <x:c r="I8" t="inlineStr">
        <x:is>
          <x:t xml:space="preserve">เด็กเล็กรับประทานครั้งละ 1/2 ช้อนชา (2.5 ml.) วันละ 2 ครั้ง</x:t>
        </x:is>
      </x:c>
      <x:c r="P8" t="inlineStr">
        <x:is>
          <x:t xml:space="preserve">Other antibiotics</x:t>
        </x:is>
      </x:c>
    </x:row>
    <x:row r="9">
      <x:c r="A9" t="n">
        <x:v>173</x:v>
      </x:c>
      <x:c r="B9" t="inlineStr">
        <x:is>
          <x:t xml:space="preserve">ยาฆ่าเชื้อแบคทีเรีย ชนิดน้ำ (D)</x:t>
        </x:is>
      </x:c>
      <x:c r="C9" t="n">
        <x:v>1054</x:v>
      </x:c>
      <x:c r="D9" t="inlineStr">
        <x:is>
          <x:t xml:space="preserve">Augmentin ES</x:t>
        </x:is>
      </x:c>
      <x:c r="E9" t="inlineStr">
        <x:is>
          <x:t xml:space="preserve">ขวด 50 ml.</x:t>
        </x:is>
      </x:c>
      <x:c r="F9" t="inlineStr">
        <x:is>
          <x:t xml:space="preserve">Amoxicillin 600 mg.+Clavulanic Acid 42.9 mg./5 ml.</x:t>
        </x:is>
      </x:c>
      <x:c r="G9" t="inlineStr">
        <x:is>
          <x:t xml:space="preserve">BDS001054</x:t>
        </x:is>
      </x:c>
      <x:c r="H9" t="inlineStr">
        <x:is>
          <x:t xml:space="preserve">Augmentin ES (50 ml.)</x:t>
        </x:is>
      </x:c>
      <x:c r="I9" t="inlineStr">
        <x:is>
          <x:t xml:space="preserve">รับประทานตามแพทย์สั่ง </x:t>
        </x:is>
      </x:c>
      <x:c r="P9" t="inlineStr">
        <x:is>
          <x:t xml:space="preserve">Other antibiotics</x:t>
        </x:is>
      </x:c>
    </x:row>
    <x:row r="10">
      <x:c r="A10" t="n">
        <x:v>174</x:v>
      </x:c>
      <x:c r="B10" t="inlineStr">
        <x:is>
          <x:t xml:space="preserve">ยาฆ่าเชื้อแบคทีเรีย ชนิดน้ำ (D)</x:t>
        </x:is>
      </x:c>
      <x:c r="C10" t="n">
        <x:v>1084</x:v>
      </x:c>
      <x:c r="D10" t="inlineStr">
        <x:is>
          <x:t xml:space="preserve">Azith Oral Suspension</x:t>
        </x:is>
      </x:c>
      <x:c r="E10" t="inlineStr">
        <x:is>
          <x:t xml:space="preserve">ขวด 15 ml.</x:t>
        </x:is>
      </x:c>
      <x:c r="F10" t="inlineStr">
        <x:is>
          <x:t xml:space="preserve">Azithromycin 200 mg./5 ml.</x:t>
        </x:is>
      </x:c>
      <x:c r="G10" t="inlineStr">
        <x:is>
          <x:t xml:space="preserve">BDS001084</x:t>
        </x:is>
      </x:c>
      <x:c r="H10" t="inlineStr">
        <x:is>
          <x:t xml:space="preserve">Azith Oral Suspension (15 ml.)</x:t>
        </x:is>
      </x:c>
      <x:c r="I10" t="inlineStr">
        <x:is>
          <x:t xml:space="preserve">รับประทานครั้งละ 1 ช้อนชา วันละ 1 ครั้ง ก่อนอาหาร </x:t>
        </x:is>
      </x:c>
      <x:c r="P10" t="inlineStr">
        <x:is>
          <x:t xml:space="preserve">Other antibiotics</x:t>
        </x:is>
      </x:c>
    </x:row>
    <x:row r="11">
      <x:c r="A11" t="n">
        <x:v>175</x:v>
      </x:c>
      <x:c r="B11" t="inlineStr">
        <x:is>
          <x:t xml:space="preserve">ยาฆ่าเชื้อแบคทีเรีย ชนิดน้ำ (D)</x:t>
        </x:is>
      </x:c>
      <x:c r="C11" t="n">
        <x:v>1441</x:v>
      </x:c>
      <x:c r="D11" t="inlineStr">
        <x:is>
          <x:t xml:space="preserve">Cefspan Suspension</x:t>
        </x:is>
      </x:c>
      <x:c r="E11" t="inlineStr">
        <x:is>
          <x:t xml:space="preserve">ขวด 30 ml.</x:t>
        </x:is>
      </x:c>
      <x:c r="F11" t="inlineStr">
        <x:is>
          <x:t xml:space="preserve">Cefixime 100 mg./5 ml.</x:t>
        </x:is>
      </x:c>
      <x:c r="G11" t="inlineStr">
        <x:is>
          <x:t xml:space="preserve">BDS001441</x:t>
        </x:is>
      </x:c>
      <x:c r="H11" t="inlineStr">
        <x:is>
          <x:t xml:space="preserve">Cefspan Suspension (30 ml.)</x:t>
        </x:is>
      </x:c>
      <x:c r="I11" t="inlineStr">
        <x:is>
          <x:t xml:space="preserve">เด็กโตรับประทานครั้งละ 1 ช้อนชาวันละ 2 ครั้ง หรือตามแพทย์สั่ง</x:t>
        </x:is>
      </x:c>
      <x:c r="P11" t="inlineStr">
        <x:is>
          <x:t xml:space="preserve">Other antibiotics</x:t>
        </x:is>
      </x:c>
    </x:row>
    <x:row r="12">
      <x:c r="A12" t="n">
        <x:v>176</x:v>
      </x:c>
      <x:c r="B12" t="inlineStr">
        <x:is>
          <x:t xml:space="preserve">ยาฆ่าเชื้อแบคทีเรีย ชนิดน้ำ (D)</x:t>
        </x:is>
      </x:c>
      <x:c r="C12" t="n">
        <x:v>2206</x:v>
      </x:c>
      <x:c r="D12" t="inlineStr">
        <x:is>
          <x:t xml:space="preserve">Ibilex Syrup</x:t>
        </x:is>
      </x:c>
      <x:c r="E12" t="inlineStr">
        <x:is>
          <x:t xml:space="preserve">ขวด 60 ml.</x:t>
        </x:is>
      </x:c>
      <x:c r="F12" t="inlineStr">
        <x:is>
          <x:t xml:space="preserve">Cephalexin 125 mg./5 ml.</x:t>
        </x:is>
      </x:c>
      <x:c r="G12" t="inlineStr">
        <x:is>
          <x:t xml:space="preserve">BDS002206</x:t>
        </x:is>
      </x:c>
      <x:c r="H12" t="inlineStr">
        <x:is>
          <x:t xml:space="preserve">Ibilex Syrup (60 ml.)</x:t>
        </x:is>
      </x:c>
      <x:c r="I12" t="inlineStr">
        <x:is>
          <x:t xml:space="preserve">รับประทานครั้งละ 1 ช้อนชา วันละ 3 ครั้ง</x:t>
        </x:is>
      </x:c>
      <x:c r="P12" t="inlineStr">
        <x:is>
          <x:t xml:space="preserve">Other antibiotics</x:t>
        </x:is>
      </x:c>
    </x:row>
    <x:row r="13">
      <x:c r="A13" t="n">
        <x:v>177</x:v>
      </x:c>
      <x:c r="B13" t="inlineStr">
        <x:is>
          <x:t xml:space="preserve">ยาฆ่าเชื้อแบคทีเรีย ชนิดน้ำ (D)</x:t>
        </x:is>
      </x:c>
      <x:c r="C13" t="n">
        <x:v>2693</x:v>
      </x:c>
      <x:c r="D13" t="inlineStr">
        <x:is>
          <x:t xml:space="preserve">Meiact Fine Granules</x:t>
        </x:is>
      </x:c>
      <x:c r="E13" t="inlineStr">
        <x:is>
          <x:t xml:space="preserve">ซอง 0.5 g.</x:t>
        </x:is>
      </x:c>
      <x:c r="F13" t="inlineStr">
        <x:is>
          <x:t xml:space="preserve">Cefditoren 50 mg.</x:t>
        </x:is>
      </x:c>
      <x:c r="G13" t="inlineStr">
        <x:is>
          <x:t xml:space="preserve">BDS002693</x:t>
        </x:is>
      </x:c>
      <x:c r="H13" t="inlineStr">
        <x:is>
          <x:t xml:space="preserve">Meiact Fine Granules (0.5 g.)</x:t>
        </x:is>
      </x:c>
      <x:c r="I13" t="inlineStr">
        <x:is>
          <x:t xml:space="preserve">รับประทานตามแพทย์สั่ง </x:t>
        </x:is>
      </x:c>
      <x:c r="P13" t="inlineStr">
        <x:is>
          <x:t xml:space="preserve">Other antibiotics</x:t>
        </x:is>
      </x:c>
    </x:row>
    <x:row r="14">
      <x:c r="A14" t="n">
        <x:v>178</x:v>
      </x:c>
      <x:c r="B14" t="inlineStr">
        <x:is>
          <x:t xml:space="preserve">ยาฆ่าเชื้อแบคทีเรีย ชนิดน้ำ (D)</x:t>
        </x:is>
      </x:c>
      <x:c r="C14" t="n">
        <x:v>7586</x:v>
      </x:c>
      <x:c r="D14" t="inlineStr">
        <x:is>
          <x:t xml:space="preserve">Newtamox For Oral Suspension</x:t>
        </x:is>
      </x:c>
      <x:c r="E14" t="inlineStr">
        <x:is>
          <x:t xml:space="preserve">ขวด 60 ml.</x:t>
        </x:is>
      </x:c>
      <x:c r="F14" t="inlineStr">
        <x:is>
          <x:t xml:space="preserve">Amoxicillin 125 mg./5 ml.</x:t>
        </x:is>
      </x:c>
      <x:c r="G14" t="inlineStr">
        <x:is>
          <x:t xml:space="preserve">BDS007586</x:t>
        </x:is>
      </x:c>
      <x:c r="H14" t="inlineStr">
        <x:is>
          <x:t xml:space="preserve">Newtamox For Oral Suspension (60 ml.)</x:t>
        </x:is>
      </x:c>
      <x:c r="I14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 ครั้ง</x:t>
        </x:is>
      </x:c>
      <x:c r="P14" t="inlineStr">
        <x:is>
          <x:t xml:space="preserve">Other antibiotics</x:t>
        </x:is>
      </x:c>
    </x:row>
    <x:row r="15">
      <x:c r="A15" t="n">
        <x:v>179</x:v>
      </x:c>
      <x:c r="B15" t="inlineStr">
        <x:is>
          <x:t xml:space="preserve">ยาฆ่าเชื้อแบคทีเรีย ชนิดน้ำ (D)</x:t>
        </x:is>
      </x:c>
      <x:c r="C15" t="n">
        <x:v>7589</x:v>
      </x:c>
      <x:c r="D15" t="inlineStr">
        <x:is>
          <x:t xml:space="preserve">Newthrocin</x:t>
        </x:is>
      </x:c>
      <x:c r="E15" t="inlineStr">
        <x:is>
          <x:t xml:space="preserve">ขวด 60 ml.</x:t>
        </x:is>
      </x:c>
      <x:c r="F15" t="inlineStr">
        <x:is>
          <x:t xml:space="preserve">Erythromycin 125 mg./5 ml.</x:t>
        </x:is>
      </x:c>
      <x:c r="G15" t="inlineStr">
        <x:is>
          <x:t xml:space="preserve">BDS007589</x:t>
        </x:is>
      </x:c>
      <x:c r="H15" t="inlineStr">
        <x:is>
          <x:t xml:space="preserve">Newthrocin (60 ml.)</x:t>
        </x:is>
      </x:c>
      <x:c r="I15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3-4 ครั้ง</x:t>
        </x:is>
      </x:c>
      <x:c r="P15" t="inlineStr">
        <x:is>
          <x:t xml:space="preserve">Other antibiotics</x:t>
        </x:is>
      </x:c>
    </x:row>
    <x:row r="16">
      <x:c r="A16" t="n">
        <x:v>180</x:v>
      </x:c>
      <x:c r="B16" t="inlineStr">
        <x:is>
          <x:t xml:space="preserve">ยาฆ่าเชื้อแบคทีเรีย ชนิดน้ำ (D)</x:t>
        </x:is>
      </x:c>
      <x:c r="C16" t="n">
        <x:v>46209</x:v>
      </x:c>
      <x:c r="D16" t="inlineStr">
        <x:is>
          <x:t xml:space="preserve">Onzet Oral Suspension</x:t>
        </x:is>
      </x:c>
      <x:c r="E16" t="inlineStr">
        <x:is>
          <x:t xml:space="preserve">ขวด 15 ml.</x:t>
        </x:is>
      </x:c>
      <x:c r="F16" t="inlineStr">
        <x:is>
          <x:t xml:space="preserve">Azithromycin 200 mg./5 ml.</x:t>
        </x:is>
      </x:c>
      <x:c r="G16" t="inlineStr">
        <x:is>
          <x:t xml:space="preserve">BDS046209</x:t>
        </x:is>
      </x:c>
      <x:c r="H16" t="inlineStr">
        <x:is>
          <x:t xml:space="preserve">Onzet Oral Suspension (15 ml.)</x:t>
        </x:is>
      </x:c>
      <x:c r="I16" t="inlineStr">
        <x:is>
          <x:t xml:space="preserve">รับประทานครั้งละ 1 ช้อนชา วันละ 1 ครั้ง ก่อนอาหาร </x:t>
        </x:is>
      </x:c>
      <x:c r="P16" t="inlineStr">
        <x:is>
          <x:t xml:space="preserve">Other antibiotics</x:t>
        </x:is>
      </x:c>
    </x:row>
    <x:row r="17">
      <x:c r="A17" t="n">
        <x:v>181</x:v>
      </x:c>
      <x:c r="B17" t="inlineStr">
        <x:is>
          <x:t xml:space="preserve">ยาฆ่าเชื้อแบคทีเรีย ชนิดน้ำ (D)</x:t>
        </x:is>
      </x:c>
      <x:c r="C17" t="n">
        <x:v>3549</x:v>
      </x:c>
      <x:c r="D17" t="inlineStr">
        <x:is>
          <x:t xml:space="preserve">Sia-Mox Syrup 125 mg</x:t>
        </x:is>
      </x:c>
      <x:c r="E17" t="inlineStr">
        <x:is>
          <x:t xml:space="preserve">ขวด 60 ml.</x:t>
        </x:is>
      </x:c>
      <x:c r="F17" t="inlineStr">
        <x:is>
          <x:t xml:space="preserve">Amoxicillin 125 mg./5 ml.</x:t>
        </x:is>
      </x:c>
      <x:c r="G17" t="inlineStr">
        <x:is>
          <x:t xml:space="preserve">BDS003549</x:t>
        </x:is>
      </x:c>
      <x:c r="H17" t="inlineStr">
        <x:is>
          <x:t xml:space="preserve">Sia-Mox Syrup 125 mg (60 ml.)</x:t>
        </x:is>
      </x:c>
      <x:c r="I17" t="inlineStr">
        <x:is>
          <x:t xml:space="preserve">รับประทานครั้งละ 1 ช้อนชา วันละ 3 ครั้ง</x:t>
        </x:is>
      </x:c>
      <x:c r="P17" t="inlineStr">
        <x:is>
          <x:t xml:space="preserve">Other antibiotics</x:t>
        </x:is>
      </x:c>
    </x:row>
    <x:row r="18">
      <x:c r="A18" t="n">
        <x:v>182</x:v>
      </x:c>
      <x:c r="B18" t="inlineStr">
        <x:is>
          <x:t xml:space="preserve">ยาฆ่าเชื้อแบคทีเรีย ชนิดน้ำ (D)</x:t>
        </x:is>
      </x:c>
      <x:c r="C18" t="n">
        <x:v>3550</x:v>
      </x:c>
      <x:c r="D18" t="inlineStr">
        <x:is>
          <x:t xml:space="preserve">Sia-Mox Syrup 250 mg</x:t>
        </x:is>
      </x:c>
      <x:c r="E18" t="inlineStr">
        <x:is>
          <x:t xml:space="preserve">ขวด 60 ml.</x:t>
        </x:is>
      </x:c>
      <x:c r="F18" t="inlineStr">
        <x:is>
          <x:t xml:space="preserve">Amoxicillin 250 mg./5 ml.</x:t>
        </x:is>
      </x:c>
      <x:c r="G18" t="inlineStr">
        <x:is>
          <x:t xml:space="preserve">BDS003550</x:t>
        </x:is>
      </x:c>
      <x:c r="H18" t="inlineStr">
        <x:is>
          <x:t xml:space="preserve">Sia-Mox Syrup 250 mg (60 ml.)</x:t>
        </x:is>
      </x:c>
      <x:c r="I18" t="inlineStr">
        <x:is>
          <x:t xml:space="preserve">เด็กโตรับประทานครั้งละ 1 ช้อนชา วันละ 3 ครั้ง</x:t>
        </x:is>
      </x:c>
      <x:c r="P18" t="inlineStr">
        <x:is>
          <x:t xml:space="preserve">Other antibiotics</x:t>
        </x:is>
      </x:c>
    </x:row>
    <x:row r="19">
      <x:c r="A19" t="n">
        <x:v>183</x:v>
      </x:c>
      <x:c r="B19" t="inlineStr">
        <x:is>
          <x:t xml:space="preserve">ยาฆ่าเชื้อแบคทีเรีย ชนิดน้ำ (D)</x:t>
        </x:is>
      </x:c>
      <x:c r="C19" t="n">
        <x:v>7682</x:v>
      </x:c>
      <x:c r="D19" t="inlineStr">
        <x:is>
          <x:t xml:space="preserve">Xalin Dry Syrup 125 mg</x:t>
        </x:is>
      </x:c>
      <x:c r="E19" t="inlineStr">
        <x:is>
          <x:t xml:space="preserve">ขวด 60 ml.</x:t>
        </x:is>
      </x:c>
      <x:c r="F19" t="inlineStr">
        <x:is>
          <x:t xml:space="preserve">Cloxacillin 125 mg./5 ml.</x:t>
        </x:is>
      </x:c>
      <x:c r="G19" t="inlineStr">
        <x:is>
          <x:t xml:space="preserve">BDS007682</x:t>
        </x:is>
      </x:c>
      <x:c r="H19" t="inlineStr">
        <x:is>
          <x:t xml:space="preserve">Xalin Dry Syrup 125 mg (60 ml.)</x:t>
        </x:is>
      </x:c>
      <x:c r="I19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1-2 ช้อนชา วันละ 3-4 ครั้ง ก่อนอาหาร</x:t>
        </x:is>
      </x:c>
      <x:c r="P19" t="inlineStr">
        <x:is>
          <x:t xml:space="preserve">Other antibiotics</x:t>
        </x:is>
      </x:c>
    </x:row>
    <x:row r="20">
      <x:c r="A20" t="n">
        <x:v>184</x:v>
      </x:c>
      <x:c r="B20" t="inlineStr">
        <x:is>
          <x:t xml:space="preserve">ยาฆ่าเชื้อแบคทีเรีย ชนิดน้ำ (D)</x:t>
        </x:is>
      </x:c>
      <x:c r="C20" t="n">
        <x:v>4225</x:v>
      </x:c>
      <x:c r="D20" t="inlineStr">
        <x:is>
          <x:t xml:space="preserve">Zithromax Dry 200 mg</x:t>
        </x:is>
      </x:c>
      <x:c r="E20" t="inlineStr">
        <x:is>
          <x:t xml:space="preserve">ขวด 15 ml.</x:t>
        </x:is>
      </x:c>
      <x:c r="F20" t="inlineStr">
        <x:is>
          <x:t xml:space="preserve">Azithromycin 200 mg./5 ml.</x:t>
        </x:is>
      </x:c>
      <x:c r="G20" t="inlineStr">
        <x:is>
          <x:t xml:space="preserve">BDS004225</x:t>
        </x:is>
      </x:c>
      <x:c r="H20" t="inlineStr">
        <x:is>
          <x:t xml:space="preserve">Zithromax Dry 200 mg (15 ml.)</x:t>
        </x:is>
      </x:c>
      <x:c r="I20" t="inlineStr">
        <x:is>
          <x:t xml:space="preserve">รับประทานครั้งละ 1 ช้อนชา วันละ 1 ครั้ง ก่อนอาหาร </x:t>
        </x:is>
      </x:c>
      <x:c r="P20" t="inlineStr">
        <x:is>
          <x:t xml:space="preserve">Other antibiotics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228</x:v>
      </x:c>
      <x:c r="B2" t="inlineStr">
        <x:is>
          <x:t xml:space="preserve">ยาแก้ปวดอักเสบกลุ่ม NSAIDs (D)</x:t>
        </x:is>
      </x:c>
      <x:c r="C2" t="n">
        <x:v>40009</x:v>
      </x:c>
      <x:c r="D2" t="inlineStr">
        <x:is>
          <x:t xml:space="preserve">Anpuzz 520 </x:t>
        </x:is>
      </x:c>
      <x:c r="E2" t="inlineStr">
        <x:is>
          <x:t xml:space="preserve">กล่อง 10 เม็ด</x:t>
        </x:is>
      </x:c>
      <x:c r="F2" t="inlineStr">
        <x:is>
          <x:t xml:space="preserve">Mefenamic acid 500 mg. + Dicyclomine HCl 20 mg.</x:t>
        </x:is>
      </x:c>
      <x:c r="G2" t="inlineStr">
        <x:is>
          <x:t xml:space="preserve">BDS040009</x:t>
        </x:is>
      </x:c>
      <x:c r="H2" t="inlineStr">
        <x:is>
          <x:t xml:space="preserve">Anpuzz 520  (10 tabs)</x:t>
        </x:is>
      </x:c>
      <x:c r="I2" t="inlineStr">
        <x:is>
          <x:t xml:space="preserve">รับประทานครั้งละ 1 เม็ด วันละ 3 ครั้ง หลังอาหารทันที </x:t>
        </x:is>
      </x:c>
      <x:c r="P2" t="inlineStr">
        <x:is>
          <x:t xml:space="preserve">NSAIDs (oral anti-inflammatory painkillers)</x:t>
        </x:is>
      </x:c>
    </x:row>
    <x:row r="3">
      <x:c r="A3" t="n">
        <x:v>229</x:v>
      </x:c>
      <x:c r="B3" t="inlineStr">
        <x:is>
          <x:t xml:space="preserve">ยาแก้ปวดอักเสบกลุ่ม NSAIDs (D)</x:t>
        </x:is>
      </x:c>
      <x:c r="C3" t="n">
        <x:v>1076</x:v>
      </x:c>
      <x:c r="D3" t="inlineStr">
        <x:is>
          <x:t xml:space="preserve">Arcoxia 120 mg</x:t>
        </x:is>
      </x:c>
      <x:c r="E3" t="inlineStr">
        <x:is>
          <x:t xml:space="preserve">แผง 5 เม็ด</x:t>
        </x:is>
      </x:c>
      <x:c r="F3" t="inlineStr">
        <x:is>
          <x:t xml:space="preserve">Etoricoxib 120 mg.</x:t>
        </x:is>
      </x:c>
      <x:c r="G3" t="inlineStr">
        <x:is>
          <x:t xml:space="preserve">BDS001076</x:t>
        </x:is>
      </x:c>
      <x:c r="H3" t="inlineStr">
        <x:is>
          <x:t xml:space="preserve">Arcoxia 120 mg (5 tabs)</x:t>
        </x:is>
      </x:c>
      <x:c r="I3" t="inlineStr">
        <x:is>
          <x:t xml:space="preserve">รับประทานครั้งละ 1 เม็ด วันละ 1 ครั้ง หลังอาหารทันที</x:t>
        </x:is>
      </x:c>
      <x:c r="P3" t="inlineStr">
        <x:is>
          <x:t xml:space="preserve">NSAIDs (oral anti-inflammatory painkillers)</x:t>
        </x:is>
      </x:c>
    </x:row>
    <x:row r="4">
      <x:c r="A4" t="n">
        <x:v>230</x:v>
      </x:c>
      <x:c r="B4" t="inlineStr">
        <x:is>
          <x:t xml:space="preserve">ยาแก้ปวดอักเสบกลุ่ม NSAIDs (D)</x:t>
        </x:is>
      </x:c>
      <x:c r="C4" t="n">
        <x:v>1078</x:v>
      </x:c>
      <x:c r="D4" t="inlineStr">
        <x:is>
          <x:t xml:space="preserve">Arcoxia 60 mg</x:t>
        </x:is>
      </x:c>
      <x:c r="E4" t="inlineStr">
        <x:is>
          <x:t xml:space="preserve">แผง 5 เม็ด</x:t>
        </x:is>
      </x:c>
      <x:c r="F4" t="inlineStr">
        <x:is>
          <x:t xml:space="preserve">Etoricoxib 60 mg.</x:t>
        </x:is>
      </x:c>
      <x:c r="G4" t="inlineStr">
        <x:is>
          <x:t xml:space="preserve">BDS001078</x:t>
        </x:is>
      </x:c>
      <x:c r="H4" t="inlineStr">
        <x:is>
          <x:t xml:space="preserve">Arcoxia 60 mg (5 tabs)</x:t>
        </x:is>
      </x:c>
      <x:c r="I4" t="inlineStr">
        <x:is>
          <x:t xml:space="preserve">รับประทานครั้งละ 1 เม็ด วันละ 1 ครั้ง หลังอาหารทันที</x:t>
        </x:is>
      </x:c>
      <x:c r="P4" t="inlineStr">
        <x:is>
          <x:t xml:space="preserve">NSAIDs (oral anti-inflammatory painkillers)</x:t>
        </x:is>
      </x:c>
    </x:row>
    <x:row r="5">
      <x:c r="A5" t="n">
        <x:v>231</x:v>
      </x:c>
      <x:c r="B5" t="inlineStr">
        <x:is>
          <x:t xml:space="preserve">ยาแก้ปวดอักเสบกลุ่ม NSAIDs (D)</x:t>
        </x:is>
      </x:c>
      <x:c r="C5" t="n">
        <x:v>1075</x:v>
      </x:c>
      <x:c r="D5" t="inlineStr">
        <x:is>
          <x:t xml:space="preserve">Arcoxia 90 mg</x:t>
        </x:is>
      </x:c>
      <x:c r="E5" t="inlineStr">
        <x:is>
          <x:t xml:space="preserve">แผง 5 เม็ด</x:t>
        </x:is>
      </x:c>
      <x:c r="F5" t="inlineStr">
        <x:is>
          <x:t xml:space="preserve">Etoricoxib 90 mg.</x:t>
        </x:is>
      </x:c>
      <x:c r="G5" t="inlineStr">
        <x:is>
          <x:t xml:space="preserve">BDS001075</x:t>
        </x:is>
      </x:c>
      <x:c r="H5" t="inlineStr">
        <x:is>
          <x:t xml:space="preserve">Arcoxia 90 mg (5 tabs)</x:t>
        </x:is>
      </x:c>
      <x:c r="I5" t="inlineStr">
        <x:is>
          <x:t xml:space="preserve">รับประทานครั้งละ 1 เม็ด  วันละ 1 ครั้ง หลังอาหารทันที</x:t>
        </x:is>
      </x:c>
      <x:c r="P5" t="inlineStr">
        <x:is>
          <x:t xml:space="preserve">NSAIDs (oral anti-inflammatory painkillers)</x:t>
        </x:is>
      </x:c>
    </x:row>
    <x:row r="6">
      <x:c r="A6" t="n">
        <x:v>232</x:v>
      </x:c>
      <x:c r="B6" t="inlineStr">
        <x:is>
          <x:t xml:space="preserve">ยาแก้ปวดอักเสบกลุ่ม NSAIDs (D)</x:t>
        </x:is>
      </x:c>
      <x:c r="C6" t="n">
        <x:v>40616</x:v>
      </x:c>
      <x:c r="D6" t="inlineStr">
        <x:is>
          <x:t xml:space="preserve">Biocoxib 90 mg.</x:t>
        </x:is>
      </x:c>
      <x:c r="E6" t="inlineStr">
        <x:is>
          <x:t xml:space="preserve">แผง 5 เม็ด</x:t>
        </x:is>
      </x:c>
      <x:c r="F6" t="inlineStr">
        <x:is>
          <x:t xml:space="preserve">Etoricoxib 90 mg.</x:t>
        </x:is>
      </x:c>
      <x:c r="G6" t="inlineStr">
        <x:is>
          <x:t xml:space="preserve">BDS040616</x:t>
        </x:is>
      </x:c>
      <x:c r="H6" t="inlineStr">
        <x:is>
          <x:t xml:space="preserve">Biocoxib 90 mg. (5 tabs)</x:t>
        </x:is>
      </x:c>
      <x:c r="I6" t="inlineStr">
        <x:is>
          <x:t xml:space="preserve">รับประทานครั้งละ 1 เม็ด  วันละ 1 ครั้ง หลังอาหารทันที</x:t>
        </x:is>
      </x:c>
      <x:c r="P6" t="inlineStr">
        <x:is>
          <x:t xml:space="preserve">NSAIDs (oral anti-inflammatory painkillers)</x:t>
        </x:is>
      </x:c>
    </x:row>
    <x:row r="7">
      <x:c r="A7" t="n">
        <x:v>233</x:v>
      </x:c>
      <x:c r="B7" t="inlineStr">
        <x:is>
          <x:t xml:space="preserve">ยาแก้ปวดอักเสบกลุ่ม NSAIDs (D)</x:t>
        </x:is>
      </x:c>
      <x:c r="C7" t="n">
        <x:v>8116</x:v>
      </x:c>
      <x:c r="D7" t="inlineStr">
        <x:is>
          <x:t xml:space="preserve">Cambic 15</x:t>
        </x:is>
      </x:c>
      <x:c r="E7" t="inlineStr">
        <x:is>
          <x:t xml:space="preserve">แผง 10 เม็ด</x:t>
        </x:is>
      </x:c>
      <x:c r="F7" t="inlineStr">
        <x:is>
          <x:t xml:space="preserve">Meloxicam 15 mg.</x:t>
        </x:is>
      </x:c>
      <x:c r="G7" t="inlineStr">
        <x:is>
          <x:t xml:space="preserve">BDS008116</x:t>
        </x:is>
      </x:c>
      <x:c r="H7" t="inlineStr">
        <x:is>
          <x:t xml:space="preserve">Cambic 15 (10 tabs)</x:t>
        </x:is>
      </x:c>
      <x:c r="I7" t="inlineStr">
        <x:is>
          <x:t xml:space="preserve">รับประทานครั้งละ 1 เม็ด วันละ 1 ครั้ง หลังอาหารทันที</x:t>
        </x:is>
      </x:c>
      <x:c r="P7" t="inlineStr">
        <x:is>
          <x:t xml:space="preserve">NSAIDs (oral anti-inflammatory painkillers)</x:t>
        </x:is>
      </x:c>
    </x:row>
    <x:row r="8">
      <x:c r="A8" t="n">
        <x:v>234</x:v>
      </x:c>
      <x:c r="B8" t="inlineStr">
        <x:is>
          <x:t xml:space="preserve">ยาแก้ปวดอักเสบกลุ่ม NSAIDs (D)</x:t>
        </x:is>
      </x:c>
      <x:c r="C8" t="n">
        <x:v>41402</x:v>
      </x:c>
      <x:c r="D8" t="inlineStr">
        <x:is>
          <x:t xml:space="preserve">Cataflam 50 mg</x:t>
        </x:is>
      </x:c>
      <x:c r="E8" t="inlineStr">
        <x:is>
          <x:t xml:space="preserve">แผง 10 เม็ด</x:t>
        </x:is>
      </x:c>
      <x:c r="F8" t="inlineStr">
        <x:is>
          <x:t xml:space="preserve">Diclofenac Potassium 50 mg</x:t>
        </x:is>
      </x:c>
      <x:c r="G8" t="inlineStr">
        <x:is>
          <x:t xml:space="preserve">BDS041402</x:t>
        </x:is>
      </x:c>
      <x:c r="H8" t="inlineStr">
        <x:is>
          <x:t xml:space="preserve">Cataflam 50 mg (10 tabs)</x:t>
        </x:is>
      </x:c>
      <x:c r="I8" t="inlineStr">
        <x:is>
          <x:t xml:space="preserve">รับประทานครั้งละ 1 เม็ด วันละ 1-2 ครั้ง หลังอาหารทันที หรือตามแพทย์สั่ง</x:t>
        </x:is>
      </x:c>
      <x:c r="P8" t="inlineStr">
        <x:is>
          <x:t xml:space="preserve">NSAIDs (oral anti-inflammatory painkillers)</x:t>
        </x:is>
      </x:c>
    </x:row>
    <x:row r="9">
      <x:c r="A9" t="n">
        <x:v>235</x:v>
      </x:c>
      <x:c r="B9" t="inlineStr">
        <x:is>
          <x:t xml:space="preserve">ยาแก้ปวดอักเสบกลุ่ม NSAIDs (D)</x:t>
        </x:is>
      </x:c>
      <x:c r="C9" t="n">
        <x:v>7035</x:v>
      </x:c>
      <x:c r="D9" t="inlineStr">
        <x:is>
          <x:t xml:space="preserve">Catanac 50 mg</x:t>
        </x:is>
      </x:c>
      <x:c r="E9" t="inlineStr">
        <x:is>
          <x:t xml:space="preserve">แผง 10 เม็ด</x:t>
        </x:is>
      </x:c>
      <x:c r="F9" t="inlineStr">
        <x:is>
          <x:t xml:space="preserve">Diclofenac Potassium 50 mg.</x:t>
        </x:is>
      </x:c>
      <x:c r="G9" t="inlineStr">
        <x:is>
          <x:t xml:space="preserve">BDS007035</x:t>
        </x:is>
      </x:c>
      <x:c r="H9" t="inlineStr">
        <x:is>
          <x:t xml:space="preserve">Catanac 50 mg (10 tabs)</x:t>
        </x:is>
      </x:c>
      <x:c r="I9" t="inlineStr">
        <x:is>
          <x:t xml:space="preserve">รับประทานครั้งละ 1 เม็ด วันละ 3 ครั้ง หลังอาหารทันที</x:t>
        </x:is>
      </x:c>
      <x:c r="P9" t="inlineStr">
        <x:is>
          <x:t xml:space="preserve">NSAIDs (oral anti-inflammatory painkillers)</x:t>
        </x:is>
      </x:c>
    </x:row>
    <x:row r="10">
      <x:c r="A10" t="n">
        <x:v>236</x:v>
      </x:c>
      <x:c r="B10" t="inlineStr">
        <x:is>
          <x:t xml:space="preserve">ยาแก้ปวดอักเสบกลุ่ม NSAIDs (D)</x:t>
        </x:is>
      </x:c>
      <x:c r="C10" t="n">
        <x:v>1509</x:v>
      </x:c>
      <x:c r="D10" t="inlineStr">
        <x:is>
          <x:t xml:space="preserve">Celebrex 200 mg</x:t>
        </x:is>
      </x:c>
      <x:c r="E10" t="inlineStr">
        <x:is>
          <x:t xml:space="preserve">กล่อง 10 แคปซูล</x:t>
        </x:is>
      </x:c>
      <x:c r="F10" t="inlineStr">
        <x:is>
          <x:t xml:space="preserve">Celecoxib 200 mg.</x:t>
        </x:is>
      </x:c>
      <x:c r="G10" t="inlineStr">
        <x:is>
          <x:t xml:space="preserve">BDS001509</x:t>
        </x:is>
      </x:c>
      <x:c r="H10" t="inlineStr">
        <x:is>
          <x:t xml:space="preserve">Celebrex 200 mg (10 cap)</x:t>
        </x:is>
      </x:c>
      <x:c r="I10" t="inlineStr">
        <x:is>
          <x:t xml:space="preserve">รับประทานครั้งละ 1 แคปซูล วันละ 2 ครั้ง หลังอาหารทันที</x:t>
        </x:is>
      </x:c>
      <x:c r="P10" t="inlineStr">
        <x:is>
          <x:t xml:space="preserve">NSAIDs (oral anti-inflammatory painkillers)</x:t>
        </x:is>
      </x:c>
    </x:row>
    <x:row r="11">
      <x:c r="A11" t="n">
        <x:v>237</x:v>
      </x:c>
      <x:c r="B11" t="inlineStr">
        <x:is>
          <x:t xml:space="preserve">ยาแก้ปวดอักเสบกลุ่ม NSAIDs (D)</x:t>
        </x:is>
      </x:c>
      <x:c r="C11" t="n">
        <x:v>1507</x:v>
      </x:c>
      <x:c r="D11" t="inlineStr">
        <x:is>
          <x:t xml:space="preserve">Celebrex 400 mg</x:t>
        </x:is>
      </x:c>
      <x:c r="E11" t="inlineStr">
        <x:is>
          <x:t xml:space="preserve">กล่อง 10 แคปซูล</x:t>
        </x:is>
      </x:c>
      <x:c r="F11" t="inlineStr">
        <x:is>
          <x:t xml:space="preserve">Celecoxib 400 mg.</x:t>
        </x:is>
      </x:c>
      <x:c r="G11" t="inlineStr">
        <x:is>
          <x:t xml:space="preserve">BDS001507</x:t>
        </x:is>
      </x:c>
      <x:c r="H11" t="inlineStr">
        <x:is>
          <x:t xml:space="preserve">Celebrex 400 mg (10 cap)</x:t>
        </x:is>
      </x:c>
      <x:c r="I11" t="inlineStr">
        <x:is>
          <x:t xml:space="preserve">รับประทานครั้งละ 1 แคปซูล วันละ 1 ครั้ง หลังอาหารทันที</x:t>
        </x:is>
      </x:c>
      <x:c r="P11" t="inlineStr">
        <x:is>
          <x:t xml:space="preserve">NSAIDs (oral anti-inflammatory painkillers)</x:t>
        </x:is>
      </x:c>
    </x:row>
    <x:row r="12">
      <x:c r="A12" t="n">
        <x:v>238</x:v>
      </x:c>
      <x:c r="B12" t="inlineStr">
        <x:is>
          <x:t xml:space="preserve">ยาแก้ปวดอักเสบกลุ่ม NSAIDs (D)</x:t>
        </x:is>
      </x:c>
      <x:c r="C12" t="n">
        <x:v>1822</x:v>
      </x:c>
      <x:c r="D12" t="inlineStr">
        <x:is>
          <x:t xml:space="preserve">Dosanac 25</x:t>
        </x:is>
      </x:c>
      <x:c r="E12" t="inlineStr">
        <x:is>
          <x:t xml:space="preserve">กล่อง 10 เม็ด</x:t>
        </x:is>
      </x:c>
      <x:c r="F12" t="inlineStr">
        <x:is>
          <x:t xml:space="preserve">Diclofenac Sodium 25 mg.</x:t>
        </x:is>
      </x:c>
      <x:c r="G12" t="inlineStr">
        <x:is>
          <x:t xml:space="preserve">BDS001822</x:t>
        </x:is>
      </x:c>
      <x:c r="H12" t="inlineStr">
        <x:is>
          <x:t xml:space="preserve">Dosanac 25 (10 tabs)</x:t>
        </x:is>
      </x:c>
      <x:c r="I12" t="inlineStr">
        <x:is>
          <x:t xml:space="preserve">รับประทานครั้งละ 1-2 เม็ด วันละ 3 ครั้ง หลังอาหารทันที หรือตามแพทย์สั่ง</x:t>
        </x:is>
      </x:c>
      <x:c r="P12" t="inlineStr">
        <x:is>
          <x:t xml:space="preserve">NSAIDs (oral anti-inflammatory painkillers)</x:t>
        </x:is>
      </x:c>
    </x:row>
    <x:row r="13">
      <x:c r="A13" t="n">
        <x:v>239</x:v>
      </x:c>
      <x:c r="B13" t="inlineStr">
        <x:is>
          <x:t xml:space="preserve">ยาแก้ปวดอักเสบกลุ่ม NSAIDs (D)</x:t>
        </x:is>
      </x:c>
      <x:c r="C13" t="n">
        <x:v>1824</x:v>
      </x:c>
      <x:c r="D13" t="inlineStr">
        <x:is>
          <x:t xml:space="preserve">Dosanac 50</x:t>
        </x:is>
      </x:c>
      <x:c r="E13" t="inlineStr">
        <x:is>
          <x:t xml:space="preserve">กล่อง 10 เม็ด</x:t>
        </x:is>
      </x:c>
      <x:c r="F13" t="inlineStr">
        <x:is>
          <x:t xml:space="preserve">Diclofenac Sodium 50 mg.</x:t>
        </x:is>
      </x:c>
      <x:c r="G13" t="inlineStr">
        <x:is>
          <x:t xml:space="preserve">BDS001824</x:t>
        </x:is>
      </x:c>
      <x:c r="H13" t="inlineStr">
        <x:is>
          <x:t xml:space="preserve">Dosanac 50 (10 tabs)</x:t>
        </x:is>
      </x:c>
      <x:c r="I13" t="inlineStr">
        <x:is>
          <x:t xml:space="preserve">รับประทานครั้งละ 1 เม็ดวันละ 3 ครั้ง หลังอาหารทันที หรือตามแพทย์สั่ง</x:t>
        </x:is>
      </x:c>
      <x:c r="P13" t="inlineStr">
        <x:is>
          <x:t xml:space="preserve">NSAIDs (oral anti-inflammatory painkillers)</x:t>
        </x:is>
      </x:c>
    </x:row>
    <x:row r="14">
      <x:c r="A14" t="n">
        <x:v>240</x:v>
      </x:c>
      <x:c r="B14" t="inlineStr">
        <x:is>
          <x:t xml:space="preserve">ยาแก้ปวดอักเสบกลุ่ม NSAIDs (D)</x:t>
        </x:is>
      </x:c>
      <x:c r="C14" t="n">
        <x:v>42806</x:v>
      </x:c>
      <x:c r="D14" t="inlineStr">
        <x:is>
          <x:t xml:space="preserve">Eberil 120</x:t>
        </x:is>
      </x:c>
      <x:c r="E14" t="inlineStr">
        <x:is>
          <x:t xml:space="preserve">กล่อง 5 เม็ด</x:t>
        </x:is>
      </x:c>
      <x:c r="F14" t="inlineStr">
        <x:is>
          <x:t xml:space="preserve">Etoricoxib 120 mg.</x:t>
        </x:is>
      </x:c>
      <x:c r="G14" t="inlineStr">
        <x:is>
          <x:t xml:space="preserve">BDS042806</x:t>
        </x:is>
      </x:c>
      <x:c r="H14" t="inlineStr">
        <x:is>
          <x:t xml:space="preserve">Eberil 120 (5 tabs)</x:t>
        </x:is>
      </x:c>
      <x:c r="I14" t="inlineStr">
        <x:is>
          <x:t xml:space="preserve">รับประทานครั้งละ 1 เม็ด วันละ 1 ครั้ง หลังอาหารทันที</x:t>
        </x:is>
      </x:c>
      <x:c r="P14" t="inlineStr">
        <x:is>
          <x:t xml:space="preserve">NSAIDs (oral anti-inflammatory painkillers)</x:t>
        </x:is>
      </x:c>
    </x:row>
    <x:row r="15">
      <x:c r="A15" t="n">
        <x:v>241</x:v>
      </x:c>
      <x:c r="B15" t="inlineStr">
        <x:is>
          <x:t xml:space="preserve">ยาแก้ปวดอักเสบกลุ่ม NSAIDs (D)</x:t>
        </x:is>
      </x:c>
      <x:c r="C15" t="n">
        <x:v>8061</x:v>
      </x:c>
      <x:c r="D15" t="inlineStr">
        <x:is>
          <x:t xml:space="preserve">Felcam</x:t>
        </x:is>
      </x:c>
      <x:c r="E15" t="inlineStr">
        <x:is>
          <x:t xml:space="preserve">แผง 10 เม็ด</x:t>
        </x:is>
      </x:c>
      <x:c r="F15" t="inlineStr">
        <x:is>
          <x:t xml:space="preserve">Piroxicam 20 mg.</x:t>
        </x:is>
      </x:c>
      <x:c r="G15" t="inlineStr">
        <x:is>
          <x:t xml:space="preserve">BDS008061</x:t>
        </x:is>
      </x:c>
      <x:c r="H15" t="inlineStr">
        <x:is>
          <x:t xml:space="preserve">Felcam (10 tabs)</x:t>
        </x:is>
      </x:c>
      <x:c r="I15" t="inlineStr">
        <x:is>
          <x:t xml:space="preserve">รับประทานครั้งละ 1 เม็ด วันละ 1-2 ครั้ง หลังอาหารทันที</x:t>
        </x:is>
      </x:c>
      <x:c r="P15" t="inlineStr">
        <x:is>
          <x:t xml:space="preserve">NSAIDs (oral anti-inflammatory painkillers)</x:t>
        </x:is>
      </x:c>
    </x:row>
    <x:row r="16">
      <x:c r="A16" t="n">
        <x:v>242</x:v>
      </x:c>
      <x:c r="B16" t="inlineStr">
        <x:is>
          <x:t xml:space="preserve">ยาแก้ปวดอักเสบกลุ่ม NSAIDs (D)</x:t>
        </x:is>
      </x:c>
      <x:c r="C16" t="n">
        <x:v>7602</x:v>
      </x:c>
      <x:c r="D16" t="inlineStr">
        <x:is>
          <x:t xml:space="preserve">Felcam Capsule</x:t>
        </x:is>
      </x:c>
      <x:c r="E16" t="inlineStr">
        <x:is>
          <x:t xml:space="preserve">แผง 10 แคปซูล</x:t>
        </x:is>
      </x:c>
      <x:c r="F16" t="inlineStr">
        <x:is>
          <x:t xml:space="preserve">Piroxicam 10 mg.</x:t>
        </x:is>
      </x:c>
      <x:c r="G16" t="inlineStr">
        <x:is>
          <x:t xml:space="preserve">BDS007602</x:t>
        </x:is>
      </x:c>
      <x:c r="H16" t="inlineStr">
        <x:is>
          <x:t xml:space="preserve">Felcam Capsule (10 cap)</x:t>
        </x:is>
      </x:c>
      <x:c r="I16" t="inlineStr">
        <x:is>
          <x:t xml:space="preserve">รับประทานครั้งละ 1-2 แคปซูล วันละ 2 ครั้ง หลังอาหารทันที</x:t>
        </x:is>
      </x:c>
      <x:c r="P16" t="inlineStr">
        <x:is>
          <x:t xml:space="preserve">NSAIDs (oral anti-inflammatory painkillers)</x:t>
        </x:is>
      </x:c>
    </x:row>
    <x:row r="17">
      <x:c r="A17" t="n">
        <x:v>243</x:v>
      </x:c>
      <x:c r="B17" t="inlineStr">
        <x:is>
          <x:t xml:space="preserve">ยาแก้ปวดอักเสบกลุ่ม NSAIDs (D)</x:t>
        </x:is>
      </x:c>
      <x:c r="C17" t="n">
        <x:v>44250</x:v>
      </x:c>
      <x:c r="D17" t="inlineStr">
        <x:is>
          <x:t xml:space="preserve">Japrolox tabslets</x:t>
        </x:is>
      </x:c>
      <x:c r="E17" t="inlineStr">
        <x:is>
          <x:t xml:space="preserve">กล่อง 20 เม็ด</x:t>
        </x:is>
      </x:c>
      <x:c r="F17" t="inlineStr">
        <x:is>
          <x:t xml:space="preserve">Loxoprofen sodium 60 mg.</x:t>
        </x:is>
      </x:c>
      <x:c r="G17" t="inlineStr">
        <x:is>
          <x:t xml:space="preserve">BDS044250</x:t>
        </x:is>
      </x:c>
      <x:c r="H17" t="inlineStr">
        <x:is>
          <x:t xml:space="preserve">Japrolox tabslets (20 tabs)</x:t>
        </x:is>
      </x:c>
      <x:c r="I17" t="inlineStr">
        <x:is>
          <x:t xml:space="preserve">รับประทานครั้งละ 1 เม็ด วันละ 3 ครั้ง หลังอาหารทันที</x:t>
        </x:is>
      </x:c>
      <x:c r="P17" t="inlineStr">
        <x:is>
          <x:t xml:space="preserve">NSAIDs (oral anti-inflammatory painkillers)</x:t>
        </x:is>
      </x:c>
    </x:row>
    <x:row r="18">
      <x:c r="A18" t="n">
        <x:v>244</x:v>
      </x:c>
      <x:c r="B18" t="inlineStr">
        <x:is>
          <x:t xml:space="preserve">ยาแก้ปวดอักเสบกลุ่ม NSAIDs (D)</x:t>
        </x:is>
      </x:c>
      <x:c r="C18" t="n">
        <x:v>44900</x:v>
      </x:c>
      <x:c r="D18" t="inlineStr">
        <x:is>
          <x:t xml:space="preserve">Mefamed 500</x:t>
        </x:is>
      </x:c>
      <x:c r="E18" t="inlineStr">
        <x:is>
          <x:t xml:space="preserve">แผง 10 เม็ด</x:t>
        </x:is>
      </x:c>
      <x:c r="F18" t="inlineStr">
        <x:is>
          <x:t xml:space="preserve">Mefenamic acid 500 mg.</x:t>
        </x:is>
      </x:c>
      <x:c r="G18" t="inlineStr">
        <x:is>
          <x:t xml:space="preserve">BDS044900</x:t>
        </x:is>
      </x:c>
      <x:c r="H18" t="inlineStr">
        <x:is>
          <x:t xml:space="preserve">Mefamed 500 (10 tabs)</x:t>
        </x:is>
      </x:c>
      <x:c r="I18" t="inlineStr">
        <x:is>
          <x:t xml:space="preserve">รับประทานครั้งละ 1 เม็ด วันละ 3 ครั้ง หลังอาหารทันที </x:t>
        </x:is>
      </x:c>
      <x:c r="P18" t="inlineStr">
        <x:is>
          <x:t xml:space="preserve">NSAIDs (oral anti-inflammatory painkillers)</x:t>
        </x:is>
      </x:c>
    </x:row>
    <x:row r="19">
      <x:c r="A19" t="n">
        <x:v>245</x:v>
      </x:c>
      <x:c r="B19" t="inlineStr">
        <x:is>
          <x:t xml:space="preserve">ยาแก้ปวดอักเสบกลุ่ม NSAIDs (D)</x:t>
        </x:is>
      </x:c>
      <x:c r="C19" t="n">
        <x:v>2669</x:v>
      </x:c>
      <x:c r="D19" t="inlineStr">
        <x:is>
          <x:t xml:space="preserve">Melcam</x:t>
        </x:is>
      </x:c>
      <x:c r="E19" t="inlineStr">
        <x:is>
          <x:t xml:space="preserve">แผง 10 เม็ด</x:t>
        </x:is>
      </x:c>
      <x:c r="F19" t="inlineStr">
        <x:is>
          <x:t xml:space="preserve">Meloxicam 7.5 mg.</x:t>
        </x:is>
      </x:c>
      <x:c r="G19" t="inlineStr">
        <x:is>
          <x:t xml:space="preserve">BDS002669</x:t>
        </x:is>
      </x:c>
      <x:c r="H19" t="inlineStr">
        <x:is>
          <x:t xml:space="preserve">Melcam (10 tabs)</x:t>
        </x:is>
      </x:c>
      <x:c r="I19" t="inlineStr">
        <x:is>
          <x:t xml:space="preserve">รับประทานครั้งละ 1 เม็ด  วันละ 1-2 ครั้ง หลังอาหารทันที</x:t>
        </x:is>
      </x:c>
      <x:c r="P19" t="inlineStr">
        <x:is>
          <x:t xml:space="preserve">NSAIDs (oral anti-inflammatory painkillers)</x:t>
        </x:is>
      </x:c>
    </x:row>
    <x:row r="20">
      <x:c r="A20" t="n">
        <x:v>246</x:v>
      </x:c>
      <x:c r="B20" t="inlineStr">
        <x:is>
          <x:t xml:space="preserve">ยาแก้ปวดอักเสบกลุ่ม NSAIDs (D)</x:t>
        </x:is>
      </x:c>
      <x:c r="C20" t="n">
        <x:v>44909</x:v>
      </x:c>
      <x:c r="D20" t="inlineStr">
        <x:is>
          <x:t xml:space="preserve">Meomic 500 </x:t>
        </x:is>
      </x:c>
      <x:c r="E20" t="inlineStr">
        <x:is>
          <x:t xml:space="preserve">แผง 10 เม็ด</x:t>
        </x:is>
      </x:c>
      <x:c r="F20" t="inlineStr">
        <x:is>
          <x:t xml:space="preserve">Mefenamic acid 500 mg.</x:t>
        </x:is>
      </x:c>
      <x:c r="G20" t="inlineStr">
        <x:is>
          <x:t xml:space="preserve">BDS044909</x:t>
        </x:is>
      </x:c>
      <x:c r="H20" t="inlineStr">
        <x:is>
          <x:t xml:space="preserve">Meomic 500  (10 tabs)</x:t>
        </x:is>
      </x:c>
      <x:c r="I20" t="inlineStr">
        <x:is>
          <x:t xml:space="preserve">รับประทานครั้งละ 1 เม็ด วันละ 3 ครั้ง หลังอาหารทันที </x:t>
        </x:is>
      </x:c>
      <x:c r="P20" t="inlineStr">
        <x:is>
          <x:t xml:space="preserve">NSAIDs (oral anti-inflammatory painkillers)</x:t>
        </x:is>
      </x:c>
    </x:row>
    <x:row r="21">
      <x:c r="A21" t="n">
        <x:v>247</x:v>
      </x:c>
      <x:c r="B21" t="inlineStr">
        <x:is>
          <x:t xml:space="preserve">ยาแก้ปวดอักเสบกลุ่ม NSAIDs (D)</x:t>
        </x:is>
      </x:c>
      <x:c r="C21" t="n">
        <x:v>2642</x:v>
      </x:c>
      <x:c r="D21" t="inlineStr">
        <x:is>
          <x:t xml:space="preserve">Mobic 7.5 mg</x:t>
        </x:is>
      </x:c>
      <x:c r="E21" t="inlineStr">
        <x:is>
          <x:t xml:space="preserve">แผง 10  เม็ด</x:t>
        </x:is>
      </x:c>
      <x:c r="F21" t="inlineStr">
        <x:is>
          <x:t xml:space="preserve">Meloxicam 7.5 mg.</x:t>
        </x:is>
      </x:c>
      <x:c r="G21" t="inlineStr">
        <x:is>
          <x:t xml:space="preserve">BDS002642</x:t>
        </x:is>
      </x:c>
      <x:c r="H21" t="inlineStr">
        <x:is>
          <x:t xml:space="preserve">Mobic 7.5 mg (10 tabs)</x:t>
        </x:is>
      </x:c>
      <x:c r="I21" t="inlineStr">
        <x:is>
          <x:t xml:space="preserve">รับประทานครั้งละ 1-2 เม็ด วันละ 1-2 ครั้ง หลังอาหารทันที</x:t>
        </x:is>
      </x:c>
      <x:c r="P21" t="inlineStr">
        <x:is>
          <x:t xml:space="preserve">NSAIDs (oral anti-inflammatory painkillers)</x:t>
        </x:is>
      </x:c>
    </x:row>
    <x:row r="22">
      <x:c r="A22" t="n">
        <x:v>248</x:v>
      </x:c>
      <x:c r="B22" t="inlineStr">
        <x:is>
          <x:t xml:space="preserve">ยาแก้ปวดอักเสบกลุ่ม NSAIDs (D)</x:t>
        </x:is>
      </x:c>
      <x:c r="C22" t="n">
        <x:v>45624</x:v>
      </x:c>
      <x:c r="D22" t="inlineStr">
        <x:is>
          <x:t xml:space="preserve">Naprofazt</x:t>
        </x:is>
      </x:c>
      <x:c r="E22" t="inlineStr">
        <x:is>
          <x:t xml:space="preserve">แผง 10 แคปซูล</x:t>
        </x:is>
      </x:c>
      <x:c r="F22" t="inlineStr">
        <x:is>
          <x:t xml:space="preserve">Naproxen (as Naproxen Sodium) 250 mg.</x:t>
        </x:is>
      </x:c>
      <x:c r="G22" t="inlineStr">
        <x:is>
          <x:t xml:space="preserve">BDS045624</x:t>
        </x:is>
      </x:c>
      <x:c r="H22" t="inlineStr">
        <x:is>
          <x:t xml:space="preserve">Naprofazt (10 cap)</x:t>
        </x:is>
      </x:c>
      <x:c r="I22" t="inlineStr">
        <x:is>
          <x:t xml:space="preserve">รับประทานครั้งละ 1 แคปซูล วันละ 2 ครั้ง หลังอาหารทันที</x:t>
        </x:is>
      </x:c>
      <x:c r="P22" t="inlineStr">
        <x:is>
          <x:t xml:space="preserve">NSAIDs (oral anti-inflammatory painkillers)</x:t>
        </x:is>
      </x:c>
    </x:row>
    <x:row r="23">
      <x:c r="A23" t="n">
        <x:v>249</x:v>
      </x:c>
      <x:c r="B23" t="inlineStr">
        <x:is>
          <x:t xml:space="preserve">ยาแก้ปวดอักเสบกลุ่ม NSAIDs (D)</x:t>
        </x:is>
      </x:c>
      <x:c r="C23" t="n">
        <x:v>7214</x:v>
      </x:c>
      <x:c r="D23" t="inlineStr">
        <x:is>
          <x:t xml:space="preserve">Naproflex</x:t>
        </x:is>
      </x:c>
      <x:c r="E23" t="inlineStr">
        <x:is>
          <x:t xml:space="preserve">แผง 6 เม็ด</x:t>
        </x:is>
      </x:c>
      <x:c r="F23" t="inlineStr">
        <x:is>
          <x:t xml:space="preserve">Naproxen sodium 275 mg.</x:t>
        </x:is>
      </x:c>
      <x:c r="G23" t="inlineStr">
        <x:is>
          <x:t xml:space="preserve">BDS007214</x:t>
        </x:is>
      </x:c>
      <x:c r="H23" t="inlineStr">
        <x:is>
          <x:t xml:space="preserve">Naproflex (6 tabs)</x:t>
        </x:is>
      </x:c>
      <x:c r="I23" t="inlineStr">
        <x:is>
          <x:t xml:space="preserve">รับประทานครั้งละ 1 เม็ด วันละ 2 ครั้ง หลังอาหารทันที</x:t>
        </x:is>
      </x:c>
      <x:c r="P23" t="inlineStr">
        <x:is>
          <x:t xml:space="preserve">NSAIDs (oral anti-inflammatory painkillers)</x:t>
        </x:is>
      </x:c>
    </x:row>
    <x:row r="24">
      <x:c r="A24" t="n">
        <x:v>250</x:v>
      </x:c>
      <x:c r="B24" t="inlineStr">
        <x:is>
          <x:t xml:space="preserve">ยาแก้ปวดอักเสบกลุ่ม NSAIDs (D)</x:t>
        </x:is>
      </x:c>
      <x:c r="C24" t="n">
        <x:v>7576</x:v>
      </x:c>
      <x:c r="D24" t="inlineStr">
        <x:is>
          <x:t xml:space="preserve">Naprosian</x:t>
        </x:is>
      </x:c>
      <x:c r="E24" t="inlineStr">
        <x:is>
          <x:t xml:space="preserve">แผง 10 เม็ด</x:t>
        </x:is>
      </x:c>
      <x:c r="F24" t="inlineStr">
        <x:is>
          <x:t xml:space="preserve">Naproxen 250 mg.</x:t>
        </x:is>
      </x:c>
      <x:c r="G24" t="inlineStr">
        <x:is>
          <x:t xml:space="preserve">BDS007576</x:t>
        </x:is>
      </x:c>
      <x:c r="H24" t="inlineStr">
        <x:is>
          <x:t xml:space="preserve">Naprosian (10 tabs)</x:t>
        </x:is>
      </x:c>
      <x:c r="I24" t="inlineStr">
        <x:is>
          <x:t xml:space="preserve">รับประทานครั้งละ 1 เม็ด วันละ 2 ครั้ง หลังอาหารทันที</x:t>
        </x:is>
      </x:c>
      <x:c r="P24" t="inlineStr">
        <x:is>
          <x:t xml:space="preserve">NSAIDs (oral anti-inflammatory painkillers)</x:t>
        </x:is>
      </x:c>
    </x:row>
    <x:row r="25">
      <x:c r="A25" t="n">
        <x:v>251</x:v>
      </x:c>
      <x:c r="B25" t="inlineStr">
        <x:is>
          <x:t xml:space="preserve">ยาแก้ปวดอักเสบกลุ่ม NSAIDs (D)</x:t>
        </x:is>
      </x:c>
      <x:c r="C25" t="n">
        <x:v>3422</x:v>
      </x:c>
      <x:c r="D25" t="inlineStr">
        <x:is>
          <x:t xml:space="preserve">Pircam 20 mg</x:t>
        </x:is>
      </x:c>
      <x:c r="E25" t="inlineStr">
        <x:is>
          <x:t xml:space="preserve">แผง 10 แคปซูล</x:t>
        </x:is>
      </x:c>
      <x:c r="F25" t="inlineStr">
        <x:is>
          <x:t xml:space="preserve">Piroxicam 20 mg.</x:t>
        </x:is>
      </x:c>
      <x:c r="G25" t="inlineStr">
        <x:is>
          <x:t xml:space="preserve">BDS003422</x:t>
        </x:is>
      </x:c>
      <x:c r="H25" t="inlineStr">
        <x:is>
          <x:t xml:space="preserve">Pircam 20 mg (10 cap)</x:t>
        </x:is>
      </x:c>
      <x:c r="I25" t="inlineStr">
        <x:is>
          <x:t xml:space="preserve">รับประทานครั้งละ 1 แคปซูล วันละ 2 ครั้ง หลังอาหารทันที</x:t>
        </x:is>
      </x:c>
      <x:c r="P25" t="inlineStr">
        <x:is>
          <x:t xml:space="preserve">NSAIDs (oral anti-inflammatory painkillers)</x:t>
        </x:is>
      </x:c>
    </x:row>
    <x:row r="26">
      <x:c r="A26" t="n">
        <x:v>252</x:v>
      </x:c>
      <x:c r="B26" t="inlineStr">
        <x:is>
          <x:t xml:space="preserve">ยาแก้ปวดอักเสบกลุ่ม NSAIDs (D)</x:t>
        </x:is>
      </x:c>
      <x:c r="C26" t="n">
        <x:v>3131</x:v>
      </x:c>
      <x:c r="D26" t="inlineStr">
        <x:is>
          <x:t xml:space="preserve">Ponstan 500 mg</x:t>
        </x:is>
      </x:c>
      <x:c r="E26" t="inlineStr">
        <x:is>
          <x:t xml:space="preserve">แผง 10 เม็ด</x:t>
        </x:is>
      </x:c>
      <x:c r="F26" t="inlineStr">
        <x:is>
          <x:t xml:space="preserve">Mefenamic acid 500 mg.</x:t>
        </x:is>
      </x:c>
      <x:c r="G26" t="inlineStr">
        <x:is>
          <x:t xml:space="preserve">BDS003131</x:t>
        </x:is>
      </x:c>
      <x:c r="H26" t="inlineStr">
        <x:is>
          <x:t xml:space="preserve">Ponstan 500 mg (10 tabs)</x:t>
        </x:is>
      </x:c>
      <x:c r="I26" t="inlineStr">
        <x:is>
          <x:t xml:space="preserve">รับประทานครั้งละ 1 เม็ด วันละ 3 ครั้ง หลังอาหารทันที</x:t>
        </x:is>
      </x:c>
      <x:c r="P26" t="inlineStr">
        <x:is>
          <x:t xml:space="preserve">NSAIDs (oral anti-inflammatory painkillers)</x:t>
        </x:is>
      </x:c>
    </x:row>
    <x:row r="27">
      <x:c r="A27" t="n">
        <x:v>253</x:v>
      </x:c>
      <x:c r="B27" t="inlineStr">
        <x:is>
          <x:t xml:space="preserve">ยาแก้ปวดอักเสบกลุ่ม NSAIDs (D)</x:t>
        </x:is>
      </x:c>
      <x:c r="C27" t="n">
        <x:v>47654</x:v>
      </x:c>
      <x:c r="D27" t="inlineStr">
        <x:is>
          <x:t xml:space="preserve">Soproxen</x:t>
        </x:is>
      </x:c>
      <x:c r="E27" t="inlineStr">
        <x:is>
          <x:t xml:space="preserve">แผง 10 เม็ด</x:t>
        </x:is>
      </x:c>
      <x:c r="F27" t="inlineStr">
        <x:is>
          <x:t xml:space="preserve">Naproxen sodium 275 mg. (eq. to Naproxen 250 mg.)</x:t>
        </x:is>
      </x:c>
      <x:c r="G27" t="inlineStr">
        <x:is>
          <x:t xml:space="preserve">BDS047654</x:t>
        </x:is>
      </x:c>
      <x:c r="H27" t="inlineStr">
        <x:is>
          <x:t xml:space="preserve">Soproxen (10 tabs)</x:t>
        </x:is>
      </x:c>
      <x:c r="I27" t="inlineStr">
        <x:is>
          <x:t xml:space="preserve">รับประทานครั้งละ 1 เม็ด วันละ 2 ครั้ง หลังอาหารทันที</x:t>
        </x:is>
      </x:c>
      <x:c r="P27" t="inlineStr">
        <x:is>
          <x:t xml:space="preserve">NSAIDs (oral anti-inflammatory painkillers)</x:t>
        </x:is>
      </x:c>
    </x:row>
    <x:row r="28">
      <x:c r="A28" t="n">
        <x:v>254</x:v>
      </x:c>
      <x:c r="B28" t="inlineStr">
        <x:is>
          <x:t xml:space="preserve">ยาแก้ปวดอักเสบกลุ่ม NSAIDs (D)</x:t>
        </x:is>
      </x:c>
      <x:c r="C28" t="n">
        <x:v>3581</x:v>
      </x:c>
      <x:c r="D28" t="inlineStr">
        <x:is>
          <x:t xml:space="preserve">S-Pro 600</x:t>
        </x:is>
      </x:c>
      <x:c r="E28" t="inlineStr">
        <x:is>
          <x:t xml:space="preserve">แผง 10 เม็ด</x:t>
        </x:is>
      </x:c>
      <x:c r="F28" t="inlineStr">
        <x:is>
          <x:t xml:space="preserve">Ibuprofen 600 mg.</x:t>
        </x:is>
      </x:c>
      <x:c r="G28" t="inlineStr">
        <x:is>
          <x:t xml:space="preserve">BDS003581</x:t>
        </x:is>
      </x:c>
      <x:c r="H28" t="inlineStr">
        <x:is>
          <x:t xml:space="preserve">S-Pro 600 (10 tabs)</x:t>
        </x:is>
      </x:c>
      <x:c r="I28" t="inlineStr">
        <x:is>
          <x:t xml:space="preserve">รับประทานครั้งละ 1 เม็ด ทุก 6 ชั่วโมง เมื่อมีอาการ</x:t>
        </x:is>
      </x:c>
      <x:c r="P28" t="inlineStr">
        <x:is>
          <x:t xml:space="preserve">NSAIDs (oral anti-inflammatory painkillers)</x:t>
        </x:is>
      </x:c>
    </x:row>
    <x:row r="29">
      <x:c r="A29" t="n">
        <x:v>255</x:v>
      </x:c>
      <x:c r="B29" t="inlineStr">
        <x:is>
          <x:t xml:space="preserve">ยาแก้ปวดอักเสบกลุ่ม NSAIDs (D)</x:t>
        </x:is>
      </x:c>
      <x:c r="C29" t="n">
        <x:v>3599</x:v>
      </x:c>
      <x:c r="D29" t="inlineStr">
        <x:is>
          <x:t xml:space="preserve">Subsyde-CR</x:t>
        </x:is>
      </x:c>
      <x:c r="E29" t="inlineStr">
        <x:is>
          <x:t xml:space="preserve">แผง 10 แคปซูล</x:t>
        </x:is>
      </x:c>
      <x:c r="F29" t="inlineStr">
        <x:is>
          <x:t xml:space="preserve">Diclofenac Sodium 100 mg. (Controlled Release cap)</x:t>
        </x:is>
      </x:c>
      <x:c r="G29" t="inlineStr">
        <x:is>
          <x:t xml:space="preserve">BDS003599</x:t>
        </x:is>
      </x:c>
      <x:c r="H29" t="inlineStr">
        <x:is>
          <x:t xml:space="preserve">Subsyde-CR (10 cap)</x:t>
        </x:is>
      </x:c>
      <x:c r="I29" t="inlineStr">
        <x:is>
          <x:t xml:space="preserve">รับประทานครั้งละ 1 แคปซูล วันละ 1 ครั้ง หลังอาหารทันที</x:t>
        </x:is>
      </x:c>
      <x:c r="P29" t="inlineStr">
        <x:is>
          <x:t xml:space="preserve">NSAIDs (oral anti-inflammatory painkillers)</x:t>
        </x:is>
      </x:c>
    </x:row>
    <x:row r="30">
      <x:c r="A30" t="n">
        <x:v>256</x:v>
      </x:c>
      <x:c r="B30" t="inlineStr">
        <x:is>
          <x:t xml:space="preserve">ยาแก้ปวดอักเสบกลุ่ม NSAIDs (D)</x:t>
        </x:is>
      </x:c>
      <x:c r="C30" t="n">
        <x:v>3568</x:v>
      </x:c>
      <x:c r="D30" t="inlineStr">
        <x:is>
          <x:t xml:space="preserve">Synflex</x:t>
        </x:is>
      </x:c>
      <x:c r="E30" t="inlineStr">
        <x:is>
          <x:t xml:space="preserve">แผง 6 เม็ด</x:t>
        </x:is>
      </x:c>
      <x:c r="F30" t="inlineStr">
        <x:is>
          <x:t xml:space="preserve">Naproxen sodium 275 mg.</x:t>
        </x:is>
      </x:c>
      <x:c r="G30" t="inlineStr">
        <x:is>
          <x:t xml:space="preserve">BDS003568</x:t>
        </x:is>
      </x:c>
      <x:c r="H30" t="inlineStr">
        <x:is>
          <x:t xml:space="preserve">Synflex (6 tabs)</x:t>
        </x:is>
      </x:c>
      <x:c r="I30" t="inlineStr">
        <x:is>
          <x:t xml:space="preserve">รับประทานครั้งละ 1 เม็ด วันละ 2 ครั้ง หลังอาหารทันที </x:t>
        </x:is>
      </x:c>
      <x:c r="P30" t="inlineStr">
        <x:is>
          <x:t xml:space="preserve">NSAIDs (oral anti-inflammatory painkillers)</x:t>
        </x:is>
      </x:c>
    </x:row>
    <x:row r="31">
      <x:c r="A31" t="n">
        <x:v>257</x:v>
      </x:c>
      <x:c r="B31" t="inlineStr">
        <x:is>
          <x:t xml:space="preserve">ยาแก้ปวดอักเสบกลุ่ม NSAIDs (D)</x:t>
        </x:is>
      </x:c>
      <x:c r="C31" t="n">
        <x:v>49251</x:v>
      </x:c>
      <x:c r="D31" t="inlineStr">
        <x:is>
          <x:t xml:space="preserve">Voltaren SR 100 mg</x:t>
        </x:is>
      </x:c>
      <x:c r="E31" t="inlineStr">
        <x:is>
          <x:t xml:space="preserve">แผง 10 เม็ด</x:t>
        </x:is>
      </x:c>
      <x:c r="F31" t="inlineStr">
        <x:is>
          <x:t xml:space="preserve">Diclofenac Sodium 100 mg.</x:t>
        </x:is>
      </x:c>
      <x:c r="G31" t="inlineStr">
        <x:is>
          <x:t xml:space="preserve">BDS049251</x:t>
        </x:is>
      </x:c>
      <x:c r="H31" t="inlineStr">
        <x:is>
          <x:t xml:space="preserve">Voltaren SR 100 mg (10 tabs)</x:t>
        </x:is>
      </x:c>
      <x:c r="I31" t="inlineStr">
        <x:is>
          <x:t xml:space="preserve">รับประทานครั้งละ 1 เม็ด วันละ 1 ครั้ง หลังอาหารทันที</x:t>
        </x:is>
      </x:c>
      <x:c r="P31" t="inlineStr">
        <x:is>
          <x:t xml:space="preserve">NSAIDs (oral anti-inflammatory painkillers)</x:t>
        </x:is>
      </x:c>
    </x:row>
    <x:row r="32">
      <x:c r="A32" t="n">
        <x:v>258</x:v>
      </x:c>
      <x:c r="B32" t="inlineStr">
        <x:is>
          <x:t xml:space="preserve">ยาแก้ปวดอักเสบกลุ่ม NSAIDs (D)</x:t>
        </x:is>
      </x:c>
      <x:c r="C32" t="n">
        <x:v>4052</x:v>
      </x:c>
      <x:c r="D32" t="inlineStr">
        <x:is>
          <x:t xml:space="preserve">Voltaren SR 75 mg</x:t>
        </x:is>
      </x:c>
      <x:c r="E32" t="inlineStr">
        <x:is>
          <x:t xml:space="preserve">แผง 10 เม็ด</x:t>
        </x:is>
      </x:c>
      <x:c r="F32" t="inlineStr">
        <x:is>
          <x:t xml:space="preserve">Diclofenac Sodium 75 mg.</x:t>
        </x:is>
      </x:c>
      <x:c r="G32" t="inlineStr">
        <x:is>
          <x:t xml:space="preserve">BDS004052</x:t>
        </x:is>
      </x:c>
      <x:c r="H32" t="inlineStr">
        <x:is>
          <x:t xml:space="preserve">Voltaren SR 75 mg (10 tabs)</x:t>
        </x:is>
      </x:c>
      <x:c r="I32" t="inlineStr">
        <x:is>
          <x:t xml:space="preserve">รับประทานครั้งละ 1-2 เม็ด วันละ 1 ครั้ง หลังอาหารทันที</x:t>
        </x:is>
      </x:c>
      <x:c r="P32" t="inlineStr">
        <x:is>
          <x:t xml:space="preserve">NSAIDs (oral anti-inflammatory painkillers)</x:t>
        </x:is>
      </x:c>
    </x:row>
    <x:row r="33">
      <x:c r="A33" t="n">
        <x:v>259</x:v>
      </x:c>
      <x:c r="B33" t="inlineStr">
        <x:is>
          <x:t xml:space="preserve">ยาแก้ปวดอักเสบกลุ่ม NSAIDs (D)</x:t>
        </x:is>
      </x:c>
      <x:c r="C33" t="n">
        <x:v>4041</x:v>
      </x:c>
      <x:c r="D33" t="inlineStr">
        <x:is>
          <x:t xml:space="preserve">Voltaren-25</x:t>
        </x:is>
      </x:c>
      <x:c r="E33" t="inlineStr">
        <x:is>
          <x:t xml:space="preserve">แผง 10 เม็ด</x:t>
        </x:is>
      </x:c>
      <x:c r="F33" t="inlineStr">
        <x:is>
          <x:t xml:space="preserve">Diclofenac Sodium 25 mg.</x:t>
        </x:is>
      </x:c>
      <x:c r="G33" t="inlineStr">
        <x:is>
          <x:t xml:space="preserve">BDS004041</x:t>
        </x:is>
      </x:c>
      <x:c r="H33" t="inlineStr">
        <x:is>
          <x:t xml:space="preserve">Voltaren-25 (10 tabs)</x:t>
        </x:is>
      </x:c>
      <x:c r="I33" t="inlineStr">
        <x:is>
          <x:t xml:space="preserve">รับประทานครั้งละ 1-2 เม็ด วันละ 3 ครั้ง หลังอาหารทันที</x:t>
        </x:is>
      </x:c>
      <x:c r="P33" t="inlineStr">
        <x:is>
          <x:t xml:space="preserve">NSAIDs (oral anti-inflammatory painkillers)</x:t>
        </x:is>
      </x:c>
    </x:row>
    <x:row r="34">
      <x:c r="A34" t="n">
        <x:v>260</x:v>
      </x:c>
      <x:c r="B34" t="inlineStr">
        <x:is>
          <x:t xml:space="preserve">ยาแก้ปวดอักเสบกลุ่ม NSAIDs (D)</x:t>
        </x:is>
      </x:c>
      <x:c r="C34" t="n">
        <x:v>49777</x:v>
      </x:c>
      <x:c r="D34" t="inlineStr">
        <x:is>
          <x:t xml:space="preserve">Zobrex</x:t>
        </x:is>
      </x:c>
      <x:c r="E34" t="inlineStr">
        <x:is>
          <x:t xml:space="preserve">กล่อง 10 แคปซูล</x:t>
        </x:is>
      </x:c>
      <x:c r="F34" t="inlineStr">
        <x:is>
          <x:t xml:space="preserve">Celecoxib 200 mg.</x:t>
        </x:is>
      </x:c>
      <x:c r="G34" t="inlineStr">
        <x:is>
          <x:t xml:space="preserve">BDS049777</x:t>
        </x:is>
      </x:c>
      <x:c r="H34" t="inlineStr">
        <x:is>
          <x:t xml:space="preserve">Zobrex (10 cap)</x:t>
        </x:is>
      </x:c>
      <x:c r="I34" t="inlineStr">
        <x:is>
          <x:t xml:space="preserve">รับประทานครั้งละ 1-2 แคปซูล วันละ 1 ครั้ง หลังอาหารทันที หรือตามแพทย์สั่ง </x:t>
        </x:is>
      </x:c>
      <x:c r="P34" t="inlineStr">
        <x:is>
          <x:t xml:space="preserve">NSAIDs (oral anti-inflammatory painkillers)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276</x:v>
      </x:c>
      <x:c r="B2" t="inlineStr">
        <x:is>
          <x:t xml:space="preserve">ยาแก้ปวดไมเกรน (D)</x:t>
        </x:is>
      </x:c>
      <x:c r="C2" t="n">
        <x:v>1071</x:v>
      </x:c>
      <x:c r="D2" t="inlineStr">
        <x:is>
          <x:t xml:space="preserve">Avamigran</x:t>
        </x:is>
      </x:c>
      <x:c r="E2" t="inlineStr">
        <x:is>
          <x:t xml:space="preserve">กล่อง 1 แผง</x:t>
        </x:is>
      </x:c>
      <x:c r="F2" t="inlineStr">
        <x:is>
          <x:t xml:space="preserve">Ergotamine tartrate 1 mg.+Caffeine 100 mg.</x:t>
        </x:is>
      </x:c>
      <x:c r="G2" t="inlineStr">
        <x:is>
          <x:t xml:space="preserve">BDS001071</x:t>
        </x:is>
      </x:c>
      <x:c r="H2" t="inlineStr">
        <x:is>
          <x:t xml:space="preserve">Avamigran (1 blister)</x:t>
        </x:is>
      </x:c>
      <x:c r="I2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" t="inlineStr">
        <x:is>
          <x:t xml:space="preserve">Migraine-specific drugs</x:t>
        </x:is>
      </x:c>
    </x:row>
    <x:row r="3">
      <x:c r="A3" t="n">
        <x:v>277</x:v>
      </x:c>
      <x:c r="B3" t="inlineStr">
        <x:is>
          <x:t xml:space="preserve">ยาแก้ปวดไมเกรน (D)</x:t>
        </x:is>
      </x:c>
      <x:c r="C3" t="n">
        <x:v>1405</x:v>
      </x:c>
      <x:c r="D3" t="inlineStr">
        <x:is>
          <x:t xml:space="preserve">Cafergot</x:t>
        </x:is>
      </x:c>
      <x:c r="E3" t="inlineStr">
        <x:is>
          <x:t xml:space="preserve">กล่อง 10 เม็ด</x:t>
        </x:is>
      </x:c>
      <x:c r="F3" t="inlineStr">
        <x:is>
          <x:t xml:space="preserve">Ergotamine tartrate 1 mg.+Caffeine 100 mg.</x:t>
        </x:is>
      </x:c>
      <x:c r="G3" t="inlineStr">
        <x:is>
          <x:t xml:space="preserve">BDS001405</x:t>
        </x:is>
      </x:c>
      <x:c r="H3" t="inlineStr">
        <x:is>
          <x:t xml:space="preserve">Cafergot (10 tabs)</x:t>
        </x:is>
      </x:c>
      <x:c r="I3" t="inlineStr">
        <x:is>
          <x:t xml:space="preserve"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3" t="inlineStr">
        <x:is>
          <x:t xml:space="preserve">Migraine-specific drugs</x:t>
        </x:is>
      </x:c>
    </x:row>
    <x:row r="4">
      <x:c r="A4" t="n">
        <x:v>278</x:v>
      </x:c>
      <x:c r="B4" t="inlineStr">
        <x:is>
          <x:t xml:space="preserve">ยาแก้ปวดไมเกรน (D)</x:t>
        </x:is>
      </x:c>
      <x:c r="C4" t="n">
        <x:v>6840</x:v>
      </x:c>
      <x:c r="D4" t="inlineStr">
        <x:is>
          <x:t xml:space="preserve">Relpax 40 mg</x:t>
        </x:is>
      </x:c>
      <x:c r="E4" t="inlineStr">
        <x:is>
          <x:t xml:space="preserve">กล่อง 2 เม็ด</x:t>
        </x:is>
      </x:c>
      <x:c r="F4" t="inlineStr">
        <x:is>
          <x:t xml:space="preserve">Eletriptan 40 mg.</x:t>
        </x:is>
      </x:c>
      <x:c r="G4" t="inlineStr">
        <x:is>
          <x:t xml:space="preserve">BDS006840</x:t>
        </x:is>
      </x:c>
      <x:c r="H4" t="inlineStr">
        <x:is>
          <x:t xml:space="preserve">Relpax 40 mg (2 tabs)</x:t>
        </x:is>
      </x:c>
      <x:c r="I4" t="inlineStr">
        <x:is>
          <x:t xml:space="preserve">รับประทานครั้งละ 1 เม็ด เมื่อเริ่มมีอาการ รับประทานเม็ดที่ 2 ได้ ห่างจากเม็ดแรก 2 ชั่วโมง</x:t>
        </x:is>
      </x:c>
      <x:c r="P4" t="inlineStr">
        <x:is>
          <x:t xml:space="preserve">Migraine-specific drugs</x:t>
        </x:is>
      </x:c>
    </x:row>
    <x:row r="5">
      <x:c r="A5" t="n">
        <x:v>279</x:v>
      </x:c>
      <x:c r="B5" t="inlineStr">
        <x:is>
          <x:t xml:space="preserve">ยาแก้ปวดไมเกรน (D)</x:t>
        </x:is>
      </x:c>
      <x:c r="C5" t="n">
        <x:v>47646</x:v>
      </x:c>
      <x:c r="D5" t="inlineStr">
        <x:is>
          <x:t xml:space="preserve">Siagran 50 mg</x:t>
        </x:is>
      </x:c>
      <x:c r="E5" t="inlineStr">
        <x:is>
          <x:t xml:space="preserve">กล่อง 4 เม็ด</x:t>
        </x:is>
      </x:c>
      <x:c r="F5" t="inlineStr">
        <x:is>
          <x:t xml:space="preserve">Sumatriptan succinate (eq. to Sumatriptan 50 mg.)</x:t>
        </x:is>
      </x:c>
      <x:c r="G5" t="inlineStr">
        <x:is>
          <x:t xml:space="preserve">BDS047646</x:t>
        </x:is>
      </x:c>
      <x:c r="H5" t="inlineStr">
        <x:is>
          <x:t xml:space="preserve">Siagran 50 mg (4 tabs)</x:t>
        </x:is>
      </x:c>
      <x:c r="I5" t="inlineStr">
        <x:is>
          <x:t xml:space="preserve">รับประทานครั้งละ 1 เม็ด เมื่อเริ่มมีอาการ รับประทานซ้ำได้ หลังจากรับประทานเม็ดแรกแล้ว 2 ชั่วโมง</x:t>
        </x:is>
      </x:c>
      <x:c r="P5" t="inlineStr">
        <x:is>
          <x:t xml:space="preserve">Migraine-specific drugs</x:t>
        </x:is>
      </x:c>
    </x:row>
    <x:row r="6">
      <x:c r="A6" t="n">
        <x:v>280</x:v>
      </x:c>
      <x:c r="B6" t="inlineStr">
        <x:is>
          <x:t xml:space="preserve">ยาแก้ปวดไมเกรน (D)</x:t>
        </x:is>
      </x:c>
      <x:c r="C6" t="n">
        <x:v>1404</x:v>
      </x:c>
      <x:c r="D6" t="inlineStr">
        <x:is>
          <x:t xml:space="preserve">Tofago</x:t>
        </x:is>
      </x:c>
      <x:c r="E6" t="inlineStr">
        <x:is>
          <x:t xml:space="preserve">กล่อง 10 เม็ด</x:t>
        </x:is>
      </x:c>
      <x:c r="F6" t="inlineStr">
        <x:is>
          <x:t xml:space="preserve">Ergotamine tartrate 1 mg.+Caffeine 100 mg.</x:t>
        </x:is>
      </x:c>
      <x:c r="G6" t="inlineStr">
        <x:is>
          <x:t xml:space="preserve">BDS001404</x:t>
        </x:is>
      </x:c>
      <x:c r="H6" t="inlineStr">
        <x:is>
          <x:t xml:space="preserve">Tofago (10 tabs)</x:t>
        </x:is>
      </x:c>
      <x:c r="I6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6" t="inlineStr">
        <x:is>
          <x:t xml:space="preserve">Migraine-specific drugs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301</x:v>
      </x:c>
      <x:c r="B2" t="inlineStr">
        <x:is>
          <x:t xml:space="preserve">ยาแก้ปวดรุนแรง (D)</x:t>
        </x:is>
      </x:c>
      <x:c r="C2" t="n">
        <x:v>3739</x:v>
      </x:c>
      <x:c r="D2" t="inlineStr">
        <x:is>
          <x:t xml:space="preserve">Tramal</x:t>
        </x:is>
      </x:c>
      <x:c r="E2" t="inlineStr">
        <x:is>
          <x:t xml:space="preserve">กล่อง 10 แคปซูล</x:t>
        </x:is>
      </x:c>
      <x:c r="F2" t="inlineStr">
        <x:is>
          <x:t xml:space="preserve">Tramadol HCl 50 mg.</x:t>
        </x:is>
      </x:c>
      <x:c r="G2" t="inlineStr">
        <x:is>
          <x:t xml:space="preserve">BDS003739</x:t>
        </x:is>
      </x:c>
      <x:c r="H2" t="inlineStr">
        <x:is>
          <x:t xml:space="preserve">Tramal (10 cap)</x:t>
        </x:is>
      </x:c>
      <x:c r="I2" t="inlineStr">
        <x:is>
          <x:t xml:space="preserve">รับประทานครั้งละ 1 แคปซูลวันละ 3 ครั้ง หลังอาหาร</x:t>
        </x:is>
      </x:c>
      <x:c r="P2" t="inlineStr">
        <x:is>
          <x:t xml:space="preserve">Strong pain meds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302</x:v>
      </x:c>
      <x:c r="B2" t="inlineStr">
        <x:is>
          <x:t xml:space="preserve">ยาแก้ปวดเกร็งกล้ามเนื้อเรียบ (D)</x:t>
        </x:is>
      </x:c>
      <x:c r="C2" t="n">
        <x:v>1283</x:v>
      </x:c>
      <x:c r="D2" t="inlineStr">
        <x:is>
          <x:t xml:space="preserve">Buscopan</x:t>
        </x:is>
      </x:c>
      <x:c r="E2" t="inlineStr">
        <x:is>
          <x:t xml:space="preserve">แผง 10 เม็ด</x:t>
        </x:is>
      </x:c>
      <x:c r="F2" t="inlineStr">
        <x:is>
          <x:t xml:space="preserve">Hyoscine-N-butylbromide 10 mg.</x:t>
        </x:is>
      </x:c>
      <x:c r="G2" t="inlineStr">
        <x:is>
          <x:t xml:space="preserve">BDS001283</x:t>
        </x:is>
      </x:c>
      <x:c r="H2" t="inlineStr">
        <x:is>
          <x:t xml:space="preserve">Buscopan (10 tabs)</x:t>
        </x:is>
      </x:c>
      <x:c r="I2" t="inlineStr">
        <x:is>
          <x:t xml:space="preserve">รับประทานครั้งละ 1-2 เม็ด วันละ 3-5 ครั้ง </x:t>
        </x:is>
      </x:c>
      <x:c r="P2" t="inlineStr">
        <x:is>
          <x:t xml:space="preserve">Antispasmodics (smooth muscle cramps / abdominal colic)</x:t>
        </x:is>
      </x:c>
    </x:row>
    <x:row r="3">
      <x:c r="A3" t="n">
        <x:v>303</x:v>
      </x:c>
      <x:c r="B3" t="inlineStr">
        <x:is>
          <x:t xml:space="preserve">ยาแก้ปวดเกร็งกล้ามเนื้อเรียบ (D)</x:t>
        </x:is>
      </x:c>
      <x:c r="C3" t="n">
        <x:v>7061</x:v>
      </x:c>
      <x:c r="D3" t="inlineStr">
        <x:is>
          <x:t xml:space="preserve">Cencopan-S</x:t>
        </x:is>
      </x:c>
      <x:c r="E3" t="inlineStr">
        <x:is>
          <x:t xml:space="preserve">แผง 10 เม็ด</x:t>
        </x:is>
      </x:c>
      <x:c r="F3" t="inlineStr">
        <x:is>
          <x:t xml:space="preserve">Hyoscine-N-butylbromide 10 mg.</x:t>
        </x:is>
      </x:c>
      <x:c r="G3" t="inlineStr">
        <x:is>
          <x:t xml:space="preserve">BDS007061</x:t>
        </x:is>
      </x:c>
      <x:c r="H3" t="inlineStr">
        <x:is>
          <x:t xml:space="preserve">Cencopan-S (10 tabs)</x:t>
        </x:is>
      </x:c>
      <x:c r="I3" t="inlineStr">
        <x:is>
          <x:t xml:space="preserve">รับประทานครั้งละ 1-2 เม็ด วันละ 3 ครั้ง หรือเมื่อมีอาการ</x:t>
        </x:is>
      </x:c>
      <x:c r="P3" t="inlineStr">
        <x:is>
          <x:t xml:space="preserve">Antispasmodics (smooth muscle cramps / abdominal colic)</x:t>
        </x:is>
      </x:c>
    </x:row>
    <x:row r="4">
      <x:c r="A4" t="n">
        <x:v>304</x:v>
      </x:c>
      <x:c r="B4" t="inlineStr">
        <x:is>
          <x:t xml:space="preserve">ยาแก้ปวดเกร็งกล้ามเนื้อเรียบ (D)</x:t>
        </x:is>
      </x:c>
      <x:c r="C4" t="n">
        <x:v>1484</x:v>
      </x:c>
      <x:c r="D4" t="inlineStr">
        <x:is>
          <x:t xml:space="preserve">Colofac 135</x:t>
        </x:is>
      </x:c>
      <x:c r="E4" t="inlineStr">
        <x:is>
          <x:t xml:space="preserve">แผง 10 เม็ด</x:t>
        </x:is>
      </x:c>
      <x:c r="F4" t="inlineStr">
        <x:is>
          <x:t xml:space="preserve">Mebeverine HCl 135 mg.</x:t>
        </x:is>
      </x:c>
      <x:c r="G4" t="inlineStr">
        <x:is>
          <x:t xml:space="preserve">BDS001484</x:t>
        </x:is>
      </x:c>
      <x:c r="H4" t="inlineStr">
        <x:is>
          <x:t xml:space="preserve">Colofac 135 (10 tabs)</x:t>
        </x:is>
      </x:c>
      <x:c r="I4" t="inlineStr">
        <x:is>
          <x:t xml:space="preserve">รับประทานครั้งละ 1 เม็ด วันละ 3 ครั้ง ก่อนอาหาร</x:t>
        </x:is>
      </x:c>
      <x:c r="P4" t="inlineStr">
        <x:is>
          <x:t xml:space="preserve">Antispasmodics (smooth muscle cramps / abdominal colic)</x:t>
        </x:is>
      </x:c>
    </x:row>
    <x:row r="5">
      <x:c r="A5" t="n">
        <x:v>305</x:v>
      </x:c>
      <x:c r="B5" t="inlineStr">
        <x:is>
          <x:t xml:space="preserve">ยาแก้ปวดเกร็งกล้ามเนื้อเรียบ (D)</x:t>
        </x:is>
      </x:c>
      <x:c r="C5" t="n">
        <x:v>1707</x:v>
      </x:c>
      <x:c r="D5" t="inlineStr">
        <x:is>
          <x:t xml:space="preserve">Duspatin 135</x:t>
        </x:is>
      </x:c>
      <x:c r="E5" t="inlineStr">
        <x:is>
          <x:t xml:space="preserve">แผง 10 เม็ด</x:t>
        </x:is>
      </x:c>
      <x:c r="F5" t="inlineStr">
        <x:is>
          <x:t xml:space="preserve">Mebeverine HCl 135 mg.</x:t>
        </x:is>
      </x:c>
      <x:c r="G5" t="inlineStr">
        <x:is>
          <x:t xml:space="preserve">BDS001707</x:t>
        </x:is>
      </x:c>
      <x:c r="H5" t="inlineStr">
        <x:is>
          <x:t xml:space="preserve">Duspatin 135 (10 tabs)</x:t>
        </x:is>
      </x:c>
      <x:c r="I5" t="inlineStr">
        <x:is>
          <x:t xml:space="preserve">รับประทานครั้งละ 1 เม็ด พร้อมน้ำ วันละ 3 ครั้ง ก่อนอาหาร 20 นาที</x:t>
        </x:is>
      </x:c>
      <x:c r="P5" t="inlineStr">
        <x:is>
          <x:t xml:space="preserve">Antispasmodics (smooth muscle cramps / abdominal colic)</x:t>
        </x:is>
      </x:c>
    </x:row>
    <x:row r="6">
      <x:c r="A6" t="n">
        <x:v>306</x:v>
      </x:c>
      <x:c r="B6" t="inlineStr">
        <x:is>
          <x:t xml:space="preserve">ยาแก้ปวดเกร็งกล้ามเนื้อเรียบ (D)</x:t>
        </x:is>
      </x:c>
      <x:c r="C6" t="n">
        <x:v>7284</x:v>
      </x:c>
      <x:c r="D6" t="inlineStr">
        <x:is>
          <x:t xml:space="preserve">Scopas S/C tabslets</x:t>
        </x:is>
      </x:c>
      <x:c r="E6" t="inlineStr">
        <x:is>
          <x:t xml:space="preserve">แผง 10 เม็ด</x:t>
        </x:is>
      </x:c>
      <x:c r="F6" t="inlineStr">
        <x:is>
          <x:t xml:space="preserve">Hyoscine-N-butylbromide 10 mg.</x:t>
        </x:is>
      </x:c>
      <x:c r="G6" t="inlineStr">
        <x:is>
          <x:t xml:space="preserve">BDS007284</x:t>
        </x:is>
      </x:c>
      <x:c r="H6" t="inlineStr">
        <x:is>
          <x:t xml:space="preserve">Scopas S/C tabslets (10 tabs)</x:t>
        </x:is>
      </x:c>
      <x:c r="I6" t="inlineStr">
        <x:is>
          <x:t xml:space="preserve">รับประทานครั้งละ 1-2 เม็ด วันละ 3 ครั้ง หรือเมื่อมีอาการ</x:t>
        </x:is>
      </x:c>
      <x:c r="P6" t="inlineStr">
        <x:is>
          <x:t xml:space="preserve">Antispasmodics (smooth muscle cramps / abdominal colic)</x:t>
        </x:is>
      </x:c>
    </x:row>
    <x:row r="7">
      <x:c r="A7" t="n">
        <x:v>307</x:v>
      </x:c>
      <x:c r="B7" t="inlineStr">
        <x:is>
          <x:t xml:space="preserve">ยาแก้ปวดเกร็งกล้ามเนื้อเรียบ (D)</x:t>
        </x:is>
      </x:c>
      <x:c r="C7" t="n">
        <x:v>7303</x:v>
      </x:c>
      <x:c r="D7" t="inlineStr">
        <x:is>
          <x:t xml:space="preserve">Spacovin 40</x:t>
        </x:is>
      </x:c>
      <x:c r="E7" t="inlineStr">
        <x:is>
          <x:t xml:space="preserve">แผง 10 เม็ด</x:t>
        </x:is>
      </x:c>
      <x:c r="F7" t="inlineStr">
        <x:is>
          <x:t xml:space="preserve">Drotaverine Hydrochloride 40 mg.</x:t>
        </x:is>
      </x:c>
      <x:c r="G7" t="inlineStr">
        <x:is>
          <x:t xml:space="preserve">BDS007303</x:t>
        </x:is>
      </x:c>
      <x:c r="H7" t="inlineStr">
        <x:is>
          <x:t xml:space="preserve">Spacovin 40 (10 tabs)</x:t>
        </x:is>
      </x:c>
      <x:c r="I7" t="inlineStr">
        <x:is>
          <x:t xml:space="preserve">รับประทานครั้งละ 1-2 เม็ด วันละ 3 ครั้ง หรือเมื่อมีอาการ</x:t>
        </x:is>
      </x:c>
      <x:c r="P7" t="inlineStr">
        <x:is>
          <x:t xml:space="preserve">Antispasmodics (smooth muscle cramps / abdominal colic)</x:t>
        </x:is>
      </x:c>
    </x:row>
    <x:row r="8">
      <x:c r="A8" t="n">
        <x:v>308</x:v>
      </x:c>
      <x:c r="B8" t="inlineStr">
        <x:is>
          <x:t xml:space="preserve">ยาแก้ปวดเกร็งกล้ามเนื้อเรียบ (D)</x:t>
        </x:is>
      </x:c>
      <x:c r="C8" t="n">
        <x:v>7107</x:v>
      </x:c>
      <x:c r="D8" t="inlineStr">
        <x:is>
          <x:t xml:space="preserve">Sparta</x:t>
        </x:is>
      </x:c>
      <x:c r="E8" t="inlineStr">
        <x:is>
          <x:t xml:space="preserve">แผง 10 เม็ด</x:t>
        </x:is>
      </x:c>
      <x:c r="F8" t="inlineStr">
        <x:is>
          <x:t xml:space="preserve">Drotaverine Hydrochloride 40 mg.</x:t>
        </x:is>
      </x:c>
      <x:c r="G8" t="inlineStr">
        <x:is>
          <x:t xml:space="preserve">BDS007107</x:t>
        </x:is>
      </x:c>
      <x:c r="H8" t="inlineStr">
        <x:is>
          <x:t xml:space="preserve">Sparta (10 tabs)</x:t>
        </x:is>
      </x:c>
      <x:c r="I8" t="inlineStr">
        <x:is>
          <x:t xml:space="preserve">รับประทานครั้งละ 1-2 เม็ด วันละ 3 ครั้ง หรือเมื่อมีอาการ</x:t>
        </x:is>
      </x:c>
      <x:c r="P8" t="inlineStr">
        <x:is>
          <x:t xml:space="preserve">Antispasmodics (smooth muscle cramps / abdominal colic)</x:t>
        </x:is>
      </x:c>
    </x:row>
    <x:row r="9">
      <x:c r="A9" t="n">
        <x:v>309</x:v>
      </x:c>
      <x:c r="B9" t="inlineStr">
        <x:is>
          <x:t xml:space="preserve">ยาแก้ปวดเกร็งกล้ามเนื้อเรียบ (D)</x:t>
        </x:is>
      </x:c>
      <x:c r="C9" t="n">
        <x:v>7274</x:v>
      </x:c>
      <x:c r="D9" t="inlineStr">
        <x:is>
          <x:t xml:space="preserve">Spasuri</x:t>
        </x:is>
      </x:c>
      <x:c r="E9" t="inlineStr">
        <x:is>
          <x:t xml:space="preserve">แผง 10 เม็ด</x:t>
        </x:is>
      </x:c>
      <x:c r="F9" t="inlineStr">
        <x:is>
          <x:t xml:space="preserve">Flavoxate HCl 100 mg.</x:t>
        </x:is>
      </x:c>
      <x:c r="G9" t="inlineStr">
        <x:is>
          <x:t xml:space="preserve">BDS007274</x:t>
        </x:is>
      </x:c>
      <x:c r="H9" t="inlineStr">
        <x:is>
          <x:t xml:space="preserve">Spasuri (10 tabs)</x:t>
        </x:is>
      </x:c>
      <x:c r="I9" t="inlineStr">
        <x:is>
          <x:t xml:space="preserve">รับประทานครั้งละ 1-2 เม็ด วันละ 3 ครั้ง หรือเมื่อมีอาการ</x:t>
        </x:is>
      </x:c>
      <x:c r="P9" t="inlineStr">
        <x:is>
          <x:t xml:space="preserve">Antispasmodics (smooth muscle cramps / abdominal colic)</x:t>
        </x:is>
      </x:c>
    </x:row>
    <x:row r="10">
      <x:c r="A10" t="n">
        <x:v>430</x:v>
      </x:c>
      <x:c r="B10" t="inlineStr">
        <x:is>
          <x:t xml:space="preserve">ยาแก้ปวดเกร็งท้อง ชนิดน้ำ (D)</x:t>
        </x:is>
      </x:c>
      <x:c r="C10" t="n">
        <x:v>8325</x:v>
      </x:c>
      <x:c r="D10" t="inlineStr">
        <x:is>
          <x:t xml:space="preserve">Oscin Syrup</x:t>
        </x:is>
      </x:c>
      <x:c r="E10" t="inlineStr">
        <x:is>
          <x:t xml:space="preserve">ขวด 30 ml.</x:t>
        </x:is>
      </x:c>
      <x:c r="F10" t="inlineStr">
        <x:is>
          <x:t xml:space="preserve">Hyoscine-N-butylbromide 5 mg./5 ml.</x:t>
        </x:is>
      </x:c>
      <x:c r="G10" t="inlineStr">
        <x:is>
          <x:t xml:space="preserve">BDS008325</x:t>
        </x:is>
      </x:c>
      <x:c r="H10" t="inlineStr">
        <x:is>
          <x:t xml:space="preserve">Oscin Syrup (30 ml.)</x:t>
        </x:is>
      </x:c>
      <x:c r="I10" t="inlineStr">
        <x:is>
          <x:t xml:space="preserve">เด็กเล็กรับประทานครั้งละ 1-2 ช้อนชา วันละ 3 ครั้งหรือเมื่อมีอาการ</x:t>
        </x:is>
      </x:c>
      <x:c r="P10" t="inlineStr">
        <x:is>
          <x:t xml:space="preserve">Antispasmodics (smooth muscle cramps / abdominal colic)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334</x:v>
      </x:c>
      <x:c r="B2" t="inlineStr">
        <x:is>
          <x:t xml:space="preserve">ยาคลายกล้ามเนื้อ (D)</x:t>
        </x:is>
      </x:c>
      <x:c r="C2" t="n">
        <x:v>6664</x:v>
      </x:c>
      <x:c r="D2" t="inlineStr">
        <x:is>
          <x:t xml:space="preserve">Baclofen</x:t>
        </x:is>
      </x:c>
      <x:c r="E2" t="inlineStr">
        <x:is>
          <x:t xml:space="preserve">แผง 10 เม็ด</x:t>
        </x:is>
      </x:c>
      <x:c r="F2" t="inlineStr">
        <x:is>
          <x:t xml:space="preserve">Baclofen 10 mg.</x:t>
        </x:is>
      </x:c>
      <x:c r="G2" t="inlineStr">
        <x:is>
          <x:t xml:space="preserve">BDS006664</x:t>
        </x:is>
      </x:c>
      <x:c r="H2" t="inlineStr">
        <x:is>
          <x:t xml:space="preserve">Baclofen (10 tabs)</x:t>
        </x:is>
      </x:c>
      <x:c r="I2" t="inlineStr">
        <x:is>
          <x:t xml:space="preserve">รับประทาน ครั้งละ 1-2 เม็ด วันละ 2-3 ครั้ง</x:t>
        </x:is>
      </x:c>
      <x:c r="P2" t="inlineStr">
        <x:is>
          <x:t xml:space="preserve">Muscle relaxants</x:t>
        </x:is>
      </x:c>
    </x:row>
    <x:row r="3">
      <x:c r="A3" t="n">
        <x:v>335</x:v>
      </x:c>
      <x:c r="B3" t="inlineStr">
        <x:is>
          <x:t xml:space="preserve">ยาคลายกล้ามเนื้อ (D)</x:t>
        </x:is>
      </x:c>
      <x:c r="C3" t="n">
        <x:v>1271</x:v>
      </x:c>
      <x:c r="D3" t="inlineStr">
        <x:is>
          <x:t xml:space="preserve">Biocalm</x:t>
        </x:is>
      </x:c>
      <x:c r="E3" t="inlineStr">
        <x:is>
          <x:t xml:space="preserve">แผง 10 เม็ด</x:t>
        </x:is>
      </x:c>
      <x:c r="F3" t="inlineStr">
        <x:is>
          <x:t xml:space="preserve">Tolperisone 50 mg.</x:t>
        </x:is>
      </x:c>
      <x:c r="G3" t="inlineStr">
        <x:is>
          <x:t xml:space="preserve">BDS001271</x:t>
        </x:is>
      </x:c>
      <x:c r="H3" t="inlineStr">
        <x:is>
          <x:t xml:space="preserve">Biocalm (10 tabs)</x:t>
        </x:is>
      </x:c>
      <x:c r="I3" t="inlineStr">
        <x:is>
          <x:t xml:space="preserve">รับประทานครั้งละ 1 เม็ด วันละ 3 ครั้ง หรือตามแพทย์สั่ง</x:t>
        </x:is>
      </x:c>
      <x:c r="K3" t="n">
        <x:v>80</x:v>
      </x:c>
      <x:c r="L3" t="n">
        <x:v>8</x:v>
      </x:c>
      <x:c r="M3" t="inlineStr">
        <x:is>
          <x:t xml:space="preserve">USER</x:t>
        </x:is>
      </x:c>
      <x:c r="N3" t="inlineStr">
        <x:is>
          <x:t xml:space="preserve">2026-02-07</x:t>
        </x:is>
      </x:c>
      <x:c r="O3" t="inlineStr">
        <x:is>
          <x:t xml:space="preserve">User provided price (Biocalm 10 tabs).</x:t>
        </x:is>
      </x:c>
      <x:c r="P3" t="inlineStr">
        <x:is>
          <x:t xml:space="preserve">Muscle relaxants</x:t>
        </x:is>
      </x:c>
    </x:row>
    <x:row r="4">
      <x:c r="A4" t="n">
        <x:v>336</x:v>
      </x:c>
      <x:c r="B4" t="inlineStr">
        <x:is>
          <x:t xml:space="preserve">ยาคลายกล้ามเนื้อ (D)</x:t>
        </x:is>
      </x:c>
      <x:c r="C4" t="n">
        <x:v>7049</x:v>
      </x:c>
      <x:c r="D4" t="inlineStr">
        <x:is>
          <x:t xml:space="preserve">Cenasic</x:t>
        </x:is>
      </x:c>
      <x:c r="E4" t="inlineStr">
        <x:is>
          <x:t xml:space="preserve">แผง 10 เม็ด</x:t>
        </x:is>
      </x:c>
      <x:c r="F4" t="inlineStr">
        <x:is>
          <x:t xml:space="preserve">Paracetamol 450 mg.+Orphenadrine Citrate 35 mg.</x:t>
        </x:is>
      </x:c>
      <x:c r="G4" t="inlineStr">
        <x:is>
          <x:t xml:space="preserve">BDS007049</x:t>
        </x:is>
      </x:c>
      <x:c r="H4" t="inlineStr">
        <x:is>
          <x:t xml:space="preserve">Cenasic (10 tabs)</x:t>
        </x:is>
      </x:c>
      <x:c r="I4" t="inlineStr">
        <x:is>
          <x:t xml:space="preserve">รับประทานครั้งละ 1-2 เม็ด วันละ 3 ครั้ง หลังอาหาร</x:t>
        </x:is>
      </x:c>
      <x:c r="P4" t="inlineStr">
        <x:is>
          <x:t xml:space="preserve">Muscle relaxants</x:t>
        </x:is>
      </x:c>
    </x:row>
    <x:row r="5">
      <x:c r="A5" t="n">
        <x:v>337</x:v>
      </x:c>
      <x:c r="B5" t="inlineStr">
        <x:is>
          <x:t xml:space="preserve">ยาคลายกล้ามเนื้อ (D)</x:t>
        </x:is>
      </x:c>
      <x:c r="C5" t="n">
        <x:v>41455</x:v>
      </x:c>
      <x:c r="D5" t="inlineStr">
        <x:is>
          <x:t xml:space="preserve">Corilax tabslet</x:t>
        </x:is>
      </x:c>
      <x:c r="E5" t="inlineStr">
        <x:is>
          <x:t xml:space="preserve">แผง 10 เม็ด</x:t>
        </x:is>
      </x:c>
      <x:c r="F5" t="inlineStr">
        <x:is>
          <x:t xml:space="preserve">Paracetamol 450 mg.+Orphenadrine Citrate 35 mg.</x:t>
        </x:is>
      </x:c>
      <x:c r="G5" t="inlineStr">
        <x:is>
          <x:t xml:space="preserve">BDS041455</x:t>
        </x:is>
      </x:c>
      <x:c r="H5" t="inlineStr">
        <x:is>
          <x:t xml:space="preserve">Corilax tabslet (10 tabs)</x:t>
        </x:is>
      </x:c>
      <x:c r="I5" t="inlineStr">
        <x:is>
          <x:t xml:space="preserve">รับประทานครั้งละ 1-2 เม็ด วันละ 3 ครั้ง หรือตามแพทย์สั่ง</x:t>
        </x:is>
      </x:c>
      <x:c r="P5" t="inlineStr">
        <x:is>
          <x:t xml:space="preserve">Muscle relaxants</x:t>
        </x:is>
      </x:c>
    </x:row>
    <x:row r="6">
      <x:c r="A6" t="n">
        <x:v>338</x:v>
      </x:c>
      <x:c r="B6" t="inlineStr">
        <x:is>
          <x:t xml:space="preserve">ยาคลายกล้ามเนื้อ (D)</x:t>
        </x:is>
      </x:c>
      <x:c r="C6" t="n">
        <x:v>3410</x:v>
      </x:c>
      <x:c r="D6" t="inlineStr">
        <x:is>
          <x:t xml:space="preserve">M-Calm tabslet</x:t>
        </x:is>
      </x:c>
      <x:c r="E6" t="inlineStr">
        <x:is>
          <x:t xml:space="preserve">แผง 10 เม็ด</x:t>
        </x:is>
      </x:c>
      <x:c r="F6" t="inlineStr">
        <x:is>
          <x:t xml:space="preserve">Tolperisone Hydrochloride 50 mg.</x:t>
        </x:is>
      </x:c>
      <x:c r="G6" t="inlineStr">
        <x:is>
          <x:t xml:space="preserve">BDS003410</x:t>
        </x:is>
      </x:c>
      <x:c r="H6" t="inlineStr">
        <x:is>
          <x:t xml:space="preserve">M-Calm tabslet (10 tabs)</x:t>
        </x:is>
      </x:c>
      <x:c r="I6" t="inlineStr">
        <x:is>
          <x:t xml:space="preserve">รับประทานครั้งละ 1-2 เม็ด วันละ 3 ครั้ง</x:t>
        </x:is>
      </x:c>
      <x:c r="P6" t="inlineStr">
        <x:is>
          <x:t xml:space="preserve">Muscle relaxants</x:t>
        </x:is>
      </x:c>
    </x:row>
    <x:row r="7">
      <x:c r="A7" t="n">
        <x:v>339</x:v>
      </x:c>
      <x:c r="B7" t="inlineStr">
        <x:is>
          <x:t xml:space="preserve">ยาคลายกล้ามเนื้อ (D)</x:t>
        </x:is>
      </x:c>
      <x:c r="C7" t="n">
        <x:v>44932</x:v>
      </x:c>
      <x:c r="D7" t="inlineStr">
        <x:is>
          <x:t xml:space="preserve">Muslexac</x:t>
        </x:is>
      </x:c>
      <x:c r="E7" t="inlineStr">
        <x:is>
          <x:t xml:space="preserve">กล่อง 10 เม็ด</x:t>
        </x:is>
      </x:c>
      <x:c r="F7" t="inlineStr">
        <x:is>
          <x:t xml:space="preserve">Paracetamol 500 mg.+Orphenadrine Citrate 35 mg.</x:t>
        </x:is>
      </x:c>
      <x:c r="G7" t="inlineStr">
        <x:is>
          <x:t xml:space="preserve">BDS044932</x:t>
        </x:is>
      </x:c>
      <x:c r="H7" t="inlineStr">
        <x:is>
          <x:t xml:space="preserve">Muslexac (10 tabs)</x:t>
        </x:is>
      </x:c>
      <x:c r="I7" t="inlineStr">
        <x:is>
          <x:t xml:space="preserve">รับประทานครั้งละ 1-2 เม็ด วันละ 3 ครั้ง</x:t>
        </x:is>
      </x:c>
      <x:c r="P7" t="inlineStr">
        <x:is>
          <x:t xml:space="preserve">Muscle relaxants</x:t>
        </x:is>
      </x:c>
    </x:row>
    <x:row r="8">
      <x:c r="A8" t="n">
        <x:v>340</x:v>
      </x:c>
      <x:c r="B8" t="inlineStr">
        <x:is>
          <x:t xml:space="preserve">ยาคลายกล้ามเนื้อ (D)</x:t>
        </x:is>
      </x:c>
      <x:c r="C8" t="n">
        <x:v>7571</x:v>
      </x:c>
      <x:c r="D8" t="inlineStr">
        <x:is>
          <x:t xml:space="preserve">Musolax</x:t>
        </x:is>
      </x:c>
      <x:c r="E8" t="inlineStr">
        <x:is>
          <x:t xml:space="preserve">แผง 10 เม็ด</x:t>
        </x:is>
      </x:c>
      <x:c r="F8" t="inlineStr">
        <x:is>
          <x:t xml:space="preserve">Eperisone hydrochloride 50 mg.</x:t>
        </x:is>
      </x:c>
      <x:c r="G8" t="inlineStr">
        <x:is>
          <x:t xml:space="preserve">BDS007571</x:t>
        </x:is>
      </x:c>
      <x:c r="H8" t="inlineStr">
        <x:is>
          <x:t xml:space="preserve">Musolax (10 tabs)</x:t>
        </x:is>
      </x:c>
      <x:c r="I8" t="inlineStr">
        <x:is>
          <x:t xml:space="preserve">รับประทานครั้งละ 1 เม็ด วันละ 3 ครั้ง หลังอาหาร</x:t>
        </x:is>
      </x:c>
      <x:c r="P8" t="inlineStr">
        <x:is>
          <x:t xml:space="preserve">Muscle relaxants</x:t>
        </x:is>
      </x:c>
    </x:row>
    <x:row r="9">
      <x:c r="A9" t="n">
        <x:v>341</x:v>
      </x:c>
      <x:c r="B9" t="inlineStr">
        <x:is>
          <x:t xml:space="preserve">ยาคลายกล้ามเนื้อ (D)</x:t>
        </x:is>
      </x:c>
      <x:c r="C9" t="n">
        <x:v>2652</x:v>
      </x:c>
      <x:c r="D9" t="inlineStr">
        <x:is>
          <x:t xml:space="preserve">Mydocalm</x:t>
        </x:is>
      </x:c>
      <x:c r="E9" t="inlineStr">
        <x:is>
          <x:t xml:space="preserve">แผง 10 เม็ด</x:t>
        </x:is>
      </x:c>
      <x:c r="F9" t="inlineStr">
        <x:is>
          <x:t xml:space="preserve">Tolperisone 50 mg.</x:t>
        </x:is>
      </x:c>
      <x:c r="G9" t="inlineStr">
        <x:is>
          <x:t xml:space="preserve">BDS002652</x:t>
        </x:is>
      </x:c>
      <x:c r="H9" t="inlineStr">
        <x:is>
          <x:t xml:space="preserve">Mydocalm (10 tabs)</x:t>
        </x:is>
      </x:c>
      <x:c r="I9" t="inlineStr">
        <x:is>
          <x:t xml:space="preserve">รับประทานครั้งละ 1-2 เม็ด วันละ 3 ครั้ง </x:t>
        </x:is>
      </x:c>
      <x:c r="K9" t="n">
        <x:v>58</x:v>
      </x:c>
      <x:c r="L9" t="n">
        <x:v>5.8</x:v>
      </x:c>
      <x:c r="M9" t="inlineStr">
        <x:is>
          <x:t xml:space="preserve">https://bigya.co.th/product-detail/320</x:t>
        </x:is>
      </x:c>
      <x:c r="N9" t="inlineStr">
        <x:is>
          <x:t xml:space="preserve">2026-02-07</x:t>
        </x:is>
      </x:c>
      <x:c r="O9" t="inlineStr">
        <x:is>
          <x:t xml:space="preserve">Retail price at BIGYA (strip 10 tablets).</x:t>
        </x:is>
      </x:c>
      <x:c r="P9" t="inlineStr">
        <x:is>
          <x:t xml:space="preserve">Muscle relaxants</x:t>
        </x:is>
      </x:c>
    </x:row>
    <x:row r="10">
      <x:c r="A10" t="n">
        <x:v>342</x:v>
      </x:c>
      <x:c r="B10" t="inlineStr">
        <x:is>
          <x:t xml:space="preserve">ยาคลายกล้ามเนื้อ (D)</x:t>
        </x:is>
      </x:c>
      <x:c r="C10" t="n">
        <x:v>2701</x:v>
      </x:c>
      <x:c r="D10" t="inlineStr">
        <x:is>
          <x:t xml:space="preserve">Myonal 50 mg</x:t>
        </x:is>
      </x:c>
      <x:c r="E10" t="inlineStr">
        <x:is>
          <x:t xml:space="preserve">แผง 10 เม็ด</x:t>
        </x:is>
      </x:c>
      <x:c r="F10" t="inlineStr">
        <x:is>
          <x:t xml:space="preserve">Eperisone hydrochloride 50 mg.</x:t>
        </x:is>
      </x:c>
      <x:c r="G10" t="inlineStr">
        <x:is>
          <x:t xml:space="preserve">BDS002701</x:t>
        </x:is>
      </x:c>
      <x:c r="H10" t="inlineStr">
        <x:is>
          <x:t xml:space="preserve">Myonal 50 mg (10 tabs)</x:t>
        </x:is>
      </x:c>
      <x:c r="I10" t="inlineStr">
        <x:is>
          <x:t xml:space="preserve">รับประทานครั้งละ 1 เม็ด วันละ 3 ครั้ง หลังอาหาร</x:t>
        </x:is>
      </x:c>
      <x:c r="K10" t="n">
        <x:v>116.6666666666667</x:v>
      </x:c>
      <x:c r="L10" t="n">
        <x:v>11.66666666666667</x:v>
      </x:c>
      <x:c r="M10" t="inlineStr">
        <x:is>
          <x:t xml:space="preserve">https://medtide.com/meds/pain-and-inflammation/muscle-relaxants/eperisone-myonal-50-mg-30-tablets-box/</x:t>
        </x:is>
      </x:c>
      <x:c r="N10" t="inlineStr">
        <x:is>
          <x:t xml:space="preserve">2026-02-07</x:t>
        </x:is>
      </x:c>
      <x:c r="O10" t="inlineStr">
        <x:is>
          <x:t xml:space="preserve">Derived from Medtide price 350 THB per box (30 tablets = 3 strips). Entered per-strip estimate.</x:t>
        </x:is>
      </x:c>
      <x:c r="P10" t="inlineStr">
        <x:is>
          <x:t xml:space="preserve">Muscle relaxants</x:t>
        </x:is>
      </x:c>
    </x:row>
    <x:row r="11">
      <x:c r="A11" t="n">
        <x:v>343</x:v>
      </x:c>
      <x:c r="B11" t="inlineStr">
        <x:is>
          <x:t xml:space="preserve">ยาคลายกล้ามเนื้อ (D)</x:t>
        </x:is>
      </x:c>
      <x:c r="C11" t="n">
        <x:v>7752</x:v>
      </x:c>
      <x:c r="D11" t="inlineStr">
        <x:is>
          <x:t xml:space="preserve">Noraphen</x:t>
        </x:is>
      </x:c>
      <x:c r="E11" t="inlineStr">
        <x:is>
          <x:t xml:space="preserve">แผง 10 เม็ด</x:t>
        </x:is>
      </x:c>
      <x:c r="F11" t="inlineStr">
        <x:is>
          <x:t xml:space="preserve">Paracetamol 500 mg.+Orphenadrine Citrate 35 mg.</x:t>
        </x:is>
      </x:c>
      <x:c r="G11" t="inlineStr">
        <x:is>
          <x:t xml:space="preserve">BDS007752</x:t>
        </x:is>
      </x:c>
      <x:c r="H11" t="inlineStr">
        <x:is>
          <x:t xml:space="preserve">Noraphen (10 tabs)</x:t>
        </x:is>
      </x:c>
      <x:c r="I11" t="inlineStr">
        <x:is>
          <x:t xml:space="preserve">รับประทานครั้งละ 1-2 เม็ด วันละ 3 ครั้ง หลังอาหาร</x:t>
        </x:is>
      </x:c>
      <x:c r="P11" t="inlineStr">
        <x:is>
          <x:t xml:space="preserve">Muscle relaxants</x:t>
        </x:is>
      </x:c>
    </x:row>
    <x:row r="12">
      <x:c r="A12" t="n">
        <x:v>344</x:v>
      </x:c>
      <x:c r="B12" t="inlineStr">
        <x:is>
          <x:t xml:space="preserve">ยาคลายกล้ามเนื้อ (D)</x:t>
        </x:is>
      </x:c>
      <x:c r="C12" t="n">
        <x:v>2840</x:v>
      </x:c>
      <x:c r="D12" t="inlineStr">
        <x:is>
          <x:t xml:space="preserve">Norgesic</x:t>
        </x:is>
      </x:c>
      <x:c r="E12" t="inlineStr">
        <x:is>
          <x:t xml:space="preserve">แผง 10 เม็ด</x:t>
        </x:is>
      </x:c>
      <x:c r="F12" t="inlineStr">
        <x:is>
          <x:t xml:space="preserve">Paracetamol 450 mg.+Orphenadrine Citrate 35 mg.</x:t>
        </x:is>
      </x:c>
      <x:c r="G12" t="inlineStr">
        <x:is>
          <x:t xml:space="preserve">BDS002840</x:t>
        </x:is>
      </x:c>
      <x:c r="H12" t="inlineStr">
        <x:is>
          <x:t xml:space="preserve">Norgesic (10 tabs)</x:t>
        </x:is>
      </x:c>
      <x:c r="I12" t="inlineStr">
        <x:is>
          <x:t xml:space="preserve">รับประทานครั้งละ 1-2 เม็ด วันละ 3 ครั้ง</x:t>
        </x:is>
      </x:c>
      <x:c r="P12" t="inlineStr">
        <x:is>
          <x:t xml:space="preserve">Muscle relaxants</x:t>
        </x:is>
      </x:c>
    </x:row>
    <x:row r="13">
      <x:c r="A13" t="n">
        <x:v>345</x:v>
      </x:c>
      <x:c r="B13" t="inlineStr">
        <x:is>
          <x:t xml:space="preserve">ยาคลายกล้ามเนื้อ (D)</x:t>
        </x:is>
      </x:c>
      <x:c r="C13" t="n">
        <x:v>45616</x:v>
      </x:c>
      <x:c r="D13" t="inlineStr">
        <x:is>
          <x:t xml:space="preserve">Norpa tabslets</x:t>
        </x:is>
      </x:c>
      <x:c r="E13" t="inlineStr">
        <x:is>
          <x:t xml:space="preserve">แผง 10 เม็ด</x:t>
        </x:is>
      </x:c>
      <x:c r="F13" t="inlineStr">
        <x:is>
          <x:t xml:space="preserve">Paracetamol 450 mg.+Orphenadrine Citrate 35 mg.</x:t>
        </x:is>
      </x:c>
      <x:c r="G13" t="inlineStr">
        <x:is>
          <x:t xml:space="preserve">BDS045616</x:t>
        </x:is>
      </x:c>
      <x:c r="H13" t="inlineStr">
        <x:is>
          <x:t xml:space="preserve">Norpa tabslets (10 tabs)</x:t>
        </x:is>
      </x:c>
      <x:c r="I13" t="inlineStr">
        <x:is>
          <x:t xml:space="preserve">รับประทานครั้งละ 1-2 เม็ด วันละ 2-3 ครั้ง หลังอาหาร หรือตามแพทย์สั่ง</x:t>
        </x:is>
      </x:c>
      <x:c r="P13" t="inlineStr">
        <x:is>
          <x:t xml:space="preserve">Muscle relaxants</x:t>
        </x:is>
      </x:c>
    </x:row>
    <x:row r="14">
      <x:c r="A14" t="n">
        <x:v>346</x:v>
      </x:c>
      <x:c r="B14" t="inlineStr">
        <x:is>
          <x:t xml:space="preserve">ยาคลายกล้ามเนื้อ (D)</x:t>
        </x:is>
      </x:c>
      <x:c r="C14" t="n">
        <x:v>3571</x:v>
      </x:c>
      <x:c r="D14" t="inlineStr">
        <x:is>
          <x:t xml:space="preserve">Soneriper M</x:t>
        </x:is>
      </x:c>
      <x:c r="E14" t="inlineStr">
        <x:is>
          <x:t xml:space="preserve">แผง 10 เม็ด</x:t>
        </x:is>
      </x:c>
      <x:c r="F14" t="inlineStr">
        <x:is>
          <x:t xml:space="preserve">Tolperisone Hydrochloride 50 mg.</x:t>
        </x:is>
      </x:c>
      <x:c r="G14" t="inlineStr">
        <x:is>
          <x:t xml:space="preserve">BDS003571</x:t>
        </x:is>
      </x:c>
      <x:c r="H14" t="inlineStr">
        <x:is>
          <x:t xml:space="preserve">Soneriper M (10 tabs)</x:t>
        </x:is>
      </x:c>
      <x:c r="I14" t="inlineStr">
        <x:is>
          <x:t xml:space="preserve">รับประทานครั้งละ 1-2 เม็ด วันละ 3 ครั้ง</x:t>
        </x:is>
      </x:c>
      <x:c r="P14" t="inlineStr">
        <x:is>
          <x:t xml:space="preserve">Muscle relaxants</x:t>
        </x:is>
      </x:c>
    </x:row>
    <x:row r="15">
      <x:c r="A15" t="n">
        <x:v>347</x:v>
      </x:c>
      <x:c r="B15" t="inlineStr">
        <x:is>
          <x:t xml:space="preserve">ยาคลายกล้ามเนื้อ (D)</x:t>
        </x:is>
      </x:c>
      <x:c r="C15" t="n">
        <x:v>48632</x:v>
      </x:c>
      <x:c r="D15" t="inlineStr">
        <x:is>
          <x:t xml:space="preserve">Torrent</x:t>
        </x:is>
      </x:c>
      <x:c r="E15" t="inlineStr">
        <x:is>
          <x:t xml:space="preserve">กล่อง 10 เม็ด</x:t>
        </x:is>
      </x:c>
      <x:c r="F15" t="inlineStr">
        <x:is>
          <x:t xml:space="preserve">Paracetamol 450 mg.+Orphenadrine Citrate 35 mg.</x:t>
        </x:is>
      </x:c>
      <x:c r="G15" t="inlineStr">
        <x:is>
          <x:t xml:space="preserve">BDS048632</x:t>
        </x:is>
      </x:c>
      <x:c r="H15" t="inlineStr">
        <x:is>
          <x:t xml:space="preserve">Torrent (10 tabs)</x:t>
        </x:is>
      </x:c>
      <x:c r="I15" t="inlineStr">
        <x:is>
          <x:t xml:space="preserve">รับประทานครั้งละ 1-2 เม็ด วันละ 3 ครั้ง</x:t>
        </x:is>
      </x:c>
      <x:c r="P15" t="inlineStr">
        <x:is>
          <x:t xml:space="preserve">Muscle relaxants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350</x:v>
      </x:c>
      <x:c r="B2" t="inlineStr">
        <x:is>
          <x:t xml:space="preserve">ยาฆ่าเชื้อแบคทีเรียทางเดินปัสสาวะ (D)</x:t>
        </x:is>
      </x:c>
      <x:c r="C2" t="n">
        <x:v>8001</x:v>
      </x:c>
      <x:c r="D2" t="inlineStr">
        <x:is>
          <x:t xml:space="preserve">Actrim</x:t>
        </x:is>
      </x:c>
      <x:c r="E2" t="inlineStr">
        <x:is>
          <x:t xml:space="preserve">แผง 10 เม็ด</x:t>
        </x:is>
      </x:c>
      <x:c r="F2" t="inlineStr">
        <x:is>
          <x:t xml:space="preserve">Trimethoprim 80 mg.+Sulfamethoxazole 400 mg.</x:t>
        </x:is>
      </x:c>
      <x:c r="G2" t="inlineStr">
        <x:is>
          <x:t xml:space="preserve">BDS008001</x:t>
        </x:is>
      </x:c>
      <x:c r="H2" t="inlineStr">
        <x:is>
          <x:t xml:space="preserve">Actrim (10 tabs)</x:t>
        </x:is>
      </x:c>
      <x:c r="I2" t="inlineStr">
        <x:is>
          <x:t xml:space="preserve">ผู้ใหญ่รับประทานครั้งละ 2 เม็ด วันละ 2 ครั้ง หลังอาหาร</x:t>
        </x:is>
      </x:c>
      <x:c r="P2" t="inlineStr">
        <x:is>
          <x:t xml:space="preserve">UTI antibiotics</x:t>
        </x:is>
      </x:c>
    </x:row>
    <x:row r="3">
      <x:c r="A3" t="n">
        <x:v>351</x:v>
      </x:c>
      <x:c r="B3" t="inlineStr">
        <x:is>
          <x:t xml:space="preserve">ยาฆ่าเชื้อแบคทีเรียทางเดินปัสสาวะ (D)</x:t>
        </x:is>
      </x:c>
      <x:c r="C3" t="n">
        <x:v>1072</x:v>
      </x:c>
      <x:c r="D3" t="inlineStr">
        <x:is>
          <x:t xml:space="preserve">Avelox tabslet</x:t>
        </x:is>
      </x:c>
      <x:c r="E3" t="inlineStr">
        <x:is>
          <x:t xml:space="preserve">กล่อง 5 เม็ด</x:t>
        </x:is>
      </x:c>
      <x:c r="F3" t="inlineStr">
        <x:is>
          <x:t xml:space="preserve">Moxifloxacin Hydrochloride 400 mg.</x:t>
        </x:is>
      </x:c>
      <x:c r="G3" t="inlineStr">
        <x:is>
          <x:t xml:space="preserve">BDS001072</x:t>
        </x:is>
      </x:c>
      <x:c r="H3" t="inlineStr">
        <x:is>
          <x:t xml:space="preserve">Avelox tabslet (5 tabs)</x:t>
        </x:is>
      </x:c>
      <x:c r="I3" t="inlineStr">
        <x:is>
          <x:t xml:space="preserve">รับประทานครั้งละ 1 เม็ด วันละ 1 ครั้ง หรือตามแพทย์สั่ง</x:t>
        </x:is>
      </x:c>
      <x:c r="P3" t="inlineStr">
        <x:is>
          <x:t xml:space="preserve">UTI antibiotics</x:t>
        </x:is>
      </x:c>
    </x:row>
    <x:row r="4">
      <x:c r="A4" t="n">
        <x:v>352</x:v>
      </x:c>
      <x:c r="B4" t="inlineStr">
        <x:is>
          <x:t xml:space="preserve">ยาฆ่าเชื้อแบคทีเรียทางเดินปัสสาวะ (D)</x:t>
        </x:is>
      </x:c>
      <x:c r="C4" t="n">
        <x:v>1496</x:v>
      </x:c>
      <x:c r="D4" t="inlineStr">
        <x:is>
          <x:t xml:space="preserve">Cifloxin 500 mg</x:t>
        </x:is>
      </x:c>
      <x:c r="E4" t="inlineStr">
        <x:is>
          <x:t xml:space="preserve">กล่อง 10 เม็ด</x:t>
        </x:is>
      </x:c>
      <x:c r="F4" t="inlineStr">
        <x:is>
          <x:t xml:space="preserve">Ciprofloxacin 500 mg.</x:t>
        </x:is>
      </x:c>
      <x:c r="G4" t="inlineStr">
        <x:is>
          <x:t xml:space="preserve">BDS001496</x:t>
        </x:is>
      </x:c>
      <x:c r="H4" t="inlineStr">
        <x:is>
          <x:t xml:space="preserve">Cifloxin 500 mg (10 tabs)</x:t>
        </x:is>
      </x:c>
      <x:c r="I4" t="inlineStr">
        <x:is>
          <x:t xml:space="preserve">รับประทานครั้งละ 1 เม็ดวันละ 2  ครั้ง เช้า-เย็น</x:t>
        </x:is>
      </x:c>
      <x:c r="P4" t="inlineStr">
        <x:is>
          <x:t xml:space="preserve">UTI antibiotics</x:t>
        </x:is>
      </x:c>
    </x:row>
    <x:row r="5">
      <x:c r="A5" t="n">
        <x:v>353</x:v>
      </x:c>
      <x:c r="B5" t="inlineStr">
        <x:is>
          <x:t xml:space="preserve">ยาฆ่าเชื้อแบคทีเรียทางเดินปัสสาวะ (D)</x:t>
        </x:is>
      </x:c>
      <x:c r="C5" t="n">
        <x:v>41409</x:v>
      </x:c>
      <x:c r="D5" t="inlineStr">
        <x:is>
          <x:t xml:space="preserve">Cipflocin 500 mg</x:t>
        </x:is>
      </x:c>
      <x:c r="E5" t="inlineStr">
        <x:is>
          <x:t xml:space="preserve">แผง 10 เม็ด</x:t>
        </x:is>
      </x:c>
      <x:c r="F5" t="inlineStr">
        <x:is>
          <x:t xml:space="preserve">Ciprofloxacin 500 mg.</x:t>
        </x:is>
      </x:c>
      <x:c r="G5" t="inlineStr">
        <x:is>
          <x:t xml:space="preserve">BDS041409</x:t>
        </x:is>
      </x:c>
      <x:c r="H5" t="inlineStr">
        <x:is>
          <x:t xml:space="preserve">Cipflocin 500 mg (10 tabs)</x:t>
        </x:is>
      </x:c>
      <x:c r="I5" t="inlineStr">
        <x:is>
          <x:t xml:space="preserve">รับประทานครั้งละ 1 เม็ด วันละ 2  ครั้ง เช้า-เย็น หรือตามแพทย์สั่ง</x:t>
        </x:is>
      </x:c>
      <x:c r="P5" t="inlineStr">
        <x:is>
          <x:t xml:space="preserve">UTI antibiotics</x:t>
        </x:is>
      </x:c>
    </x:row>
    <x:row r="6">
      <x:c r="A6" t="n">
        <x:v>354</x:v>
      </x:c>
      <x:c r="B6" t="inlineStr">
        <x:is>
          <x:t xml:space="preserve">ยาฆ่าเชื้อแบคทีเรียทางเดินปัสสาวะ (D)</x:t>
        </x:is>
      </x:c>
      <x:c r="C6" t="n">
        <x:v>8114</x:v>
      </x:c>
      <x:c r="D6" t="inlineStr">
        <x:is>
          <x:t xml:space="preserve">Ciproxin-500</x:t>
        </x:is>
      </x:c>
      <x:c r="E6" t="inlineStr">
        <x:is>
          <x:t xml:space="preserve">แผง 10 เม็ด</x:t>
        </x:is>
      </x:c>
      <x:c r="F6" t="inlineStr">
        <x:is>
          <x:t xml:space="preserve">Ciprofloxacin 500 mg.</x:t>
        </x:is>
      </x:c>
      <x:c r="G6" t="inlineStr">
        <x:is>
          <x:t xml:space="preserve">BDS008114</x:t>
        </x:is>
      </x:c>
      <x:c r="H6" t="inlineStr">
        <x:is>
          <x:t xml:space="preserve">Ciproxin-500 (10 tabs)</x:t>
        </x:is>
      </x:c>
      <x:c r="I6" t="inlineStr">
        <x:is>
          <x:t xml:space="preserve">รับประทานครั้งละ 1 เม็ด วันละ 2  ครั้ง เช้า-เย็น</x:t>
        </x:is>
      </x:c>
      <x:c r="P6" t="inlineStr">
        <x:is>
          <x:t xml:space="preserve">UTI antibiotics</x:t>
        </x:is>
      </x:c>
    </x:row>
    <x:row r="7">
      <x:c r="A7" t="n">
        <x:v>355</x:v>
      </x:c>
      <x:c r="B7" t="inlineStr">
        <x:is>
          <x:t xml:space="preserve">ยาฆ่าเชื้อแบคทีเรียทางเดินปัสสาวะ (D)</x:t>
        </x:is>
      </x:c>
      <x:c r="C7" t="n">
        <x:v>1548</x:v>
      </x:c>
      <x:c r="D7" t="inlineStr">
        <x:is>
          <x:t xml:space="preserve">Cravit 500 mg</x:t>
        </x:is>
      </x:c>
      <x:c r="E7" t="inlineStr">
        <x:is>
          <x:t xml:space="preserve">กล่อง 5 เม็ด</x:t>
        </x:is>
      </x:c>
      <x:c r="F7" t="inlineStr">
        <x:is>
          <x:t xml:space="preserve">Levofloxacin 500 mg.</x:t>
        </x:is>
      </x:c>
      <x:c r="G7" t="inlineStr">
        <x:is>
          <x:t xml:space="preserve">BDS001548</x:t>
        </x:is>
      </x:c>
      <x:c r="H7" t="inlineStr">
        <x:is>
          <x:t xml:space="preserve">Cravit 500 mg (5 tabs)</x:t>
        </x:is>
      </x:c>
      <x:c r="I7" t="inlineStr">
        <x:is>
          <x:t xml:space="preserve">รับประทานครั้งละ 1 เม็ด วันละ 1 ครั้ง</x:t>
        </x:is>
      </x:c>
      <x:c r="P7" t="inlineStr">
        <x:is>
          <x:t xml:space="preserve">UTI antibiotics</x:t>
        </x:is>
      </x:c>
    </x:row>
    <x:row r="8">
      <x:c r="A8" t="n">
        <x:v>356</x:v>
      </x:c>
      <x:c r="B8" t="inlineStr">
        <x:is>
          <x:t xml:space="preserve">ยาฆ่าเชื้อแบคทีเรียทางเดินปัสสาวะ (D)</x:t>
        </x:is>
      </x:c>
      <x:c r="C8" t="n">
        <x:v>8681</x:v>
      </x:c>
      <x:c r="D8" t="inlineStr">
        <x:is>
          <x:t xml:space="preserve">Levomac 500</x:t>
        </x:is>
      </x:c>
      <x:c r="E8" t="inlineStr">
        <x:is>
          <x:t xml:space="preserve">กล่อง 5 เม็ด</x:t>
        </x:is>
      </x:c>
      <x:c r="F8" t="inlineStr">
        <x:is>
          <x:t xml:space="preserve">Levofloxacin 500 mg.</x:t>
        </x:is>
      </x:c>
      <x:c r="G8" t="inlineStr">
        <x:is>
          <x:t xml:space="preserve">BDS008681</x:t>
        </x:is>
      </x:c>
      <x:c r="H8" t="inlineStr">
        <x:is>
          <x:t xml:space="preserve">Levomac 500 (5 tabs)</x:t>
        </x:is>
      </x:c>
      <x:c r="I8" t="inlineStr">
        <x:is>
          <x:t xml:space="preserve">รับประทานครั้งละ 1 เม็ด วันละ 1 ครั้ง</x:t>
        </x:is>
      </x:c>
      <x:c r="P8" t="inlineStr">
        <x:is>
          <x:t xml:space="preserve">UTI antibiotics</x:t>
        </x:is>
      </x:c>
    </x:row>
    <x:row r="9">
      <x:c r="A9" t="n">
        <x:v>357</x:v>
      </x:c>
      <x:c r="B9" t="inlineStr">
        <x:is>
          <x:t xml:space="preserve">ยาฆ่าเชื้อแบคทีเรียทางเดินปัสสาวะ (D)</x:t>
        </x:is>
      </x:c>
      <x:c r="C9" t="n">
        <x:v>7591</x:v>
      </x:c>
      <x:c r="D9" t="inlineStr">
        <x:is>
          <x:t xml:space="preserve">Noflox-400</x:t>
        </x:is>
      </x:c>
      <x:c r="E9" t="inlineStr">
        <x:is>
          <x:t xml:space="preserve">แผง 10 เม็ด</x:t>
        </x:is>
      </x:c>
      <x:c r="F9" t="inlineStr">
        <x:is>
          <x:t xml:space="preserve">Norfloxacin 400 mg.</x:t>
        </x:is>
      </x:c>
      <x:c r="G9" t="inlineStr">
        <x:is>
          <x:t xml:space="preserve">BDS007591</x:t>
        </x:is>
      </x:c>
      <x:c r="H9" t="inlineStr">
        <x:is>
          <x:t xml:space="preserve">Noflox-400 (10 tabs)</x:t>
        </x:is>
      </x:c>
      <x:c r="I9" t="inlineStr">
        <x:is>
          <x:t xml:space="preserve">รับประทานครั้งละ 1 เม็ด วันละ 2 ครั้ง เช้า-เย็น</x:t>
        </x:is>
      </x:c>
      <x:c r="P9" t="inlineStr">
        <x:is>
          <x:t xml:space="preserve">UTI antibiotics</x:t>
        </x:is>
      </x:c>
    </x:row>
    <x:row r="10">
      <x:c r="A10" t="n">
        <x:v>358</x:v>
      </x:c>
      <x:c r="B10" t="inlineStr">
        <x:is>
          <x:t xml:space="preserve">ยาฆ่าเชื้อแบคทีเรียทางเดินปัสสาวะ (D)</x:t>
        </x:is>
      </x:c>
      <x:c r="C10" t="n">
        <x:v>7751</x:v>
      </x:c>
      <x:c r="D10" t="inlineStr">
        <x:is>
          <x:t xml:space="preserve">Norfloxyl-400</x:t>
        </x:is>
      </x:c>
      <x:c r="E10" t="inlineStr">
        <x:is>
          <x:t xml:space="preserve">แผง 10 เม็ด</x:t>
        </x:is>
      </x:c>
      <x:c r="F10" t="inlineStr">
        <x:is>
          <x:t xml:space="preserve">Norfloxacin 400 mg.</x:t>
        </x:is>
      </x:c>
      <x:c r="G10" t="inlineStr">
        <x:is>
          <x:t xml:space="preserve">BDS007751</x:t>
        </x:is>
      </x:c>
      <x:c r="H10" t="inlineStr">
        <x:is>
          <x:t xml:space="preserve">Norfloxyl-400 (10 tabs)</x:t>
        </x:is>
      </x:c>
      <x:c r="I10" t="inlineStr">
        <x:is>
          <x:t xml:space="preserve">รับประทานครั้งละ 1 เม็ด วันละ 2 ครั้ง เช้า-เย็น</x:t>
        </x:is>
      </x:c>
      <x:c r="P10" t="inlineStr">
        <x:is>
          <x:t xml:space="preserve">UTI antibiotics</x:t>
        </x:is>
      </x:c>
    </x:row>
    <x:row r="11">
      <x:c r="A11" t="n">
        <x:v>359</x:v>
      </x:c>
      <x:c r="B11" t="inlineStr">
        <x:is>
          <x:t xml:space="preserve">ยาฆ่าเชื้อแบคทีเรียทางเดินปัสสาวะ (D)</x:t>
        </x:is>
      </x:c>
      <x:c r="C11" t="n">
        <x:v>9086</x:v>
      </x:c>
      <x:c r="D11" t="inlineStr">
        <x:is>
          <x:t xml:space="preserve">Norxacin 400 mg</x:t>
        </x:is>
      </x:c>
      <x:c r="E11" t="inlineStr">
        <x:is>
          <x:t xml:space="preserve">กล่อง 8 เม็ด</x:t>
        </x:is>
      </x:c>
      <x:c r="F11" t="inlineStr">
        <x:is>
          <x:t xml:space="preserve">Norfloxacin 400 mg.</x:t>
        </x:is>
      </x:c>
      <x:c r="G11" t="inlineStr">
        <x:is>
          <x:t xml:space="preserve">BDS009086</x:t>
        </x:is>
      </x:c>
      <x:c r="H11" t="inlineStr">
        <x:is>
          <x:t xml:space="preserve">Norxacin 400 mg (8 tabs)</x:t>
        </x:is>
      </x:c>
      <x:c r="I11" t="inlineStr">
        <x:is>
          <x:t xml:space="preserve">รับประทานครั้งละ 1 เม็ด วันละ 2 ครั้ง เช้า-เย็น</x:t>
        </x:is>
      </x:c>
      <x:c r="P11" t="inlineStr">
        <x:is>
          <x:t xml:space="preserve">UTI antibiotics</x:t>
        </x:is>
      </x:c>
    </x:row>
    <x:row r="12">
      <x:c r="A12" t="n">
        <x:v>360</x:v>
      </x:c>
      <x:c r="B12" t="inlineStr">
        <x:is>
          <x:t xml:space="preserve">ยาฆ่าเชื้อแบคทีเรียทางเดินปัสสาวะ (D)</x:t>
        </x:is>
      </x:c>
      <x:c r="C12" t="n">
        <x:v>7971</x:v>
      </x:c>
      <x:c r="D12" t="inlineStr">
        <x:is>
          <x:t xml:space="preserve">Oflomac-200</x:t>
        </x:is>
      </x:c>
      <x:c r="E12" t="inlineStr">
        <x:is>
          <x:t xml:space="preserve">แผง 10 เม็ด</x:t>
        </x:is>
      </x:c>
      <x:c r="F12" t="inlineStr">
        <x:is>
          <x:t xml:space="preserve">Ofloxacin 200 mg.</x:t>
        </x:is>
      </x:c>
      <x:c r="G12" t="inlineStr">
        <x:is>
          <x:t xml:space="preserve">BDS007971</x:t>
        </x:is>
      </x:c>
      <x:c r="H12" t="inlineStr">
        <x:is>
          <x:t xml:space="preserve">Oflomac-200 (10 tabs)</x:t>
        </x:is>
      </x:c>
      <x:c r="I12" t="inlineStr">
        <x:is>
          <x:t xml:space="preserve">รับประทานครั้งละ 1 เม็ดวันละ 2 ครั้ง เช้า-เย็น</x:t>
        </x:is>
      </x:c>
      <x:c r="P12" t="inlineStr">
        <x:is>
          <x:t xml:space="preserve">UTI antibiotics</x:t>
        </x:is>
      </x:c>
    </x:row>
    <x:row r="13">
      <x:c r="A13" t="n">
        <x:v>361</x:v>
      </x:c>
      <x:c r="B13" t="inlineStr">
        <x:is>
          <x:t xml:space="preserve">ยาฆ่าเชื้อแบคทีเรียทางเดินปัสสาวะ (D)</x:t>
        </x:is>
      </x:c>
      <x:c r="C13" t="n">
        <x:v>7238</x:v>
      </x:c>
      <x:c r="D13" t="inlineStr">
        <x:is>
          <x:t xml:space="preserve">Proflox 500 mg</x:t>
        </x:is>
      </x:c>
      <x:c r="E13" t="inlineStr">
        <x:is>
          <x:t xml:space="preserve">แผง 10 เม็ด</x:t>
        </x:is>
      </x:c>
      <x:c r="F13" t="inlineStr">
        <x:is>
          <x:t xml:space="preserve">Ciprofloxacin 500 mg.</x:t>
        </x:is>
      </x:c>
      <x:c r="G13" t="inlineStr">
        <x:is>
          <x:t xml:space="preserve">BDS007238</x:t>
        </x:is>
      </x:c>
      <x:c r="H13" t="inlineStr">
        <x:is>
          <x:t xml:space="preserve">Proflox 500 mg (10 tabs)</x:t>
        </x:is>
      </x:c>
      <x:c r="I13" t="inlineStr">
        <x:is>
          <x:t xml:space="preserve">รับประทานครั้งละ 1 เม็ด วันละ 2 ครั้ง เช้า - เย็น</x:t>
        </x:is>
      </x:c>
      <x:c r="P13" t="inlineStr">
        <x:is>
          <x:t xml:space="preserve">UTI antibiotics</x:t>
        </x:is>
      </x:c>
    </x:row>
    <x:row r="14">
      <x:c r="A14" t="n">
        <x:v>362</x:v>
      </x:c>
      <x:c r="B14" t="inlineStr">
        <x:is>
          <x:t xml:space="preserve">ยาฆ่าเชื้อแบคทีเรียทางเดินปัสสาวะ (D)</x:t>
        </x:is>
      </x:c>
      <x:c r="C14" t="n">
        <x:v>47662</x:v>
      </x:c>
      <x:c r="D14" t="inlineStr">
        <x:is>
          <x:t xml:space="preserve">Sixime</x:t>
        </x:is>
      </x:c>
      <x:c r="E14" t="inlineStr">
        <x:is>
          <x:t xml:space="preserve">แผง 10 แคปซูล</x:t>
        </x:is>
      </x:c>
      <x:c r="F14" t="inlineStr">
        <x:is>
          <x:t xml:space="preserve">Cefixime 100 mg.</x:t>
        </x:is>
      </x:c>
      <x:c r="G14" t="inlineStr">
        <x:is>
          <x:t xml:space="preserve">BDS047662</x:t>
        </x:is>
      </x:c>
      <x:c r="H14" t="inlineStr">
        <x:is>
          <x:t xml:space="preserve">Sixime (10 cap)</x:t>
        </x:is>
      </x:c>
      <x:c r="I14" t="inlineStr">
        <x:is>
          <x:t xml:space="preserve">รับประทานครั้งละ 1 แคปซูล วันละ 2 ครั้ง หรือตามแพทย์สั่ง</x:t>
        </x:is>
      </x:c>
      <x:c r="P14" t="inlineStr">
        <x:is>
          <x:t xml:space="preserve">UTI antibiotics</x:t>
        </x:is>
      </x:c>
    </x:row>
    <x:row r="15">
      <x:c r="A15" t="n">
        <x:v>363</x:v>
      </x:c>
      <x:c r="B15" t="inlineStr">
        <x:is>
          <x:t xml:space="preserve">ยาฆ่าเชื้อแบคทีเรียทางเดินปัสสาวะ (D)</x:t>
        </x:is>
      </x:c>
      <x:c r="C15" t="n">
        <x:v>7311</x:v>
      </x:c>
      <x:c r="D15" t="inlineStr">
        <x:is>
          <x:t xml:space="preserve">Xacin</x:t>
        </x:is>
      </x:c>
      <x:c r="E15" t="inlineStr">
        <x:is>
          <x:t xml:space="preserve">แผง 10 เม็ด</x:t>
        </x:is>
      </x:c>
      <x:c r="F15" t="inlineStr">
        <x:is>
          <x:t xml:space="preserve">Norfloxacin 400 mg.</x:t>
        </x:is>
      </x:c>
      <x:c r="G15" t="inlineStr">
        <x:is>
          <x:t xml:space="preserve">BDS007311</x:t>
        </x:is>
      </x:c>
      <x:c r="H15" t="inlineStr">
        <x:is>
          <x:t xml:space="preserve">Xacin (10 tabs)</x:t>
        </x:is>
      </x:c>
      <x:c r="I15" t="inlineStr">
        <x:is>
          <x:t xml:space="preserve">รับประทานครั้งละ 1 เม็ด วันละ 2 ครั้ง เช้า-เย็น</x:t>
        </x:is>
      </x:c>
      <x:c r="P15" t="inlineStr">
        <x:is>
          <x:t xml:space="preserve">UTI antibiotics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397</x:v>
      </x:c>
      <x:c r="B2" t="inlineStr">
        <x:is>
          <x:t xml:space="preserve">ผงเกลือแร่</x:t>
        </x:is>
      </x:c>
      <x:c r="C2" t="n">
        <x:v>8282</x:v>
      </x:c>
      <x:c r="D2" t="inlineStr">
        <x:is>
          <x:t xml:space="preserve">Cera ORS รสส้ม</x:t>
        </x:is>
      </x:c>
      <x:c r="E2" t="inlineStr">
        <x:is>
          <x:t xml:space="preserve">กล่อง 5 ซอง</x:t>
        </x:is>
      </x:c>
      <x:c r="F2" t="inlineStr">
        <x:is>
          <x:t xml:space="preserve">Glucose Anhydrous 3 g.+Sodium Chloride 0.53 g.+Potassium Chloride 0.23 g.+Sodium Citrate Dihydrate 0.44 g.</x:t>
        </x:is>
      </x:c>
      <x:c r="G2" t="inlineStr">
        <x:is>
          <x:t xml:space="preserve">BDS008282</x:t>
        </x:is>
      </x:c>
      <x:c r="H2" t="inlineStr">
        <x:is>
          <x:t xml:space="preserve">Cera ORS รสส้ม (5 sachets)</x:t>
        </x:is>
      </x:c>
      <x:c r="I2" t="inlineStr">
        <x:is>
          <x:t xml:space="preserve">ละลายครั้งละ 1 ซอง ต่อน้ำ 1 แก้ว (150 ml.) </x:t>
        </x:is>
      </x:c>
      <x:c r="P2" t="inlineStr">
        <x:is>
          <x:t xml:space="preserve">ORS / electrolytes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418</x:v>
      </x:c>
      <x:c r="B2" t="inlineStr">
        <x:is>
          <x:t xml:space="preserve">ยาช่วยย่อยอาหาร</x:t>
        </x:is>
      </x:c>
      <x:c r="C2" t="n">
        <x:v>1465</x:v>
      </x:c>
      <x:c r="D2" t="inlineStr">
        <x:is>
          <x:t xml:space="preserve">Combizym</x:t>
        </x:is>
      </x:c>
      <x:c r="E2" t="inlineStr">
        <x:is>
          <x:t xml:space="preserve">แผง 10 เม็ด</x:t>
        </x:is>
      </x:c>
      <x:c r="F2" t="inlineStr">
        <x:is>
          <x:t xml:space="preserve">(Cellulase+Protease+Amylase) 24 mg.+(Lipase+Protease+Amylase) 220 mg.</x:t>
        </x:is>
      </x:c>
      <x:c r="G2" t="inlineStr">
        <x:is>
          <x:t xml:space="preserve">BDS001465</x:t>
        </x:is>
      </x:c>
      <x:c r="H2" t="inlineStr">
        <x:is>
          <x:t xml:space="preserve">Combizym (10 tabs)</x:t>
        </x:is>
      </x:c>
      <x:c r="I2" t="inlineStr">
        <x:is>
          <x:t xml:space="preserve">รับประทานครั้งละ 1-2 เม็ด วันละ 3 ครั้ง หลังอาหาร</x:t>
        </x:is>
      </x:c>
      <x:c r="P2" t="inlineStr">
        <x:is>
          <x:t xml:space="preserve">Digestive aids</x:t>
        </x:is>
      </x:c>
    </x:row>
    <x:row r="3">
      <x:c r="A3" t="n">
        <x:v>419</x:v>
      </x:c>
      <x:c r="B3" t="inlineStr">
        <x:is>
          <x:t xml:space="preserve">ยาช่วยย่อยอาหาร</x:t>
        </x:is>
      </x:c>
      <x:c r="C3" t="n">
        <x:v>1636</x:v>
      </x:c>
      <x:c r="D3" t="inlineStr">
        <x:is>
          <x:t xml:space="preserve">Diasgest</x:t>
        </x:is>
      </x:c>
      <x:c r="E3" t="inlineStr">
        <x:is>
          <x:t xml:space="preserve">แผง 10 เม็ด</x:t>
        </x:is>
      </x:c>
      <x:c r="F3" t="inlineStr">
        <x:is>
          <x:t xml:space="preserve">diastase 50 mg+Aluminium magnesium silicate 100 mg+Sodium bicarbonate 60 mg+Calcium carbonate </x:t>
        </x:is>
      </x:c>
      <x:c r="G3" t="inlineStr">
        <x:is>
          <x:t xml:space="preserve">BDS001636</x:t>
        </x:is>
      </x:c>
      <x:c r="H3" t="inlineStr">
        <x:is>
          <x:t xml:space="preserve">Diasgest (10 tabs)</x:t>
        </x:is>
      </x:c>
      <x:c r="I3" t="inlineStr">
        <x:is>
          <x:t xml:space="preserve">รับประทานครั้งละ 1-2 เม็ด วันละ 3 ครั้ง หลังอาหาร หรือเมื่อมีอาการ</x:t>
        </x:is>
      </x:c>
      <x:c r="P3" t="inlineStr">
        <x:is>
          <x:t xml:space="preserve">Digestive aids</x:t>
        </x:is>
      </x:c>
    </x:row>
    <x:row r="4">
      <x:c r="A4" t="n">
        <x:v>420</x:v>
      </x:c>
      <x:c r="B4" t="inlineStr">
        <x:is>
          <x:t xml:space="preserve">ยาช่วยย่อยอาหาร</x:t>
        </x:is>
      </x:c>
      <x:c r="C4" t="n">
        <x:v>2043</x:v>
      </x:c>
      <x:c r="D4" t="inlineStr">
        <x:is>
          <x:t xml:space="preserve">Gaszym</x:t>
        </x:is>
      </x:c>
      <x:c r="E4" t="inlineStr">
        <x:is>
          <x:t xml:space="preserve">แผง 10 เม็ด</x:t>
        </x:is>
      </x:c>
      <x:c r="F4" t="inlineStr">
        <x:is>
          <x:t xml:space="preserve">Simethicone 60 mg.+Pancreatin 4NF 200 mg.</x:t>
        </x:is>
      </x:c>
      <x:c r="G4" t="inlineStr">
        <x:is>
          <x:t xml:space="preserve">BDS002043</x:t>
        </x:is>
      </x:c>
      <x:c r="H4" t="inlineStr">
        <x:is>
          <x:t xml:space="preserve">Gaszym (10 tabs)</x:t>
        </x:is>
      </x:c>
      <x:c r="I4" t="inlineStr">
        <x:is>
          <x:t xml:space="preserve">รับประทานครั้งละ 1-2 เม็ด วันละ 3 ครั้ง หลังอาหารทันที หรือเมื่อมีอาการ</x:t>
        </x:is>
      </x:c>
      <x:c r="P4" t="inlineStr">
        <x:is>
          <x:t xml:space="preserve">Digestive aids</x:t>
        </x:is>
      </x:c>
    </x:row>
    <x:row r="5">
      <x:c r="A5" t="n">
        <x:v>421</x:v>
      </x:c>
      <x:c r="B5" t="inlineStr">
        <x:is>
          <x:t xml:space="preserve">ยาช่วยย่อยอาหาร</x:t>
        </x:is>
      </x:c>
      <x:c r="C5" t="n">
        <x:v>2681</x:v>
      </x:c>
      <x:c r="D5" t="inlineStr">
        <x:is>
          <x:t xml:space="preserve">Magesto-F bottle 100s</x:t>
        </x:is>
      </x:c>
      <x:c r="E5" t="inlineStr">
        <x:is>
          <x:t xml:space="preserve">ขวด 100 เม็ด</x:t>
        </x:is>
      </x:c>
      <x:c r="F5" t="inlineStr">
        <x:is>
          <x:t xml:space="preserve">Mamylase+Thiamine mononitrate+Diastase+Scopolia extract+Calcium carbonate</x:t>
        </x:is>
      </x:c>
      <x:c r="G5" t="inlineStr">
        <x:is>
          <x:t xml:space="preserve">BDS002681</x:t>
        </x:is>
      </x:c>
      <x:c r="H5" t="inlineStr">
        <x:is>
          <x:t xml:space="preserve">Magesto-F bottle 100s (100 tabs)</x:t>
        </x:is>
      </x:c>
      <x:c r="I5" t="inlineStr">
        <x:is>
          <x:t xml:space="preserve">รับประทานครั้งละ 2-4 เม็ด วันละ 3 ครั้ง หลังอาหาร</x:t>
        </x:is>
      </x:c>
      <x:c r="P5" t="inlineStr">
        <x:is>
          <x:t xml:space="preserve">Digestive aids</x:t>
        </x:is>
      </x:c>
    </x:row>
    <x:row r="6">
      <x:c r="A6" t="n">
        <x:v>422</x:v>
      </x:c>
      <x:c r="B6" t="inlineStr">
        <x:is>
          <x:t xml:space="preserve">ยาช่วยย่อยอาหาร</x:t>
        </x:is>
      </x:c>
      <x:c r="C6" t="n">
        <x:v>2224</x:v>
      </x:c>
      <x:c r="D6" t="inlineStr">
        <x:is>
          <x:t xml:space="preserve">Magesto-F sachet 10s</x:t>
        </x:is>
      </x:c>
      <x:c r="E6" t="inlineStr">
        <x:is>
          <x:t xml:space="preserve">ซอง 10 เม็ด</x:t>
        </x:is>
      </x:c>
      <x:c r="F6" t="inlineStr">
        <x:is>
          <x:t xml:space="preserve">Mamylase+Thiamine mononitrate+Diastase+Scopolia extract+Calcium carbonate</x:t>
        </x:is>
      </x:c>
      <x:c r="G6" t="inlineStr">
        <x:is>
          <x:t xml:space="preserve">BDS002224</x:t>
        </x:is>
      </x:c>
      <x:c r="H6" t="inlineStr">
        <x:is>
          <x:t xml:space="preserve">Magesto-F sachet 10s (10 tabs)</x:t>
        </x:is>
      </x:c>
      <x:c r="I6" t="inlineStr">
        <x:is>
          <x:t xml:space="preserve">รับประทานครั้งละ 2-4 เม็ด วันละ 3 ครั้ง หลังอาหาร</x:t>
        </x:is>
      </x:c>
      <x:c r="P6" t="inlineStr">
        <x:is>
          <x:t xml:space="preserve">Digestive aids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483</x:v>
      </x:c>
      <x:c r="B2" t="inlineStr">
        <x:is>
          <x:t xml:space="preserve">ยาฆ่าเชื้อพยาธิในช่องคลอด (D)</x:t>
        </x:is>
      </x:c>
      <x:c r="C2" t="n">
        <x:v>40003</x:v>
      </x:c>
      <x:c r="D2" t="inlineStr">
        <x:is>
          <x:t xml:space="preserve">Asiazole-T.N. tabslets</x:t>
        </x:is>
      </x:c>
      <x:c r="E2" t="inlineStr">
        <x:is>
          <x:t xml:space="preserve">กล่อง 4 เม็ด</x:t>
        </x:is>
      </x:c>
      <x:c r="F2" t="inlineStr">
        <x:is>
          <x:t xml:space="preserve">Tinidazole 500 mg.</x:t>
        </x:is>
      </x:c>
      <x:c r="G2" t="inlineStr">
        <x:is>
          <x:t xml:space="preserve">BDS040003</x:t>
        </x:is>
      </x:c>
      <x:c r="H2" t="inlineStr">
        <x:is>
          <x:t xml:space="preserve">Asiazole-T.N. tabslets (4 tabs)</x:t>
        </x:is>
      </x:c>
      <x:c r="I2" t="inlineStr">
        <x:is>
          <x:t xml:space="preserve">รับประทานครั้งละ 4 เม็ด  วันละ 1 ครั้ง ก่อนนอน</x:t>
        </x:is>
      </x:c>
      <x:c r="P2" t="inlineStr">
        <x:is>
          <x:t xml:space="preserve">Vaginal antiparasitic/anti-infective</x:t>
        </x:is>
      </x:c>
    </x:row>
    <x:row r="3">
      <x:c r="A3" t="n">
        <x:v>484</x:v>
      </x:c>
      <x:c r="B3" t="inlineStr">
        <x:is>
          <x:t xml:space="preserve">ยาฆ่าเชื้อพยาธิในช่องคลอด (D)</x:t>
        </x:is>
      </x:c>
      <x:c r="C3" t="n">
        <x:v>7954</x:v>
      </x:c>
      <x:c r="D3" t="inlineStr">
        <x:is>
          <x:t xml:space="preserve">Gyno Gena-500</x:t>
        </x:is>
      </x:c>
      <x:c r="E3" t="inlineStr">
        <x:is>
          <x:t xml:space="preserve">กล่อง 4 เม็ด</x:t>
        </x:is>
      </x:c>
      <x:c r="F3" t="inlineStr">
        <x:is>
          <x:t xml:space="preserve">Tinidazole 500 mg.</x:t>
        </x:is>
      </x:c>
      <x:c r="G3" t="inlineStr">
        <x:is>
          <x:t xml:space="preserve">BDS007954</x:t>
        </x:is>
      </x:c>
      <x:c r="H3" t="inlineStr">
        <x:is>
          <x:t xml:space="preserve">Gyno Gena-500 (4 tabs)</x:t>
        </x:is>
      </x:c>
      <x:c r="I3" t="inlineStr">
        <x:is>
          <x:t xml:space="preserve">รับประทานครั้งละ 4 เม็ด วันละ 1 ครั้ง ก่อนนอน</x:t>
        </x:is>
      </x:c>
      <x:c r="P3" t="inlineStr">
        <x:is>
          <x:t xml:space="preserve">Vaginal antiparasitic/anti-infective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629</x:v>
      </x:c>
      <x:c r="B2" t="inlineStr">
        <x:is>
          <x:t xml:space="preserve">น้ำเกลือ</x:t>
        </x:is>
      </x:c>
      <x:c r="C2" t="n">
        <x:v>44313</x:v>
      </x:c>
      <x:c r="D2" t="inlineStr">
        <x:is>
          <x:t xml:space="preserve">Klean &amp; Kare Saline (ANB)</x:t>
        </x:is>
      </x:c>
      <x:c r="E2" t="inlineStr">
        <x:is>
          <x:t xml:space="preserve">ขวด 200 ml.</x:t>
        </x:is>
      </x:c>
      <x:c r="F2" t="inlineStr">
        <x:is>
          <x:t xml:space="preserve">Sodium Chloride 0.9 g./100 ml.</x:t>
        </x:is>
      </x:c>
      <x:c r="G2" t="inlineStr">
        <x:is>
          <x:t xml:space="preserve">BDS044313</x:t>
        </x:is>
      </x:c>
      <x:c r="H2" t="inlineStr">
        <x:is>
          <x:t xml:space="preserve">Klean &amp; Kare Saline (ANB) (200 ml.)</x:t>
        </x:is>
      </x:c>
      <x:c r="I2" t="inlineStr">
        <x:is>
          <x:t xml:space="preserve">ล้างทำความสะอาดในบริเวณที่ต้องการ </x:t>
        </x:is>
      </x:c>
      <x:c r="P2" t="inlineStr">
        <x:is>
          <x:t xml:space="preserve">Normal saline / irrigation</x:t>
        </x:is>
      </x:c>
    </x:row>
    <x:row r="3">
      <x:c r="A3" t="n">
        <x:v>630</x:v>
      </x:c>
      <x:c r="B3" t="inlineStr">
        <x:is>
          <x:t xml:space="preserve">น้ำเกลือ</x:t>
        </x:is>
      </x:c>
      <x:c r="C3" t="n">
        <x:v>44321</x:v>
      </x:c>
      <x:c r="D3" t="inlineStr">
        <x:is>
          <x:t xml:space="preserve">Klean &amp; Kare Saline กลาง</x:t>
        </x:is>
      </x:c>
      <x:c r="E3" t="inlineStr">
        <x:is>
          <x:t xml:space="preserve">ขวด 500 ml.</x:t>
        </x:is>
      </x:c>
      <x:c r="F3" t="inlineStr">
        <x:is>
          <x:t xml:space="preserve">Sodium Chloride 0.9 g./100 ml.</x:t>
        </x:is>
      </x:c>
      <x:c r="G3" t="inlineStr">
        <x:is>
          <x:t xml:space="preserve">BDS044321</x:t>
        </x:is>
      </x:c>
      <x:c r="H3" t="inlineStr">
        <x:is>
          <x:t xml:space="preserve">Klean &amp; Kare Saline กลาง (500 ml.)</x:t>
        </x:is>
      </x:c>
      <x:c r="I3" t="inlineStr">
        <x:is>
          <x:t xml:space="preserve">ล้างทำความสะอาดในบริเวณที่ต้องการ </x:t>
        </x:is>
      </x:c>
      <x:c r="P3" t="inlineStr">
        <x:is>
          <x:t xml:space="preserve">Normal saline / irrigation</x:t>
        </x:is>
      </x:c>
    </x:row>
    <x:row r="4">
      <x:c r="A4" t="n">
        <x:v>631</x:v>
      </x:c>
      <x:c r="B4" t="inlineStr">
        <x:is>
          <x:t xml:space="preserve">น้ำเกลือ</x:t>
        </x:is>
      </x:c>
      <x:c r="C4" t="n">
        <x:v>44320</x:v>
      </x:c>
      <x:c r="D4" t="inlineStr">
        <x:is>
          <x:t xml:space="preserve">Klean &amp; Kare Saline เล็ก</x:t>
        </x:is>
      </x:c>
      <x:c r="E4" t="inlineStr">
        <x:is>
          <x:t xml:space="preserve">ขวด 100 ml.</x:t>
        </x:is>
      </x:c>
      <x:c r="F4" t="inlineStr">
        <x:is>
          <x:t xml:space="preserve">Sodium Chloride 0.9 g./100 ml.</x:t>
        </x:is>
      </x:c>
      <x:c r="G4" t="inlineStr">
        <x:is>
          <x:t xml:space="preserve">BDS044320</x:t>
        </x:is>
      </x:c>
      <x:c r="H4" t="inlineStr">
        <x:is>
          <x:t xml:space="preserve">Klean &amp; Kare Saline เล็ก (100 ml.)</x:t>
        </x:is>
      </x:c>
      <x:c r="I4" t="inlineStr">
        <x:is>
          <x:t xml:space="preserve">ล้างทำความสะอาดในบริเวณที่ต้องการ </x:t>
        </x:is>
      </x:c>
      <x:c r="P4" t="inlineStr">
        <x:is>
          <x:t xml:space="preserve">Normal saline / irrigation</x:t>
        </x:is>
      </x:c>
    </x:row>
    <x:row r="5">
      <x:c r="A5" t="n">
        <x:v>632</x:v>
      </x:c>
      <x:c r="B5" t="inlineStr">
        <x:is>
          <x:t xml:space="preserve">น้ำเกลือ</x:t>
        </x:is>
      </x:c>
      <x:c r="C5" t="n">
        <x:v>44322</x:v>
      </x:c>
      <x:c r="D5" t="inlineStr">
        <x:is>
          <x:t xml:space="preserve">Klean &amp; Kare Saline ใหญ่</x:t>
        </x:is>
      </x:c>
      <x:c r="E5" t="inlineStr">
        <x:is>
          <x:t xml:space="preserve">ขวด 1000 ml.</x:t>
        </x:is>
      </x:c>
      <x:c r="F5" t="inlineStr">
        <x:is>
          <x:t xml:space="preserve">Sodium Chloride 0.9 g./100 ml.</x:t>
        </x:is>
      </x:c>
      <x:c r="G5" t="inlineStr">
        <x:is>
          <x:t xml:space="preserve">BDS044322</x:t>
        </x:is>
      </x:c>
      <x:c r="H5" t="inlineStr">
        <x:is>
          <x:t xml:space="preserve">Klean &amp; Kare Saline ใหญ่ (1000 ml.)</x:t>
        </x:is>
      </x:c>
      <x:c r="I5" t="inlineStr">
        <x:is>
          <x:t xml:space="preserve">ล้างทำความสะอาดในบริเวณที่ต้องการ </x:t>
        </x:is>
      </x:c>
      <x:c r="P5" t="inlineStr">
        <x:is>
          <x:t xml:space="preserve">Normal saline / irrigation</x:t>
        </x:is>
      </x:c>
    </x:row>
    <x:row r="6">
      <x:c r="A6" t="n">
        <x:v>633</x:v>
      </x:c>
      <x:c r="B6" t="inlineStr">
        <x:is>
          <x:t xml:space="preserve">น้ำเกลือ</x:t>
        </x:is>
      </x:c>
      <x:c r="C6" t="n">
        <x:v>4868</x:v>
      </x:c>
      <x:c r="D6" t="inlineStr">
        <x:is>
          <x:t xml:space="preserve">Normal Saline (Otsuka)</x:t>
        </x:is>
      </x:c>
      <x:c r="E6" t="inlineStr">
        <x:is>
          <x:t xml:space="preserve">ขวด 1000 ml.</x:t>
        </x:is>
      </x:c>
      <x:c r="F6" t="inlineStr">
        <x:is>
          <x:t xml:space="preserve">Sodium Chloride 0.9 g./100 ml.</x:t>
        </x:is>
      </x:c>
      <x:c r="G6" t="inlineStr">
        <x:is>
          <x:t xml:space="preserve">BDS004868</x:t>
        </x:is>
      </x:c>
      <x:c r="H6" t="inlineStr">
        <x:is>
          <x:t xml:space="preserve">Normal Saline (Otsuka) (1000 ml.)</x:t>
        </x:is>
      </x:c>
      <x:c r="I6" t="inlineStr">
        <x:is>
          <x:t xml:space="preserve">ทำความสะอาดในบริเวณที่ต้องการ </x:t>
        </x:is>
      </x:c>
      <x:c r="P6" t="inlineStr">
        <x:is>
          <x:t xml:space="preserve">Normal saline / irrigation</x:t>
        </x:is>
      </x:c>
    </x:row>
    <x:row r="7">
      <x:c r="A7" t="n">
        <x:v>634</x:v>
      </x:c>
      <x:c r="B7" t="inlineStr">
        <x:is>
          <x:t xml:space="preserve">น้ำเกลือ</x:t>
        </x:is>
      </x:c>
      <x:c r="C7" t="n">
        <x:v>45626</x:v>
      </x:c>
      <x:c r="D7" t="inlineStr">
        <x:is>
          <x:t xml:space="preserve">Normal Saline (Thai Nakorn Patana)</x:t>
        </x:is>
      </x:c>
      <x:c r="E7" t="inlineStr">
        <x:is>
          <x:t xml:space="preserve">ขวด 1000 ml.</x:t>
        </x:is>
      </x:c>
      <x:c r="F7" t="inlineStr">
        <x:is>
          <x:t xml:space="preserve">Sodium Chloride 0.9 g./100 ml.</x:t>
        </x:is>
      </x:c>
      <x:c r="G7" t="inlineStr">
        <x:is>
          <x:t xml:space="preserve">BDS045626</x:t>
        </x:is>
      </x:c>
      <x:c r="H7" t="inlineStr">
        <x:is>
          <x:t xml:space="preserve">Normal Saline (Thai Nakorn Patana) (1000 ml.)</x:t>
        </x:is>
      </x:c>
      <x:c r="I7" t="inlineStr">
        <x:is>
          <x:t xml:space="preserve">ทำความสะอาดในบริเวณที่ต้องการ </x:t>
        </x:is>
      </x:c>
      <x:c r="P7" t="inlineStr">
        <x:is>
          <x:t xml:space="preserve">Normal saline / irrigation</x:t>
        </x:is>
      </x:c>
    </x:row>
    <x:row r="8">
      <x:c r="A8" t="n">
        <x:v>635</x:v>
      </x:c>
      <x:c r="B8" t="inlineStr">
        <x:is>
          <x:t xml:space="preserve">น้ำเกลือ</x:t>
        </x:is>
      </x:c>
      <x:c r="C8" t="n">
        <x:v>47669</x:v>
      </x:c>
      <x:c r="D8" t="inlineStr">
        <x:is>
          <x:t xml:space="preserve">Sofclens Normal Saline Solution</x:t>
        </x:is>
      </x:c>
      <x:c r="E8" t="inlineStr">
        <x:is>
          <x:t xml:space="preserve">ขวด 100 ml.</x:t>
        </x:is>
      </x:c>
      <x:c r="F8" t="inlineStr">
        <x:is>
          <x:t xml:space="preserve">Sodium Chloride 0.9 % w/v</x:t>
        </x:is>
      </x:c>
      <x:c r="G8" t="inlineStr">
        <x:is>
          <x:t xml:space="preserve">BDS047669</x:t>
        </x:is>
      </x:c>
      <x:c r="H8" t="inlineStr">
        <x:is>
          <x:t xml:space="preserve">Sofclens Normal Saline Solution (100 ml.)</x:t>
        </x:is>
      </x:c>
      <x:c r="I8" t="inlineStr">
        <x:is>
          <x:t xml:space="preserve">ล้างทำความสะอาดในบริเวณที่ต้องการ </x:t>
        </x:is>
      </x:c>
      <x:c r="P8" t="inlineStr">
        <x:is>
          <x:t xml:space="preserve">Normal saline / irrigation</x:t>
        </x:is>
      </x:c>
    </x:row>
    <x:row r="9">
      <x:c r="A9" t="n">
        <x:v>636</x:v>
      </x:c>
      <x:c r="B9" t="inlineStr">
        <x:is>
          <x:t xml:space="preserve">น้ำเกลือ</x:t>
        </x:is>
      </x:c>
      <x:c r="C9" t="n">
        <x:v>4870</x:v>
      </x:c>
      <x:c r="D9" t="inlineStr">
        <x:is>
          <x:t xml:space="preserve">น้ำเกลือล้างแผล (วิทยาศรม)</x:t>
        </x:is>
      </x:c>
      <x:c r="E9" t="inlineStr">
        <x:is>
          <x:t xml:space="preserve">ขวด 120 ml.</x:t>
        </x:is>
      </x:c>
      <x:c r="F9" t="inlineStr">
        <x:is>
          <x:t xml:space="preserve">Sodium Chloride 0.9 g./100 ml.</x:t>
        </x:is>
      </x:c>
      <x:c r="G9" t="inlineStr">
        <x:is>
          <x:t xml:space="preserve">BDS004870</x:t>
        </x:is>
      </x:c>
      <x:c r="H9" t="inlineStr">
        <x:is>
          <x:t xml:space="preserve">น้ำเกลือล้างแผล (วิทยาศรม) (120 ml.)</x:t>
        </x:is>
      </x:c>
      <x:c r="I9" t="inlineStr">
        <x:is>
          <x:t xml:space="preserve">เช็ดทำความสะอาด วันละ 2-3 ครั้ง</x:t>
        </x:is>
      </x:c>
      <x:c r="P9" t="inlineStr">
        <x:is>
          <x:t xml:space="preserve">Normal saline / irrigation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637</x:v>
      </x:c>
      <x:c r="B2" t="inlineStr">
        <x:is>
          <x:t xml:space="preserve">ยาทาและยาพ่นแก้ปวดเมื่อย </x:t>
        </x:is>
      </x:c>
      <x:c r="C2" t="n">
        <x:v>1032</x:v>
      </x:c>
      <x:c r="D2" t="inlineStr">
        <x:is>
          <x:t xml:space="preserve">Ammeltz เล็ก</x:t>
        </x:is>
      </x:c>
      <x:c r="E2" t="inlineStr">
        <x:is>
          <x:t xml:space="preserve">ขวด 48 ml.</x:t>
        </x:is>
      </x:c>
      <x:c r="F2" t="inlineStr">
        <x:is>
          <x:t xml:space="preserve">L-Menthol+DL-Campher+Methyl Salicylate+Vanillylamide</x:t>
        </x:is>
      </x:c>
      <x:c r="G2" t="inlineStr">
        <x:is>
          <x:t xml:space="preserve">BDS001032</x:t>
        </x:is>
      </x:c>
      <x:c r="H2" t="inlineStr">
        <x:is>
          <x:t xml:space="preserve">Ammeltz เล็ก (48 ml.)</x:t>
        </x:is>
      </x:c>
      <x:c r="I2" t="inlineStr">
        <x:is>
          <x:t xml:space="preserve">ทาบริเวณที่มีอาการปวด วันละ 2-3 ครั้ง</x:t>
        </x:is>
      </x:c>
      <x:c r="P2" t="inlineStr">
        <x:is>
          <x:t xml:space="preserve">Topical pain relief / topical NSAIDs</x:t>
        </x:is>
      </x:c>
    </x:row>
    <x:row r="3">
      <x:c r="A3" t="n">
        <x:v>638</x:v>
      </x:c>
      <x:c r="B3" t="inlineStr">
        <x:is>
          <x:t xml:space="preserve">ยาทาและยาพ่นแก้ปวดเมื่อย </x:t>
        </x:is>
      </x:c>
      <x:c r="C3" t="n">
        <x:v>1031</x:v>
      </x:c>
      <x:c r="D3" t="inlineStr">
        <x:is>
          <x:t xml:space="preserve">Ammeltz ใหญ่</x:t>
        </x:is>
      </x:c>
      <x:c r="E3" t="inlineStr">
        <x:is>
          <x:t xml:space="preserve">ขวด 82 ml.</x:t>
        </x:is>
      </x:c>
      <x:c r="F3" t="inlineStr">
        <x:is>
          <x:t xml:space="preserve">L-Menthol+DL-Campher+Methyl Salicylate+Vanillylamide</x:t>
        </x:is>
      </x:c>
      <x:c r="G3" t="inlineStr">
        <x:is>
          <x:t xml:space="preserve">BDS001031</x:t>
        </x:is>
      </x:c>
      <x:c r="H3" t="inlineStr">
        <x:is>
          <x:t xml:space="preserve">Ammeltz ใหญ่ (82 ml.)</x:t>
        </x:is>
      </x:c>
      <x:c r="I3" t="inlineStr">
        <x:is>
          <x:t xml:space="preserve">ทาบริเวณที่ปวด วันละ 2-3 ครั้ง</x:t>
        </x:is>
      </x:c>
      <x:c r="P3" t="inlineStr">
        <x:is>
          <x:t xml:space="preserve">Topical pain relief / topical NSAIDs</x:t>
        </x:is>
      </x:c>
    </x:row>
    <x:row r="4">
      <x:c r="A4" t="n">
        <x:v>639</x:v>
      </x:c>
      <x:c r="B4" t="inlineStr">
        <x:is>
          <x:t xml:space="preserve">ยาทาและยาพ่นแก้ปวดเมื่อย </x:t>
        </x:is>
      </x:c>
      <x:c r="C4" t="n">
        <x:v>40020</x:v>
      </x:c>
      <x:c r="D4" t="inlineStr">
        <x:is>
          <x:t xml:space="preserve">Arotika Rub</x:t>
        </x:is>
      </x:c>
      <x:c r="E4" t="inlineStr">
        <x:is>
          <x:t xml:space="preserve">หลอด 35 g.</x:t>
        </x:is>
      </x:c>
      <x:c r="F4" t="inlineStr">
        <x:is>
          <x:t xml:space="preserve">Capsicum Tincture 0.05% w/v 4.5 g.+Methyl Salicylate 10.2 g.+ Menthol 5.44 g.+Clove Oil 1.36 g./100 g.</x:t>
        </x:is>
      </x:c>
      <x:c r="G4" t="inlineStr">
        <x:is>
          <x:t xml:space="preserve">BDS040020</x:t>
        </x:is>
      </x:c>
      <x:c r="H4" t="inlineStr">
        <x:is>
          <x:t xml:space="preserve">Arotika Rub (35 g.)</x:t>
        </x:is>
      </x:c>
      <x:c r="I4" t="inlineStr">
        <x:is>
          <x:t xml:space="preserve">ทาบริเวณที่ปวดบางๆ  วันละ 2-3 ครั้ง</x:t>
        </x:is>
      </x:c>
      <x:c r="P4" t="inlineStr">
        <x:is>
          <x:t xml:space="preserve">Topical pain relief / topical NSAIDs</x:t>
        </x:is>
      </x:c>
    </x:row>
    <x:row r="5">
      <x:c r="A5" t="n">
        <x:v>640</x:v>
      </x:c>
      <x:c r="B5" t="inlineStr">
        <x:is>
          <x:t xml:space="preserve">ยาทาและยาพ่นแก้ปวดเมื่อย </x:t>
        </x:is>
      </x:c>
      <x:c r="C5" t="n">
        <x:v>7711</x:v>
      </x:c>
      <x:c r="D5" t="inlineStr">
        <x:is>
          <x:t xml:space="preserve">Capsika Gel</x:t>
        </x:is>
      </x:c>
      <x:c r="E5" t="inlineStr">
        <x:is>
          <x:t xml:space="preserve">หลอด 35 g.</x:t>
        </x:is>
      </x:c>
      <x:c r="F5" t="inlineStr">
        <x:is>
          <x:t xml:space="preserve">Capsaicin 0.0125%/100 g.</x:t>
        </x:is>
      </x:c>
      <x:c r="G5" t="inlineStr">
        <x:is>
          <x:t xml:space="preserve">BDS007711</x:t>
        </x:is>
      </x:c>
      <x:c r="H5" t="inlineStr">
        <x:is>
          <x:t xml:space="preserve">Capsika Gel (35 g.)</x:t>
        </x:is>
      </x:c>
      <x:c r="I5" t="inlineStr">
        <x:is>
          <x:t xml:space="preserve">ทาเจลบางๆ บริเวณที่มีอาการ วันละ 2-3 ครั้ง</x:t>
        </x:is>
      </x:c>
      <x:c r="P5" t="inlineStr">
        <x:is>
          <x:t xml:space="preserve">Topical pain relief / topical NSAIDs</x:t>
        </x:is>
      </x:c>
    </x:row>
    <x:row r="6">
      <x:c r="A6" t="n">
        <x:v>641</x:v>
      </x:c>
      <x:c r="B6" t="inlineStr">
        <x:is>
          <x:t xml:space="preserve">ยาทาและยาพ่นแก้ปวดเมื่อย </x:t>
        </x:is>
      </x:c>
      <x:c r="C6" t="n">
        <x:v>1541</x:v>
      </x:c>
      <x:c r="D6" t="inlineStr">
        <x:is>
          <x:t xml:space="preserve">Capsika-25 Gel</x:t>
        </x:is>
      </x:c>
      <x:c r="E6" t="inlineStr">
        <x:is>
          <x:t xml:space="preserve">หลอด 35 g.</x:t>
        </x:is>
      </x:c>
      <x:c r="F6" t="inlineStr">
        <x:is>
          <x:t xml:space="preserve">Capsaicin 0.025%</x:t>
        </x:is>
      </x:c>
      <x:c r="G6" t="inlineStr">
        <x:is>
          <x:t xml:space="preserve">BDS001541</x:t>
        </x:is>
      </x:c>
      <x:c r="H6" t="inlineStr">
        <x:is>
          <x:t xml:space="preserve">Capsika-25 Gel (35 g.)</x:t>
        </x:is>
      </x:c>
      <x:c r="I6" t="inlineStr">
        <x:is>
          <x:t xml:space="preserve">ทาเจลบางๆ บริเวณที่มีอาการ วันละ 3-4 ครั้ง</x:t>
        </x:is>
      </x:c>
      <x:c r="P6" t="inlineStr">
        <x:is>
          <x:t xml:space="preserve">Topical pain relief / topical NSAIDs</x:t>
        </x:is>
      </x:c>
    </x:row>
    <x:row r="7">
      <x:c r="A7" t="n">
        <x:v>642</x:v>
      </x:c>
      <x:c r="B7" t="inlineStr">
        <x:is>
          <x:t xml:space="preserve">ยาทาและยาพ่นแก้ปวดเมื่อย </x:t>
        </x:is>
      </x:c>
      <x:c r="C7" t="n">
        <x:v>1475</x:v>
      </x:c>
      <x:c r="D7" t="inlineStr">
        <x:is>
          <x:t xml:space="preserve">Counterpain Cool กลาง</x:t>
        </x:is>
      </x:c>
      <x:c r="E7" t="inlineStr">
        <x:is>
          <x:t xml:space="preserve">หลอด 60 g.</x:t>
        </x:is>
      </x:c>
      <x:c r="F7" t="inlineStr">
        <x:is>
          <x:t xml:space="preserve">Menthol 4%</x:t>
        </x:is>
      </x:c>
      <x:c r="G7" t="inlineStr">
        <x:is>
          <x:t xml:space="preserve">BDS001475</x:t>
        </x:is>
      </x:c>
      <x:c r="H7" t="inlineStr">
        <x:is>
          <x:t xml:space="preserve">Counterpain Cool กลาง (60 g.)</x:t>
        </x:is>
      </x:c>
      <x:c r="I7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7" t="inlineStr">
        <x:is>
          <x:t xml:space="preserve">Topical pain relief / topical NSAIDs</x:t>
        </x:is>
      </x:c>
    </x:row>
    <x:row r="8">
      <x:c r="A8" t="n">
        <x:v>643</x:v>
      </x:c>
      <x:c r="B8" t="inlineStr">
        <x:is>
          <x:t xml:space="preserve">ยาทาและยาพ่นแก้ปวดเมื่อย </x:t>
        </x:is>
      </x:c>
      <x:c r="C8" t="n">
        <x:v>1474</x:v>
      </x:c>
      <x:c r="D8" t="inlineStr">
        <x:is>
          <x:t xml:space="preserve">Counterpain Cool เล็ก</x:t>
        </x:is>
      </x:c>
      <x:c r="E8" t="inlineStr">
        <x:is>
          <x:t xml:space="preserve">หลอด 30 g.</x:t>
        </x:is>
      </x:c>
      <x:c r="F8" t="inlineStr">
        <x:is>
          <x:t xml:space="preserve">Menthol 4%</x:t>
        </x:is>
      </x:c>
      <x:c r="G8" t="inlineStr">
        <x:is>
          <x:t xml:space="preserve">BDS001474</x:t>
        </x:is>
      </x:c>
      <x:c r="H8" t="inlineStr">
        <x:is>
          <x:t xml:space="preserve">Counterpain Cool เล็ก (30 g.)</x:t>
        </x:is>
      </x:c>
      <x:c r="I8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8" t="inlineStr">
        <x:is>
          <x:t xml:space="preserve">Topical pain relief / topical NSAIDs</x:t>
        </x:is>
      </x:c>
    </x:row>
    <x:row r="9">
      <x:c r="A9" t="n">
        <x:v>644</x:v>
      </x:c>
      <x:c r="B9" t="inlineStr">
        <x:is>
          <x:t xml:space="preserve">ยาทาและยาพ่นแก้ปวดเมื่อย </x:t>
        </x:is>
      </x:c>
      <x:c r="C9" t="n">
        <x:v>1476</x:v>
      </x:c>
      <x:c r="D9" t="inlineStr">
        <x:is>
          <x:t xml:space="preserve">Counterpain Cool ใหญ่</x:t>
        </x:is>
      </x:c>
      <x:c r="E9" t="inlineStr">
        <x:is>
          <x:t xml:space="preserve">หลอด 120 g.</x:t>
        </x:is>
      </x:c>
      <x:c r="F9" t="inlineStr">
        <x:is>
          <x:t xml:space="preserve">Menthol 4%</x:t>
        </x:is>
      </x:c>
      <x:c r="G9" t="inlineStr">
        <x:is>
          <x:t xml:space="preserve">BDS001476</x:t>
        </x:is>
      </x:c>
      <x:c r="H9" t="inlineStr">
        <x:is>
          <x:t xml:space="preserve">Counterpain Cool ใหญ่ (120 g.)</x:t>
        </x:is>
      </x:c>
      <x:c r="I9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9" t="inlineStr">
        <x:is>
          <x:t xml:space="preserve">Topical pain relief / topical NSAIDs</x:t>
        </x:is>
      </x:c>
    </x:row>
    <x:row r="10">
      <x:c r="A10" t="n">
        <x:v>645</x:v>
      </x:c>
      <x:c r="B10" t="inlineStr">
        <x:is>
          <x:t xml:space="preserve">ยาทาและยาพ่นแก้ปวดเมื่อย </x:t>
        </x:is>
      </x:c>
      <x:c r="C10" t="n">
        <x:v>1472</x:v>
      </x:c>
      <x:c r="D10" t="inlineStr">
        <x:is>
          <x:t xml:space="preserve">Counterpain กลาง</x:t>
        </x:is>
      </x:c>
      <x:c r="E10" t="inlineStr">
        <x:is>
          <x:t xml:space="preserve">หลอด 60 g.</x:t>
        </x:is>
      </x:c>
      <x:c r="F10" t="inlineStr">
        <x:is>
          <x:t xml:space="preserve">Methyl Salicylate 10.2%+Eugenol 1.36%+Menthol 5.44%</x:t>
        </x:is>
      </x:c>
      <x:c r="G10" t="inlineStr">
        <x:is>
          <x:t xml:space="preserve">BDS001472</x:t>
        </x:is>
      </x:c>
      <x:c r="H10" t="inlineStr">
        <x:is>
          <x:t xml:space="preserve">Counterpain กลาง (60 g.)</x:t>
        </x:is>
      </x:c>
      <x:c r="I10" t="inlineStr">
        <x:is>
          <x:t xml:space="preserve">ทาครีมบริเวณที่ปวด จนกระทั่งยาซึมเข้าผิวหนัง วันละ 2-3 ครั้ง</x:t>
        </x:is>
      </x:c>
      <x:c r="P10" t="inlineStr">
        <x:is>
          <x:t xml:space="preserve">Topical pain relief / topical NSAIDs</x:t>
        </x:is>
      </x:c>
    </x:row>
    <x:row r="11">
      <x:c r="A11" t="n">
        <x:v>646</x:v>
      </x:c>
      <x:c r="B11" t="inlineStr">
        <x:is>
          <x:t xml:space="preserve">ยาทาและยาพ่นแก้ปวดเมื่อย </x:t>
        </x:is>
      </x:c>
      <x:c r="C11" t="n">
        <x:v>1471</x:v>
      </x:c>
      <x:c r="D11" t="inlineStr">
        <x:is>
          <x:t xml:space="preserve">Counterpain เล็ก</x:t>
        </x:is>
      </x:c>
      <x:c r="E11" t="inlineStr">
        <x:is>
          <x:t xml:space="preserve">หลอด 30 g.</x:t>
        </x:is>
      </x:c>
      <x:c r="F11" t="inlineStr">
        <x:is>
          <x:t xml:space="preserve">Menthol 5.44%+Methyl Salicylate 10.2%+Eugenol 1.36%</x:t>
        </x:is>
      </x:c>
      <x:c r="G11" t="inlineStr">
        <x:is>
          <x:t xml:space="preserve">BDS001471</x:t>
        </x:is>
      </x:c>
      <x:c r="H11" t="inlineStr">
        <x:is>
          <x:t xml:space="preserve">Counterpain เล็ก (30 g.)</x:t>
        </x:is>
      </x:c>
      <x:c r="I11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11" t="inlineStr">
        <x:is>
          <x:t xml:space="preserve">Topical pain relief / topical NSAIDs</x:t>
        </x:is>
      </x:c>
    </x:row>
    <x:row r="12">
      <x:c r="A12" t="n">
        <x:v>647</x:v>
      </x:c>
      <x:c r="B12" t="inlineStr">
        <x:is>
          <x:t xml:space="preserve">ยาทาและยาพ่นแก้ปวดเมื่อย </x:t>
        </x:is>
      </x:c>
      <x:c r="C12" t="n">
        <x:v>1473</x:v>
      </x:c>
      <x:c r="D12" t="inlineStr">
        <x:is>
          <x:t xml:space="preserve">Counterpain ใหญ่</x:t>
        </x:is>
      </x:c>
      <x:c r="E12" t="inlineStr">
        <x:is>
          <x:t xml:space="preserve">หลอด 120 g.</x:t>
        </x:is>
      </x:c>
      <x:c r="F12" t="inlineStr">
        <x:is>
          <x:t xml:space="preserve">Menthol 5.44%+Methyl Salicylate 10.2%+Eugenol 1.36%</x:t>
        </x:is>
      </x:c>
      <x:c r="G12" t="inlineStr">
        <x:is>
          <x:t xml:space="preserve">BDS001473</x:t>
        </x:is>
      </x:c>
      <x:c r="H12" t="inlineStr">
        <x:is>
          <x:t xml:space="preserve">Counterpain ใหญ่ (120 g.)</x:t>
        </x:is>
      </x:c>
      <x:c r="I12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K12" t="n">
        <x:v>300</x:v>
      </x:c>
      <x:c r="L12" t="n">
        <x:v>2.5</x:v>
      </x:c>
      <x:c r="M12" t="inlineStr">
        <x:is>
          <x:t xml:space="preserve">USER</x:t>
        </x:is>
      </x:c>
      <x:c r="N12" t="inlineStr">
        <x:is>
          <x:t xml:space="preserve">2026-02-07</x:t>
        </x:is>
      </x:c>
      <x:c r="O12" t="inlineStr">
        <x:is>
          <x:t xml:space="preserve">User provided price (Counterpain 120 g).</x:t>
        </x:is>
      </x:c>
      <x:c r="P12" t="inlineStr">
        <x:is>
          <x:t xml:space="preserve">Topical pain relief / topical NSAIDs</x:t>
        </x:is>
      </x:c>
    </x:row>
    <x:row r="13">
      <x:c r="A13" t="n">
        <x:v>648</x:v>
      </x:c>
      <x:c r="B13" t="inlineStr">
        <x:is>
          <x:t xml:space="preserve">ยาทาและยาพ่นแก้ปวดเมื่อย </x:t>
        </x:is>
      </x:c>
      <x:c r="C13" t="n">
        <x:v>1924</x:v>
      </x:c>
      <x:c r="D13" t="inlineStr">
        <x:is>
          <x:t xml:space="preserve">Flanil</x:t>
        </x:is>
      </x:c>
      <x:c r="E13" t="inlineStr">
        <x:is>
          <x:t xml:space="preserve">หลอด 30 g.</x:t>
        </x:is>
      </x:c>
      <x:c r="F13" t="inlineStr">
        <x:is>
          <x:t xml:space="preserve">Menthol 5.44 g.+Methyl Salicylate 10.20 g.+Eugenol 1.36 g./100 g.</x:t>
        </x:is>
      </x:c>
      <x:c r="G13" t="inlineStr">
        <x:is>
          <x:t xml:space="preserve">BDS001924</x:t>
        </x:is>
      </x:c>
      <x:c r="H13" t="inlineStr">
        <x:is>
          <x:t xml:space="preserve">Flanil (30 g.)</x:t>
        </x:is>
      </x:c>
      <x:c r="I13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13" t="inlineStr">
        <x:is>
          <x:t xml:space="preserve">Topical pain relief / topical NSAIDs</x:t>
        </x:is>
      </x:c>
    </x:row>
    <x:row r="14">
      <x:c r="A14" t="n">
        <x:v>649</x:v>
      </x:c>
      <x:c r="B14" t="inlineStr">
        <x:is>
          <x:t xml:space="preserve">ยาทาและยาพ่นแก้ปวดเมื่อย </x:t>
        </x:is>
      </x:c>
      <x:c r="C14" t="n">
        <x:v>8608</x:v>
      </x:c>
      <x:c r="D14" t="inlineStr">
        <x:is>
          <x:t xml:space="preserve">Muscort Cream</x:t>
        </x:is>
      </x:c>
      <x:c r="E14" t="inlineStr">
        <x:is>
          <x:t xml:space="preserve">หลอด 25 g.</x:t>
        </x:is>
      </x:c>
      <x:c r="F14" t="inlineStr">
        <x:is>
          <x:t xml:space="preserve">Menthol 5.44%+Methyl Salicylate 10.12%+Eugenol 1.36%</x:t>
        </x:is>
      </x:c>
      <x:c r="G14" t="inlineStr">
        <x:is>
          <x:t xml:space="preserve">BDS008608</x:t>
        </x:is>
      </x:c>
      <x:c r="H14" t="inlineStr">
        <x:is>
          <x:t xml:space="preserve">Muscort Cream (25 g.)</x:t>
        </x:is>
      </x:c>
      <x:c r="I14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14" t="inlineStr">
        <x:is>
          <x:t xml:space="preserve">Topical pain relief / topical NSAIDs</x:t>
        </x:is>
      </x:c>
    </x:row>
    <x:row r="15">
      <x:c r="A15" t="n">
        <x:v>650</x:v>
      </x:c>
      <x:c r="B15" t="inlineStr">
        <x:is>
          <x:t xml:space="preserve">ยาทาและยาพ่นแก้ปวดเมื่อย </x:t>
        </x:is>
      </x:c>
      <x:c r="C15" t="n">
        <x:v>2817</x:v>
      </x:c>
      <x:c r="D15" t="inlineStr">
        <x:is>
          <x:t xml:space="preserve">Neotica Balm เล็ก</x:t>
        </x:is>
      </x:c>
      <x:c r="E15" t="inlineStr">
        <x:is>
          <x:t xml:space="preserve">หลอด 30 g.</x:t>
        </x:is>
      </x:c>
      <x:c r="F15" t="inlineStr">
        <x:is>
          <x:t xml:space="preserve">Menthol 5.64 g.+Camphor 1.8 g.+Methyl Salicylate 12.5 g.+Eucalyptus oil 1.8 g.+Eugenol 1.36 g./100 g</x:t>
        </x:is>
      </x:c>
      <x:c r="G15" t="inlineStr">
        <x:is>
          <x:t xml:space="preserve">BDS002817</x:t>
        </x:is>
      </x:c>
      <x:c r="H15" t="inlineStr">
        <x:is>
          <x:t xml:space="preserve">Neotica Balm เล็ก (30 g.)</x:t>
        </x:is>
      </x:c>
      <x:c r="I15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15" t="inlineStr">
        <x:is>
          <x:t xml:space="preserve">Topical pain relief / topical NSAIDs</x:t>
        </x:is>
      </x:c>
    </x:row>
    <x:row r="16">
      <x:c r="A16" t="n">
        <x:v>651</x:v>
      </x:c>
      <x:c r="B16" t="inlineStr">
        <x:is>
          <x:t xml:space="preserve">ยาทาและยาพ่นแก้ปวดเมื่อย </x:t>
        </x:is>
      </x:c>
      <x:c r="C16" t="n">
        <x:v>2819</x:v>
      </x:c>
      <x:c r="D16" t="inlineStr">
        <x:is>
          <x:t xml:space="preserve">Neotica Balm ใหญ่</x:t>
        </x:is>
      </x:c>
      <x:c r="E16" t="inlineStr">
        <x:is>
          <x:t xml:space="preserve">หลอด 100 g.</x:t>
        </x:is>
      </x:c>
      <x:c r="F16" t="inlineStr">
        <x:is>
          <x:t xml:space="preserve">Menthol 5.64 g.+Camphor 1.8 g.+Methyl Salicylate 12.5 g.+Eucalyptus oil 1.8 g.+Eugenol 1.36 g./100 g</x:t>
        </x:is>
      </x:c>
      <x:c r="G16" t="inlineStr">
        <x:is>
          <x:t xml:space="preserve">BDS002819</x:t>
        </x:is>
      </x:c>
      <x:c r="H16" t="inlineStr">
        <x:is>
          <x:t xml:space="preserve">Neotica Balm ใหญ่ (100 g.)</x:t>
        </x:is>
      </x:c>
      <x:c r="I16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16" t="inlineStr">
        <x:is>
          <x:t xml:space="preserve">Topical pain relief / topical NSAIDs</x:t>
        </x:is>
      </x:c>
    </x:row>
    <x:row r="17">
      <x:c r="A17" t="n">
        <x:v>652</x:v>
      </x:c>
      <x:c r="B17" t="inlineStr">
        <x:is>
          <x:t xml:space="preserve">ยาทาและยาพ่นแก้ปวดเมื่อย </x:t>
        </x:is>
      </x:c>
      <x:c r="C17" t="n">
        <x:v>3118</x:v>
      </x:c>
      <x:c r="D17" t="inlineStr">
        <x:is>
          <x:t xml:space="preserve">Perskindol Classic Gel</x:t>
        </x:is>
      </x:c>
      <x:c r="E17" t="inlineStr">
        <x:is>
          <x:t xml:space="preserve">กล่อง 100 ml.</x:t>
        </x:is>
      </x:c>
      <x:c r="F17" t="inlineStr">
        <x:is>
          <x:t xml:space="preserve">Menthol 1.5%+Pine Needle Oil 1.35%+Wintergreen Oil 0.35%+Orange Oil 0.4%</x:t>
        </x:is>
      </x:c>
      <x:c r="G17" t="inlineStr">
        <x:is>
          <x:t xml:space="preserve">BDS003118</x:t>
        </x:is>
      </x:c>
      <x:c r="H17" t="inlineStr">
        <x:is>
          <x:t xml:space="preserve">Perskindol Classic Gel (100 ml.)</x:t>
        </x:is>
      </x:c>
      <x:c r="I17" t="inlineStr">
        <x:is>
          <x:t xml:space="preserve">ทาบริเวณที่มีอาการ วันละ 3-4 ครั้ง นวดเบาๆ จนเนื้อเจลซึมเข้าสู่ผิวหนัง</x:t>
        </x:is>
      </x:c>
      <x:c r="P17" t="inlineStr">
        <x:is>
          <x:t xml:space="preserve">Topical pain relief / topical NSAIDs</x:t>
        </x:is>
      </x:c>
    </x:row>
    <x:row r="18">
      <x:c r="A18" t="n">
        <x:v>653</x:v>
      </x:c>
      <x:c r="B18" t="inlineStr">
        <x:is>
          <x:t xml:space="preserve">ยาทาและยาพ่นแก้ปวดเมื่อย </x:t>
        </x:is>
      </x:c>
      <x:c r="C18" t="n">
        <x:v>3119</x:v>
      </x:c>
      <x:c r="D18" t="inlineStr">
        <x:is>
          <x:t xml:space="preserve">Perskindol Classic Spray</x:t>
        </x:is>
      </x:c>
      <x:c r="E18" t="inlineStr">
        <x:is>
          <x:t xml:space="preserve">กระป๋อง 150 ml.</x:t>
        </x:is>
      </x:c>
      <x:c r="F18" t="inlineStr">
        <x:is>
          <x:t xml:space="preserve">Menthol 1.5%+Pine Needle Oil 1.35%+Wintergreen Oil 0.35%+Orange Oil 0.4%+Lemon Oil 0.1%</x:t>
        </x:is>
      </x:c>
      <x:c r="G18" t="inlineStr">
        <x:is>
          <x:t xml:space="preserve">BDS003119</x:t>
        </x:is>
      </x:c>
      <x:c r="H18" t="inlineStr">
        <x:is>
          <x:t xml:space="preserve">Perskindol Classic Spray (150 ml.)</x:t>
        </x:is>
      </x:c>
      <x:c r="I18" t="inlineStr">
        <x:is>
          <x:t xml:space="preserve">ฉีดพ่นบริเวณที่มีอาการ วันละ 3-4 ครั้ง นวดเบาๆ</x:t>
        </x:is>
      </x:c>
      <x:c r="P18" t="inlineStr">
        <x:is>
          <x:t xml:space="preserve">Topical pain relief / topical NSAIDs</x:t>
        </x:is>
      </x:c>
    </x:row>
    <x:row r="19">
      <x:c r="A19" t="n">
        <x:v>654</x:v>
      </x:c>
      <x:c r="B19" t="inlineStr">
        <x:is>
          <x:t xml:space="preserve">ยาทาและยาพ่นแก้ปวดเมื่อย </x:t>
        </x:is>
      </x:c>
      <x:c r="C19" t="n">
        <x:v>3117</x:v>
      </x:c>
      <x:c r="D19" t="inlineStr">
        <x:is>
          <x:t xml:space="preserve">Perskindol Cool Spray</x:t>
        </x:is>
      </x:c>
      <x:c r="E19" t="inlineStr">
        <x:is>
          <x:t xml:space="preserve">กระป๋อง 250 ml.</x:t>
        </x:is>
      </x:c>
      <x:c r="F19" t="inlineStr">
        <x:is>
          <x:t xml:space="preserve">I-Menthol 5 mg./1 g.</x:t>
        </x:is>
      </x:c>
      <x:c r="G19" t="inlineStr">
        <x:is>
          <x:t xml:space="preserve">BDS003117</x:t>
        </x:is>
      </x:c>
      <x:c r="H19" t="inlineStr">
        <x:is>
          <x:t xml:space="preserve">Perskindol Cool Spray (250 ml.)</x:t>
        </x:is>
      </x:c>
      <x:c r="I19" t="inlineStr">
        <x:is>
          <x:t xml:space="preserve">ฉีดพ่นบริเวณที่มีอาการ ได้บ่อยครั้งตามต้องการ</x:t>
        </x:is>
      </x:c>
      <x:c r="P19" t="inlineStr">
        <x:is>
          <x:t xml:space="preserve">Topical pain relief / topical NSAIDs</x:t>
        </x:is>
      </x:c>
    </x:row>
    <x:row r="20">
      <x:c r="A20" t="n">
        <x:v>655</x:v>
      </x:c>
      <x:c r="B20" t="inlineStr">
        <x:is>
          <x:t xml:space="preserve">ยาทาและยาพ่นแก้ปวดเมื่อย </x:t>
        </x:is>
      </x:c>
      <x:c r="C20" t="n">
        <x:v>46527</x:v>
      </x:c>
      <x:c r="D20" t="inlineStr">
        <x:is>
          <x:t xml:space="preserve">Plaivana Cream</x:t>
        </x:is>
      </x:c>
      <x:c r="E20" t="inlineStr">
        <x:is>
          <x:t xml:space="preserve">หลอด 35 g.</x:t>
        </x:is>
      </x:c>
      <x:c r="F20" t="inlineStr">
        <x:is>
          <x:t xml:space="preserve">น้ำมันไพล 14 g./100 g.</x:t>
        </x:is>
      </x:c>
      <x:c r="G20" t="inlineStr">
        <x:is>
          <x:t xml:space="preserve">BDS046527</x:t>
        </x:is>
      </x:c>
      <x:c r="H20" t="inlineStr">
        <x:is>
          <x:t xml:space="preserve">Plaivana Cream (35 g.)</x:t>
        </x:is>
      </x:c>
      <x:c r="I20" t="inlineStr">
        <x:is>
          <x:t xml:space="preserve">นวดหรือทาบริเวณที่มีอาการ วันละ 2-3 ครั้ง</x:t>
        </x:is>
      </x:c>
      <x:c r="P20" t="inlineStr">
        <x:is>
          <x:t xml:space="preserve">Topical pain relief / topical NSAIDs</x:t>
        </x:is>
      </x:c>
    </x:row>
    <x:row r="21">
      <x:c r="A21" t="n">
        <x:v>656</x:v>
      </x:c>
      <x:c r="B21" t="inlineStr">
        <x:is>
          <x:t xml:space="preserve">ยาทาและยาพ่นแก้ปวดเมื่อย </x:t>
        </x:is>
      </x:c>
      <x:c r="C21" t="n">
        <x:v>2875</x:v>
      </x:c>
      <x:c r="D21" t="inlineStr">
        <x:is>
          <x:t xml:space="preserve">Reparil Ice Spray</x:t>
        </x:is>
      </x:c>
      <x:c r="E21" t="inlineStr">
        <x:is>
          <x:t xml:space="preserve">กระป๋อง 200 ml.</x:t>
        </x:is>
      </x:c>
      <x:c r="F21" t="inlineStr">
        <x:is>
          <x:t xml:space="preserve">Butane+Pentane+Isobutane+Propane+Isopropyl alcohol+Menthol+Camphor</x:t>
        </x:is>
      </x:c>
      <x:c r="G21" t="inlineStr">
        <x:is>
          <x:t xml:space="preserve">BDS002875</x:t>
        </x:is>
      </x:c>
      <x:c r="H21" t="inlineStr">
        <x:is>
          <x:t xml:space="preserve">Reparil Ice Spray (200 ml.)</x:t>
        </x:is>
      </x:c>
      <x:c r="I21" t="inlineStr">
        <x:is>
          <x:t xml:space="preserve"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x:t>
        </x:is>
      </x:c>
      <x:c r="P21" t="inlineStr">
        <x:is>
          <x:t xml:space="preserve">Topical pain relief / topical NSAIDs</x:t>
        </x:is>
      </x:c>
    </x:row>
    <x:row r="22">
      <x:c r="A22" t="n">
        <x:v>657</x:v>
      </x:c>
      <x:c r="B22" t="inlineStr">
        <x:is>
          <x:t xml:space="preserve">ยาทาและยาพ่นแก้ปวดเมื่อย </x:t>
        </x:is>
      </x:c>
      <x:c r="C22" t="n">
        <x:v>3602</x:v>
      </x:c>
      <x:c r="D22" t="inlineStr">
        <x:is>
          <x:t xml:space="preserve">Salonpas Cream</x:t>
        </x:is>
      </x:c>
      <x:c r="E22" t="inlineStr">
        <x:is>
          <x:t xml:space="preserve">หลอด 30 g.</x:t>
        </x:is>
      </x:c>
      <x:c r="F22" t="inlineStr">
        <x:is>
          <x:t xml:space="preserve">Methyl salicylate 15 g.+Menthol 7 g./100 g. </x:t>
        </x:is>
      </x:c>
      <x:c r="G22" t="inlineStr">
        <x:is>
          <x:t xml:space="preserve">BDS003602</x:t>
        </x:is>
      </x:c>
      <x:c r="H22" t="inlineStr">
        <x:is>
          <x:t xml:space="preserve">Salonpas Cream (30 g.)</x:t>
        </x:is>
      </x:c>
      <x:c r="I22" t="inlineStr">
        <x:is>
          <x:t xml:space="preserve">ทาบริเวณที่มีอาการ ไม่เกินวันละ 3-4 ครั้ง </x:t>
        </x:is>
      </x:c>
      <x:c r="P22" t="inlineStr">
        <x:is>
          <x:t xml:space="preserve">Topical pain relief / topical NSAIDs</x:t>
        </x:is>
      </x:c>
    </x:row>
    <x:row r="23">
      <x:c r="A23" t="n">
        <x:v>798</x:v>
      </x:c>
      <x:c r="B23" t="inlineStr">
        <x:is>
          <x:t xml:space="preserve">ยาทาและยาพ่นแก้ปวดอักเสบ NSAIDs</x:t>
        </x:is>
      </x:c>
      <x:c r="C23" t="n">
        <x:v>1470</x:v>
      </x:c>
      <x:c r="D23" t="inlineStr">
        <x:is>
          <x:t xml:space="preserve">Counterpain Plus</x:t>
        </x:is>
      </x:c>
      <x:c r="E23" t="inlineStr">
        <x:is>
          <x:t xml:space="preserve">หลอด 25 g.</x:t>
        </x:is>
      </x:c>
      <x:c r="F23" t="inlineStr">
        <x:is>
          <x:t xml:space="preserve">Piroxicam 0.5%+Methyl salicylate 10.2%+Menthol 5.43%+Eugenol 1.37%</x:t>
        </x:is>
      </x:c>
      <x:c r="G23" t="inlineStr">
        <x:is>
          <x:t xml:space="preserve">BDS001470</x:t>
        </x:is>
      </x:c>
      <x:c r="H23" t="inlineStr">
        <x:is>
          <x:t xml:space="preserve">Counterpain Plus (25 g.)</x:t>
        </x:is>
      </x:c>
      <x:c r="I23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23" t="inlineStr">
        <x:is>
          <x:t xml:space="preserve">Topical pain relief / topical NSAIDs</x:t>
        </x:is>
      </x:c>
    </x:row>
    <x:row r="24">
      <x:c r="A24" t="n">
        <x:v>799</x:v>
      </x:c>
      <x:c r="B24" t="inlineStr">
        <x:is>
          <x:t xml:space="preserve">ยาทาและยาพ่นแก้ปวดอักเสบ NSAIDs</x:t>
        </x:is>
      </x:c>
      <x:c r="C24" t="n">
        <x:v>1656</x:v>
      </x:c>
      <x:c r="D24" t="inlineStr">
        <x:is>
          <x:t xml:space="preserve">Difelene Gel เล็ก</x:t>
        </x:is>
      </x:c>
      <x:c r="E24" t="inlineStr">
        <x:is>
          <x:t xml:space="preserve">หลอด 30 g.</x:t>
        </x:is>
      </x:c>
      <x:c r="F24" t="inlineStr">
        <x:is>
          <x:t xml:space="preserve">Diclofenac diethylammonium 1.16 g./100 g (eq. to Diclofenac Sodium 1.0 g)</x:t>
        </x:is>
      </x:c>
      <x:c r="G24" t="inlineStr">
        <x:is>
          <x:t xml:space="preserve">BDS001656</x:t>
        </x:is>
      </x:c>
      <x:c r="H24" t="inlineStr">
        <x:is>
          <x:t xml:space="preserve">Difelene Gel เล็ก (30 g.)</x:t>
        </x:is>
      </x:c>
      <x:c r="I24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24" t="inlineStr">
        <x:is>
          <x:t xml:space="preserve">Topical pain relief / topical NSAIDs</x:t>
        </x:is>
      </x:c>
    </x:row>
    <x:row r="25">
      <x:c r="A25" t="n">
        <x:v>800</x:v>
      </x:c>
      <x:c r="B25" t="inlineStr">
        <x:is>
          <x:t xml:space="preserve">ยาทาและยาพ่นแก้ปวดอักเสบ NSAIDs</x:t>
        </x:is>
      </x:c>
      <x:c r="C25" t="n">
        <x:v>1654</x:v>
      </x:c>
      <x:c r="D25" t="inlineStr">
        <x:is>
          <x:t xml:space="preserve">Difelene Gel ใหญ่</x:t>
        </x:is>
      </x:c>
      <x:c r="E25" t="inlineStr">
        <x:is>
          <x:t xml:space="preserve">หลอด 60 g.</x:t>
        </x:is>
      </x:c>
      <x:c r="F25" t="inlineStr">
        <x:is>
          <x:t xml:space="preserve">Diclofenac diethylammonium 1.16 g./100 g (eq. to Diclofenac Sodium 1.0 g).</x:t>
        </x:is>
      </x:c>
      <x:c r="G25" t="inlineStr">
        <x:is>
          <x:t xml:space="preserve">BDS001654</x:t>
        </x:is>
      </x:c>
      <x:c r="H25" t="inlineStr">
        <x:is>
          <x:t xml:space="preserve">Difelene Gel ใหญ่ (60 g.)</x:t>
        </x:is>
      </x:c>
      <x:c r="I25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25" t="inlineStr">
        <x:is>
          <x:t xml:space="preserve">Topical pain relief / topical NSAIDs</x:t>
        </x:is>
      </x:c>
    </x:row>
    <x:row r="26">
      <x:c r="A26" t="n">
        <x:v>801</x:v>
      </x:c>
      <x:c r="B26" t="inlineStr">
        <x:is>
          <x:t xml:space="preserve">ยาทาและยาพ่นแก้ปวดอักเสบ NSAIDs</x:t>
        </x:is>
      </x:c>
      <x:c r="C26" t="n">
        <x:v>1806</x:v>
      </x:c>
      <x:c r="D26" t="inlineStr">
        <x:is>
          <x:t xml:space="preserve">Elmetacin พ่นแก้ปวด</x:t>
        </x:is>
      </x:c>
      <x:c r="E26" t="inlineStr">
        <x:is>
          <x:t xml:space="preserve">ขวด 50 ml.</x:t>
        </x:is>
      </x:c>
      <x:c r="F26" t="inlineStr">
        <x:is>
          <x:t xml:space="preserve">Indomethacin 8 mg./0.8 g.</x:t>
        </x:is>
      </x:c>
      <x:c r="G26" t="inlineStr">
        <x:is>
          <x:t xml:space="preserve">BDS001806</x:t>
        </x:is>
      </x:c>
      <x:c r="H26" t="inlineStr">
        <x:is>
          <x:t xml:space="preserve">Elmetacin พ่นแก้ปวด (50 ml.)</x:t>
        </x:is>
      </x:c>
      <x:c r="I26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26" t="inlineStr">
        <x:is>
          <x:t xml:space="preserve">Topical pain relief / topical NSAIDs</x:t>
        </x:is>
      </x:c>
    </x:row>
    <x:row r="27">
      <x:c r="A27" t="n">
        <x:v>802</x:v>
      </x:c>
      <x:c r="B27" t="inlineStr">
        <x:is>
          <x:t xml:space="preserve">ยาทาและยาพ่นแก้ปวดอักเสบ NSAIDs</x:t>
        </x:is>
      </x:c>
      <x:c r="C27" t="n">
        <x:v>6242</x:v>
      </x:c>
      <x:c r="D27" t="inlineStr">
        <x:is>
          <x:t xml:space="preserve">Fastum Gel</x:t>
        </x:is>
      </x:c>
      <x:c r="E27" t="inlineStr">
        <x:is>
          <x:t xml:space="preserve">หลอด 30 g.</x:t>
        </x:is>
      </x:c>
      <x:c r="F27" t="inlineStr">
        <x:is>
          <x:t xml:space="preserve">Ketoprofen 2.5%</x:t>
        </x:is>
      </x:c>
      <x:c r="G27" t="inlineStr">
        <x:is>
          <x:t xml:space="preserve">BDS006242</x:t>
        </x:is>
      </x:c>
      <x:c r="H27" t="inlineStr">
        <x:is>
          <x:t xml:space="preserve">Fastum Gel (30 g.)</x:t>
        </x:is>
      </x:c>
      <x:c r="I27" t="inlineStr">
        <x:is>
          <x:t xml:space="preserve">ทาเจลบางๆ บริเวณที่มีอาการ วันละ 1-2 ครั้ง</x:t>
        </x:is>
      </x:c>
      <x:c r="P27" t="inlineStr">
        <x:is>
          <x:t xml:space="preserve">Topical pain relief / topical NSAIDs</x:t>
        </x:is>
      </x:c>
    </x:row>
    <x:row r="28">
      <x:c r="A28" t="n">
        <x:v>803</x:v>
      </x:c>
      <x:c r="B28" t="inlineStr">
        <x:is>
          <x:t xml:space="preserve">ยาทาและยาพ่นแก้ปวดอักเสบ NSAIDs</x:t>
        </x:is>
      </x:c>
      <x:c r="C28" t="n">
        <x:v>7952</x:v>
      </x:c>
      <x:c r="D28" t="inlineStr">
        <x:is>
          <x:t xml:space="preserve">Felgesic Gel</x:t>
        </x:is>
      </x:c>
      <x:c r="E28" t="inlineStr">
        <x:is>
          <x:t xml:space="preserve">หลอด 30 g.</x:t>
        </x:is>
      </x:c>
      <x:c r="F28" t="inlineStr">
        <x:is>
          <x:t xml:space="preserve">Piroxicam 0.5 g/100 ml.</x:t>
        </x:is>
      </x:c>
      <x:c r="G28" t="inlineStr">
        <x:is>
          <x:t xml:space="preserve">BDS007952</x:t>
        </x:is>
      </x:c>
      <x:c r="H28" t="inlineStr">
        <x:is>
          <x:t xml:space="preserve">Felgesic Gel (30 g.)</x:t>
        </x:is>
      </x:c>
      <x:c r="I28" t="inlineStr">
        <x:is>
          <x:t xml:space="preserve">ทาบริเวณที่มีอาการปวด วันละ 2-3 ครั้ง</x:t>
        </x:is>
      </x:c>
      <x:c r="P28" t="inlineStr">
        <x:is>
          <x:t xml:space="preserve">Topical pain relief / topical NSAIDs</x:t>
        </x:is>
      </x:c>
    </x:row>
    <x:row r="29">
      <x:c r="A29" t="n">
        <x:v>804</x:v>
      </x:c>
      <x:c r="B29" t="inlineStr">
        <x:is>
          <x:t xml:space="preserve">ยาทาและยาพ่นแก้ปวดอักเสบ NSAIDs</x:t>
        </x:is>
      </x:c>
      <x:c r="C29" t="n">
        <x:v>1917</x:v>
      </x:c>
      <x:c r="D29" t="inlineStr">
        <x:is>
          <x:t xml:space="preserve">Flamic Gel</x:t>
        </x:is>
      </x:c>
      <x:c r="E29" t="inlineStr">
        <x:is>
          <x:t xml:space="preserve">หลอด 25 g.</x:t>
        </x:is>
      </x:c>
      <x:c r="F29" t="inlineStr">
        <x:is>
          <x:t xml:space="preserve">Piroxicam 5 mg./1 g.</x:t>
        </x:is>
      </x:c>
      <x:c r="G29" t="inlineStr">
        <x:is>
          <x:t xml:space="preserve">BDS001917</x:t>
        </x:is>
      </x:c>
      <x:c r="H29" t="inlineStr">
        <x:is>
          <x:t xml:space="preserve">Flamic Gel (25 g.)</x:t>
        </x:is>
      </x:c>
      <x:c r="I29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29" t="inlineStr">
        <x:is>
          <x:t xml:space="preserve">Topical pain relief / topical NSAIDs</x:t>
        </x:is>
      </x:c>
    </x:row>
    <x:row r="30">
      <x:c r="A30" t="n">
        <x:v>805</x:v>
      </x:c>
      <x:c r="B30" t="inlineStr">
        <x:is>
          <x:t xml:space="preserve">ยาทาและยาพ่นแก้ปวดอักเสบ NSAIDs</x:t>
        </x:is>
      </x:c>
      <x:c r="C30" t="n">
        <x:v>2684</x:v>
      </x:c>
      <x:c r="D30" t="inlineStr">
        <x:is>
          <x:t xml:space="preserve">M-Cin</x:t>
        </x:is>
      </x:c>
      <x:c r="E30" t="inlineStr">
        <x:is>
          <x:t xml:space="preserve">ขวด 50 ml.</x:t>
        </x:is>
      </x:c>
      <x:c r="F30" t="inlineStr">
        <x:is>
          <x:t xml:space="preserve">Indomethacin 8 mg./1 ml.</x:t>
        </x:is>
      </x:c>
      <x:c r="G30" t="inlineStr">
        <x:is>
          <x:t xml:space="preserve">BDS002684</x:t>
        </x:is>
      </x:c>
      <x:c r="H30" t="inlineStr">
        <x:is>
          <x:t xml:space="preserve">M-Cin (50 ml.)</x:t>
        </x:is>
      </x:c>
      <x:c r="I30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30" t="inlineStr">
        <x:is>
          <x:t xml:space="preserve">Topical pain relief / topical NSAIDs</x:t>
        </x:is>
      </x:c>
    </x:row>
    <x:row r="31">
      <x:c r="A31" t="n">
        <x:v>806</x:v>
      </x:c>
      <x:c r="B31" t="inlineStr">
        <x:is>
          <x:t xml:space="preserve">ยาทาและยาพ่นแก้ปวดอักเสบ NSAIDs</x:t>
        </x:is>
      </x:c>
      <x:c r="C31" t="n">
        <x:v>7574</x:v>
      </x:c>
      <x:c r="D31" t="inlineStr">
        <x:is>
          <x:t xml:space="preserve">Neofenac Gel เล็ก</x:t>
        </x:is>
      </x:c>
      <x:c r="E31" t="inlineStr">
        <x:is>
          <x:t xml:space="preserve">หลอด 20 g.</x:t>
        </x:is>
      </x:c>
      <x:c r="F31" t="inlineStr">
        <x:is>
          <x:t xml:space="preserve">Diclofenac Sodium 1 g./100 g.</x:t>
        </x:is>
      </x:c>
      <x:c r="G31" t="inlineStr">
        <x:is>
          <x:t xml:space="preserve">BDS007574</x:t>
        </x:is>
      </x:c>
      <x:c r="H31" t="inlineStr">
        <x:is>
          <x:t xml:space="preserve">Neofenac Gel เล็ก (20 g.)</x:t>
        </x:is>
      </x:c>
      <x:c r="I31" t="inlineStr">
        <x:is>
          <x:t xml:space="preserve">ทาเจลบางๆ บริเวณที่มีอาการ วันละ 2-4 ครั้ง</x:t>
        </x:is>
      </x:c>
      <x:c r="P31" t="inlineStr">
        <x:is>
          <x:t xml:space="preserve">Topical pain relief / topical NSAIDs</x:t>
        </x:is>
      </x:c>
    </x:row>
    <x:row r="32">
      <x:c r="A32" t="n">
        <x:v>807</x:v>
      </x:c>
      <x:c r="B32" t="inlineStr">
        <x:is>
          <x:t xml:space="preserve">ยาทาและยาพ่นแก้ปวดอักเสบ NSAIDs</x:t>
        </x:is>
      </x:c>
      <x:c r="C32" t="n">
        <x:v>7575</x:v>
      </x:c>
      <x:c r="D32" t="inlineStr">
        <x:is>
          <x:t xml:space="preserve">Neofenac Gel ใหญ่</x:t>
        </x:is>
      </x:c>
      <x:c r="E32" t="inlineStr">
        <x:is>
          <x:t xml:space="preserve">หลอด 50 g.</x:t>
        </x:is>
      </x:c>
      <x:c r="F32" t="inlineStr">
        <x:is>
          <x:t xml:space="preserve">Diclofenac Sodium 1 g./100 g.</x:t>
        </x:is>
      </x:c>
      <x:c r="G32" t="inlineStr">
        <x:is>
          <x:t xml:space="preserve">BDS007575</x:t>
        </x:is>
      </x:c>
      <x:c r="H32" t="inlineStr">
        <x:is>
          <x:t xml:space="preserve">Neofenac Gel ใหญ่ (50 g.)</x:t>
        </x:is>
      </x:c>
      <x:c r="I32" t="inlineStr">
        <x:is>
          <x:t xml:space="preserve">ทาเจลบางๆ บริเวณที่มีอาการ วันละ 2-4 ครั้ง</x:t>
        </x:is>
      </x:c>
      <x:c r="P32" t="inlineStr">
        <x:is>
          <x:t xml:space="preserve">Topical pain relief / topical NSAIDs</x:t>
        </x:is>
      </x:c>
    </x:row>
    <x:row r="33">
      <x:c r="A33" t="n">
        <x:v>808</x:v>
      </x:c>
      <x:c r="B33" t="inlineStr">
        <x:is>
          <x:t xml:space="preserve">ยาทาและยาพ่นแก้ปวดอักเสบ NSAIDs</x:t>
        </x:is>
      </x:c>
      <x:c r="C33" t="n">
        <x:v>45623</x:v>
      </x:c>
      <x:c r="D33" t="inlineStr">
        <x:is>
          <x:t xml:space="preserve">Neotica Cool</x:t>
        </x:is>
      </x:c>
      <x:c r="E33" t="inlineStr">
        <x:is>
          <x:t xml:space="preserve">หลอด 30 g.</x:t>
        </x:is>
      </x:c>
      <x:c r="F33" t="inlineStr">
        <x:is>
          <x:t xml:space="preserve">Piroxicam 5 mg./1 g.</x:t>
        </x:is>
      </x:c>
      <x:c r="G33" t="inlineStr">
        <x:is>
          <x:t xml:space="preserve">BDS045623</x:t>
        </x:is>
      </x:c>
      <x:c r="H33" t="inlineStr">
        <x:is>
          <x:t xml:space="preserve">Neotica Cool (30 g.)</x:t>
        </x:is>
      </x:c>
      <x:c r="I33" t="inlineStr">
        <x:is>
          <x:t xml:space="preserve">ทา (นวด) เบาๆ บริเวณที่มีอาการ จนกระทั่งยาซึมเข้าผิวหนัง วันละ 2-4 ครั้ง</x:t>
        </x:is>
      </x:c>
      <x:c r="P33" t="inlineStr">
        <x:is>
          <x:t xml:space="preserve">Topical pain relief / topical NSAIDs</x:t>
        </x:is>
      </x:c>
    </x:row>
    <x:row r="34">
      <x:c r="A34" t="n">
        <x:v>809</x:v>
      </x:c>
      <x:c r="B34" t="inlineStr">
        <x:is>
          <x:t xml:space="preserve">ยาทาและยาพ่นแก้ปวดอักเสบ NSAIDs</x:t>
        </x:is>
      </x:c>
      <x:c r="C34" t="n">
        <x:v>6730</x:v>
      </x:c>
      <x:c r="D34" t="inlineStr">
        <x:is>
          <x:t xml:space="preserve">N-Zen Gel ใหญ่</x:t>
        </x:is>
      </x:c>
      <x:c r="E34" t="inlineStr">
        <x:is>
          <x:t xml:space="preserve">หลอด 60 g.</x:t>
        </x:is>
      </x:c>
      <x:c r="F34" t="inlineStr">
        <x:is>
          <x:t xml:space="preserve">Diclofenac Sodium 1 g./100 g.</x:t>
        </x:is>
      </x:c>
      <x:c r="G34" t="inlineStr">
        <x:is>
          <x:t xml:space="preserve">BDS006730</x:t>
        </x:is>
      </x:c>
      <x:c r="H34" t="inlineStr">
        <x:is>
          <x:t xml:space="preserve">N-Zen Gel ใหญ่ (60 g.)</x:t>
        </x:is>
      </x:c>
      <x:c r="I34" t="inlineStr">
        <x:is>
          <x:t xml:space="preserve">ทาบริเวณที่เป็น แล้วนวดเบาๆ   วันละ 3-4 ครั้ง</x:t>
        </x:is>
      </x:c>
      <x:c r="P34" t="inlineStr">
        <x:is>
          <x:t xml:space="preserve">Topical pain relief / topical NSAIDs</x:t>
        </x:is>
      </x:c>
    </x:row>
    <x:row r="35">
      <x:c r="A35" t="n">
        <x:v>810</x:v>
      </x:c>
      <x:c r="B35" t="inlineStr">
        <x:is>
          <x:t xml:space="preserve">ยาทาและยาพ่นแก้ปวดอักเสบ NSAIDs</x:t>
        </x:is>
      </x:c>
      <x:c r="C35" t="n">
        <x:v>6814</x:v>
      </x:c>
      <x:c r="D35" t="inlineStr">
        <x:is>
          <x:t xml:space="preserve">Painelief Cool Gel</x:t>
        </x:is>
      </x:c>
      <x:c r="E35" t="inlineStr">
        <x:is>
          <x:t xml:space="preserve">หลอด 30 g.</x:t>
        </x:is>
      </x:c>
      <x:c r="F35" t="inlineStr">
        <x:is>
          <x:t xml:space="preserve">Diclofenac Sodium (as diethylammonium) 10 mg.</x:t>
        </x:is>
      </x:c>
      <x:c r="G35" t="inlineStr">
        <x:is>
          <x:t xml:space="preserve">BDS006814</x:t>
        </x:is>
      </x:c>
      <x:c r="H35" t="inlineStr">
        <x:is>
          <x:t xml:space="preserve">Painelief Cool Gel (30 g.)</x:t>
        </x:is>
      </x:c>
      <x:c r="I35" t="inlineStr">
        <x:is>
          <x:t xml:space="preserve">ทาบริเวณที่มีอาการ วันละ 3-4 ครั้ง</x:t>
        </x:is>
      </x:c>
      <x:c r="P35" t="inlineStr">
        <x:is>
          <x:t xml:space="preserve">Topical pain relief / topical NSAIDs</x:t>
        </x:is>
      </x:c>
    </x:row>
    <x:row r="36">
      <x:c r="A36" t="n">
        <x:v>811</x:v>
      </x:c>
      <x:c r="B36" t="inlineStr">
        <x:is>
          <x:t xml:space="preserve">ยาทาและยาพ่นแก้ปวดอักเสบ NSAIDs</x:t>
        </x:is>
      </x:c>
      <x:c r="C36" t="n">
        <x:v>46515</x:v>
      </x:c>
      <x:c r="D36" t="inlineStr">
        <x:is>
          <x:t xml:space="preserve">Painelief Cool Gel ใหญ่</x:t>
        </x:is>
      </x:c>
      <x:c r="E36" t="inlineStr">
        <x:is>
          <x:t xml:space="preserve">หลอด 60 g.</x:t>
        </x:is>
      </x:c>
      <x:c r="F36" t="inlineStr">
        <x:is>
          <x:t xml:space="preserve">Diclofenac Sodium (as diethylammonium) 10 mg.</x:t>
        </x:is>
      </x:c>
      <x:c r="G36" t="inlineStr">
        <x:is>
          <x:t xml:space="preserve">BDS046515</x:t>
        </x:is>
      </x:c>
      <x:c r="H36" t="inlineStr">
        <x:is>
          <x:t xml:space="preserve">Painelief Cool Gel ใหญ่ (60 g.)</x:t>
        </x:is>
      </x:c>
      <x:c r="I36" t="inlineStr">
        <x:is>
          <x:t xml:space="preserve">ทาบริเวณที่มีอาการ วันละ 3-4 ครั้ง</x:t>
        </x:is>
      </x:c>
      <x:c r="P36" t="inlineStr">
        <x:is>
          <x:t xml:space="preserve">Topical pain relief / topical NSAIDs</x:t>
        </x:is>
      </x:c>
    </x:row>
    <x:row r="37">
      <x:c r="A37" t="n">
        <x:v>812</x:v>
      </x:c>
      <x:c r="B37" t="inlineStr">
        <x:is>
          <x:t xml:space="preserve">ยาทาและยาพ่นแก้ปวดอักเสบ NSAIDs</x:t>
        </x:is>
      </x:c>
      <x:c r="C37" t="n">
        <x:v>7224</x:v>
      </x:c>
      <x:c r="D37" t="inlineStr">
        <x:is>
          <x:t xml:space="preserve">Piridene Gel</x:t>
        </x:is>
      </x:c>
      <x:c r="E37" t="inlineStr">
        <x:is>
          <x:t xml:space="preserve">หลอด 25 g.</x:t>
        </x:is>
      </x:c>
      <x:c r="F37" t="inlineStr">
        <x:is>
          <x:t xml:space="preserve">Piroxicam 0.5 g./100 g.</x:t>
        </x:is>
      </x:c>
      <x:c r="G37" t="inlineStr">
        <x:is>
          <x:t xml:space="preserve">BDS007224</x:t>
        </x:is>
      </x:c>
      <x:c r="H37" t="inlineStr">
        <x:is>
          <x:t xml:space="preserve">Piridene Gel (25 g.)</x:t>
        </x:is>
      </x:c>
      <x:c r="I37" t="inlineStr">
        <x:is>
          <x:t xml:space="preserve">ทาเจลบางๆ บริเวณที่มีอาการ วันละ 2-4 ครั้ง</x:t>
        </x:is>
      </x:c>
      <x:c r="P37" t="inlineStr">
        <x:is>
          <x:t xml:space="preserve">Topical pain relief / topical NSAIDs</x:t>
        </x:is>
      </x:c>
    </x:row>
    <x:row r="38">
      <x:c r="A38" t="n">
        <x:v>813</x:v>
      </x:c>
      <x:c r="B38" t="inlineStr">
        <x:is>
          <x:t xml:space="preserve">ยาทาและยาพ่นแก้ปวดอักเสบ NSAIDs</x:t>
        </x:is>
      </x:c>
      <x:c r="C38" t="n">
        <x:v>47729</x:v>
      </x:c>
      <x:c r="D38" t="inlineStr">
        <x:is>
          <x:t xml:space="preserve">Satogesic Gel</x:t>
        </x:is>
      </x:c>
      <x:c r="E38" t="inlineStr">
        <x:is>
          <x:t xml:space="preserve">หลอด 35 g.</x:t>
        </x:is>
      </x:c>
      <x:c r="F38" t="inlineStr">
        <x:is>
          <x:t xml:space="preserve">Indomethacin 0.75 g + L-menthol  0.3 g.</x:t>
        </x:is>
      </x:c>
      <x:c r="G38" t="inlineStr">
        <x:is>
          <x:t xml:space="preserve">BDS047729</x:t>
        </x:is>
      </x:c>
      <x:c r="H38" t="inlineStr">
        <x:is>
          <x:t xml:space="preserve">Satogesic Gel (35 g.)</x:t>
        </x:is>
      </x:c>
      <x:c r="I38" t="inlineStr">
        <x:is>
          <x:t xml:space="preserve">ทายาในปริมาณที่เหมาะสมบริเวณที่มีอาการ </x:t>
        </x:is>
      </x:c>
      <x:c r="P38" t="inlineStr">
        <x:is>
          <x:t xml:space="preserve">Topical pain relief / topical NSAIDs</x:t>
        </x:is>
      </x:c>
    </x:row>
    <x:row r="39">
      <x:c r="A39" t="n">
        <x:v>814</x:v>
      </x:c>
      <x:c r="B39" t="inlineStr">
        <x:is>
          <x:t xml:space="preserve">ยาทาและยาพ่นแก้ปวดอักเสบ NSAIDs</x:t>
        </x:is>
      </x:c>
      <x:c r="C39" t="n">
        <x:v>3914</x:v>
      </x:c>
      <x:c r="D39" t="inlineStr">
        <x:is>
          <x:t xml:space="preserve">Uniren Spray</x:t>
        </x:is>
      </x:c>
      <x:c r="E39" t="inlineStr">
        <x:is>
          <x:t xml:space="preserve">ขวด 60 ml.</x:t>
        </x:is>
      </x:c>
      <x:c r="F39" t="inlineStr">
        <x:is>
          <x:t xml:space="preserve">Diclofenac Sodium 1 % w/w</x:t>
        </x:is>
      </x:c>
      <x:c r="G39" t="inlineStr">
        <x:is>
          <x:t xml:space="preserve">BDS003914</x:t>
        </x:is>
      </x:c>
      <x:c r="H39" t="inlineStr">
        <x:is>
          <x:t xml:space="preserve">Uniren Spray (60 ml.)</x:t>
        </x:is>
      </x:c>
      <x:c r="I39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K39" t="n">
        <x:v>346</x:v>
      </x:c>
      <x:c r="L39" t="n">
        <x:v>5.77</x:v>
      </x:c>
      <x:c r="M39" t="inlineStr">
        <x:is>
          <x:t xml:space="preserve">USER</x:t>
        </x:is>
      </x:c>
      <x:c r="N39" t="inlineStr">
        <x:is>
          <x:t xml:space="preserve">2026-02-07</x:t>
        </x:is>
      </x:c>
      <x:c r="O39" t="inlineStr">
        <x:is>
          <x:t xml:space="preserve">User provided price (Uniren Spray 60 ml).</x:t>
        </x:is>
      </x:c>
      <x:c r="P39" t="inlineStr">
        <x:is>
          <x:t xml:space="preserve">Topical pain relief / topical NSAIDs</x:t>
        </x:is>
      </x:c>
    </x:row>
    <x:row r="40">
      <x:c r="A40" t="n">
        <x:v>815</x:v>
      </x:c>
      <x:c r="B40" t="inlineStr">
        <x:is>
          <x:t xml:space="preserve">ยาทาและยาพ่นแก้ปวดอักเสบ NSAIDs</x:t>
        </x:is>
      </x:c>
      <x:c r="C40" t="n">
        <x:v>4043</x:v>
      </x:c>
      <x:c r="D40" t="inlineStr">
        <x:is>
          <x:t xml:space="preserve">Voltaren Emulgel กลาง</x:t>
        </x:is>
      </x:c>
      <x:c r="E40" t="inlineStr">
        <x:is>
          <x:t xml:space="preserve">หลอด 25 g.</x:t>
        </x:is>
      </x:c>
      <x:c r="F40" t="inlineStr">
        <x:is>
          <x:t xml:space="preserve">Diclofenac Sodium 1 g./100 g.</x:t>
        </x:is>
      </x:c>
      <x:c r="G40" t="inlineStr">
        <x:is>
          <x:t xml:space="preserve">BDS004043</x:t>
        </x:is>
      </x:c>
      <x:c r="H40" t="inlineStr">
        <x:is>
          <x:t xml:space="preserve">Voltaren Emulgel กลาง (25 g.)</x:t>
        </x:is>
      </x:c>
      <x:c r="I4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K40" t="n">
        <x:v>235</x:v>
      </x:c>
      <x:c r="L40" t="n">
        <x:v>235</x:v>
      </x:c>
      <x:c r="M40" t="inlineStr">
        <x:is>
          <x:t xml:space="preserve"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x:t>
        </x:is>
      </x:c>
      <x:c r="N40" t="inlineStr">
        <x:is>
          <x:t xml:space="preserve">2026-02-07</x:t>
        </x:is>
      </x:c>
      <x:c r="O40" t="inlineStr">
        <x:is>
          <x:t xml:space="preserve">Page shows 25 g variant; price fields are inconsistent—used 235 THB as best visible pack price.</x:t>
        </x:is>
      </x:c>
      <x:c r="P40" t="inlineStr">
        <x:is>
          <x:t xml:space="preserve">Topical pain relief / topical NSAIDs</x:t>
        </x:is>
      </x:c>
    </x:row>
    <x:row r="41">
      <x:c r="A41" t="n">
        <x:v>816</x:v>
      </x:c>
      <x:c r="B41" t="inlineStr">
        <x:is>
          <x:t xml:space="preserve">ยาทาและยาพ่นแก้ปวดอักเสบ NSAIDs</x:t>
        </x:is>
      </x:c>
      <x:c r="C41" t="n">
        <x:v>4042</x:v>
      </x:c>
      <x:c r="D41" t="inlineStr">
        <x:is>
          <x:t xml:space="preserve">Voltaren Emulgel เล็ก</x:t>
        </x:is>
      </x:c>
      <x:c r="E41" t="inlineStr">
        <x:is>
          <x:t xml:space="preserve">หลอด 10 g.</x:t>
        </x:is>
      </x:c>
      <x:c r="F41" t="inlineStr">
        <x:is>
          <x:t xml:space="preserve">Diclofenac Sodium 1 g./100 g.</x:t>
        </x:is>
      </x:c>
      <x:c r="G41" t="inlineStr">
        <x:is>
          <x:t xml:space="preserve">BDS004042</x:t>
        </x:is>
      </x:c>
      <x:c r="H41" t="inlineStr">
        <x:is>
          <x:t xml:space="preserve">Voltaren Emulgel เล็ก (10 g.)</x:t>
        </x:is>
      </x:c>
      <x:c r="I41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41" t="inlineStr">
        <x:is>
          <x:t xml:space="preserve">Topical pain relief / topical NSAIDs</x:t>
        </x:is>
      </x:c>
    </x:row>
    <x:row r="42">
      <x:c r="A42" t="n">
        <x:v>817</x:v>
      </x:c>
      <x:c r="B42" t="inlineStr">
        <x:is>
          <x:t xml:space="preserve">ยาทาและยาพ่นแก้ปวดอักเสบ NSAIDs</x:t>
        </x:is>
      </x:c>
      <x:c r="C42" t="n">
        <x:v>4044</x:v>
      </x:c>
      <x:c r="D42" t="inlineStr">
        <x:is>
          <x:t xml:space="preserve">Voltaren Emulgel ใหญ่</x:t>
        </x:is>
      </x:c>
      <x:c r="E42" t="inlineStr">
        <x:is>
          <x:t xml:space="preserve">หลอด 50 g.</x:t>
        </x:is>
      </x:c>
      <x:c r="F42" t="inlineStr">
        <x:is>
          <x:t xml:space="preserve">Diclofenac Sodium 1 g./100 g.</x:t>
        </x:is>
      </x:c>
      <x:c r="G42" t="inlineStr">
        <x:is>
          <x:t xml:space="preserve">BDS004044</x:t>
        </x:is>
      </x:c>
      <x:c r="H42" t="inlineStr">
        <x:is>
          <x:t xml:space="preserve">Voltaren Emulgel ใหญ่ (50 g.)</x:t>
        </x:is>
      </x:c>
      <x:c r="I4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42" t="inlineStr">
        <x:is>
          <x:t xml:space="preserve">Topical pain relief / topical NSAIDs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679</x:v>
      </x:c>
      <x:c r="B2" t="inlineStr">
        <x:is>
          <x:t xml:space="preserve">ยาทาแก้แพ้, แก้คัน (D)</x:t>
        </x:is>
      </x:c>
      <x:c r="C2" t="n">
        <x:v>6745</x:v>
      </x:c>
      <x:c r="D2" t="inlineStr">
        <x:is>
          <x:t xml:space="preserve">Antergan Cream</x:t>
        </x:is>
      </x:c>
      <x:c r="E2" t="inlineStr">
        <x:is>
          <x:t xml:space="preserve">หลอด 10 g.</x:t>
        </x:is>
      </x:c>
      <x:c r="F2" t="inlineStr">
        <x:is>
          <x:t xml:space="preserve">Hydrocortisone Acetate 5 mg+Mepyramine Maleate 20 mg/1 g</x:t>
        </x:is>
      </x:c>
      <x:c r="G2" t="inlineStr">
        <x:is>
          <x:t xml:space="preserve">BDS006745</x:t>
        </x:is>
      </x:c>
      <x:c r="H2" t="inlineStr">
        <x:is>
          <x:t xml:space="preserve">Antergan Cream (10 g.)</x:t>
        </x:is>
      </x:c>
      <x:c r="I2" t="inlineStr">
        <x:is>
          <x:t xml:space="preserve">ทาบางๆ วันละ 2-3 ครั้ง  หรือตามแพทย์สั่ง</x:t>
        </x:is>
      </x:c>
      <x:c r="P2" t="inlineStr">
        <x:is>
          <x:t xml:space="preserve">Eczema/diaper rash / anti-itch topicals</x:t>
        </x:is>
      </x:c>
    </x:row>
    <x:row r="3">
      <x:c r="A3" t="n">
        <x:v>680</x:v>
      </x:c>
      <x:c r="B3" t="inlineStr">
        <x:is>
          <x:t xml:space="preserve">ยาทาแก้แพ้, แก้คัน (D)</x:t>
        </x:is>
      </x:c>
      <x:c r="C3" t="n">
        <x:v>1057</x:v>
      </x:c>
      <x:c r="D3" t="inlineStr">
        <x:is>
          <x:t xml:space="preserve">Aristocort 0.02%</x:t>
        </x:is>
      </x:c>
      <x:c r="E3" t="inlineStr">
        <x:is>
          <x:t xml:space="preserve">หลอด 15 g.</x:t>
        </x:is>
      </x:c>
      <x:c r="F3" t="inlineStr">
        <x:is>
          <x:t xml:space="preserve">Triamcinolone Acetonide 0.02%</x:t>
        </x:is>
      </x:c>
      <x:c r="G3" t="inlineStr">
        <x:is>
          <x:t xml:space="preserve">BDS001057</x:t>
        </x:is>
      </x:c>
      <x:c r="H3" t="inlineStr">
        <x:is>
          <x:t xml:space="preserve">Aristocort 0.02% (15 g.)</x:t>
        </x:is>
      </x:c>
      <x:c r="I3" t="inlineStr">
        <x:is>
          <x:t xml:space="preserve">ทาครีมบางๆ บริเวณที่มีอาการ วันละ 3-4 ครั้ง</x:t>
        </x:is>
      </x:c>
      <x:c r="P3" t="inlineStr">
        <x:is>
          <x:t xml:space="preserve">Eczema/diaper rash / anti-itch topicals</x:t>
        </x:is>
      </x:c>
    </x:row>
    <x:row r="4">
      <x:c r="A4" t="n">
        <x:v>681</x:v>
      </x:c>
      <x:c r="B4" t="inlineStr">
        <x:is>
          <x:t xml:space="preserve">ยาทาแก้แพ้, แก้คัน (D)</x:t>
        </x:is>
      </x:c>
      <x:c r="C4" t="n">
        <x:v>1058</x:v>
      </x:c>
      <x:c r="D4" t="inlineStr">
        <x:is>
          <x:t xml:space="preserve">Aristocort 0.1%</x:t>
        </x:is>
      </x:c>
      <x:c r="E4" t="inlineStr">
        <x:is>
          <x:t xml:space="preserve">หลอด 15 g.</x:t>
        </x:is>
      </x:c>
      <x:c r="F4" t="inlineStr">
        <x:is>
          <x:t xml:space="preserve">Triamcinolone Acetonide 1 mg/1 g (0.1%)+Preservative (Benzyl alcohol 2.0%)</x:t>
        </x:is>
      </x:c>
      <x:c r="G4" t="inlineStr">
        <x:is>
          <x:t xml:space="preserve">BDS001058</x:t>
        </x:is>
      </x:c>
      <x:c r="H4" t="inlineStr">
        <x:is>
          <x:t xml:space="preserve">Aristocort 0.1% (15 g.)</x:t>
        </x:is>
      </x:c>
      <x:c r="I4" t="inlineStr">
        <x:is>
          <x:t xml:space="preserve">ทาครีมบางๆ บริเวณที่มีอาการ วันละ 3-4 ครั้ง</x:t>
        </x:is>
      </x:c>
      <x:c r="P4" t="inlineStr">
        <x:is>
          <x:t xml:space="preserve">Eczema/diaper rash / anti-itch topicals</x:t>
        </x:is>
      </x:c>
    </x:row>
    <x:row r="5">
      <x:c r="A5" t="n">
        <x:v>682</x:v>
      </x:c>
      <x:c r="B5" t="inlineStr">
        <x:is>
          <x:t xml:space="preserve">ยาทาแก้แพ้, แก้คัน (D)</x:t>
        </x:is>
      </x:c>
      <x:c r="C5" t="n">
        <x:v>7501</x:v>
      </x:c>
      <x:c r="D5" t="inlineStr">
        <x:is>
          <x:t xml:space="preserve">Betatone Cream เล็ก</x:t>
        </x:is>
      </x:c>
      <x:c r="E5" t="inlineStr">
        <x:is>
          <x:t xml:space="preserve">หลอด 5 g.</x:t>
        </x:is>
      </x:c>
      <x:c r="F5" t="inlineStr">
        <x:is>
          <x:t xml:space="preserve">Betamethasone Valerate (eq. to Betamethasone 0.10 g/100 g)</x:t>
        </x:is>
      </x:c>
      <x:c r="G5" t="inlineStr">
        <x:is>
          <x:t xml:space="preserve">BDS007501</x:t>
        </x:is>
      </x:c>
      <x:c r="H5" t="inlineStr">
        <x:is>
          <x:t xml:space="preserve">Betatone Cream เล็ก (5 g.)</x:t>
        </x:is>
      </x:c>
      <x:c r="I5" t="inlineStr">
        <x:is>
          <x:t xml:space="preserve">ทาครีมบางๆ บริเวณที่มีอาการ วันละ 2-3 ครั้ง</x:t>
        </x:is>
      </x:c>
      <x:c r="P5" t="inlineStr">
        <x:is>
          <x:t xml:space="preserve">Eczema/diaper rash / anti-itch topicals</x:t>
        </x:is>
      </x:c>
    </x:row>
    <x:row r="6">
      <x:c r="A6" t="n">
        <x:v>683</x:v>
      </x:c>
      <x:c r="B6" t="inlineStr">
        <x:is>
          <x:t xml:space="preserve">ยาทาแก้แพ้, แก้คัน (D)</x:t>
        </x:is>
      </x:c>
      <x:c r="C6" t="n">
        <x:v>7502</x:v>
      </x:c>
      <x:c r="D6" t="inlineStr">
        <x:is>
          <x:t xml:space="preserve">Betatone Cream ใหญ่</x:t>
        </x:is>
      </x:c>
      <x:c r="E6" t="inlineStr">
        <x:is>
          <x:t xml:space="preserve">หลอด 15 g.</x:t>
        </x:is>
      </x:c>
      <x:c r="F6" t="inlineStr">
        <x:is>
          <x:t xml:space="preserve">Betamethasone Valerate (eq. to Betamethasone 0.10 g/100 g)</x:t>
        </x:is>
      </x:c>
      <x:c r="G6" t="inlineStr">
        <x:is>
          <x:t xml:space="preserve">BDS007502</x:t>
        </x:is>
      </x:c>
      <x:c r="H6" t="inlineStr">
        <x:is>
          <x:t xml:space="preserve">Betatone Cream ใหญ่ (15 g.)</x:t>
        </x:is>
      </x:c>
      <x:c r="I6" t="inlineStr">
        <x:is>
          <x:t xml:space="preserve">ทาครีมบางๆ บริเวณที่มีอาการ วันละ 2-3 ครั้ง</x:t>
        </x:is>
      </x:c>
      <x:c r="P6" t="inlineStr">
        <x:is>
          <x:t xml:space="preserve">Eczema/diaper rash / anti-itch topicals</x:t>
        </x:is>
      </x:c>
    </x:row>
    <x:row r="7">
      <x:c r="A7" t="n">
        <x:v>684</x:v>
      </x:c>
      <x:c r="B7" t="inlineStr">
        <x:is>
          <x:t xml:space="preserve">ยาทาแก้แพ้, แก้คัน (D)</x:t>
        </x:is>
      </x:c>
      <x:c r="C7" t="n">
        <x:v>1246</x:v>
      </x:c>
      <x:c r="D7" t="inlineStr">
        <x:is>
          <x:t xml:space="preserve">Betnovate Cream ใหญ่</x:t>
        </x:is>
      </x:c>
      <x:c r="E7" t="inlineStr">
        <x:is>
          <x:t xml:space="preserve">หลอด 15 g.</x:t>
        </x:is>
      </x:c>
      <x:c r="F7" t="inlineStr">
        <x:is>
          <x:t xml:space="preserve">Betamethasone 17-Valerate 0.122 %w/w</x:t>
        </x:is>
      </x:c>
      <x:c r="G7" t="inlineStr">
        <x:is>
          <x:t xml:space="preserve">BDS001246</x:t>
        </x:is>
      </x:c>
      <x:c r="H7" t="inlineStr">
        <x:is>
          <x:t xml:space="preserve">Betnovate Cream ใหญ่ (15 g.)</x:t>
        </x:is>
      </x:c>
      <x:c r="I7" t="inlineStr">
        <x:is>
          <x:t xml:space="preserve">ทาครีมบางๆ บริเวณที่มีอาการ วันละ 2-3 ครั้ง</x:t>
        </x:is>
      </x:c>
      <x:c r="P7" t="inlineStr">
        <x:is>
          <x:t xml:space="preserve">Eczema/diaper rash / anti-itch topicals</x:t>
        </x:is>
      </x:c>
    </x:row>
    <x:row r="8">
      <x:c r="A8" t="n">
        <x:v>685</x:v>
      </x:c>
      <x:c r="B8" t="inlineStr">
        <x:is>
          <x:t xml:space="preserve">ยาทาแก้แพ้, แก้คัน (D)</x:t>
        </x:is>
      </x:c>
      <x:c r="C8" t="n">
        <x:v>1216</x:v>
      </x:c>
      <x:c r="D8" t="inlineStr">
        <x:is>
          <x:t xml:space="preserve">Betnovate Scalp</x:t>
        </x:is>
      </x:c>
      <x:c r="E8" t="inlineStr">
        <x:is>
          <x:t xml:space="preserve">ขวด 30 ml.</x:t>
        </x:is>
      </x:c>
      <x:c r="F8" t="inlineStr">
        <x:is>
          <x:t xml:space="preserve">Betamethasone 17-Valerate 0.122 % w/w</x:t>
        </x:is>
      </x:c>
      <x:c r="G8" t="inlineStr">
        <x:is>
          <x:t xml:space="preserve">BDS001216</x:t>
        </x:is>
      </x:c>
      <x:c r="H8" t="inlineStr">
        <x:is>
          <x:t xml:space="preserve">Betnovate Scalp (30 ml.)</x:t>
        </x:is>
      </x:c>
      <x:c r="I8" t="inlineStr">
        <x:is>
          <x:t xml:space="preserve">ทาบางๆ บริเวณที่มีอาการ วันละ 2 ครั้ง </x:t>
        </x:is>
      </x:c>
      <x:c r="P8" t="inlineStr">
        <x:is>
          <x:t xml:space="preserve">Eczema/diaper rash / anti-itch topicals</x:t>
        </x:is>
      </x:c>
    </x:row>
    <x:row r="9">
      <x:c r="A9" t="n">
        <x:v>686</x:v>
      </x:c>
      <x:c r="B9" t="inlineStr">
        <x:is>
          <x:t xml:space="preserve">ยาทาแก้แพ้, แก้คัน (D)</x:t>
        </x:is>
      </x:c>
      <x:c r="C9" t="n">
        <x:v>41408</x:v>
      </x:c>
      <x:c r="D9" t="inlineStr">
        <x:is>
          <x:t xml:space="preserve">Clinivate Cream ใหญ่</x:t>
        </x:is>
      </x:c>
      <x:c r="E9" t="inlineStr">
        <x:is>
          <x:t xml:space="preserve">หลอด 15 g.</x:t>
        </x:is>
      </x:c>
      <x:c r="F9" t="inlineStr">
        <x:is>
          <x:t xml:space="preserve">Betamethasone Valerate (eq. to Betamethasone 1 mg./1 g.</x:t>
        </x:is>
      </x:c>
      <x:c r="G9" t="inlineStr">
        <x:is>
          <x:t xml:space="preserve">BDS041408</x:t>
        </x:is>
      </x:c>
      <x:c r="H9" t="inlineStr">
        <x:is>
          <x:t xml:space="preserve">Clinivate Cream ใหญ่ (15 g.)</x:t>
        </x:is>
      </x:c>
      <x:c r="I9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9" t="inlineStr">
        <x:is>
          <x:t xml:space="preserve">Eczema/diaper rash / anti-itch topicals</x:t>
        </x:is>
      </x:c>
    </x:row>
    <x:row r="10">
      <x:c r="A10" t="n">
        <x:v>687</x:v>
      </x:c>
      <x:c r="B10" t="inlineStr">
        <x:is>
          <x:t xml:space="preserve">ยาทาแก้แพ้, แก้คัน (D)</x:t>
        </x:is>
      </x:c>
      <x:c r="C10" t="n">
        <x:v>6198</x:v>
      </x:c>
      <x:c r="D10" t="inlineStr">
        <x:is>
          <x:t xml:space="preserve">Clinoderm Cream</x:t>
        </x:is>
      </x:c>
      <x:c r="E10" t="inlineStr">
        <x:is>
          <x:t xml:space="preserve">หลอด 15 g.</x:t>
        </x:is>
      </x:c>
      <x:c r="F10" t="inlineStr">
        <x:is>
          <x:t xml:space="preserve">Clobetasol Propionate 0.05 g/100 g (0.05%)</x:t>
        </x:is>
      </x:c>
      <x:c r="G10" t="inlineStr">
        <x:is>
          <x:t xml:space="preserve">BDS006198</x:t>
        </x:is>
      </x:c>
      <x:c r="H10" t="inlineStr">
        <x:is>
          <x:t xml:space="preserve">Clinoderm Cream (15 g.)</x:t>
        </x:is>
      </x:c>
      <x:c r="I10" t="inlineStr">
        <x:is>
          <x:t xml:space="preserve">ทาครีมบางๆ บริเวณที่มีอาการ วันละ 1-2 ครั้ง </x:t>
        </x:is>
      </x:c>
      <x:c r="P10" t="inlineStr">
        <x:is>
          <x:t xml:space="preserve">Eczema/diaper rash / anti-itch topicals</x:t>
        </x:is>
      </x:c>
    </x:row>
    <x:row r="11">
      <x:c r="A11" t="n">
        <x:v>688</x:v>
      </x:c>
      <x:c r="B11" t="inlineStr">
        <x:is>
          <x:t xml:space="preserve">ยาทาแก้แพ้, แก้คัน (D)</x:t>
        </x:is>
      </x:c>
      <x:c r="C11" t="n">
        <x:v>7514</x:v>
      </x:c>
      <x:c r="D11" t="inlineStr">
        <x:is>
          <x:t xml:space="preserve">Clobevate Cream เล็ก</x:t>
        </x:is>
      </x:c>
      <x:c r="E11" t="inlineStr">
        <x:is>
          <x:t xml:space="preserve">หลอด 5 g.</x:t>
        </x:is>
      </x:c>
      <x:c r="F11" t="inlineStr">
        <x:is>
          <x:t xml:space="preserve">Clobetasol Propionate 0.05 g/100 g (0.05%)</x:t>
        </x:is>
      </x:c>
      <x:c r="G11" t="inlineStr">
        <x:is>
          <x:t xml:space="preserve">BDS007514</x:t>
        </x:is>
      </x:c>
      <x:c r="H11" t="inlineStr">
        <x:is>
          <x:t xml:space="preserve">Clobevate Cream เล็ก (5 g.)</x:t>
        </x:is>
      </x:c>
      <x:c r="I11" t="inlineStr">
        <x:is>
          <x:t xml:space="preserve">ทาครีมบางๆ บริเวณที่มีอาการ วันละ 2-3 ครั้ง</x:t>
        </x:is>
      </x:c>
      <x:c r="P11" t="inlineStr">
        <x:is>
          <x:t xml:space="preserve">Eczema/diaper rash / anti-itch topicals</x:t>
        </x:is>
      </x:c>
    </x:row>
    <x:row r="12">
      <x:c r="A12" t="n">
        <x:v>689</x:v>
      </x:c>
      <x:c r="B12" t="inlineStr">
        <x:is>
          <x:t xml:space="preserve">ยาทาแก้แพ้, แก้คัน (D)</x:t>
        </x:is>
      </x:c>
      <x:c r="C12" t="n">
        <x:v>7515</x:v>
      </x:c>
      <x:c r="D12" t="inlineStr">
        <x:is>
          <x:t xml:space="preserve">Clobevate Cream ใหญ่</x:t>
        </x:is>
      </x:c>
      <x:c r="E12" t="inlineStr">
        <x:is>
          <x:t xml:space="preserve">หลอด 15 g.</x:t>
        </x:is>
      </x:c>
      <x:c r="F12" t="inlineStr">
        <x:is>
          <x:t xml:space="preserve">Clobetasol Propionate 0.05 g/100 g (0.05%)</x:t>
        </x:is>
      </x:c>
      <x:c r="G12" t="inlineStr">
        <x:is>
          <x:t xml:space="preserve">BDS007515</x:t>
        </x:is>
      </x:c>
      <x:c r="H12" t="inlineStr">
        <x:is>
          <x:t xml:space="preserve">Clobevate Cream ใหญ่ (15 g.)</x:t>
        </x:is>
      </x:c>
      <x:c r="I12" t="inlineStr">
        <x:is>
          <x:t xml:space="preserve">ทาครีมบางๆ บริเวณที่มีอาการ วันละ 2-3 ครั้ง</x:t>
        </x:is>
      </x:c>
      <x:c r="P12" t="inlineStr">
        <x:is>
          <x:t xml:space="preserve">Eczema/diaper rash / anti-itch topicals</x:t>
        </x:is>
      </x:c>
    </x:row>
    <x:row r="13">
      <x:c r="A13" t="n">
        <x:v>690</x:v>
      </x:c>
      <x:c r="B13" t="inlineStr">
        <x:is>
          <x:t xml:space="preserve">ยาทาแก้แพ้, แก้คัน (D)</x:t>
        </x:is>
      </x:c>
      <x:c r="C13" t="n">
        <x:v>1621</x:v>
      </x:c>
      <x:c r="D13" t="inlineStr">
        <x:is>
          <x:t xml:space="preserve">Dermatop Cream เล็ก</x:t>
        </x:is>
      </x:c>
      <x:c r="E13" t="inlineStr">
        <x:is>
          <x:t xml:space="preserve">หลอด 5 g.</x:t>
        </x:is>
      </x:c>
      <x:c r="F13" t="inlineStr">
        <x:is>
          <x:t xml:space="preserve">Prednicarbate 2.5 mg/1 g (0.25%)</x:t>
        </x:is>
      </x:c>
      <x:c r="G13" t="inlineStr">
        <x:is>
          <x:t xml:space="preserve">BDS001621</x:t>
        </x:is>
      </x:c>
      <x:c r="H13" t="inlineStr">
        <x:is>
          <x:t xml:space="preserve">Dermatop Cream เล็ก (5 g.)</x:t>
        </x:is>
      </x:c>
      <x:c r="I13" t="inlineStr">
        <x:is>
          <x:t xml:space="preserve">ทาครีมบางๆ บริเวณที่มีอาการ วันละ 2-3 ครั้ง</x:t>
        </x:is>
      </x:c>
      <x:c r="P13" t="inlineStr">
        <x:is>
          <x:t xml:space="preserve">Eczema/diaper rash / anti-itch topicals</x:t>
        </x:is>
      </x:c>
    </x:row>
    <x:row r="14">
      <x:c r="A14" t="n">
        <x:v>691</x:v>
      </x:c>
      <x:c r="B14" t="inlineStr">
        <x:is>
          <x:t xml:space="preserve">ยาทาแก้แพ้, แก้คัน (D)</x:t>
        </x:is>
      </x:c>
      <x:c r="C14" t="n">
        <x:v>1622</x:v>
      </x:c>
      <x:c r="D14" t="inlineStr">
        <x:is>
          <x:t xml:space="preserve">Dermovate Cream เล็ก</x:t>
        </x:is>
      </x:c>
      <x:c r="E14" t="inlineStr">
        <x:is>
          <x:t xml:space="preserve">หลอด 5 g.</x:t>
        </x:is>
      </x:c>
      <x:c r="F14" t="inlineStr">
        <x:is>
          <x:t xml:space="preserve">Clobetasol Propionate 0.05% w/w</x:t>
        </x:is>
      </x:c>
      <x:c r="G14" t="inlineStr">
        <x:is>
          <x:t xml:space="preserve">BDS001622</x:t>
        </x:is>
      </x:c>
      <x:c r="H14" t="inlineStr">
        <x:is>
          <x:t xml:space="preserve">Dermovate Cream เล็ก (5 g.)</x:t>
        </x:is>
      </x:c>
      <x:c r="I14" t="inlineStr">
        <x:is>
          <x:t xml:space="preserve">ทาครีมบางๆ บริเวณที่มีอาการวันละ 2-3 ครั้ง</x:t>
        </x:is>
      </x:c>
      <x:c r="P14" t="inlineStr">
        <x:is>
          <x:t xml:space="preserve">Eczema/diaper rash / anti-itch topicals</x:t>
        </x:is>
      </x:c>
    </x:row>
    <x:row r="15">
      <x:c r="A15" t="n">
        <x:v>692</x:v>
      </x:c>
      <x:c r="B15" t="inlineStr">
        <x:is>
          <x:t xml:space="preserve">ยาทาแก้แพ้, แก้คัน (D)</x:t>
        </x:is>
      </x:c>
      <x:c r="C15" t="n">
        <x:v>1623</x:v>
      </x:c>
      <x:c r="D15" t="inlineStr">
        <x:is>
          <x:t xml:space="preserve">Dermovate Cream ใหญ่</x:t>
        </x:is>
      </x:c>
      <x:c r="E15" t="inlineStr">
        <x:is>
          <x:t xml:space="preserve">หลอด 15 g.</x:t>
        </x:is>
      </x:c>
      <x:c r="F15" t="inlineStr">
        <x:is>
          <x:t xml:space="preserve">Clobetasol Propionate 0.05% w/w</x:t>
        </x:is>
      </x:c>
      <x:c r="G15" t="inlineStr">
        <x:is>
          <x:t xml:space="preserve">BDS001623</x:t>
        </x:is>
      </x:c>
      <x:c r="H15" t="inlineStr">
        <x:is>
          <x:t xml:space="preserve">Dermovate Cream ใหญ่ (15 g.)</x:t>
        </x:is>
      </x:c>
      <x:c r="I15" t="inlineStr">
        <x:is>
          <x:t xml:space="preserve">ทาครีมบางๆ บริเวณที่มีอาการวันละ 2-3 ครั้ง</x:t>
        </x:is>
      </x:c>
      <x:c r="P15" t="inlineStr">
        <x:is>
          <x:t xml:space="preserve">Eczema/diaper rash / anti-itch topicals</x:t>
        </x:is>
      </x:c>
    </x:row>
    <x:row r="16">
      <x:c r="A16" t="n">
        <x:v>693</x:v>
      </x:c>
      <x:c r="B16" t="inlineStr">
        <x:is>
          <x:t xml:space="preserve">ยาทาแก้แพ้, แก้คัน (D)</x:t>
        </x:is>
      </x:c>
      <x:c r="C16" t="n">
        <x:v>1630</x:v>
      </x:c>
      <x:c r="D16" t="inlineStr">
        <x:is>
          <x:t xml:space="preserve">Dermovate Ointment</x:t>
        </x:is>
      </x:c>
      <x:c r="E16" t="inlineStr">
        <x:is>
          <x:t xml:space="preserve">หลอด 5 g.</x:t>
        </x:is>
      </x:c>
      <x:c r="F16" t="inlineStr">
        <x:is>
          <x:t xml:space="preserve">Clobetasol Propionate 0.05% w/w</x:t>
        </x:is>
      </x:c>
      <x:c r="G16" t="inlineStr">
        <x:is>
          <x:t xml:space="preserve">BDS001630</x:t>
        </x:is>
      </x:c>
      <x:c r="H16" t="inlineStr">
        <x:is>
          <x:t xml:space="preserve">Dermovate Ointment (5 g.)</x:t>
        </x:is>
      </x:c>
      <x:c r="I16" t="inlineStr">
        <x:is>
          <x:t xml:space="preserve">ทาครีมบางๆ บริเวณที่มีอาการวันละ 2-3 ครั้ง</x:t>
        </x:is>
      </x:c>
      <x:c r="P16" t="inlineStr">
        <x:is>
          <x:t xml:space="preserve">Eczema/diaper rash / anti-itch topicals</x:t>
        </x:is>
      </x:c>
    </x:row>
    <x:row r="17">
      <x:c r="A17" t="n">
        <x:v>694</x:v>
      </x:c>
      <x:c r="B17" t="inlineStr">
        <x:is>
          <x:t xml:space="preserve">ยาทาแก้แพ้, แก้คัน (D)</x:t>
        </x:is>
      </x:c>
      <x:c r="C17" t="n">
        <x:v>1660</x:v>
      </x:c>
      <x:c r="D17" t="inlineStr">
        <x:is>
          <x:t xml:space="preserve">Dermovate Scalp</x:t>
        </x:is>
      </x:c>
      <x:c r="E17" t="inlineStr">
        <x:is>
          <x:t xml:space="preserve">ขวด 30 ml.</x:t>
        </x:is>
      </x:c>
      <x:c r="F17" t="inlineStr">
        <x:is>
          <x:t xml:space="preserve">Clobetasol Propionate 0.05% w/w</x:t>
        </x:is>
      </x:c>
      <x:c r="G17" t="inlineStr">
        <x:is>
          <x:t xml:space="preserve">BDS001660</x:t>
        </x:is>
      </x:c>
      <x:c r="H17" t="inlineStr">
        <x:is>
          <x:t xml:space="preserve">Dermovate Scalp (30 ml.)</x:t>
        </x:is>
      </x:c>
      <x:c r="I17" t="inlineStr">
        <x:is>
          <x:t xml:space="preserve">ทาบางๆ บริเวณที่มีอาการ วันละ 2-3 ครั้ง</x:t>
        </x:is>
      </x:c>
      <x:c r="P17" t="inlineStr">
        <x:is>
          <x:t xml:space="preserve">Eczema/diaper rash / anti-itch topicals</x:t>
        </x:is>
      </x:c>
    </x:row>
    <x:row r="18">
      <x:c r="A18" t="n">
        <x:v>695</x:v>
      </x:c>
      <x:c r="B18" t="inlineStr">
        <x:is>
          <x:t xml:space="preserve">ยาทาแก้แพ้, แก้คัน (D)</x:t>
        </x:is>
      </x:c>
      <x:c r="C18" t="n">
        <x:v>1650</x:v>
      </x:c>
      <x:c r="D18" t="inlineStr">
        <x:is>
          <x:t xml:space="preserve">Diprosalic Ointment</x:t>
        </x:is>
      </x:c>
      <x:c r="E18" t="inlineStr">
        <x:is>
          <x:t xml:space="preserve">หลอด 5 g.</x:t>
        </x:is>
      </x:c>
      <x:c r="F18" t="inlineStr">
        <x:is>
          <x:t xml:space="preserve">Betamethasone Dipropionate (eq. to Betamethasone 0.05%)+Salicylic acid 3%</x:t>
        </x:is>
      </x:c>
      <x:c r="G18" t="inlineStr">
        <x:is>
          <x:t xml:space="preserve">BDS001650</x:t>
        </x:is>
      </x:c>
      <x:c r="H18" t="inlineStr">
        <x:is>
          <x:t xml:space="preserve">Diprosalic Ointment (5 g.)</x:t>
        </x:is>
      </x:c>
      <x:c r="I18" t="inlineStr">
        <x:is>
          <x:t xml:space="preserve">ทาขี้ผึ้งบางๆ ให้ทั่วบริเวณที่มีอาการ วันละ 2 ครั้ง </x:t>
        </x:is>
      </x:c>
      <x:c r="P18" t="inlineStr">
        <x:is>
          <x:t xml:space="preserve">Eczema/diaper rash / anti-itch topicals</x:t>
        </x:is>
      </x:c>
    </x:row>
    <x:row r="19">
      <x:c r="A19" t="n">
        <x:v>696</x:v>
      </x:c>
      <x:c r="B19" t="inlineStr">
        <x:is>
          <x:t xml:space="preserve">ยาทาแก้แพ้, แก้คัน (D)</x:t>
        </x:is>
      </x:c>
      <x:c r="C19" t="n">
        <x:v>1546</x:v>
      </x:c>
      <x:c r="D19" t="inlineStr">
        <x:is>
          <x:t xml:space="preserve">Diprosalic Ointment ใหญ่</x:t>
        </x:is>
      </x:c>
      <x:c r="E19" t="inlineStr">
        <x:is>
          <x:t xml:space="preserve">หลอด 15 g.</x:t>
        </x:is>
      </x:c>
      <x:c r="F19" t="inlineStr">
        <x:is>
          <x:t xml:space="preserve">Betamethasone Dipropionate (eq. to Betamethasone 0.05%)+Salicylic acid 3%</x:t>
        </x:is>
      </x:c>
      <x:c r="G19" t="inlineStr">
        <x:is>
          <x:t xml:space="preserve">BDS001546</x:t>
        </x:is>
      </x:c>
      <x:c r="H19" t="inlineStr">
        <x:is>
          <x:t xml:space="preserve">Diprosalic Ointment ใหญ่ (15 g.)</x:t>
        </x:is>
      </x:c>
      <x:c r="I19" t="inlineStr">
        <x:is>
          <x:t xml:space="preserve">ทาขี้ผึ้งบางๆ ให้ทั่วบริเวณที่มีอาการ วันละ 2 ครั้ง เช้า-ก่อนนอน</x:t>
        </x:is>
      </x:c>
      <x:c r="P19" t="inlineStr">
        <x:is>
          <x:t xml:space="preserve">Eczema/diaper rash / anti-itch topicals</x:t>
        </x:is>
      </x:c>
    </x:row>
    <x:row r="20">
      <x:c r="A20" t="n">
        <x:v>697</x:v>
      </x:c>
      <x:c r="B20" t="inlineStr">
        <x:is>
          <x:t xml:space="preserve">ยาทาแก้แพ้, แก้คัน (D)</x:t>
        </x:is>
      </x:c>
      <x:c r="C20" t="n">
        <x:v>1699</x:v>
      </x:c>
      <x:c r="D20" t="inlineStr">
        <x:is>
          <x:t xml:space="preserve">Diprotop Ointment</x:t>
        </x:is>
      </x:c>
      <x:c r="E20" t="inlineStr">
        <x:is>
          <x:t xml:space="preserve">หลอด 5 g.</x:t>
        </x:is>
      </x:c>
      <x:c r="F20" t="inlineStr">
        <x:is>
          <x:t xml:space="preserve">Betamethasone Dipropionate 0.64 mg (eq. to Betamethasone 0.5 mg)+Propylene Glycol</x:t>
        </x:is>
      </x:c>
      <x:c r="G20" t="inlineStr">
        <x:is>
          <x:t xml:space="preserve">BDS001699</x:t>
        </x:is>
      </x:c>
      <x:c r="H20" t="inlineStr">
        <x:is>
          <x:t xml:space="preserve">Diprotop Ointment (5 g.)</x:t>
        </x:is>
      </x:c>
      <x:c r="I20" t="inlineStr">
        <x:is>
          <x:t xml:space="preserve">ทาบางๆ ให้ทั่วผิวหนังบริเวณที่เป็น วันละ 1 ครั้ง ตอนเช้า</x:t>
        </x:is>
      </x:c>
      <x:c r="P20" t="inlineStr">
        <x:is>
          <x:t xml:space="preserve">Eczema/diaper rash / anti-itch topicals</x:t>
        </x:is>
      </x:c>
    </x:row>
    <x:row r="21">
      <x:c r="A21" t="n">
        <x:v>698</x:v>
      </x:c>
      <x:c r="B21" t="inlineStr">
        <x:is>
          <x:t xml:space="preserve">ยาทาแก้แพ้, แก้คัน (D)</x:t>
        </x:is>
      </x:c>
      <x:c r="C21" t="n">
        <x:v>1803</x:v>
      </x:c>
      <x:c r="D21" t="inlineStr">
        <x:is>
          <x:t xml:space="preserve">Elomet 0.1 %</x:t>
        </x:is>
      </x:c>
      <x:c r="E21" t="inlineStr">
        <x:is>
          <x:t xml:space="preserve">หลอด 5 g.</x:t>
        </x:is>
      </x:c>
      <x:c r="F21" t="inlineStr">
        <x:is>
          <x:t xml:space="preserve">Mometasone Furoate 1 mg/1 g (0.1%)</x:t>
        </x:is>
      </x:c>
      <x:c r="G21" t="inlineStr">
        <x:is>
          <x:t xml:space="preserve">BDS001803</x:t>
        </x:is>
      </x:c>
      <x:c r="H21" t="inlineStr">
        <x:is>
          <x:t xml:space="preserve">Elomet 0.1 % (5 g.)</x:t>
        </x:is>
      </x:c>
      <x:c r="I21" t="inlineStr">
        <x:is>
          <x:t xml:space="preserve">ทาครีมบางๆ บริเวณที่เป็น วันละ 1 ครั้ง จนรอยโรคหายหรือทาติดต่อกัน 3 อาทิตย์ </x:t>
        </x:is>
      </x:c>
      <x:c r="P21" t="inlineStr">
        <x:is>
          <x:t xml:space="preserve">Eczema/diaper rash / anti-itch topicals</x:t>
        </x:is>
      </x:c>
    </x:row>
    <x:row r="22">
      <x:c r="A22" t="n">
        <x:v>699</x:v>
      </x:c>
      <x:c r="B22" t="inlineStr">
        <x:is>
          <x:t xml:space="preserve">ยาทาแก้แพ้, แก้คัน (D)</x:t>
        </x:is>
      </x:c>
      <x:c r="C22" t="n">
        <x:v>1807</x:v>
      </x:c>
      <x:c r="D22" t="inlineStr">
        <x:is>
          <x:t xml:space="preserve">Elomet 0.1%</x:t>
        </x:is>
      </x:c>
      <x:c r="E22" t="inlineStr">
        <x:is>
          <x:t xml:space="preserve">หลอด 15 g.</x:t>
        </x:is>
      </x:c>
      <x:c r="F22" t="inlineStr">
        <x:is>
          <x:t xml:space="preserve">Mometasone Furoate 1 mg/1 g (0.1%)</x:t>
        </x:is>
      </x:c>
      <x:c r="G22" t="inlineStr">
        <x:is>
          <x:t xml:space="preserve">BDS001807</x:t>
        </x:is>
      </x:c>
      <x:c r="H22" t="inlineStr">
        <x:is>
          <x:t xml:space="preserve">Elomet 0.1% (15 g.)</x:t>
        </x:is>
      </x:c>
      <x:c r="I22" t="inlineStr">
        <x:is>
          <x:t xml:space="preserve">ทาครีมบางๆ บริเวณที่เป็น วันละ 1 ครั้ง</x:t>
        </x:is>
      </x:c>
      <x:c r="P22" t="inlineStr">
        <x:is>
          <x:t xml:space="preserve">Eczema/diaper rash / anti-itch topicals</x:t>
        </x:is>
      </x:c>
    </x:row>
    <x:row r="23">
      <x:c r="A23" t="n">
        <x:v>700</x:v>
      </x:c>
      <x:c r="B23" t="inlineStr">
        <x:is>
          <x:t xml:space="preserve">ยาทาแก้แพ้, แก้คัน (D)</x:t>
        </x:is>
      </x:c>
      <x:c r="C23" t="n">
        <x:v>1607</x:v>
      </x:c>
      <x:c r="D23" t="inlineStr">
        <x:is>
          <x:t xml:space="preserve">Elomet Lotion</x:t>
        </x:is>
      </x:c>
      <x:c r="E23" t="inlineStr">
        <x:is>
          <x:t xml:space="preserve">ขวด 30 ml.</x:t>
        </x:is>
      </x:c>
      <x:c r="F23" t="inlineStr">
        <x:is>
          <x:t xml:space="preserve">Mometasone Furoate 1 mg+Isopropyl Alcohol 400 mg/1 g</x:t>
        </x:is>
      </x:c>
      <x:c r="G23" t="inlineStr">
        <x:is>
          <x:t xml:space="preserve">BDS001607</x:t>
        </x:is>
      </x:c>
      <x:c r="H23" t="inlineStr">
        <x:is>
          <x:t xml:space="preserve">Elomet Lotion (30 ml.)</x:t>
        </x:is>
      </x:c>
      <x:c r="I23" t="inlineStr">
        <x:is>
          <x:t xml:space="preserve">ทาโลชั่น 2-3 หยด หรือปริมาณที่เพียงพอกับบริเวณที่เป็น  วันละ 1 ครั้ง</x:t>
        </x:is>
      </x:c>
      <x:c r="P23" t="inlineStr">
        <x:is>
          <x:t xml:space="preserve">Eczema/diaper rash / anti-itch topicals</x:t>
        </x:is>
      </x:c>
    </x:row>
    <x:row r="24">
      <x:c r="A24" t="n">
        <x:v>701</x:v>
      </x:c>
      <x:c r="B24" t="inlineStr">
        <x:is>
          <x:t xml:space="preserve">ยาทาแก้แพ้, แก้คัน (D)</x:t>
        </x:is>
      </x:c>
      <x:c r="C24" t="n">
        <x:v>6023</x:v>
      </x:c>
      <x:c r="D24" t="inlineStr">
        <x:is>
          <x:t xml:space="preserve">Epiklin Skin Ointment</x:t>
        </x:is>
      </x:c>
      <x:c r="E24" t="inlineStr">
        <x:is>
          <x:t xml:space="preserve">หลอด 15 g.</x:t>
        </x:is>
      </x:c>
      <x:c r="F24" t="inlineStr">
        <x:is>
          <x:t xml:space="preserve">Betamethasone Dipropionate 0.64 mg+Salicylic acid 30 mg/1 g</x:t>
        </x:is>
      </x:c>
      <x:c r="G24" t="inlineStr">
        <x:is>
          <x:t xml:space="preserve">BDS006023</x:t>
        </x:is>
      </x:c>
      <x:c r="H24" t="inlineStr">
        <x:is>
          <x:t xml:space="preserve">Epiklin Skin Ointment (15 g.)</x:t>
        </x:is>
      </x:c>
      <x:c r="I24" t="inlineStr">
        <x:is>
          <x:t xml:space="preserve">ทาบางๆ ให้ทั่วบริเวณที่เป็น วันละ 1-2 ครั้ง </x:t>
        </x:is>
      </x:c>
      <x:c r="P24" t="inlineStr">
        <x:is>
          <x:t xml:space="preserve">Eczema/diaper rash / anti-itch topicals</x:t>
        </x:is>
      </x:c>
    </x:row>
    <x:row r="25">
      <x:c r="A25" t="n">
        <x:v>702</x:v>
      </x:c>
      <x:c r="B25" t="inlineStr">
        <x:is>
          <x:t xml:space="preserve">ยาทาแก้แพ้, แก้คัน (D)</x:t>
        </x:is>
      </x:c>
      <x:c r="C25" t="n">
        <x:v>1825</x:v>
      </x:c>
      <x:c r="D25" t="inlineStr">
        <x:is>
          <x:t xml:space="preserve">Esperson</x:t>
        </x:is>
      </x:c>
      <x:c r="E25" t="inlineStr">
        <x:is>
          <x:t xml:space="preserve">หลอด 5 g.</x:t>
        </x:is>
      </x:c>
      <x:c r="F25" t="inlineStr">
        <x:is>
          <x:t xml:space="preserve">Desoximetasone 2.5 mg/1 g (0.25%)</x:t>
        </x:is>
      </x:c>
      <x:c r="G25" t="inlineStr">
        <x:is>
          <x:t xml:space="preserve">BDS001825</x:t>
        </x:is>
      </x:c>
      <x:c r="H25" t="inlineStr">
        <x:is>
          <x:t xml:space="preserve">Esperson (5 g.)</x:t>
        </x:is>
      </x:c>
      <x:c r="I25" t="inlineStr">
        <x:is>
          <x:t xml:space="preserve">ทาครีมบางๆ บริเวณที่มีอาการ วันละ 1-2 ครั้ง</x:t>
        </x:is>
      </x:c>
      <x:c r="P25" t="inlineStr">
        <x:is>
          <x:t xml:space="preserve">Eczema/diaper rash / anti-itch topicals</x:t>
        </x:is>
      </x:c>
    </x:row>
    <x:row r="26">
      <x:c r="A26" t="n">
        <x:v>703</x:v>
      </x:c>
      <x:c r="B26" t="inlineStr">
        <x:is>
          <x:t xml:space="preserve">ยาทาแก้แพ้, แก้คัน (D)</x:t>
        </x:is>
      </x:c>
      <x:c r="C26" t="n">
        <x:v>42807</x:v>
      </x:c>
      <x:c r="D26" t="inlineStr">
        <x:is>
          <x:t xml:space="preserve">Esperson กลาง</x:t>
        </x:is>
      </x:c>
      <x:c r="E26" t="inlineStr">
        <x:is>
          <x:t xml:space="preserve">หลอด 15 g.</x:t>
        </x:is>
      </x:c>
      <x:c r="F26" t="inlineStr">
        <x:is>
          <x:t xml:space="preserve">Desoximetasone 2.5 mg/1 g (0.25%)</x:t>
        </x:is>
      </x:c>
      <x:c r="G26" t="inlineStr">
        <x:is>
          <x:t xml:space="preserve">BDS042807</x:t>
        </x:is>
      </x:c>
      <x:c r="H26" t="inlineStr">
        <x:is>
          <x:t xml:space="preserve">Esperson กลาง (15 g.)</x:t>
        </x:is>
      </x:c>
      <x:c r="I26" t="inlineStr">
        <x:is>
          <x:t xml:space="preserve">ทาครีมบางๆ บริเวณที่มีอาการ วันละ 1-2 ครั้ง</x:t>
        </x:is>
      </x:c>
      <x:c r="P26" t="inlineStr">
        <x:is>
          <x:t xml:space="preserve">Eczema/diaper rash / anti-itch topicals</x:t>
        </x:is>
      </x:c>
    </x:row>
    <x:row r="27">
      <x:c r="A27" t="n">
        <x:v>704</x:v>
      </x:c>
      <x:c r="B27" t="inlineStr">
        <x:is>
          <x:t xml:space="preserve">ยาทาแก้แพ้, แก้คัน (D)</x:t>
        </x:is>
      </x:c>
      <x:c r="C27" t="n">
        <x:v>3719</x:v>
      </x:c>
      <x:c r="D27" t="inlineStr">
        <x:is>
          <x:t xml:space="preserve">T.A.Cream 0.02%</x:t>
        </x:is>
      </x:c>
      <x:c r="E27" t="inlineStr">
        <x:is>
          <x:t xml:space="preserve">หลอด 15 g.</x:t>
        </x:is>
      </x:c>
      <x:c r="F27" t="inlineStr">
        <x:is>
          <x:t xml:space="preserve">Triamcinolone Acetonide 0.02 g/100 g (0.02%)</x:t>
        </x:is>
      </x:c>
      <x:c r="G27" t="inlineStr">
        <x:is>
          <x:t xml:space="preserve">BDS003719</x:t>
        </x:is>
      </x:c>
      <x:c r="H27" t="inlineStr">
        <x:is>
          <x:t xml:space="preserve">T.A.Cream 0.02% (15 g.)</x:t>
        </x:is>
      </x:c>
      <x:c r="I27" t="inlineStr">
        <x:is>
          <x:t xml:space="preserve">ทาครีมบางๆ บริเวณที่มีอาการ วันละ 2 ครั้ง </x:t>
        </x:is>
      </x:c>
      <x:c r="P27" t="inlineStr">
        <x:is>
          <x:t xml:space="preserve">Eczema/diaper rash / anti-itch topicals</x:t>
        </x:is>
      </x:c>
    </x:row>
    <x:row r="28">
      <x:c r="A28" t="n">
        <x:v>705</x:v>
      </x:c>
      <x:c r="B28" t="inlineStr">
        <x:is>
          <x:t xml:space="preserve">ยาทาแก้แพ้, แก้คัน (D)</x:t>
        </x:is>
      </x:c>
      <x:c r="C28" t="n">
        <x:v>3773</x:v>
      </x:c>
      <x:c r="D28" t="inlineStr">
        <x:is>
          <x:t xml:space="preserve">T.A.Cream 0.1% เล็ก</x:t>
        </x:is>
      </x:c>
      <x:c r="E28" t="inlineStr">
        <x:is>
          <x:t xml:space="preserve">หลอด 5 g.</x:t>
        </x:is>
      </x:c>
      <x:c r="F28" t="inlineStr">
        <x:is>
          <x:t xml:space="preserve">Triamcinolone Acetonide 0.1 g/100 g (0.1%)</x:t>
        </x:is>
      </x:c>
      <x:c r="G28" t="inlineStr">
        <x:is>
          <x:t xml:space="preserve">BDS003773</x:t>
        </x:is>
      </x:c>
      <x:c r="H28" t="inlineStr">
        <x:is>
          <x:t xml:space="preserve">T.A.Cream 0.1% เล็ก (5 g.)</x:t>
        </x:is>
      </x:c>
      <x:c r="I28" t="inlineStr">
        <x:is>
          <x:t xml:space="preserve">ทาครีมบางๆ บริเวณที่มีอาการ วันละ 2-3 ครั้ง</x:t>
        </x:is>
      </x:c>
      <x:c r="P28" t="inlineStr">
        <x:is>
          <x:t xml:space="preserve">Eczema/diaper rash / anti-itch topicals</x:t>
        </x:is>
      </x:c>
    </x:row>
    <x:row r="29">
      <x:c r="A29" t="n">
        <x:v>706</x:v>
      </x:c>
      <x:c r="B29" t="inlineStr">
        <x:is>
          <x:t xml:space="preserve">ยาทาแก้แพ้, แก้คัน (D)</x:t>
        </x:is>
      </x:c>
      <x:c r="C29" t="n">
        <x:v>3780</x:v>
      </x:c>
      <x:c r="D29" t="inlineStr">
        <x:is>
          <x:t xml:space="preserve">T.A.Cream 0.1% ใหญ่</x:t>
        </x:is>
      </x:c>
      <x:c r="E29" t="inlineStr">
        <x:is>
          <x:t xml:space="preserve">หลอด 15 g.</x:t>
        </x:is>
      </x:c>
      <x:c r="F29" t="inlineStr">
        <x:is>
          <x:t xml:space="preserve">Triamcinolone Acetonide 0.1 g/100 g (0.1%)</x:t>
        </x:is>
      </x:c>
      <x:c r="G29" t="inlineStr">
        <x:is>
          <x:t xml:space="preserve">BDS003780</x:t>
        </x:is>
      </x:c>
      <x:c r="H29" t="inlineStr">
        <x:is>
          <x:t xml:space="preserve">T.A.Cream 0.1% ใหญ่ (15 g.)</x:t>
        </x:is>
      </x:c>
      <x:c r="I29" t="inlineStr">
        <x:is>
          <x:t xml:space="preserve">ทาครีมบางๆ บริเวณที่มีอาการ วันละ 2-3 ครั้ง</x:t>
        </x:is>
      </x:c>
      <x:c r="P29" t="inlineStr">
        <x:is>
          <x:t xml:space="preserve">Eczema/diaper rash / anti-itch topicals</x:t>
        </x:is>
      </x:c>
    </x:row>
    <x:row r="30">
      <x:c r="A30" t="n">
        <x:v>707</x:v>
      </x:c>
      <x:c r="B30" t="inlineStr">
        <x:is>
          <x:t xml:space="preserve">ยาทาแก้แพ้, แก้คัน (D)</x:t>
        </x:is>
      </x:c>
      <x:c r="C30" t="n">
        <x:v>8756</x:v>
      </x:c>
      <x:c r="D30" t="inlineStr">
        <x:is>
          <x:t xml:space="preserve">Tacinol 0.02 เล็ก</x:t>
        </x:is>
      </x:c>
      <x:c r="E30" t="inlineStr">
        <x:is>
          <x:t xml:space="preserve">หลอด 5 g.</x:t>
        </x:is>
      </x:c>
      <x:c r="F30" t="inlineStr">
        <x:is>
          <x:t xml:space="preserve">Triamcinolone Acetonide 0.02% w/w</x:t>
        </x:is>
      </x:c>
      <x:c r="G30" t="inlineStr">
        <x:is>
          <x:t xml:space="preserve">BDS008756</x:t>
        </x:is>
      </x:c>
      <x:c r="H30" t="inlineStr">
        <x:is>
          <x:t xml:space="preserve">Tacinol 0.02 เล็ก (5 g.)</x:t>
        </x:is>
      </x:c>
      <x:c r="I30" t="inlineStr">
        <x:is>
          <x:t xml:space="preserve">ทาครีมบางๆ บริเวณที่มีอาการ วันละ 2-3 ครั้ง</x:t>
        </x:is>
      </x:c>
      <x:c r="P30" t="inlineStr">
        <x:is>
          <x:t xml:space="preserve">Eczema/diaper rash / anti-itch topicals</x:t>
        </x:is>
      </x:c>
    </x:row>
    <x:row r="31">
      <x:c r="A31" t="n">
        <x:v>708</x:v>
      </x:c>
      <x:c r="B31" t="inlineStr">
        <x:is>
          <x:t xml:space="preserve">ยาทาแก้แพ้, แก้คัน (D)</x:t>
        </x:is>
      </x:c>
      <x:c r="C31" t="n">
        <x:v>8757</x:v>
      </x:c>
      <x:c r="D31" t="inlineStr">
        <x:is>
          <x:t xml:space="preserve">Tacinol 0.02 ใหญ่</x:t>
        </x:is>
      </x:c>
      <x:c r="E31" t="inlineStr">
        <x:is>
          <x:t xml:space="preserve">หลอด 15 g.</x:t>
        </x:is>
      </x:c>
      <x:c r="F31" t="inlineStr">
        <x:is>
          <x:t xml:space="preserve">Triamcinolone Acetonide 0.02% w/w</x:t>
        </x:is>
      </x:c>
      <x:c r="G31" t="inlineStr">
        <x:is>
          <x:t xml:space="preserve">BDS008757</x:t>
        </x:is>
      </x:c>
      <x:c r="H31" t="inlineStr">
        <x:is>
          <x:t xml:space="preserve">Tacinol 0.02 ใหญ่ (15 g.)</x:t>
        </x:is>
      </x:c>
      <x:c r="I31" t="inlineStr">
        <x:is>
          <x:t xml:space="preserve">ทาครีมบางๆ บริเวณที่มีอาการ วันละ 2-3 ครั้ง</x:t>
        </x:is>
      </x:c>
      <x:c r="P31" t="inlineStr">
        <x:is>
          <x:t xml:space="preserve">Eczema/diaper rash / anti-itch topicals</x:t>
        </x:is>
      </x:c>
    </x:row>
    <x:row r="32">
      <x:c r="A32" t="n">
        <x:v>709</x:v>
      </x:c>
      <x:c r="B32" t="inlineStr">
        <x:is>
          <x:t xml:space="preserve">ยาทาแก้แพ้, แก้คัน (D)</x:t>
        </x:is>
      </x:c>
      <x:c r="C32" t="n">
        <x:v>8758</x:v>
      </x:c>
      <x:c r="D32" t="inlineStr">
        <x:is>
          <x:t xml:space="preserve">Tacinol 0.1 เล็ก</x:t>
        </x:is>
      </x:c>
      <x:c r="E32" t="inlineStr">
        <x:is>
          <x:t xml:space="preserve">หลอด 5 g.</x:t>
        </x:is>
      </x:c>
      <x:c r="F32" t="inlineStr">
        <x:is>
          <x:t xml:space="preserve">Triamcinolone Acetonide 0.1 % w/w</x:t>
        </x:is>
      </x:c>
      <x:c r="G32" t="inlineStr">
        <x:is>
          <x:t xml:space="preserve">BDS008758</x:t>
        </x:is>
      </x:c>
      <x:c r="H32" t="inlineStr">
        <x:is>
          <x:t xml:space="preserve">Tacinol 0.1 เล็ก (5 g.)</x:t>
        </x:is>
      </x:c>
      <x:c r="I32" t="inlineStr">
        <x:is>
          <x:t xml:space="preserve">ทาครีมบางๆ บริเวณที่มีอาการ วันละ 2-3 ครั้ง</x:t>
        </x:is>
      </x:c>
      <x:c r="P32" t="inlineStr">
        <x:is>
          <x:t xml:space="preserve">Eczema/diaper rash / anti-itch topicals</x:t>
        </x:is>
      </x:c>
    </x:row>
    <x:row r="33">
      <x:c r="A33" t="n">
        <x:v>710</x:v>
      </x:c>
      <x:c r="B33" t="inlineStr">
        <x:is>
          <x:t xml:space="preserve">ยาทาแก้แพ้, แก้คัน (D)</x:t>
        </x:is>
      </x:c>
      <x:c r="C33" t="n">
        <x:v>8759</x:v>
      </x:c>
      <x:c r="D33" t="inlineStr">
        <x:is>
          <x:t xml:space="preserve">Tacinol 0.1 ใหญ่</x:t>
        </x:is>
      </x:c>
      <x:c r="E33" t="inlineStr">
        <x:is>
          <x:t xml:space="preserve">หลอด 15 g.</x:t>
        </x:is>
      </x:c>
      <x:c r="F33" t="inlineStr">
        <x:is>
          <x:t xml:space="preserve">Triamcinolone Acetonide 0.1 % w/w</x:t>
        </x:is>
      </x:c>
      <x:c r="G33" t="inlineStr">
        <x:is>
          <x:t xml:space="preserve">BDS008759</x:t>
        </x:is>
      </x:c>
      <x:c r="H33" t="inlineStr">
        <x:is>
          <x:t xml:space="preserve">Tacinol 0.1 ใหญ่ (15 g.)</x:t>
        </x:is>
      </x:c>
      <x:c r="I33" t="inlineStr">
        <x:is>
          <x:t xml:space="preserve">ทาครีมบางๆ บริเวณที่มีอาการ วันละ 2-3 ครั้ง</x:t>
        </x:is>
      </x:c>
      <x:c r="P33" t="inlineStr">
        <x:is>
          <x:t xml:space="preserve">Eczema/diaper rash / anti-itch topicals</x:t>
        </x:is>
      </x:c>
    </x:row>
    <x:row r="34">
      <x:c r="A34" t="n">
        <x:v>711</x:v>
      </x:c>
      <x:c r="B34" t="inlineStr">
        <x:is>
          <x:t xml:space="preserve">ยาทาแก้แพ้, แก้คัน (D)</x:t>
        </x:is>
      </x:c>
      <x:c r="C34" t="n">
        <x:v>1831</x:v>
      </x:c>
      <x:c r="D34" t="inlineStr">
        <x:is>
          <x:t xml:space="preserve">Topicort Skin Cream</x:t>
        </x:is>
      </x:c>
      <x:c r="E34" t="inlineStr">
        <x:is>
          <x:t xml:space="preserve">ขวด 15 g.</x:t>
        </x:is>
      </x:c>
      <x:c r="F34" t="inlineStr">
        <x:is>
          <x:t xml:space="preserve">Desoximetasone 2.5 mg/1 g (0.25%)</x:t>
        </x:is>
      </x:c>
      <x:c r="G34" t="inlineStr">
        <x:is>
          <x:t xml:space="preserve">BDS001831</x:t>
        </x:is>
      </x:c>
      <x:c r="H34" t="inlineStr">
        <x:is>
          <x:t xml:space="preserve">Topicort Skin Cream (15 g.)</x:t>
        </x:is>
      </x:c>
      <x:c r="I34" t="inlineStr">
        <x:is>
          <x:t xml:space="preserve">ทาบริเวณที่มีอาการ วันละ 1-4 ครั้ง</x:t>
        </x:is>
      </x:c>
      <x:c r="P34" t="inlineStr">
        <x:is>
          <x:t xml:space="preserve">Eczema/diaper rash / anti-itch topicals</x:t>
        </x:is>
      </x:c>
    </x:row>
    <x:row r="35">
      <x:c r="A35" t="n">
        <x:v>712</x:v>
      </x:c>
      <x:c r="B35" t="inlineStr">
        <x:is>
          <x:t xml:space="preserve">ยาทาแก้แพ้, แก้คัน (D)</x:t>
        </x:is>
      </x:c>
      <x:c r="C35" t="n">
        <x:v>48634</x:v>
      </x:c>
      <x:c r="D35" t="inlineStr">
        <x:is>
          <x:t xml:space="preserve">Topoxy Skin Cream</x:t>
        </x:is>
      </x:c>
      <x:c r="E35" t="inlineStr">
        <x:is>
          <x:t xml:space="preserve">ขวด 10 g.</x:t>
        </x:is>
      </x:c>
      <x:c r="F35" t="inlineStr">
        <x:is>
          <x:t xml:space="preserve">Desoximetasone 0.25%</x:t>
        </x:is>
      </x:c>
      <x:c r="G35" t="inlineStr">
        <x:is>
          <x:t xml:space="preserve">BDS048634</x:t>
        </x:is>
      </x:c>
      <x:c r="H35" t="inlineStr">
        <x:is>
          <x:t xml:space="preserve">Topoxy Skin Cream (10 g.)</x:t>
        </x:is>
      </x:c>
      <x:c r="I35" t="inlineStr">
        <x:is>
          <x:t xml:space="preserve">ทาบางๆ และถูเบาๆ บริเวณที่เป็น วันละ 2 ครั้ง</x:t>
        </x:is>
      </x:c>
      <x:c r="P35" t="inlineStr">
        <x:is>
          <x:t xml:space="preserve">Eczema/diaper rash / anti-itch topicals</x:t>
        </x:is>
      </x:c>
    </x:row>
    <x:row r="36">
      <x:c r="A36" t="n">
        <x:v>713</x:v>
      </x:c>
      <x:c r="B36" t="inlineStr">
        <x:is>
          <x:t xml:space="preserve">ยาทาแก้แพ้, แก้คัน (D)</x:t>
        </x:is>
      </x:c>
      <x:c r="C36" t="n">
        <x:v>7775</x:v>
      </x:c>
      <x:c r="D36" t="inlineStr">
        <x:is>
          <x:t xml:space="preserve">Zyno 0.02%</x:t>
        </x:is>
      </x:c>
      <x:c r="E36" t="inlineStr">
        <x:is>
          <x:t xml:space="preserve">หลอด 5 g.</x:t>
        </x:is>
      </x:c>
      <x:c r="F36" t="inlineStr">
        <x:is>
          <x:t xml:space="preserve">Triamcinolone Acetonide 0.02 g/100 g (0.02%)</x:t>
        </x:is>
      </x:c>
      <x:c r="G36" t="inlineStr">
        <x:is>
          <x:t xml:space="preserve">BDS007775</x:t>
        </x:is>
      </x:c>
      <x:c r="H36" t="inlineStr">
        <x:is>
          <x:t xml:space="preserve">Zyno 0.02% (5 g.)</x:t>
        </x:is>
      </x:c>
      <x:c r="I36" t="inlineStr">
        <x:is>
          <x:t xml:space="preserve">ทาครีมบางๆ บริเวณที่มีอาการ วันละ 2-3 ครั้ง</x:t>
        </x:is>
      </x:c>
      <x:c r="P36" t="inlineStr">
        <x:is>
          <x:t xml:space="preserve">Eczema/diaper rash / anti-itch topicals</x:t>
        </x:is>
      </x:c>
    </x:row>
    <x:row r="37">
      <x:c r="A37" t="n">
        <x:v>714</x:v>
      </x:c>
      <x:c r="B37" t="inlineStr">
        <x:is>
          <x:t xml:space="preserve">ยาทาแก้แพ้, แก้คัน (D)</x:t>
        </x:is>
      </x:c>
      <x:c r="C37" t="n">
        <x:v>7776</x:v>
      </x:c>
      <x:c r="D37" t="inlineStr">
        <x:is>
          <x:t xml:space="preserve">Zyno 0.1%</x:t>
        </x:is>
      </x:c>
      <x:c r="E37" t="inlineStr">
        <x:is>
          <x:t xml:space="preserve">หลอด 5 g.</x:t>
        </x:is>
      </x:c>
      <x:c r="F37" t="inlineStr">
        <x:is>
          <x:t xml:space="preserve">Triamcinolone Acetonide 0.1 g/100 g (0.1%)</x:t>
        </x:is>
      </x:c>
      <x:c r="G37" t="inlineStr">
        <x:is>
          <x:t xml:space="preserve">BDS007776</x:t>
        </x:is>
      </x:c>
      <x:c r="H37" t="inlineStr">
        <x:is>
          <x:t xml:space="preserve">Zyno 0.1% (5 g.)</x:t>
        </x:is>
      </x:c>
      <x:c r="I37" t="inlineStr">
        <x:is>
          <x:t xml:space="preserve">ทาครีมบางๆ บริเวณที่มีอาการ วันละ 2-3 ครั้ง</x:t>
        </x:is>
      </x:c>
      <x:c r="P37" t="inlineStr">
        <x:is>
          <x:t xml:space="preserve">Eczema/diaper rash / anti-itch topicals</x:t>
        </x:is>
      </x:c>
    </x:row>
    <x:row r="38">
      <x:c r="A38" t="n">
        <x:v>823</x:v>
      </x:c>
      <x:c r="B38" t="inlineStr">
        <x:is>
          <x:t xml:space="preserve">ยาทาแก้แพ้, แก้คัน ชนิดน้ำ (D)</x:t>
        </x:is>
      </x:c>
      <x:c r="C38" t="n">
        <x:v>7547</x:v>
      </x:c>
      <x:c r="D38" t="inlineStr">
        <x:is>
          <x:t xml:space="preserve">Kanolone Lotion 30 ml</x:t>
        </x:is>
      </x:c>
      <x:c r="E38" t="inlineStr">
        <x:is>
          <x:t xml:space="preserve">ขวด 30 ml.</x:t>
        </x:is>
      </x:c>
      <x:c r="F38" t="inlineStr">
        <x:is>
          <x:t xml:space="preserve">Triamcinolone Acetonide 0.1 g/100 ml (0.1% w/v)</x:t>
        </x:is>
      </x:c>
      <x:c r="G38" t="inlineStr">
        <x:is>
          <x:t xml:space="preserve">BDS007547</x:t>
        </x:is>
      </x:c>
      <x:c r="H38" t="inlineStr">
        <x:is>
          <x:t xml:space="preserve">Kanolone Lotion 30 ml (30 ml.)</x:t>
        </x:is>
      </x:c>
      <x:c r="I38" t="inlineStr">
        <x:is>
          <x:t xml:space="preserve">ทาบางๆ บริเวณที่มีอาการ วันละ 2-3 ครั้ง</x:t>
        </x:is>
      </x:c>
      <x:c r="P38" t="inlineStr">
        <x:is>
          <x:t xml:space="preserve">Eczema/diaper rash / anti-itch topicals</x:t>
        </x:is>
      </x:c>
    </x:row>
    <x:row r="39">
      <x:c r="A39" t="n">
        <x:v>824</x:v>
      </x:c>
      <x:c r="B39" t="inlineStr">
        <x:is>
          <x:t xml:space="preserve">ยาทาแก้แพ้, แก้คัน ชนิดน้ำ (D)</x:t>
        </x:is>
      </x:c>
      <x:c r="C39" t="n">
        <x:v>7551</x:v>
      </x:c>
      <x:c r="D39" t="inlineStr">
        <x:is>
          <x:t xml:space="preserve">Kanolone Lotion 60 ml</x:t>
        </x:is>
      </x:c>
      <x:c r="E39" t="inlineStr">
        <x:is>
          <x:t xml:space="preserve">ขวด 60 ml.</x:t>
        </x:is>
      </x:c>
      <x:c r="F39" t="inlineStr">
        <x:is>
          <x:t xml:space="preserve">Triamcinolone Acetonide 0.1 g/100 ml (0.1% w/v)</x:t>
        </x:is>
      </x:c>
      <x:c r="G39" t="inlineStr">
        <x:is>
          <x:t xml:space="preserve">BDS007551</x:t>
        </x:is>
      </x:c>
      <x:c r="H39" t="inlineStr">
        <x:is>
          <x:t xml:space="preserve">Kanolone Lotion 60 ml (60 ml.)</x:t>
        </x:is>
      </x:c>
      <x:c r="I39" t="inlineStr">
        <x:is>
          <x:t xml:space="preserve">ทาบางๆ บริเวณที่มีอาการ วันละ 2-3 ครั้ง</x:t>
        </x:is>
      </x:c>
      <x:c r="P39" t="inlineStr">
        <x:is>
          <x:t xml:space="preserve">Eczema/diaper rash / anti-itch topicals</x:t>
        </x:is>
      </x:c>
    </x:row>
    <x:row r="40">
      <x:c r="A40" t="n">
        <x:v>825</x:v>
      </x:c>
      <x:c r="B40" t="inlineStr">
        <x:is>
          <x:t xml:space="preserve">ยาทาแก้แพ้, แก้คัน ชนิดน้ำ (D)</x:t>
        </x:is>
      </x:c>
      <x:c r="C40" t="n">
        <x:v>48630</x:v>
      </x:c>
      <x:c r="D40" t="inlineStr">
        <x:is>
          <x:t xml:space="preserve">TA 0.1% Lotion</x:t>
        </x:is>
      </x:c>
      <x:c r="E40" t="inlineStr">
        <x:is>
          <x:t xml:space="preserve">ขวด 30 g.</x:t>
        </x:is>
      </x:c>
      <x:c r="F40" t="inlineStr">
        <x:is>
          <x:t xml:space="preserve">Triamcinolone Acetonide 0.1 g/100 g (0.1 % w/w)</x:t>
        </x:is>
      </x:c>
      <x:c r="G40" t="inlineStr">
        <x:is>
          <x:t xml:space="preserve">BDS048630</x:t>
        </x:is>
      </x:c>
      <x:c r="H40" t="inlineStr">
        <x:is>
          <x:t xml:space="preserve">TA 0.1% Lotion (30 g.)</x:t>
        </x:is>
      </x:c>
      <x:c r="I40" t="inlineStr">
        <x:is>
          <x:t xml:space="preserve">ทาโลชั่นบางๆ บริเวณที่มีอาการ วันละ 2-4 ครั้ง </x:t>
        </x:is>
      </x:c>
      <x:c r="K40" t="n">
        <x:v>116</x:v>
      </x:c>
      <x:c r="L40" t="n">
        <x:v>3.87</x:v>
      </x:c>
      <x:c r="M40" t="inlineStr">
        <x:is>
          <x:t xml:space="preserve">USER</x:t>
        </x:is>
      </x:c>
      <x:c r="N40" t="inlineStr">
        <x:is>
          <x:t xml:space="preserve">2026-02-07</x:t>
        </x:is>
      </x:c>
      <x:c r="O40" t="inlineStr">
        <x:is>
          <x:t xml:space="preserve">User provided price (TA 0.1% Lotion 30 g).</x:t>
        </x:is>
      </x:c>
      <x:c r="P40" t="inlineStr">
        <x:is>
          <x:t xml:space="preserve">Eczema/diaper rash / anti-itch topicals</x:t>
        </x:is>
      </x:c>
    </x:row>
    <x:row r="41">
      <x:c r="A41" t="n">
        <x:v>826</x:v>
      </x:c>
      <x:c r="B41" t="inlineStr">
        <x:is>
          <x:t xml:space="preserve">ยาทาแก้แพ้, แก้คัน ชนิดน้ำ (D)</x:t>
        </x:is>
      </x:c>
      <x:c r="C41" t="n">
        <x:v>3799</x:v>
      </x:c>
      <x:c r="D41" t="inlineStr">
        <x:is>
          <x:t xml:space="preserve">Tram Lotion</x:t>
        </x:is>
      </x:c>
      <x:c r="E41" t="inlineStr">
        <x:is>
          <x:t xml:space="preserve">ขวด 30 ml.</x:t>
        </x:is>
      </x:c>
      <x:c r="F41" t="inlineStr">
        <x:is>
          <x:t xml:space="preserve">Triamcinolone Acetonide 0.1 % w/v</x:t>
        </x:is>
      </x:c>
      <x:c r="G41" t="inlineStr">
        <x:is>
          <x:t xml:space="preserve">BDS003799</x:t>
        </x:is>
      </x:c>
      <x:c r="H41" t="inlineStr">
        <x:is>
          <x:t xml:space="preserve">Tram Lotion (30 ml.)</x:t>
        </x:is>
      </x:c>
      <x:c r="I41" t="inlineStr">
        <x:is>
          <x:t xml:space="preserve">ทาบางๆ บริเวณที่มีอาการ วันละ 2-3 ครั้ง</x:t>
        </x:is>
      </x:c>
      <x:c r="P41" t="inlineStr">
        <x:is>
          <x:t xml:space="preserve">Eczema/diaper rash / anti-itch topicals</x:t>
        </x:is>
      </x:c>
    </x:row>
    <x:row r="42">
      <x:c r="A42" t="n">
        <x:v>859</x:v>
      </x:c>
      <x:c r="B42" t="inlineStr">
        <x:is>
          <x:t xml:space="preserve">ยาทาแก้แพ้, แก้คัน</x:t>
        </x:is>
      </x:c>
      <x:c r="C42" t="n">
        <x:v>8031</x:v>
      </x:c>
      <x:c r="D42" t="inlineStr">
        <x:is>
          <x:t xml:space="preserve">Cabana Lotion</x:t>
        </x:is>
      </x:c>
      <x:c r="E42" t="inlineStr">
        <x:is>
          <x:t xml:space="preserve">ขวด 60 ml.</x:t>
        </x:is>
      </x:c>
      <x:c r="F42" t="inlineStr">
        <x:is>
          <x:t xml:space="preserve">Diphenhydramine HCl 10 mg.+Calamine 100 mg.+Zinc Oxide 30 mg./1 ml.</x:t>
        </x:is>
      </x:c>
      <x:c r="G42" t="inlineStr">
        <x:is>
          <x:t xml:space="preserve">BDS008031</x:t>
        </x:is>
      </x:c>
      <x:c r="H42" t="inlineStr">
        <x:is>
          <x:t xml:space="preserve">Cabana Lotion (60 ml.)</x:t>
        </x:is>
      </x:c>
      <x:c r="I42" t="inlineStr">
        <x:is>
          <x:t xml:space="preserve">ทาบริเวณผิวหนังที่มีผื่นคัน หรือลมพิษ วันละ 2-3 ครั้ง หรือเมื่อมีอาการ</x:t>
        </x:is>
      </x:c>
      <x:c r="P42" t="inlineStr">
        <x:is>
          <x:t xml:space="preserve">Eczema/diaper rash / anti-itch topicals</x:t>
        </x:is>
      </x:c>
    </x:row>
    <x:row r="43">
      <x:c r="A43" t="n">
        <x:v>860</x:v>
      </x:c>
      <x:c r="B43" t="inlineStr">
        <x:is>
          <x:t xml:space="preserve">ยาทาแก้แพ้, แก้คัน</x:t>
        </x:is>
      </x:c>
      <x:c r="C43" t="n">
        <x:v>1402</x:v>
      </x:c>
      <x:c r="D43" t="inlineStr">
        <x:is>
          <x:t xml:space="preserve">Cadramine-V เล็ก</x:t>
        </x:is>
      </x:c>
      <x:c r="E43" t="inlineStr">
        <x:is>
          <x:t xml:space="preserve">ขวด 60 ml.</x:t>
        </x:is>
      </x:c>
      <x:c r="F43" t="inlineStr">
        <x:is>
          <x:t xml:space="preserve">Diphenhydramine HCl 10 mg.+Calamine 100 mg.+Zinc oxide 30 mg.+Camphor 15 mg./1 ml.</x:t>
        </x:is>
      </x:c>
      <x:c r="G43" t="inlineStr">
        <x:is>
          <x:t xml:space="preserve">BDS001402</x:t>
        </x:is>
      </x:c>
      <x:c r="H43" t="inlineStr">
        <x:is>
          <x:t xml:space="preserve">Cadramine-V เล็ก (60 ml.)</x:t>
        </x:is>
      </x:c>
      <x:c r="I43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43" t="inlineStr">
        <x:is>
          <x:t xml:space="preserve">Eczema/diaper rash / anti-itch topicals</x:t>
        </x:is>
      </x:c>
    </x:row>
    <x:row r="44">
      <x:c r="A44" t="n">
        <x:v>861</x:v>
      </x:c>
      <x:c r="B44" t="inlineStr">
        <x:is>
          <x:t xml:space="preserve">ยาทาแก้แพ้, แก้คัน</x:t>
        </x:is>
      </x:c>
      <x:c r="C44" t="n">
        <x:v>1403</x:v>
      </x:c>
      <x:c r="D44" t="inlineStr">
        <x:is>
          <x:t xml:space="preserve">Cadramine-V ใหญ่</x:t>
        </x:is>
      </x:c>
      <x:c r="E44" t="inlineStr">
        <x:is>
          <x:t xml:space="preserve">ขวด 120 ml.</x:t>
        </x:is>
      </x:c>
      <x:c r="F44" t="inlineStr">
        <x:is>
          <x:t xml:space="preserve">Diphenhydramine HCl 10 mg.+Calamine 100 mg.+Zinc oxide 30 mg.+Camphor 15 mg./1 ml.</x:t>
        </x:is>
      </x:c>
      <x:c r="G44" t="inlineStr">
        <x:is>
          <x:t xml:space="preserve">BDS001403</x:t>
        </x:is>
      </x:c>
      <x:c r="H44" t="inlineStr">
        <x:is>
          <x:t xml:space="preserve">Cadramine-V ใหญ่ (120 ml.)</x:t>
        </x:is>
      </x:c>
      <x:c r="I44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44" t="inlineStr">
        <x:is>
          <x:t xml:space="preserve">Eczema/diaper rash / anti-itch topicals</x:t>
        </x:is>
      </x:c>
    </x:row>
    <x:row r="45">
      <x:c r="A45" t="n">
        <x:v>862</x:v>
      </x:c>
      <x:c r="B45" t="inlineStr">
        <x:is>
          <x:t xml:space="preserve">ยาทาแก้แพ้, แก้คัน</x:t>
        </x:is>
      </x:c>
      <x:c r="C45" t="n">
        <x:v>1846</x:v>
      </x:c>
      <x:c r="D45" t="inlineStr">
        <x:is>
          <x:t xml:space="preserve">Fenistil Gel</x:t>
        </x:is>
      </x:c>
      <x:c r="E45" t="inlineStr">
        <x:is>
          <x:t xml:space="preserve">หลอด 20 g.</x:t>
        </x:is>
      </x:c>
      <x:c r="F45" t="inlineStr">
        <x:is>
          <x:t xml:space="preserve">Dimethindene maleate 1 mg.</x:t>
        </x:is>
      </x:c>
      <x:c r="G45" t="inlineStr">
        <x:is>
          <x:t xml:space="preserve">BDS001846</x:t>
        </x:is>
      </x:c>
      <x:c r="H45" t="inlineStr">
        <x:is>
          <x:t xml:space="preserve">Fenistil Gel (20 g.)</x:t>
        </x:is>
      </x:c>
      <x:c r="I45" t="inlineStr">
        <x:is>
          <x:t xml:space="preserve">ทาบางๆ บริเวณที่มีอาการ วันละ 2-4 ครั้ง</x:t>
        </x:is>
      </x:c>
      <x:c r="P45" t="inlineStr">
        <x:is>
          <x:t xml:space="preserve">Eczema/diaper rash / anti-itch topicals</x:t>
        </x:is>
      </x:c>
    </x:row>
    <x:row r="46">
      <x:c r="A46" t="n">
        <x:v>863</x:v>
      </x:c>
      <x:c r="B46" t="inlineStr">
        <x:is>
          <x:t xml:space="preserve">ยาทาแก้แพ้, แก้คัน</x:t>
        </x:is>
      </x:c>
      <x:c r="C46" t="n">
        <x:v>3669</x:v>
      </x:c>
      <x:c r="D46" t="inlineStr">
        <x:is>
          <x:t xml:space="preserve">Systral Cream เล็ก</x:t>
        </x:is>
      </x:c>
      <x:c r="E46" t="inlineStr">
        <x:is>
          <x:t xml:space="preserve">หลอด 10 g.</x:t>
        </x:is>
      </x:c>
      <x:c r="F46" t="inlineStr">
        <x:is>
          <x:t xml:space="preserve">Chlorphenoxamine HCl 1.5 %</x:t>
        </x:is>
      </x:c>
      <x:c r="G46" t="inlineStr">
        <x:is>
          <x:t xml:space="preserve">BDS003669</x:t>
        </x:is>
      </x:c>
      <x:c r="H46" t="inlineStr">
        <x:is>
          <x:t xml:space="preserve">Systral Cream เล็ก (10 g.)</x:t>
        </x:is>
      </x:c>
      <x:c r="I46" t="inlineStr">
        <x:is>
          <x:t xml:space="preserve">ทาบางๆ บริเวณที่มีอาการ วันละ 3-4 ครั้ง</x:t>
        </x:is>
      </x:c>
      <x:c r="P46" t="inlineStr">
        <x:is>
          <x:t xml:space="preserve">Eczema/diaper rash / anti-itch topicals</x:t>
        </x:is>
      </x:c>
    </x:row>
    <x:row r="47">
      <x:c r="A47" t="n">
        <x:v>864</x:v>
      </x:c>
      <x:c r="B47" t="inlineStr">
        <x:is>
          <x:t xml:space="preserve">ยาทาแก้แพ้, แก้คัน</x:t>
        </x:is>
      </x:c>
      <x:c r="C47" t="n">
        <x:v>3681</x:v>
      </x:c>
      <x:c r="D47" t="inlineStr">
        <x:is>
          <x:t xml:space="preserve">Systral Cream ใหญ่</x:t>
        </x:is>
      </x:c>
      <x:c r="E47" t="inlineStr">
        <x:is>
          <x:t xml:space="preserve">หลอด 25 g.</x:t>
        </x:is>
      </x:c>
      <x:c r="F47" t="inlineStr">
        <x:is>
          <x:t xml:space="preserve">Chlorphenoxamine HCl 1.5 %</x:t>
        </x:is>
      </x:c>
      <x:c r="G47" t="inlineStr">
        <x:is>
          <x:t xml:space="preserve">BDS003681</x:t>
        </x:is>
      </x:c>
      <x:c r="H47" t="inlineStr">
        <x:is>
          <x:t xml:space="preserve">Systral Cream ใหญ่ (25 g.)</x:t>
        </x:is>
      </x:c>
      <x:c r="I47" t="inlineStr">
        <x:is>
          <x:t xml:space="preserve">ทาบางๆ บริเวณที่มีอาการ วันละ 3-4 ครั้ง</x:t>
        </x:is>
      </x:c>
      <x:c r="P47" t="inlineStr">
        <x:is>
          <x:t xml:space="preserve">Eczema/diaper rash / anti-itch topicals</x:t>
        </x:is>
      </x:c>
    </x:row>
    <x:row r="48">
      <x:c r="A48" t="n">
        <x:v>881</x:v>
      </x:c>
      <x:c r="B48" t="inlineStr">
        <x:is>
          <x:t xml:space="preserve">ยาทาแก้แพ้, ผื่นผ้าอ้อม</x:t>
        </x:is>
      </x:c>
      <x:c r="C48" t="n">
        <x:v>1219</x:v>
      </x:c>
      <x:c r="D48" t="inlineStr">
        <x:is>
          <x:t xml:space="preserve">Bepanthen Ointment</x:t>
        </x:is>
      </x:c>
      <x:c r="E48" t="inlineStr">
        <x:is>
          <x:t xml:space="preserve">หลอด 30 g.</x:t>
        </x:is>
      </x:c>
      <x:c r="F48" t="inlineStr">
        <x:is>
          <x:t xml:space="preserve">Dexpanthenol 50 mg.</x:t>
        </x:is>
      </x:c>
      <x:c r="G48" t="inlineStr">
        <x:is>
          <x:t xml:space="preserve">BDS001219</x:t>
        </x:is>
      </x:c>
      <x:c r="H48" t="inlineStr">
        <x:is>
          <x:t xml:space="preserve">Bepanthen Ointment (30 g.)</x:t>
        </x:is>
      </x:c>
      <x:c r="I48" t="inlineStr">
        <x:is>
          <x:t xml:space="preserve">ทาทุกครั้งที่เปลี่ยนผ้าอ้อม ภายหลังจากได้ทำความสะอาดก้นเด็กด้วยการใช้น้ำ แล้วซับให้แห้ง </x:t>
        </x:is>
      </x:c>
      <x:c r="P48" t="inlineStr">
        <x:is>
          <x:t xml:space="preserve">Eczema/diaper rash / anti-itch topicals</x:t>
        </x:is>
      </x:c>
    </x:row>
    <x:row r="49">
      <x:c r="A49" t="n">
        <x:v>882</x:v>
      </x:c>
      <x:c r="B49" t="inlineStr">
        <x:is>
          <x:t xml:space="preserve">ยาทาแก้แพ้, ผื่นผ้าอ้อม</x:t>
        </x:is>
      </x:c>
      <x:c r="C49" t="n">
        <x:v>2806</x:v>
      </x:c>
      <x:c r="D49" t="inlineStr">
        <x:is>
          <x:t xml:space="preserve">Nappy-Hippo</x:t>
        </x:is>
      </x:c>
      <x:c r="E49" t="inlineStr">
        <x:is>
          <x:t xml:space="preserve">หลอด 25 g.</x:t>
        </x:is>
      </x:c>
      <x:c r="F49" t="inlineStr">
        <x:is>
          <x:t xml:space="preserve">Zinc Oxide 7.5 g./100 g.</x:t>
        </x:is>
      </x:c>
      <x:c r="G49" t="inlineStr">
        <x:is>
          <x:t xml:space="preserve">BDS002806</x:t>
        </x:is>
      </x:c>
      <x:c r="H49" t="inlineStr">
        <x:is>
          <x:t xml:space="preserve">Nappy-Hippo (25 g.)</x:t>
        </x:is>
      </x:c>
      <x:c r="I49" t="inlineStr">
        <x:is>
          <x:t xml:space="preserve">ทาครีมบางๆ บริเวณที่มีอาการ วันละ 3-4 ครั้ง</x:t>
        </x:is>
      </x:c>
      <x:c r="P49" t="inlineStr">
        <x:is>
          <x:t xml:space="preserve">Eczema/diaper rash / anti-itch topicals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755</x:v>
      </x:c>
      <x:c r="B2" t="inlineStr">
        <x:is>
          <x:t xml:space="preserve">น้ำตาเทียม</x:t>
        </x:is>
      </x:c>
      <x:c r="C2" t="n">
        <x:v>1552</x:v>
      </x:c>
      <x:c r="D2" t="inlineStr">
        <x:is>
          <x:t xml:space="preserve">Cellufresh</x:t>
        </x:is>
      </x:c>
      <x:c r="E2" t="inlineStr">
        <x:is>
          <x:t xml:space="preserve">กล่อง 30 หลอด</x:t>
        </x:is>
      </x:c>
      <x:c r="F2" t="inlineStr">
        <x:is>
          <x:t xml:space="preserve">Carboxymethylcellulose Sodium (CMC) 0.5%+Calcium Chloride+Magnesium Chloride+Potassium Chloride+Sodium Chloride+Sodium Lactate+Hydrochloric Acid+Sodium Hydroxide</x:t>
        </x:is>
      </x:c>
      <x:c r="G2" t="inlineStr">
        <x:is>
          <x:t xml:space="preserve">BDS001552</x:t>
        </x:is>
      </x:c>
      <x:c r="H2" t="inlineStr">
        <x:is>
          <x:t xml:space="preserve">Cellufresh (30 tubes)</x:t>
        </x:is>
      </x:c>
      <x:c r="I2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2" t="inlineStr">
        <x:is>
          <x:t xml:space="preserve">Artificial tears / eye lubricants</x:t>
        </x:is>
      </x:c>
    </x:row>
    <x:row r="3">
      <x:c r="A3" t="n">
        <x:v>756</x:v>
      </x:c>
      <x:c r="B3" t="inlineStr">
        <x:is>
          <x:t xml:space="preserve">น้ำตาเทียม</x:t>
        </x:is>
      </x:c>
      <x:c r="C3" t="n">
        <x:v>41414</x:v>
      </x:c>
      <x:c r="D3" t="inlineStr">
        <x:is>
          <x:t xml:space="preserve">Cellufresh MD </x:t>
        </x:is>
      </x:c>
      <x:c r="E3" t="inlineStr">
        <x:is>
          <x:t xml:space="preserve">ขวด 3 ml.</x:t>
        </x:is>
      </x:c>
      <x:c r="F3" t="inlineStr">
        <x:is>
          <x:t xml:space="preserve">Carboxymethylcellulose Sodium (CMC) 0.5%+Boric acid+Calcium Chloride+Magnesium Chloride+Potassium Chloride+Sodium Borate+Sodium Chloride+Preservative (Stabilized Oxychloro Complex (Purite) </x:t>
        </x:is>
      </x:c>
      <x:c r="G3" t="inlineStr">
        <x:is>
          <x:t xml:space="preserve">BDS041414</x:t>
        </x:is>
      </x:c>
      <x:c r="H3" t="inlineStr">
        <x:is>
          <x:t xml:space="preserve">Cellufresh MD  (3 ml.)</x:t>
        </x:is>
      </x:c>
      <x:c r="I3" t="inlineStr">
        <x:is>
          <x:t xml:space="preserve">หยอดตาครั้งละ 1-2 หยด วันละ 2-3 ครั้ง ตามต้องการ</x:t>
        </x:is>
      </x:c>
      <x:c r="P3" t="inlineStr">
        <x:is>
          <x:t xml:space="preserve">Artificial tears / eye lubricants</x:t>
        </x:is>
      </x:c>
    </x:row>
    <x:row r="4">
      <x:c r="A4" t="n">
        <x:v>757</x:v>
      </x:c>
      <x:c r="B4" t="inlineStr">
        <x:is>
          <x:t xml:space="preserve">น้ำตาเทียม</x:t>
        </x:is>
      </x:c>
      <x:c r="C4" t="n">
        <x:v>1554</x:v>
      </x:c>
      <x:c r="D4" t="inlineStr">
        <x:is>
          <x:t xml:space="preserve">Cellufresh MD ใหญ่</x:t>
        </x:is>
      </x:c>
      <x:c r="E4" t="inlineStr">
        <x:is>
          <x:t xml:space="preserve">ขวด 15 ml.</x:t>
        </x:is>
      </x:c>
      <x:c r="F4" t="inlineStr">
        <x:is>
          <x:t xml:space="preserve">Carboxymethylcellulose Sodium (CMC) 0.5%+Boric acid+Calcium Chloride dihydrate+Magnesium Chloride+ Potassium Chloride+Sodium Borate+Sodium Chloride+Preservative (Stabilized Oxychloro complex (Purite) </x:t>
        </x:is>
      </x:c>
      <x:c r="G4" t="inlineStr">
        <x:is>
          <x:t xml:space="preserve">BDS001554</x:t>
        </x:is>
      </x:c>
      <x:c r="H4" t="inlineStr">
        <x:is>
          <x:t xml:space="preserve">Cellufresh MD ใหญ่ (15 ml.)</x:t>
        </x:is>
      </x:c>
      <x:c r="I4" t="inlineStr">
        <x:is>
          <x:t xml:space="preserve">หยอดตาครั้งละ 1-2 หยด วันละ 2-3 ครั้ง ตามต้องการ</x:t>
        </x:is>
      </x:c>
      <x:c r="P4" t="inlineStr">
        <x:is>
          <x:t xml:space="preserve">Artificial tears / eye lubricants</x:t>
        </x:is>
      </x:c>
    </x:row>
    <x:row r="5">
      <x:c r="A5" t="n">
        <x:v>758</x:v>
      </x:c>
      <x:c r="B5" t="inlineStr">
        <x:is>
          <x:t xml:space="preserve">น้ำตาเทียม</x:t>
        </x:is>
      </x:c>
      <x:c r="C5" t="n">
        <x:v>1551</x:v>
      </x:c>
      <x:c r="D5" t="inlineStr">
        <x:is>
          <x:t xml:space="preserve">Clens 100 Lens Drops</x:t>
        </x:is>
      </x:c>
      <x:c r="E5" t="inlineStr">
        <x:is>
          <x:t xml:space="preserve">ขวด 8 ml.</x:t>
        </x:is>
      </x:c>
      <x:c r="F5" t="inlineStr">
        <x:is>
          <x:t xml:space="preserve">Citrate/Borate Buffer+Sodium Chloride+Edetate Disodium 0.05%+PEG-11 Lauryl ether Carboxylic acid+Tetronic t1304+Preservative (Edetate Disodium 0.05%+Polidronium Chloride 0.001%)</x:t>
        </x:is>
      </x:c>
      <x:c r="G5" t="inlineStr">
        <x:is>
          <x:t xml:space="preserve">BDS001551</x:t>
        </x:is>
      </x:c>
      <x:c r="H5" t="inlineStr">
        <x:is>
          <x:t xml:space="preserve">Clens 100 Lens Drops (8 ml.)</x:t>
        </x:is>
      </x:c>
      <x:c r="I5" t="inlineStr">
        <x:is>
          <x:t xml:space="preserve">หยดน้ำยา 2 หยด เข้าในตาแต่ละข้าง กะพริบตา 2-3 ครั้ง  </x:t>
        </x:is>
      </x:c>
      <x:c r="P5" t="inlineStr">
        <x:is>
          <x:t xml:space="preserve">Artificial tears / eye lubricants</x:t>
        </x:is>
      </x:c>
    </x:row>
    <x:row r="6">
      <x:c r="A6" t="n">
        <x:v>759</x:v>
      </x:c>
      <x:c r="B6" t="inlineStr">
        <x:is>
          <x:t xml:space="preserve">น้ำตาเทียม</x:t>
        </x:is>
      </x:c>
      <x:c r="C6" t="n">
        <x:v>2107</x:v>
      </x:c>
      <x:c r="D6" t="inlineStr">
        <x:is>
          <x:t xml:space="preserve">Genteal Eye Drop</x:t>
        </x:is>
      </x:c>
      <x:c r="E6" t="inlineStr">
        <x:is>
          <x:t xml:space="preserve">ขวด 10 ml.</x:t>
        </x:is>
      </x:c>
      <x:c r="F6" t="inlineStr">
        <x:is>
          <x:t xml:space="preserve">Hypromellose 3 mg. (0.3%)+Sodium Chloride+Boric Acid+Potassium Chloride+Hydrochloric Acid+Preservative (Sodium Perborate+Phosphonic Acid)</x:t>
        </x:is>
      </x:c>
      <x:c r="G6" t="inlineStr">
        <x:is>
          <x:t xml:space="preserve">BDS002107</x:t>
        </x:is>
      </x:c>
      <x:c r="H6" t="inlineStr">
        <x:is>
          <x:t xml:space="preserve">Genteal Eye Drop (10 ml.)</x:t>
        </x:is>
      </x:c>
      <x:c r="I6" t="inlineStr">
        <x:is>
          <x:t xml:space="preserve">หยอดตาข้างที่เป็นครั้งละ 1-2 หยด ตามต้องการ</x:t>
        </x:is>
      </x:c>
      <x:c r="P6" t="inlineStr">
        <x:is>
          <x:t xml:space="preserve">Artificial tears / eye lubricants</x:t>
        </x:is>
      </x:c>
    </x:row>
    <x:row r="7">
      <x:c r="A7" t="n">
        <x:v>760</x:v>
      </x:c>
      <x:c r="B7" t="inlineStr">
        <x:is>
          <x:t xml:space="preserve">น้ำตาเทียม</x:t>
        </x:is>
      </x:c>
      <x:c r="C7" t="n">
        <x:v>2031</x:v>
      </x:c>
      <x:c r="D7" t="inlineStr">
        <x:is>
          <x:t xml:space="preserve">Genteal Gel</x:t>
        </x:is>
      </x:c>
      <x:c r="E7" t="inlineStr">
        <x:is>
          <x:t xml:space="preserve">หลอด 10 g.</x:t>
        </x:is>
      </x:c>
      <x:c r="F7" t="inlineStr">
        <x:is>
          <x:t xml:space="preserve">Hypromellose 3 mg. (0.3%)+Carbomer 980 2.2 mg.+Sorbitol 35 mg.+Sodium hydroxide 0.787 mg.+Dequest 2060 0.06 mg.+Preservative (Sodium Perborate Tetrahydrate 0.28 mg.)/1 g.</x:t>
        </x:is>
      </x:c>
      <x:c r="G7" t="inlineStr">
        <x:is>
          <x:t xml:space="preserve">BDS002031</x:t>
        </x:is>
      </x:c>
      <x:c r="H7" t="inlineStr">
        <x:is>
          <x:t xml:space="preserve">Genteal Gel (10 g.)</x:t>
        </x:is>
      </x:c>
      <x:c r="I7" t="inlineStr">
        <x:is>
          <x:t xml:space="preserve">หยอดยาลงในเปลือกตาล่างแต่ละข้างครั้งละ 1 หยด และกะพริบตาหลายๆ ครั้ง</x:t>
        </x:is>
      </x:c>
      <x:c r="P7" t="inlineStr">
        <x:is>
          <x:t xml:space="preserve">Artificial tears / eye lubricants</x:t>
        </x:is>
      </x:c>
    </x:row>
    <x:row r="8">
      <x:c r="A8" t="n">
        <x:v>761</x:v>
      </x:c>
      <x:c r="B8" t="inlineStr">
        <x:is>
          <x:t xml:space="preserve">น้ำตาเทียม</x:t>
        </x:is>
      </x:c>
      <x:c r="C8" t="n">
        <x:v>43800</x:v>
      </x:c>
      <x:c r="D8" t="inlineStr">
        <x:is>
          <x:t xml:space="preserve">Hialid 0.1 Opthalmic Solution</x:t>
        </x:is>
      </x:c>
      <x:c r="E8" t="inlineStr">
        <x:is>
          <x:t xml:space="preserve">ขวด 5 ml.</x:t>
        </x:is>
      </x:c>
      <x:c r="F8" t="inlineStr">
        <x:is>
          <x:t xml:space="preserve">Sodium Hyaluronate 0.1%+6-Aminocaproic Acid/1 ml.</x:t>
        </x:is>
      </x:c>
      <x:c r="G8" t="inlineStr">
        <x:is>
          <x:t xml:space="preserve">BDS043800</x:t>
        </x:is>
      </x:c>
      <x:c r="H8" t="inlineStr">
        <x:is>
          <x:t xml:space="preserve">Hialid 0.1 Opthalmic Solution (5 ml.)</x:t>
        </x:is>
      </x:c>
      <x:c r="I8" t="inlineStr">
        <x:is>
          <x:t xml:space="preserve">หยอดครั้งละ 1 หยด วันละ 5-6 ครั้ง หรือตามแพทย์สั่ง </x:t>
        </x:is>
      </x:c>
      <x:c r="P8" t="inlineStr">
        <x:is>
          <x:t xml:space="preserve">Artificial tears / eye lubricants</x:t>
        </x:is>
      </x:c>
    </x:row>
    <x:row r="9">
      <x:c r="A9" t="n">
        <x:v>762</x:v>
      </x:c>
      <x:c r="B9" t="inlineStr">
        <x:is>
          <x:t xml:space="preserve">น้ำตาเทียม</x:t>
        </x:is>
      </x:c>
      <x:c r="C9" t="n">
        <x:v>43847</x:v>
      </x:c>
      <x:c r="D9" t="inlineStr">
        <x:is>
          <x:t xml:space="preserve">Hyatear</x:t>
        </x:is>
      </x:c>
      <x:c r="E9" t="inlineStr">
        <x:is>
          <x:t xml:space="preserve">กล่อง 20 หลอด</x:t>
        </x:is>
      </x:c>
      <x:c r="F9" t="inlineStr">
        <x:is>
          <x:t xml:space="preserve">Sodium Hyaluronate 0.18% (Sodium Hyaluronate 1.8 mg.+Sodium Chloride +Potassium Chloride +Trisodium citrate +Disodium Hydrogenphosphate +Sodium dihydrogen phosphate +Magnesium chloride hexahydrate +Calcium Chloride dihydrate)</x:t>
        </x:is>
      </x:c>
      <x:c r="G9" t="inlineStr">
        <x:is>
          <x:t xml:space="preserve">BDS043847</x:t>
        </x:is>
      </x:c>
      <x:c r="H9" t="inlineStr">
        <x:is>
          <x:t xml:space="preserve">Hyatear (20 tubes)</x:t>
        </x:is>
      </x:c>
      <x:c r="I9" t="inlineStr">
        <x:is>
          <x:t xml:space="preserve">เปิดหลอดโดยการบิดฝา หยอดตาครั้งละ 1-2 หยด ในตาข้างที่เป็น วันละ 4 ครั้ง หรือตามต้องการ</x:t>
        </x:is>
      </x:c>
      <x:c r="P9" t="inlineStr">
        <x:is>
          <x:t xml:space="preserve">Artificial tears / eye lubricants</x:t>
        </x:is>
      </x:c>
    </x:row>
    <x:row r="10">
      <x:c r="A10" t="n">
        <x:v>763</x:v>
      </x:c>
      <x:c r="B10" t="inlineStr">
        <x:is>
          <x:t xml:space="preserve">น้ำตาเทียม</x:t>
        </x:is>
      </x:c>
      <x:c r="C10" t="n">
        <x:v>2886</x:v>
      </x:c>
      <x:c r="D10" t="inlineStr">
        <x:is>
          <x:t xml:space="preserve">Natear</x:t>
        </x:is>
      </x:c>
      <x:c r="E10" t="inlineStr">
        <x:is>
          <x:t xml:space="preserve">ขวด 10 ml.</x:t>
        </x:is>
      </x:c>
      <x:c r="F10" t="inlineStr">
        <x:is>
          <x:t xml:space="preserve">Hydroxypropyl Methylcellulose USP 0.3%+Preservative (Sodium Perborate) </x:t>
        </x:is>
      </x:c>
      <x:c r="G10" t="inlineStr">
        <x:is>
          <x:t xml:space="preserve">BDS002886</x:t>
        </x:is>
      </x:c>
      <x:c r="H10" t="inlineStr">
        <x:is>
          <x:t xml:space="preserve">Natear (10 ml.)</x:t>
        </x:is>
      </x:c>
      <x:c r="I10" t="inlineStr">
        <x:is>
          <x:t xml:space="preserve">หยอดครั้งละ 1-2 หยด วันละ 2-3 ครั้ง หรือเมื่อมีอาการระคายเคืองตา </x:t>
        </x:is>
      </x:c>
      <x:c r="P10" t="inlineStr">
        <x:is>
          <x:t xml:space="preserve">Artificial tears / eye lubricants</x:t>
        </x:is>
      </x:c>
    </x:row>
    <x:row r="11">
      <x:c r="A11" t="n">
        <x:v>764</x:v>
      </x:c>
      <x:c r="B11" t="inlineStr">
        <x:is>
          <x:t xml:space="preserve">น้ำตาเทียม</x:t>
        </x:is>
      </x:c>
      <x:c r="C11" t="n">
        <x:v>45617</x:v>
      </x:c>
      <x:c r="D11" t="inlineStr">
        <x:is>
          <x:t xml:space="preserve">Natear UD Lubricant Eye Drops</x:t>
        </x:is>
      </x:c>
      <x:c r="E11" t="inlineStr">
        <x:is>
          <x:t xml:space="preserve">กล่อง 7 หลอด</x:t>
        </x:is>
      </x:c>
      <x:c r="F11" t="inlineStr">
        <x:is>
          <x:t xml:space="preserve">Hypromellose (Hydroxypropyl Methylcellulose) 0.3% w/v /0.8 ml.</x:t>
        </x:is>
      </x:c>
      <x:c r="G11" t="inlineStr">
        <x:is>
          <x:t xml:space="preserve">BDS045617</x:t>
        </x:is>
      </x:c>
      <x:c r="H11" t="inlineStr">
        <x:is>
          <x:t xml:space="preserve">Natear UD Lubricant Eye Drops (7 tubes)</x:t>
        </x:is>
      </x:c>
      <x:c r="I11" t="inlineStr">
        <x:is>
          <x:t xml:space="preserve">หยอดตาครั้งละ 1-2 หยด วันละ 2-3 ครั้ง หรือเมื่อรู้สึกระคายเคืองตา </x:t>
        </x:is>
      </x:c>
      <x:c r="P11" t="inlineStr">
        <x:is>
          <x:t xml:space="preserve">Artificial tears / eye lubricants</x:t>
        </x:is>
      </x:c>
    </x:row>
    <x:row r="12">
      <x:c r="A12" t="n">
        <x:v>765</x:v>
      </x:c>
      <x:c r="B12" t="inlineStr">
        <x:is>
          <x:t xml:space="preserve">น้ำตาเทียม</x:t>
        </x:is>
      </x:c>
      <x:c r="C12" t="n">
        <x:v>46204</x:v>
      </x:c>
      <x:c r="D12" t="inlineStr">
        <x:is>
          <x:t xml:space="preserve">OcuFreshs Tear Eye Drops</x:t>
        </x:is>
      </x:c>
      <x:c r="E12" t="inlineStr">
        <x:is>
          <x:t xml:space="preserve">ขวด 10 ml.</x:t>
        </x:is>
      </x:c>
      <x:c r="F12" t="inlineStr">
        <x:is>
          <x:t xml:space="preserve">Hypromellose 3 mg. (0.3%)+Preservative (Benzalkonium Chloride 0.02%)/1 ml.</x:t>
        </x:is>
      </x:c>
      <x:c r="G12" t="inlineStr">
        <x:is>
          <x:t xml:space="preserve">BDS046204</x:t>
        </x:is>
      </x:c>
      <x:c r="H12" t="inlineStr">
        <x:is>
          <x:t xml:space="preserve">OcuFreshs Tear Eye Drops (10 ml.)</x:t>
        </x:is>
      </x:c>
      <x:c r="I12" t="inlineStr">
        <x:is>
          <x:t xml:space="preserve">หยอดตาครั้งละ 1-2 หยด วันละ 3-4 ครั้ง หรือตามต้องการ</x:t>
        </x:is>
      </x:c>
      <x:c r="P12" t="inlineStr">
        <x:is>
          <x:t xml:space="preserve">Artificial tears / eye lubricants</x:t>
        </x:is>
      </x:c>
    </x:row>
    <x:row r="13">
      <x:c r="A13" t="n">
        <x:v>766</x:v>
      </x:c>
      <x:c r="B13" t="inlineStr">
        <x:is>
          <x:t xml:space="preserve">น้ำตาเทียม</x:t>
        </x:is>
      </x:c>
      <x:c r="C13" t="n">
        <x:v>3014</x:v>
      </x:c>
      <x:c r="D13" t="inlineStr">
        <x:is>
          <x:t xml:space="preserve">Opsil Tears 0.3%</x:t>
        </x:is>
      </x:c>
      <x:c r="E13" t="inlineStr">
        <x:is>
          <x:t xml:space="preserve">ขวด 10 ml.</x:t>
        </x:is>
      </x:c>
      <x:c r="F13" t="inlineStr">
        <x:is>
          <x:t xml:space="preserve">Hydroxypropyl Methylcellulose USP 0.3%+Preservative (Benzalkonium Chloride) </x:t>
        </x:is>
      </x:c>
      <x:c r="G13" t="inlineStr">
        <x:is>
          <x:t xml:space="preserve">BDS003014</x:t>
        </x:is>
      </x:c>
      <x:c r="H13" t="inlineStr">
        <x:is>
          <x:t xml:space="preserve">Opsil Tears 0.3% (10 ml.)</x:t>
        </x:is>
      </x:c>
      <x:c r="I13" t="inlineStr">
        <x:is>
          <x:t xml:space="preserve">หยอดตาครั้งละ 1-2 หยด วันละ 2-3 ครั้ง หรือเมื่อรู้สึกเคืองตา</x:t>
        </x:is>
      </x:c>
      <x:c r="P13" t="inlineStr">
        <x:is>
          <x:t xml:space="preserve">Artificial tears / eye lubricants</x:t>
        </x:is>
      </x:c>
    </x:row>
    <x:row r="14">
      <x:c r="A14" t="n">
        <x:v>767</x:v>
      </x:c>
      <x:c r="B14" t="inlineStr">
        <x:is>
          <x:t xml:space="preserve">น้ำตาเทียม</x:t>
        </x:is>
      </x:c>
      <x:c r="C14" t="n">
        <x:v>3102</x:v>
      </x:c>
      <x:c r="D14" t="inlineStr">
        <x:is>
          <x:t xml:space="preserve">Opti-Free Rewetting Drops</x:t>
        </x:is>
      </x:c>
      <x:c r="E14" t="inlineStr">
        <x:is>
          <x:t xml:space="preserve">ขวด 10 ml.</x:t>
        </x:is>
      </x:c>
      <x:c r="F14" t="inlineStr">
        <x:is>
          <x:t xml:space="preserve">Citrate buffer+Sodium chloride+Preservative (Edetate Disodium 0.05%+Polyquaternium-1 0.001%)</x:t>
        </x:is>
      </x:c>
      <x:c r="G14" t="inlineStr">
        <x:is>
          <x:t xml:space="preserve">BDS003102</x:t>
        </x:is>
      </x:c>
      <x:c r="H14" t="inlineStr">
        <x:is>
          <x:t xml:space="preserve">Opti-Free Rewetting Drops (10 ml.)</x:t>
        </x:is>
      </x:c>
      <x:c r="I14" t="inlineStr">
        <x:is>
          <x:t xml:space="preserve">หยอดตาครั้งละ 1-2 หยด และกะพริบตา 2-3 ครั้ง เมื่อมีอาการ </x:t>
        </x:is>
      </x:c>
      <x:c r="P14" t="inlineStr">
        <x:is>
          <x:t xml:space="preserve">Artificial tears / eye lubricants</x:t>
        </x:is>
      </x:c>
    </x:row>
    <x:row r="15">
      <x:c r="A15" t="n">
        <x:v>768</x:v>
      </x:c>
      <x:c r="B15" t="inlineStr">
        <x:is>
          <x:t xml:space="preserve">น้ำตาเทียม</x:t>
        </x:is>
      </x:c>
      <x:c r="C15" t="n">
        <x:v>1204</x:v>
      </x:c>
      <x:c r="D15" t="inlineStr">
        <x:is>
          <x:t xml:space="preserve">Renu Multiplus Lubricating &amp; Rewetting Drops</x:t>
        </x:is>
      </x:c>
      <x:c r="E15" t="inlineStr">
        <x:is>
          <x:t xml:space="preserve">ขวด 8 ml.</x:t>
        </x:is>
      </x:c>
      <x:c r="F15" t="inlineStr">
        <x:is>
          <x:t xml:space="preserve">Povidone+Boric acid+Potassium chloride+Sodium chloride+ Sodium borate+Edetate disodium+Sorbic acid+Preservative (Edetate disodium 0.1%+Sorbic acid 0.1%)</x:t>
        </x:is>
      </x:c>
      <x:c r="G15" t="inlineStr">
        <x:is>
          <x:t xml:space="preserve">BDS001204</x:t>
        </x:is>
      </x:c>
      <x:c r="H15" t="inlineStr">
        <x:is>
          <x:t xml:space="preserve">Renu Multiplus Lubricating &amp; Rewetting Drops (8 ml.)</x:t>
        </x:is>
      </x:c>
      <x:c r="I15" t="inlineStr">
        <x:is>
          <x:t xml:space="preserve">หยอดตาครั้งละ 2-3 หยด เมื่อต้องการ และกะพริบตาหลายๆ ครั้ง </x:t>
        </x:is>
      </x:c>
      <x:c r="P15" t="inlineStr">
        <x:is>
          <x:t xml:space="preserve">Artificial tears / eye lubricants</x:t>
        </x:is>
      </x:c>
    </x:row>
    <x:row r="16">
      <x:c r="A16" t="n">
        <x:v>769</x:v>
      </x:c>
      <x:c r="B16" t="inlineStr">
        <x:is>
          <x:t xml:space="preserve">น้ำตาเทียม</x:t>
        </x:is>
      </x:c>
      <x:c r="C16" t="n">
        <x:v>47663</x:v>
      </x:c>
      <x:c r="D16" t="inlineStr">
        <x:is>
          <x:t xml:space="preserve">Seeview Sofs</x:t>
        </x:is>
      </x:c>
      <x:c r="E16" t="inlineStr">
        <x:is>
          <x:t xml:space="preserve">ขวด 10 ml.</x:t>
        </x:is>
      </x:c>
      <x:c r="F16" t="inlineStr">
        <x:is>
          <x:t xml:space="preserve">Hypromellose 3 mg/1 ml.</x:t>
        </x:is>
      </x:c>
      <x:c r="G16" t="inlineStr">
        <x:is>
          <x:t xml:space="preserve">BDS047663</x:t>
        </x:is>
      </x:c>
      <x:c r="H16" t="inlineStr">
        <x:is>
          <x:t xml:space="preserve">Seeview Sofs (10 ml.)</x:t>
        </x:is>
      </x:c>
      <x:c r="I16" t="inlineStr">
        <x:is>
          <x:t xml:space="preserve">หยอดตาครั้งละ 1 หยด เมื่อรู้สึกเคืองตา </x:t>
        </x:is>
      </x:c>
      <x:c r="P16" t="inlineStr">
        <x:is>
          <x:t xml:space="preserve">Artificial tears / eye lubricants</x:t>
        </x:is>
      </x:c>
    </x:row>
    <x:row r="17">
      <x:c r="A17" t="n">
        <x:v>770</x:v>
      </x:c>
      <x:c r="B17" t="inlineStr">
        <x:is>
          <x:t xml:space="preserve">น้ำตาเทียม</x:t>
        </x:is>
      </x:c>
      <x:c r="C17" t="n">
        <x:v>47647</x:v>
      </x:c>
      <x:c r="D17" t="inlineStr">
        <x:is>
          <x:t xml:space="preserve">Sof Tear Eye Drops</x:t>
        </x:is>
      </x:c>
      <x:c r="E17" t="inlineStr">
        <x:is>
          <x:t xml:space="preserve">ขวด 5 ml.</x:t>
        </x:is>
      </x:c>
      <x:c r="F17" t="inlineStr">
        <x:is>
          <x:t xml:space="preserve">Hypromellose USP 3 mg. (0.3% w/v USP)+Preservative (Sodium Perborate 0.28 mg.)/1 ml.</x:t>
        </x:is>
      </x:c>
      <x:c r="G17" t="inlineStr">
        <x:is>
          <x:t xml:space="preserve">BDS047647</x:t>
        </x:is>
      </x:c>
      <x:c r="H17" t="inlineStr">
        <x:is>
          <x:t xml:space="preserve">Sof Tear Eye Drops (5 ml.)</x:t>
        </x:is>
      </x:c>
      <x:c r="I17" t="inlineStr">
        <x:is>
          <x:t xml:space="preserve">หยอดตาครั้งละ 1-2 หยด เมื่อรู้สึกเคืองตา </x:t>
        </x:is>
      </x:c>
      <x:c r="P17" t="inlineStr">
        <x:is>
          <x:t xml:space="preserve">Artificial tears / eye lubricants</x:t>
        </x:is>
      </x:c>
    </x:row>
    <x:row r="18">
      <x:c r="A18" t="n">
        <x:v>771</x:v>
      </x:c>
      <x:c r="B18" t="inlineStr">
        <x:is>
          <x:t xml:space="preserve">น้ำตาเทียม</x:t>
        </x:is>
      </x:c>
      <x:c r="C18" t="n">
        <x:v>47637</x:v>
      </x:c>
      <x:c r="D18" t="inlineStr">
        <x:is>
          <x:t xml:space="preserve">Systane Ultra (UD) Lubricant Eye Drops</x:t>
        </x:is>
      </x:c>
      <x:c r="E18" t="inlineStr">
        <x:is>
          <x:t xml:space="preserve">กล่อง 28 หลอด</x:t>
        </x:is>
      </x:c>
      <x:c r="F18" t="inlineStr">
        <x:is>
          <x:t xml:space="preserve">Polyethylene Glycol 400 0.4%+Propylene Glycol 0.3%+Aminomethylpropanol+Boric Acid+Hydroxypropyl Guar+Potassium Chloride+Sodium Chloride+Sorbitol+Hydrochloric Acid+Sodium Hydroxide/1 ml.</x:t>
        </x:is>
      </x:c>
      <x:c r="G18" t="inlineStr">
        <x:is>
          <x:t xml:space="preserve">BDS047637</x:t>
        </x:is>
      </x:c>
      <x:c r="H18" t="inlineStr">
        <x:is>
          <x:t xml:space="preserve">Systane Ultra (UD) Lubricant Eye Drops (28 tubes)</x:t>
        </x:is>
      </x:c>
      <x:c r="I18" t="inlineStr">
        <x:is>
          <x:t xml:space="preserve">หยอดตาข้างที่เป็น ครั้งละ 1-2 หยด แล้วกะพริบตาต่อเนื่องกันประมาณ 1 นาที </x:t>
        </x:is>
      </x:c>
      <x:c r="P18" t="inlineStr">
        <x:is>
          <x:t xml:space="preserve">Artificial tears / eye lubricants</x:t>
        </x:is>
      </x:c>
    </x:row>
    <x:row r="19">
      <x:c r="A19" t="n">
        <x:v>772</x:v>
      </x:c>
      <x:c r="B19" t="inlineStr">
        <x:is>
          <x:t xml:space="preserve">น้ำตาเทียม</x:t>
        </x:is>
      </x:c>
      <x:c r="C19" t="n">
        <x:v>3679</x:v>
      </x:c>
      <x:c r="D19" t="inlineStr">
        <x:is>
          <x:t xml:space="preserve">Systane Ultra Lubricant Eye Drops</x:t>
        </x:is>
      </x:c>
      <x:c r="E19" t="inlineStr">
        <x:is>
          <x:t xml:space="preserve">ขวด 10 ml.</x:t>
        </x:is>
      </x:c>
      <x:c r="F19" t="inlineStr">
        <x:is>
          <x:t xml:space="preserve">Polyethylene Glycol 400 0.4%+Propylene Glycol 0.3%+Aminomethylpropanol+//Boric Acid+Hydroxypropyl guar+Potassium Chloride+Sodium Chloride+Sorbitol+Hydrochloric Acid+Sodium Hydroxide+Preservative (Polyquaternium-1 0.001%)</x:t>
        </x:is>
      </x:c>
      <x:c r="G19" t="inlineStr">
        <x:is>
          <x:t xml:space="preserve">BDS003679</x:t>
        </x:is>
      </x:c>
      <x:c r="H19" t="inlineStr">
        <x:is>
          <x:t xml:space="preserve">Systane Ultra Lubricant Eye Drops (10 ml.)</x:t>
        </x:is>
      </x:c>
      <x:c r="I19" t="inlineStr">
        <x:is>
          <x:t xml:space="preserve">หยดน้ำยา 1-2 หยด เข้าในตาแต่ละข้าง กะพริบตาต่อเนื่องกันประมาณ 1 นาที </x:t>
        </x:is>
      </x:c>
      <x:c r="P19" t="inlineStr">
        <x:is>
          <x:t xml:space="preserve">Artificial tears / eye lubricants</x:t>
        </x:is>
      </x:c>
    </x:row>
    <x:row r="20">
      <x:c r="A20" t="n">
        <x:v>773</x:v>
      </x:c>
      <x:c r="B20" t="inlineStr">
        <x:is>
          <x:t xml:space="preserve">น้ำตาเทียม</x:t>
        </x:is>
      </x:c>
      <x:c r="C20" t="n">
        <x:v>3765</x:v>
      </x:c>
      <x:c r="D20" t="inlineStr">
        <x:is>
          <x:t xml:space="preserve">Tear Mac Eye Drops</x:t>
        </x:is>
      </x:c>
      <x:c r="E20" t="inlineStr">
        <x:is>
          <x:t xml:space="preserve">ขวด 10 ml.</x:t>
        </x:is>
      </x:c>
      <x:c r="F20" t="inlineStr">
        <x:is>
          <x:t xml:space="preserve">Carboxymethyl Cellulose Sodium (CMC) 0.5%w/v+Preservative (Stabilised Oxychloro Complex  0.005% w/v) </x:t>
        </x:is>
      </x:c>
      <x:c r="G20" t="inlineStr">
        <x:is>
          <x:t xml:space="preserve">BDS003765</x:t>
        </x:is>
      </x:c>
      <x:c r="H20" t="inlineStr">
        <x:is>
          <x:t xml:space="preserve">Tear Mac Eye Drops (10 ml.)</x:t>
        </x:is>
      </x:c>
      <x:c r="I20" t="inlineStr">
        <x:is>
          <x:t xml:space="preserve">หยอดครั้งละ 1-2 หยด วันละ 4 ครั้ง หรือตามต้องการ </x:t>
        </x:is>
      </x:c>
      <x:c r="P20" t="inlineStr">
        <x:is>
          <x:t xml:space="preserve">Artificial tears / eye lubricants</x:t>
        </x:is>
      </x:c>
    </x:row>
    <x:row r="21">
      <x:c r="A21" t="n">
        <x:v>774</x:v>
      </x:c>
      <x:c r="B21" t="inlineStr">
        <x:is>
          <x:t xml:space="preserve">น้ำตาเทียม</x:t>
        </x:is>
      </x:c>
      <x:c r="C21" t="n">
        <x:v>3709</x:v>
      </x:c>
      <x:c r="D21" t="inlineStr">
        <x:is>
          <x:t xml:space="preserve">Tear Natural</x:t>
        </x:is>
      </x:c>
      <x:c r="E21" t="inlineStr">
        <x:is>
          <x:t xml:space="preserve">ขวด 15 ml.</x:t>
        </x:is>
      </x:c>
      <x:c r="F21" t="inlineStr">
        <x:is>
          <x:t xml:space="preserve">Dextran 70 0.1%+Hydroxypropyl Methylcellulose 2910 0.3%+Borax+Potassium Chloride+Sodium Chloride+Hydrochloric acid+Preservative (Polyquaternium-1 0.0011%)/1 ml.</x:t>
        </x:is>
      </x:c>
      <x:c r="G21" t="inlineStr">
        <x:is>
          <x:t xml:space="preserve">BDS003709</x:t>
        </x:is>
      </x:c>
      <x:c r="H21" t="inlineStr">
        <x:is>
          <x:t xml:space="preserve">Tear Natural (15 ml.)</x:t>
        </x:is>
      </x:c>
      <x:c r="I21" t="inlineStr">
        <x:is>
          <x:t xml:space="preserve">หยอดตาข้างที่เป็นครั้งละ 1-2 หยด ตามต้องการ</x:t>
        </x:is>
      </x:c>
      <x:c r="P21" t="inlineStr">
        <x:is>
          <x:t xml:space="preserve">Artificial tears / eye lubricants</x:t>
        </x:is>
      </x:c>
    </x:row>
    <x:row r="22">
      <x:c r="A22" t="n">
        <x:v>775</x:v>
      </x:c>
      <x:c r="B22" t="inlineStr">
        <x:is>
          <x:t xml:space="preserve">น้ำตาเทียม</x:t>
        </x:is>
      </x:c>
      <x:c r="C22" t="n">
        <x:v>3714</x:v>
      </x:c>
      <x:c r="D22" t="inlineStr">
        <x:is>
          <x:t xml:space="preserve">Tears Naturale Free</x:t>
        </x:is>
      </x:c>
      <x:c r="E22" t="inlineStr">
        <x:is>
          <x:t xml:space="preserve">กล่อง 32 หลอด</x:t>
        </x:is>
      </x:c>
      <x:c r="F22" t="inlineStr">
        <x:is>
          <x:t xml:space="preserve">Dextran 70 0.1%+Hydroxypropyl Methylcellulose 2910 0.3%</x:t>
        </x:is>
      </x:c>
      <x:c r="G22" t="inlineStr">
        <x:is>
          <x:t xml:space="preserve">BDS003714</x:t>
        </x:is>
      </x:c>
      <x:c r="H22" t="inlineStr">
        <x:is>
          <x:t xml:space="preserve">Tears Naturale Free (32 tubes)</x:t>
        </x:is>
      </x:c>
      <x:c r="I22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22" t="inlineStr">
        <x:is>
          <x:t xml:space="preserve">Artificial tears / eye lubricants</x:t>
        </x:is>
      </x:c>
    </x:row>
    <x:row r="23">
      <x:c r="A23" t="n">
        <x:v>776</x:v>
      </x:c>
      <x:c r="B23" t="inlineStr">
        <x:is>
          <x:t xml:space="preserve">น้ำตาเทียม</x:t>
        </x:is>
      </x:c>
      <x:c r="C23" t="n">
        <x:v>4035</x:v>
      </x:c>
      <x:c r="D23" t="inlineStr">
        <x:is>
          <x:t xml:space="preserve">Vislube</x:t>
        </x:is>
      </x:c>
      <x:c r="E23" t="inlineStr">
        <x:is>
          <x:t xml:space="preserve">กล่อง 20 หลอด</x:t>
        </x:is>
      </x:c>
      <x:c r="F23" t="inlineStr">
        <x:is>
          <x:t xml:space="preserve">Sodium Hyaluronate 0.18% (Sodium Hyaluronate 1.8 mg.+Sodium Chloride 2.8 mg.+Potassium Chloride 1 mg.+Disodium Hydrogenphosphate 3.2 mg.+Sodium Citrate 0.3 mg.+Magnesium Chloride 0.09 mg.+Calcium Chloride 0.09 mg.)</x:t>
        </x:is>
      </x:c>
      <x:c r="G23" t="inlineStr">
        <x:is>
          <x:t xml:space="preserve">BDS004035</x:t>
        </x:is>
      </x:c>
      <x:c r="H23" t="inlineStr">
        <x:is>
          <x:t xml:space="preserve">Vislube (20 tubes)</x:t>
        </x:is>
      </x:c>
      <x:c r="I23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23" t="inlineStr">
        <x:is>
          <x:t xml:space="preserve">Artificial tears / eye lubricants</x:t>
        </x:is>
      </x:c>
    </x:row>
    <x:row r="24">
      <x:c r="A24" t="n">
        <x:v>865</x:v>
      </x:c>
      <x:c r="B24" t="inlineStr">
        <x:is>
          <x:t xml:space="preserve">น้ำตาเทียม (D)</x:t>
        </x:is>
      </x:c>
      <x:c r="C24" t="n">
        <x:v>3904</x:v>
      </x:c>
      <x:c r="D24" t="inlineStr">
        <x:is>
          <x:t xml:space="preserve">Vidisic Gel</x:t>
        </x:is>
      </x:c>
      <x:c r="E24" t="inlineStr">
        <x:is>
          <x:t xml:space="preserve">หลอด 10 g.</x:t>
        </x:is>
      </x:c>
      <x:c r="F24" t="inlineStr">
        <x:is>
          <x:t xml:space="preserve">Carbomer 2 mg.+Cetrimide 0.1 mg.+Sorbitol+Sodium hydroxide +Water for injections/1 g.</x:t>
        </x:is>
      </x:c>
      <x:c r="G24" t="inlineStr">
        <x:is>
          <x:t xml:space="preserve">BDS003904</x:t>
        </x:is>
      </x:c>
      <x:c r="H24" t="inlineStr">
        <x:is>
          <x:t xml:space="preserve">Vidisic Gel (10 g.)</x:t>
        </x:is>
      </x:c>
      <x:c r="I24" t="inlineStr">
        <x:is>
          <x:t xml:space="preserve">ป้ายตา วันละ 3-5 ครั้ง</x:t>
        </x:is>
      </x:c>
      <x:c r="P24" t="inlineStr">
        <x:is>
          <x:t xml:space="preserve">Artificial tears / eye lubricants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777</x:v>
      </x:c>
      <x:c r="B2" t="inlineStr">
        <x:is>
          <x:t xml:space="preserve">ยาทาฆ่าเชื้อแบคทีเรีย (D)</x:t>
        </x:is>
      </x:c>
      <x:c r="C2" t="n">
        <x:v>2003</x:v>
      </x:c>
      <x:c r="D2" t="inlineStr">
        <x:is>
          <x:t xml:space="preserve">Garamycin Cream</x:t>
        </x:is>
      </x:c>
      <x:c r="E2" t="inlineStr">
        <x:is>
          <x:t xml:space="preserve">หลอด 5 g.</x:t>
        </x:is>
      </x:c>
      <x:c r="F2" t="inlineStr">
        <x:is>
          <x:t xml:space="preserve">Gentamicin 1 mg./1 g.</x:t>
        </x:is>
      </x:c>
      <x:c r="G2" t="inlineStr">
        <x:is>
          <x:t xml:space="preserve">BDS002003</x:t>
        </x:is>
      </x:c>
      <x:c r="H2" t="inlineStr">
        <x:is>
          <x:t xml:space="preserve">Garamycin Cream (5 g.)</x:t>
        </x:is>
      </x:c>
      <x:c r="I2" t="inlineStr">
        <x:is>
          <x:t xml:space="preserve">ทาบางๆ บริเวณผิวหนังที่ติดเชื้อ วันละ 3-4 ครั้ง</x:t>
        </x:is>
      </x:c>
      <x:c r="P2" t="inlineStr">
        <x:is>
          <x:t xml:space="preserve">Topical antibiotic / wound care / burn care</x:t>
        </x:is>
      </x:c>
    </x:row>
    <x:row r="3">
      <x:c r="A3" t="n">
        <x:v>778</x:v>
      </x:c>
      <x:c r="B3" t="inlineStr">
        <x:is>
          <x:t xml:space="preserve">ยาทาฆ่าเชื้อแบคทีเรีย (D)</x:t>
        </x:is>
      </x:c>
      <x:c r="C3" t="n">
        <x:v>47636</x:v>
      </x:c>
      <x:c r="D3" t="inlineStr">
        <x:is>
          <x:t xml:space="preserve">Silverzine Cream</x:t>
        </x:is>
      </x:c>
      <x:c r="E3" t="inlineStr">
        <x:is>
          <x:t xml:space="preserve">หลอด 25 g.</x:t>
        </x:is>
      </x:c>
      <x:c r="F3" t="inlineStr">
        <x:is>
          <x:t xml:space="preserve">Micronized Silver Sulfadiazine 1%</x:t>
        </x:is>
      </x:c>
      <x:c r="G3" t="inlineStr">
        <x:is>
          <x:t xml:space="preserve">BDS047636</x:t>
        </x:is>
      </x:c>
      <x:c r="H3" t="inlineStr">
        <x:is>
          <x:t xml:space="preserve">Silverzine Cream (25 g.)</x:t>
        </x:is>
      </x:c>
      <x:c r="I3" t="inlineStr">
        <x:is>
          <x:t xml:space="preserve">ทาบริเวณที่เป็น วันละ 2 ครั้ง </x:t>
        </x:is>
      </x:c>
      <x:c r="P3" t="inlineStr">
        <x:is>
          <x:t xml:space="preserve">Topical antibiotic / wound care / burn care</x:t>
        </x:is>
      </x:c>
    </x:row>
    <x:row r="4">
      <x:c r="A4" t="n">
        <x:v>827</x:v>
      </x:c>
      <x:c r="B4" t="inlineStr">
        <x:is>
          <x:t xml:space="preserve">ยาทาสมานแผล</x:t>
        </x:is>
      </x:c>
      <x:c r="C4" t="n">
        <x:v>1099</x:v>
      </x:c>
      <x:c r="D4" t="inlineStr">
        <x:is>
          <x:t xml:space="preserve">Intrasite Gel</x:t>
        </x:is>
      </x:c>
      <x:c r="E4" t="inlineStr">
        <x:is>
          <x:t xml:space="preserve">หลอด 25 g.</x:t>
        </x:is>
      </x:c>
      <x:c r="F4" t="inlineStr">
        <x:is>
          <x:t xml:space="preserve">Carboxymethyl Cellulose Polymer+Propylene Glycol+Water</x:t>
        </x:is>
      </x:c>
      <x:c r="G4" t="inlineStr">
        <x:is>
          <x:t xml:space="preserve">BDS001099</x:t>
        </x:is>
      </x:c>
      <x:c r="H4" t="inlineStr">
        <x:is>
          <x:t xml:space="preserve">Intrasite Gel (25 g.)</x:t>
        </x:is>
      </x:c>
      <x:c r="I4" t="inlineStr">
        <x:is>
          <x:t xml:space="preserve">เปิดจุกสีส้มออก ค่อยๆ บีบเจลเข้าไปในแผล ให้มีเจลหนาประมาณ 5 มิลลิเมตร </x:t>
        </x:is>
      </x:c>
      <x:c r="P4" t="inlineStr">
        <x:is>
          <x:t xml:space="preserve">Topical antibiotic / wound care / burn care</x:t>
        </x:is>
      </x:c>
    </x:row>
    <x:row r="5">
      <x:c r="A5" t="n">
        <x:v>829</x:v>
      </x:c>
      <x:c r="B5" t="inlineStr">
        <x:is>
          <x:t xml:space="preserve">ยาทาแผลไฟไหม้, น้ำร้อนลวก</x:t>
        </x:is>
      </x:c>
      <x:c r="C5" t="n">
        <x:v>1007</x:v>
      </x:c>
      <x:c r="D5" t="inlineStr">
        <x:is>
          <x:t xml:space="preserve">Aloe Gel</x:t>
        </x:is>
      </x:c>
      <x:c r="E5" t="inlineStr">
        <x:is>
          <x:t xml:space="preserve">หลอด 30 g.</x:t>
        </x:is>
      </x:c>
      <x:c r="F5" t="inlineStr">
        <x:is>
          <x:t xml:space="preserve">วุ้นจากว่านหางจระเข้ 87.399 %</x:t>
        </x:is>
      </x:c>
      <x:c r="G5" t="inlineStr">
        <x:is>
          <x:t xml:space="preserve">BDS001007</x:t>
        </x:is>
      </x:c>
      <x:c r="H5" t="inlineStr">
        <x:is>
          <x:t xml:space="preserve">Aloe Gel (30 g.)</x:t>
        </x:is>
      </x:c>
      <x:c r="I5" t="inlineStr">
        <x:is>
          <x:t xml:space="preserve">ทาเจลบริเวณที่มีอาการ วันละ 2-3 ครั้ง</x:t>
        </x:is>
      </x:c>
      <x:c r="P5" t="inlineStr">
        <x:is>
          <x:t xml:space="preserve">Topical antibiotic / wound care / burn care</x:t>
        </x:is>
      </x:c>
    </x:row>
    <x:row r="6">
      <x:c r="A6" t="n">
        <x:v>830</x:v>
      </x:c>
      <x:c r="B6" t="inlineStr">
        <x:is>
          <x:t xml:space="preserve">ยาทาแผลไฟไหม้, น้ำร้อนลวก</x:t>
        </x:is>
      </x:c>
      <x:c r="C6" t="n">
        <x:v>2801</x:v>
      </x:c>
      <x:c r="D6" t="inlineStr">
        <x:is>
          <x:t xml:space="preserve">Mebo</x:t>
        </x:is>
      </x:c>
      <x:c r="E6" t="inlineStr">
        <x:is>
          <x:t xml:space="preserve">หลอด 10 g.</x:t>
        </x:is>
      </x:c>
      <x:c r="F6" t="inlineStr">
        <x:is>
          <x:t xml:space="preserve">Beta-sitosterol 0.25%</x:t>
        </x:is>
      </x:c>
      <x:c r="G6" t="inlineStr">
        <x:is>
          <x:t xml:space="preserve">BDS002801</x:t>
        </x:is>
      </x:c>
      <x:c r="H6" t="inlineStr">
        <x:is>
          <x:t xml:space="preserve">Mebo (10 g.)</x:t>
        </x:is>
      </x:c>
      <x:c r="I6" t="inlineStr">
        <x:is>
          <x:t xml:space="preserve">ทาบริเวณที่มีอาการ วันละ 2-3 ครั้ง</x:t>
        </x:is>
      </x:c>
      <x:c r="P6" t="inlineStr">
        <x:is>
          <x:t xml:space="preserve">Topical antibiotic / wound care / burn care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818</x:v>
      </x:c>
      <x:c r="B2" t="inlineStr">
        <x:is>
          <x:t xml:space="preserve">ยาทาแผลในปาก (D)</x:t>
        </x:is>
      </x:c>
      <x:c r="C2" t="n">
        <x:v>2430</x:v>
      </x:c>
      <x:c r="D2" t="inlineStr">
        <x:is>
          <x:t xml:space="preserve">Kamistad-Gel N</x:t>
        </x:is>
      </x:c>
      <x:c r="E2" t="inlineStr">
        <x:is>
          <x:t xml:space="preserve">หลอด 10 g.</x:t>
        </x:is>
      </x:c>
      <x:c r="F2" t="inlineStr">
        <x:is>
          <x:t xml:space="preserve">Lidocaine HCl 20 mg.+Chamomile Flower Extract 185 mg.+Ethanol 50% v/v+Tromethamole 1.37% w/w+Preservative (Benzalkonium Chloride 1 mg.)/1 g.</x:t>
        </x:is>
      </x:c>
      <x:c r="G2" t="inlineStr">
        <x:is>
          <x:t xml:space="preserve">BDS002430</x:t>
        </x:is>
      </x:c>
      <x:c r="H2" t="inlineStr">
        <x:is>
          <x:t xml:space="preserve">Kamistad-Gel N (10 g.)</x:t>
        </x:is>
      </x:c>
      <x:c r="I2" t="inlineStr">
        <x:is>
          <x:t xml:space="preserve">ป้ายยาบริเวณที่เป็นแผล วันละ 2-3 ครั้ง หลังอาหาร และก่อนนอน</x:t>
        </x:is>
      </x:c>
      <x:c r="P2" t="inlineStr">
        <x:is>
          <x:t xml:space="preserve">Mouthwash / throat/oral care</x:t>
        </x:is>
      </x:c>
    </x:row>
    <x:row r="3">
      <x:c r="A3" t="n">
        <x:v>819</x:v>
      </x:c>
      <x:c r="B3" t="inlineStr">
        <x:is>
          <x:t xml:space="preserve">ยาทาแผลในปาก (D)</x:t>
        </x:is>
      </x:c>
      <x:c r="C3" t="n">
        <x:v>7549</x:v>
      </x:c>
      <x:c r="D3" t="inlineStr">
        <x:is>
          <x:t xml:space="preserve">Kenalone Oral Paste 5 g</x:t>
        </x:is>
      </x:c>
      <x:c r="E3" t="inlineStr">
        <x:is>
          <x:t xml:space="preserve">หลอด 5 g.</x:t>
        </x:is>
      </x:c>
      <x:c r="F3" t="inlineStr">
        <x:is>
          <x:t xml:space="preserve">Triamcinolone Acetonide 0.1%</x:t>
        </x:is>
      </x:c>
      <x:c r="G3" t="inlineStr">
        <x:is>
          <x:t xml:space="preserve">BDS007549</x:t>
        </x:is>
      </x:c>
      <x:c r="H3" t="inlineStr">
        <x:is>
          <x:t xml:space="preserve">Kenalone Oral Paste 5 g (5 g.)</x:t>
        </x:is>
      </x:c>
      <x:c r="I3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3" t="inlineStr">
        <x:is>
          <x:t xml:space="preserve">Mouthwash / throat/oral care</x:t>
        </x:is>
      </x:c>
    </x:row>
    <x:row r="4">
      <x:c r="A4" t="n">
        <x:v>820</x:v>
      </x:c>
      <x:c r="B4" t="inlineStr">
        <x:is>
          <x:t xml:space="preserve">ยาทาแผลในปาก (D)</x:t>
        </x:is>
      </x:c>
      <x:c r="C4" t="n">
        <x:v>7548</x:v>
      </x:c>
      <x:c r="D4" t="inlineStr">
        <x:is>
          <x:t xml:space="preserve">Kenalone Oral Paste sachet 1 g</x:t>
        </x:is>
      </x:c>
      <x:c r="E4" t="inlineStr">
        <x:is>
          <x:t xml:space="preserve">ซอง 1 g.</x:t>
        </x:is>
      </x:c>
      <x:c r="F4" t="inlineStr">
        <x:is>
          <x:t xml:space="preserve">Triamcinolone Acetonide 0.1%</x:t>
        </x:is>
      </x:c>
      <x:c r="G4" t="inlineStr">
        <x:is>
          <x:t xml:space="preserve">BDS007548</x:t>
        </x:is>
      </x:c>
      <x:c r="H4" t="inlineStr">
        <x:is>
          <x:t xml:space="preserve">Kenalone Oral Paste sachet 1 g (1 g.)</x:t>
        </x:is>
      </x:c>
      <x:c r="I4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4" t="inlineStr">
        <x:is>
          <x:t xml:space="preserve">Mouthwash / throat/oral care</x:t>
        </x:is>
      </x:c>
    </x:row>
    <x:row r="5">
      <x:c r="A5" t="n">
        <x:v>821</x:v>
      </x:c>
      <x:c r="B5" t="inlineStr">
        <x:is>
          <x:t xml:space="preserve">ยาทาแผลในปาก (D)</x:t>
        </x:is>
      </x:c>
      <x:c r="C5" t="n">
        <x:v>3751</x:v>
      </x:c>
      <x:c r="D5" t="inlineStr">
        <x:is>
          <x:t xml:space="preserve">Trinolone Oral Paste 5 g</x:t>
        </x:is>
      </x:c>
      <x:c r="E5" t="inlineStr">
        <x:is>
          <x:t xml:space="preserve">หลอด 5 g.</x:t>
        </x:is>
      </x:c>
      <x:c r="F5" t="inlineStr">
        <x:is>
          <x:t xml:space="preserve">Triamcinolone Acetonide 0.1%</x:t>
        </x:is>
      </x:c>
      <x:c r="G5" t="inlineStr">
        <x:is>
          <x:t xml:space="preserve">BDS003751</x:t>
        </x:is>
      </x:c>
      <x:c r="H5" t="inlineStr">
        <x:is>
          <x:t xml:space="preserve">Trinolone Oral Paste 5 g (5 g.)</x:t>
        </x:is>
      </x:c>
      <x:c r="I5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5" t="inlineStr">
        <x:is>
          <x:t xml:space="preserve">Mouthwash / throat/oral care</x:t>
        </x:is>
      </x:c>
    </x:row>
    <x:row r="6">
      <x:c r="A6" t="n">
        <x:v>822</x:v>
      </x:c>
      <x:c r="B6" t="inlineStr">
        <x:is>
          <x:t xml:space="preserve">ยาทาแผลในปาก (D)</x:t>
        </x:is>
      </x:c>
      <x:c r="C6" t="n">
        <x:v>3750</x:v>
      </x:c>
      <x:c r="D6" t="inlineStr">
        <x:is>
          <x:t xml:space="preserve">Trinolone Oral Paste sachet 1 g</x:t>
        </x:is>
      </x:c>
      <x:c r="E6" t="inlineStr">
        <x:is>
          <x:t xml:space="preserve">ซอง 1 g.</x:t>
        </x:is>
      </x:c>
      <x:c r="F6" t="inlineStr">
        <x:is>
          <x:t xml:space="preserve">Triamcinolone Acetonide 0.1%</x:t>
        </x:is>
      </x:c>
      <x:c r="G6" t="inlineStr">
        <x:is>
          <x:t xml:space="preserve">BDS003750</x:t>
        </x:is>
      </x:c>
      <x:c r="H6" t="inlineStr">
        <x:is>
          <x:t xml:space="preserve">Trinolone Oral Paste sachet 1 g (1 g.)</x:t>
        </x:is>
      </x:c>
      <x:c r="I6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6" t="inlineStr">
        <x:is>
          <x:t xml:space="preserve">Mouthwash / throat/oral care</x:t>
        </x:is>
      </x:c>
    </x:row>
    <x:row r="7">
      <x:c r="A7" t="n">
        <x:v>848</x:v>
      </x:c>
      <x:c r="B7" t="inlineStr">
        <x:is>
          <x:t xml:space="preserve">น้ำยาบ้วนปาก</x:t>
        </x:is>
      </x:c>
      <x:c r="C7" t="n">
        <x:v>40609</x:v>
      </x:c>
      <x:c r="D7" t="inlineStr">
        <x:is>
          <x:t xml:space="preserve">Betadine Gargle</x:t>
        </x:is>
      </x:c>
      <x:c r="E7" t="inlineStr">
        <x:is>
          <x:t xml:space="preserve">ขวด 30 ml.</x:t>
        </x:is>
      </x:c>
      <x:c r="F7" t="inlineStr">
        <x:is>
          <x:t xml:space="preserve">Povidone-Iodine 70 mg./1 ml.</x:t>
        </x:is>
      </x:c>
      <x:c r="G7" t="inlineStr">
        <x:is>
          <x:t xml:space="preserve">BDS040609</x:t>
        </x:is>
      </x:c>
      <x:c r="H7" t="inlineStr">
        <x:is>
          <x:t xml:space="preserve">Betadine Gargle (30 ml.)</x:t>
        </x:is>
      </x:c>
      <x:c r="I7" t="inlineStr">
        <x:is>
          <x:t xml:space="preserve">หยดน้ำยา 1-2 ml. ในถ้วยผสม เติมน้ำสะอาดจบครบ 30 ml. ใช้อมกลั้วคอ 30 วินาทีแล้วบ้วนทิ้ง  วันละ 2-3 ครั้ง</x:t>
        </x:is>
      </x:c>
      <x:c r="P7" t="inlineStr">
        <x:is>
          <x:t xml:space="preserve">Mouthwash / throat/oral care</x:t>
        </x:is>
      </x:c>
    </x:row>
    <x:row r="8">
      <x:c r="A8" t="n">
        <x:v>849</x:v>
      </x:c>
      <x:c r="B8" t="inlineStr">
        <x:is>
          <x:t xml:space="preserve">น้ำยาบ้วนปาก</x:t>
        </x:is>
      </x:c>
      <x:c r="C8" t="n">
        <x:v>1407</x:v>
      </x:c>
      <x:c r="D8" t="inlineStr">
        <x:is>
          <x:t xml:space="preserve">C-20 Blue Sally</x:t>
        </x:is>
      </x:c>
      <x:c r="E8" t="inlineStr">
        <x:is>
          <x:t xml:space="preserve">ขวด 180 ml.</x:t>
        </x:is>
      </x:c>
      <x:c r="F8" t="inlineStr">
        <x:is>
          <x:t xml:space="preserve">Chlorhexidine Gluconate 0.12 g./100 ml.</x:t>
        </x:is>
      </x:c>
      <x:c r="G8" t="inlineStr">
        <x:is>
          <x:t xml:space="preserve">BDS001407</x:t>
        </x:is>
      </x:c>
      <x:c r="H8" t="inlineStr">
        <x:is>
          <x:t xml:space="preserve">C-20 Blue Sally (180 ml.)</x:t>
        </x:is>
      </x:c>
      <x:c r="I8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</x:t>
        </x:is>
      </x:c>
      <x:c r="P8" t="inlineStr">
        <x:is>
          <x:t xml:space="preserve">Mouthwash / throat/oral care</x:t>
        </x:is>
      </x:c>
    </x:row>
    <x:row r="9">
      <x:c r="A9" t="n">
        <x:v>850</x:v>
      </x:c>
      <x:c r="B9" t="inlineStr">
        <x:is>
          <x:t xml:space="preserve">น้ำยาบ้วนปาก</x:t>
        </x:is>
      </x:c>
      <x:c r="C9" t="n">
        <x:v>1406</x:v>
      </x:c>
      <x:c r="D9" t="inlineStr">
        <x:is>
          <x:t xml:space="preserve">C-20 Original เล็ก</x:t>
        </x:is>
      </x:c>
      <x:c r="E9" t="inlineStr">
        <x:is>
          <x:t xml:space="preserve">ขวด 180 ml.</x:t>
        </x:is>
      </x:c>
      <x:c r="F9" t="inlineStr">
        <x:is>
          <x:t xml:space="preserve">Chlorhexidine Gluconate 0.12 g./100 ml.</x:t>
        </x:is>
      </x:c>
      <x:c r="G9" t="inlineStr">
        <x:is>
          <x:t xml:space="preserve">BDS001406</x:t>
        </x:is>
      </x:c>
      <x:c r="H9" t="inlineStr">
        <x:is>
          <x:t xml:space="preserve">C-20 Original เล็ก (180 ml.)</x:t>
        </x:is>
      </x:c>
      <x:c r="I9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9" t="inlineStr">
        <x:is>
          <x:t xml:space="preserve">Mouthwash / throat/oral care</x:t>
        </x:is>
      </x:c>
    </x:row>
    <x:row r="10">
      <x:c r="A10" t="n">
        <x:v>851</x:v>
      </x:c>
      <x:c r="B10" t="inlineStr">
        <x:is>
          <x:t xml:space="preserve">น้ำยาบ้วนปาก</x:t>
        </x:is>
      </x:c>
      <x:c r="C10" t="n">
        <x:v>1409</x:v>
      </x:c>
      <x:c r="D10" t="inlineStr">
        <x:is>
          <x:t xml:space="preserve">C-20 Original ใหญ่</x:t>
        </x:is>
      </x:c>
      <x:c r="E10" t="inlineStr">
        <x:is>
          <x:t xml:space="preserve">ขวด 360 ml.</x:t>
        </x:is>
      </x:c>
      <x:c r="F10" t="inlineStr">
        <x:is>
          <x:t xml:space="preserve">Chlorhexidine Gluconate 0.12 g./100 ml.</x:t>
        </x:is>
      </x:c>
      <x:c r="G10" t="inlineStr">
        <x:is>
          <x:t xml:space="preserve">BDS001409</x:t>
        </x:is>
      </x:c>
      <x:c r="H10" t="inlineStr">
        <x:is>
          <x:t xml:space="preserve">C-20 Original ใหญ่ (360 ml.)</x:t>
        </x:is>
      </x:c>
      <x:c r="I10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10" t="inlineStr">
        <x:is>
          <x:t xml:space="preserve">Mouthwash / throat/oral care</x:t>
        </x:is>
      </x:c>
    </x:row>
    <x:row r="11">
      <x:c r="A11" t="n">
        <x:v>852</x:v>
      </x:c>
      <x:c r="B11" t="inlineStr">
        <x:is>
          <x:t xml:space="preserve">น้ำยาบ้วนปาก</x:t>
        </x:is>
      </x:c>
      <x:c r="C11" t="n">
        <x:v>46547</x:v>
      </x:c>
      <x:c r="D11" t="inlineStr">
        <x:is>
          <x:t xml:space="preserve">Puvadon Gargle</x:t>
        </x:is>
      </x:c>
      <x:c r="E11" t="inlineStr">
        <x:is>
          <x:t xml:space="preserve">ขวด 30 ml.</x:t>
        </x:is>
      </x:c>
      <x:c r="F11" t="inlineStr">
        <x:is>
          <x:t xml:space="preserve">Povidone-Iodine 70 mg eq. to Iodine 7 mg/1 ml.</x:t>
        </x:is>
      </x:c>
      <x:c r="G11" t="inlineStr">
        <x:is>
          <x:t xml:space="preserve">BDS046547</x:t>
        </x:is>
      </x:c>
      <x:c r="H11" t="inlineStr">
        <x:is>
          <x:t xml:space="preserve">Puvadon Gargle (30 ml.)</x:t>
        </x:is>
      </x:c>
      <x:c r="I11" t="inlineStr">
        <x:is>
          <x:t xml:space="preserve">หยดน้ำยา 1 ml. ในถ้วยผสม เติมน้ำสะอาดจนครบ 30 ml. ใช้อมกลั้วคอ 30 วินาทีแล้วบ้วนทิ้ง  วันละ 3-4 ครั้ง</x:t>
        </x:is>
      </x:c>
      <x:c r="P11" t="inlineStr">
        <x:is>
          <x:t xml:space="preserve">Mouthwash / throat/oral care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842</x:v>
      </x:c>
      <x:c r="B2" t="inlineStr">
        <x:is>
          <x:t xml:space="preserve">ยาทารักษาหูด</x:t>
        </x:is>
      </x:c>
      <x:c r="C2" t="n">
        <x:v>1468</x:v>
      </x:c>
      <x:c r="D2" t="inlineStr">
        <x:is>
          <x:t xml:space="preserve">Con Con</x:t>
        </x:is>
      </x:c>
      <x:c r="E2" t="inlineStr">
        <x:is>
          <x:t xml:space="preserve">ขวด 15 ml.</x:t>
        </x:is>
      </x:c>
      <x:c r="F2" t="inlineStr">
        <x:is>
          <x:t xml:space="preserve">Salicylic Acid 25 g.+Liquified Phenol 1.5 ml./100 ml.</x:t>
        </x:is>
      </x:c>
      <x:c r="G2" t="inlineStr">
        <x:is>
          <x:t xml:space="preserve">BDS001468</x:t>
        </x:is>
      </x:c>
      <x:c r="H2" t="inlineStr">
        <x:is>
          <x:t xml:space="preserve">Con Con (15 ml.)</x:t>
        </x:is>
      </x:c>
      <x:c r="I2" t="inlineStr">
        <x:is>
          <x:t xml:space="preserve">ทายาบนตาปลาหรือหูด  วันละ  2-3 ครั้ง</x:t>
        </x:is>
      </x:c>
      <x:c r="P2" t="inlineStr">
        <x:is>
          <x:t xml:space="preserve">Wart treatment</x:t>
        </x:is>
      </x:c>
    </x:row>
    <x:row r="3">
      <x:c r="A3" t="n">
        <x:v>843</x:v>
      </x:c>
      <x:c r="B3" t="inlineStr">
        <x:is>
          <x:t xml:space="preserve">ยาทารักษาหูด</x:t>
        </x:is>
      </x:c>
      <x:c r="C3" t="n">
        <x:v>47738</x:v>
      </x:c>
      <x:c r="D3" t="inlineStr">
        <x:is>
          <x:t xml:space="preserve">SOS Plus Corn Plaster Removal</x:t>
        </x:is>
      </x:c>
      <x:c r="E3" t="inlineStr">
        <x:is>
          <x:t xml:space="preserve">กล่อง 4 ชิ้น </x:t>
        </x:is>
      </x:c>
      <x:c r="F3" t="inlineStr">
        <x:is>
          <x:t xml:space="preserve">Salicylic acid 40 g (40%w/w)+Titanium dioxide+Liquid paraffin+Polyvinyl alkyl ethers+อื่นๆ</x:t>
        </x:is>
      </x:c>
      <x:c r="G3" t="inlineStr">
        <x:is>
          <x:t xml:space="preserve">BDS047738</x:t>
        </x:is>
      </x:c>
      <x:c r="H3" t="inlineStr">
        <x:is>
          <x:t xml:space="preserve">SOS Plus Corn Plaster Removal (4 pieces)</x:t>
        </x:is>
      </x:c>
      <x:c r="I3" t="inlineStr">
        <x:is>
          <x:t xml:space="preserve">ดึงแถบพลาสติกออก แล้วปิดพลาสเตอร์โดยให้ผ้าก๊อซอยู่กึ่งกลางของแผล//เปลี่ยนแผ่นยาและพลาสเตอร์ทุกวันจนกว่าจะหาย</x:t>
        </x:is>
      </x:c>
      <x:c r="P3" t="inlineStr">
        <x:is>
          <x:t xml:space="preserve">Wart treatment</x:t>
        </x:is>
      </x:c>
    </x:row>
    <x:row r="4">
      <x:c r="A4" t="n">
        <x:v>867</x:v>
      </x:c>
      <x:c r="B4" t="inlineStr">
        <x:is>
          <x:t xml:space="preserve">ยาทารักษาหูด (D)</x:t>
        </x:is>
      </x:c>
      <x:c r="C4" t="n">
        <x:v>1102</x:v>
      </x:c>
      <x:c r="D4" t="inlineStr">
        <x:is>
          <x:t xml:space="preserve">Aldara</x:t>
        </x:is>
      </x:c>
      <x:c r="E4" t="inlineStr">
        <x:is>
          <x:t xml:space="preserve">ซอง 0.25 g.</x:t>
        </x:is>
      </x:c>
      <x:c r="F4" t="inlineStr">
        <x:is>
          <x:t xml:space="preserve">Imiquimod 5% w/w</x:t>
        </x:is>
      </x:c>
      <x:c r="G4" t="inlineStr">
        <x:is>
          <x:t xml:space="preserve">BDS001102</x:t>
        </x:is>
      </x:c>
      <x:c r="H4" t="inlineStr">
        <x:is>
          <x:t xml:space="preserve">Aldara (0.25 g.)</x:t>
        </x:is>
      </x:c>
      <x:c r="I4" t="inlineStr">
        <x:is>
          <x:t xml:space="preserve">ทาครีมที่หูด วันละ 1 ครั้ง ก่อนนอน สัปดาห์ละ 3 ครั้ง ต่อเนื่องจนกว่าหูดจะหลุด</x:t>
        </x:is>
      </x:c>
      <x:c r="P4" t="inlineStr">
        <x:is>
          <x:t xml:space="preserve">Wart treatment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</x:t>
        </x:is>
      </x:c>
      <x:c r="B1" s="1" t="inlineStr">
        <x:is>
          <x:t xml:space="preserve">Subcategory</x:t>
        </x:is>
      </x:c>
      <x:c r="C1" s="1" t="inlineStr">
        <x:is>
          <x:t xml:space="preserve">Product code</x:t>
        </x:is>
      </x:c>
      <x:c r="D1" s="1" t="inlineStr">
        <x:is>
          <x:t xml:space="preserve">Product name</x:t>
        </x:is>
      </x:c>
      <x:c r="E1" s="1" t="inlineStr">
        <x:is>
          <x:t xml:space="preserve">Pack size</x:t>
        </x:is>
      </x:c>
      <x:c r="F1" s="1" t="inlineStr">
        <x:is>
          <x:t xml:space="preserve">Composition</x:t>
        </x:is>
      </x:c>
      <x:c r="G1" s="1" t="inlineStr">
        <x:is>
          <x:t xml:space="preserve">Medicine code</x:t>
        </x:is>
      </x:c>
      <x:c r="H1" s="1" t="inlineStr">
        <x:is>
          <x:t xml:space="preserve">Medicine name</x:t>
        </x:is>
      </x:c>
      <x:c r="I1" s="1" t="inlineStr">
        <x:is>
          <x:t xml:space="preserve">Instructions (TH)</x:t>
        </x:is>
      </x:c>
      <x:c r="J1" s="1" t="inlineStr">
        <x:is>
          <x:t xml:space="preserve">Instructions (EN)</x:t>
        </x:is>
      </x:c>
      <x:c r="K1" s="1" t="inlineStr">
        <x:is>
          <x:t xml:space="preserve">Online pack price (THB)</x:t>
        </x:is>
      </x:c>
      <x:c r="L1" s="1" t="inlineStr">
        <x:is>
          <x:t xml:space="preserve">Online unit price (THB)</x:t>
        </x:is>
      </x:c>
      <x:c r="M1" s="1" t="inlineStr">
        <x:is>
          <x:t xml:space="preserve">Price source URL</x:t>
        </x:is>
      </x:c>
      <x:c r="N1" s="1" t="inlineStr">
        <x:is>
          <x:t xml:space="preserve">Price checked date</x:t>
        </x:is>
      </x:c>
      <x:c r="O1" s="1" t="inlineStr">
        <x:is>
          <x:t xml:space="preserve">Price notes</x:t>
        </x:is>
      </x:c>
      <x:c r="P1" s="1" t="inlineStr">
        <x:is>
          <x:t xml:space="preserve">Category</x:t>
        </x:is>
      </x:c>
    </x:row>
    <x:row r="2">
      <x:c r="A2" t="n">
        <x:v>846</x:v>
      </x:c>
      <x:c r="B2" t="inlineStr">
        <x:is>
          <x:t xml:space="preserve">ครีมรักษาผิวแห้ง</x:t>
        </x:is>
      </x:c>
      <x:c r="C2" t="n">
        <x:v>1682</x:v>
      </x:c>
      <x:c r="D2" t="inlineStr">
        <x:is>
          <x:t xml:space="preserve">Diabederm Urea Cream 10%</x:t>
        </x:is>
      </x:c>
      <x:c r="E2" t="inlineStr">
        <x:is>
          <x:t xml:space="preserve">หลอด 35 g.</x:t>
        </x:is>
      </x:c>
      <x:c r="F2" t="inlineStr">
        <x:is>
          <x:t xml:space="preserve">10% Urea</x:t>
        </x:is>
      </x:c>
      <x:c r="G2" t="inlineStr">
        <x:is>
          <x:t xml:space="preserve">BDS001682</x:t>
        </x:is>
      </x:c>
      <x:c r="H2" t="inlineStr">
        <x:is>
          <x:t xml:space="preserve">Diabederm Urea Cream 10% (35 g.)</x:t>
        </x:is>
      </x:c>
      <x:c r="I2" t="inlineStr">
        <x:is>
          <x:t xml:space="preserve">ทาบริเวณที่เป็น วันละ 1-3 ครั้ง</x:t>
        </x:is>
      </x:c>
      <x:c r="P2" t="inlineStr">
        <x:is>
          <x:t xml:space="preserve">Dry skin creams</x:t>
        </x:is>
      </x:c>
    </x:row>
    <x:row r="3">
      <x:c r="A3" t="n">
        <x:v>847</x:v>
      </x:c>
      <x:c r="B3" t="inlineStr">
        <x:is>
          <x:t xml:space="preserve">ครีมรักษาผิวแห้ง</x:t>
        </x:is>
      </x:c>
      <x:c r="C3" t="n">
        <x:v>1683</x:v>
      </x:c>
      <x:c r="D3" t="inlineStr">
        <x:is>
          <x:t xml:space="preserve">Diabederm Urea Cream 20%</x:t>
        </x:is>
      </x:c>
      <x:c r="E3" t="inlineStr">
        <x:is>
          <x:t xml:space="preserve">หลอด 35 g.</x:t>
        </x:is>
      </x:c>
      <x:c r="F3" t="inlineStr">
        <x:is>
          <x:t xml:space="preserve">20% Urea</x:t>
        </x:is>
      </x:c>
      <x:c r="G3" t="inlineStr">
        <x:is>
          <x:t xml:space="preserve">BDS001683</x:t>
        </x:is>
      </x:c>
      <x:c r="H3" t="inlineStr">
        <x:is>
          <x:t xml:space="preserve">Diabederm Urea Cream 20% (35 g.)</x:t>
        </x:is>
      </x:c>
      <x:c r="I3" t="inlineStr">
        <x:is>
          <x:t xml:space="preserve">ทาบริเวณที่เป็น วันละ 1-3 ครั้ง</x:t>
        </x:is>
      </x:c>
      <x:c r="P3" t="inlineStr">
        <x:is>
          <x:t xml:space="preserve">Dry skin creams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6"/>
  <x:sheetData>
    <x:row r="1">
      <x:c r="A1" t="inlineStr">
        <x:is>
          <x:t xml:space="preserve">No</x:t>
        </x:is>
      </x:c>
      <x:c r="B1" t="inlineStr">
        <x:is>
          <x:t xml:space="preserve">Subcategory</x:t>
        </x:is>
      </x:c>
      <x:c r="C1" t="inlineStr">
        <x:is>
          <x:t xml:space="preserve">Product code</x:t>
        </x:is>
      </x:c>
      <x:c r="D1" t="inlineStr">
        <x:is>
          <x:t xml:space="preserve">Product name</x:t>
        </x:is>
      </x:c>
      <x:c r="E1" t="inlineStr">
        <x:is>
          <x:t xml:space="preserve">Pack size</x:t>
        </x:is>
      </x:c>
      <x:c r="F1" t="inlineStr">
        <x:is>
          <x:t xml:space="preserve">Composition</x:t>
        </x:is>
      </x:c>
      <x:c r="G1" t="inlineStr">
        <x:is>
          <x:t xml:space="preserve">Medicine code</x:t>
        </x:is>
      </x:c>
      <x:c r="H1" t="inlineStr">
        <x:is>
          <x:t xml:space="preserve">Medicine name</x:t>
        </x:is>
      </x:c>
      <x:c r="I1" t="inlineStr">
        <x:is>
          <x:t xml:space="preserve">Instructions (TH)</x:t>
        </x:is>
      </x:c>
      <x:c r="J1" t="inlineStr">
        <x:is>
          <x:t xml:space="preserve">Instructions (EN)</x:t>
        </x:is>
      </x:c>
      <x:c r="K1" t="inlineStr">
        <x:is>
          <x:t xml:space="preserve">Online pack price (THB)</x:t>
        </x:is>
      </x:c>
      <x:c r="L1" t="inlineStr">
        <x:is>
          <x:t xml:space="preserve">Online unit price (THB)</x:t>
        </x:is>
      </x:c>
      <x:c r="M1" t="inlineStr">
        <x:is>
          <x:t xml:space="preserve">Price source URL</x:t>
        </x:is>
      </x:c>
      <x:c r="N1" t="inlineStr">
        <x:is>
          <x:t xml:space="preserve">Price checked date</x:t>
        </x:is>
      </x:c>
      <x:c r="O1" t="inlineStr">
        <x:is>
          <x:t xml:space="preserve">Price notes</x:t>
        </x:is>
      </x:c>
      <x:c r="P1" t="inlineStr">
        <x:is>
          <x:t xml:space="preserve">Category</x:t>
        </x:is>
      </x:c>
    </x:row>
    <x:row r="2">
      <x:c r="A2" t="inlineStr">
        <x:is>
          <x:t xml:space="preserve">#</x:t>
        </x:is>
      </x:c>
      <x:c r="B2" t="inlineStr">
        <x:is>
          <x:t xml:space="preserve">ประเภทย่อย</x:t>
        </x:is>
      </x:c>
      <x:c r="C2" t="inlineStr">
        <x:is>
          <x:t xml:space="preserve">รหัสสินค้า</x:t>
        </x:is>
      </x:c>
      <x:c r="D2" t="inlineStr">
        <x:is>
          <x:t xml:space="preserve">ชื่อสินค้า</x:t>
        </x:is>
      </x:c>
      <x:c r="E2" t="inlineStr">
        <x:is>
          <x:t xml:space="preserve">ขนาด</x:t>
        </x:is>
      </x:c>
      <x:c r="F2" t="inlineStr">
        <x:is>
          <x:t xml:space="preserve">ส่วนประกอบ</x:t>
        </x:is>
      </x:c>
      <x:c r="G2" t="inlineStr">
        <x:is>
          <x:t xml:space="preserve">Medicine code</x:t>
        </x:is>
      </x:c>
      <x:c r="H2" t="inlineStr">
        <x:is>
          <x:t xml:space="preserve">Medicine name</x:t>
        </x:is>
      </x:c>
      <x:c r="I2" t="inlineStr">
        <x:is>
          <x:t xml:space="preserve">วิธีใช้ (Med-Links)</x:t>
        </x:is>
      </x:c>
      <x:c r="J2" t="inlineStr">
        <x:is>
          <x:t xml:space="preserve">วิธีใช้ (Med-Links)</x:t>
        </x:is>
      </x:c>
      <x:c r="K2" t="inlineStr">
        <x:is>
          <x:t xml:space="preserve">Online price (THB/pack) – estimate</x:t>
        </x:is>
      </x:c>
      <x:c r="L2" t="inlineStr">
        <x:is>
          <x:t xml:space="preserve">Online price (THB/unit) – estimate</x:t>
        </x:is>
      </x:c>
      <x:c r="M2" t="inlineStr">
        <x:is>
          <x:t xml:space="preserve">Price source URL</x:t>
        </x:is>
      </x:c>
      <x:c r="N2" t="inlineStr">
        <x:is>
          <x:t xml:space="preserve">Price checked (YYYY-MM-DD)</x:t>
        </x:is>
      </x:c>
      <x:c r="O2" t="inlineStr">
        <x:is>
          <x:t xml:space="preserve">Price notes</x:t>
        </x:is>
      </x:c>
    </x:row>
    <x:row r="3">
      <x:c r="A3">
        <x:v>1</x:v>
      </x:c>
      <x:c r="B3" t="inlineStr">
        <x:is>
          <x:t xml:space="preserve">ยาฆ่าเชื้อแบคทีเรียทางเดินหายใจ (D)</x:t>
        </x:is>
      </x:c>
      <x:c r="C3">
        <x:v>40078</x:v>
      </x:c>
      <x:c r="D3" t="inlineStr">
        <x:is>
          <x:t xml:space="preserve">A.M.Mox 500</x:t>
        </x:is>
      </x:c>
      <x:c r="E3" t="inlineStr">
        <x:is>
          <x:t xml:space="preserve">แผง 10 แคปซูล</x:t>
        </x:is>
      </x:c>
      <x:c r="F3" t="inlineStr">
        <x:is>
          <x:t xml:space="preserve">Amoxicillin 500 mg.</x:t>
        </x:is>
      </x:c>
      <x:c r="G3" t="inlineStr">
        <x:is>
          <x:t xml:space="preserve">BDS040078</x:t>
        </x:is>
      </x:c>
      <x:c r="H3" t="inlineStr">
        <x:is>
          <x:t xml:space="preserve">A.M.Mox 500 (10 cap)</x:t>
        </x:is>
      </x:c>
      <x:c r="I3" t="inlineStr">
        <x:is>
          <x:t xml:space="preserve">รับประทานครั้งละ 1 แคปซูล วันละ 4 ครั้ง</x:t>
        </x:is>
      </x:c>
      <x:c r="J3" t="inlineStr">
        <x:is>
          <x:t xml:space="preserve">Take 1 capsule 4 times daily.</x:t>
        </x:is>
      </x:c>
      <x:c r="P3" t="inlineStr">
        <x:is>
          <x:t xml:space="preserve">Respiratory antibiotics</x:t>
        </x:is>
      </x:c>
    </x:row>
    <x:row r="4">
      <x:c r="A4">
        <x:v>2</x:v>
      </x:c>
      <x:c r="B4" t="inlineStr">
        <x:is>
          <x:t xml:space="preserve">ยาฆ่าเชื้อแบคทีเรียทางเดินหายใจ (D)</x:t>
        </x:is>
      </x:c>
      <x:c r="C4">
        <x:v>1103</x:v>
      </x:c>
      <x:c r="D4" t="inlineStr">
        <x:is>
          <x:t xml:space="preserve">AMK 1000 mg</x:t>
        </x:is>
      </x:c>
      <x:c r="E4" t="inlineStr">
        <x:is>
          <x:t xml:space="preserve">กล่อง 10 เม็ด</x:t>
        </x:is>
      </x:c>
      <x:c r="F4" t="inlineStr">
        <x:is>
          <x:t xml:space="preserve">Amoxicillin 875 mg.+Clavulanic Acid 125 mg.</x:t>
        </x:is>
      </x:c>
      <x:c r="G4" t="inlineStr">
        <x:is>
          <x:t xml:space="preserve">BDS001103</x:t>
        </x:is>
      </x:c>
      <x:c r="H4" t="inlineStr">
        <x:is>
          <x:t xml:space="preserve">AMK 1000 mg (10 tabs)</x:t>
        </x:is>
      </x:c>
      <x:c r="I4" t="inlineStr">
        <x:is>
          <x:t xml:space="preserve">รับประทานครั้งละ 1 เม็ด วันละ 2 ครั้ง หรือตามแพทย์สั่ง</x:t>
        </x:is>
      </x:c>
      <x:c r="J4" t="inlineStr">
        <x:is>
          <x:t xml:space="preserve">Take 1 tablet 2 times daily or as directed by a doctor.</x:t>
        </x:is>
      </x:c>
      <x:c r="P4" t="inlineStr">
        <x:is>
          <x:t xml:space="preserve">Respiratory antibiotics</x:t>
        </x:is>
      </x:c>
    </x:row>
    <x:row r="5">
      <x:c r="A5">
        <x:v>3</x:v>
      </x:c>
      <x:c r="B5" t="inlineStr">
        <x:is>
          <x:t xml:space="preserve">ยาฆ่าเชื้อแบคทีเรียทางเดินหายใจ (D)</x:t>
        </x:is>
      </x:c>
      <x:c r="C5">
        <x:v>1035</x:v>
      </x:c>
      <x:c r="D5" t="inlineStr">
        <x:is>
          <x:t xml:space="preserve">Amoksiklav 1000 mg</x:t>
        </x:is>
      </x:c>
      <x:c r="E5" t="inlineStr">
        <x:is>
          <x:t xml:space="preserve">กล่อง 10 เม็ด</x:t>
        </x:is>
      </x:c>
      <x:c r="F5" t="inlineStr">
        <x:is>
          <x:t xml:space="preserve">Amoxicillin 875 mg.+Clavulanic Acid 125 mg.</x:t>
        </x:is>
      </x:c>
      <x:c r="G5" t="inlineStr">
        <x:is>
          <x:t xml:space="preserve">BDS001035</x:t>
        </x:is>
      </x:c>
      <x:c r="H5" t="inlineStr">
        <x:is>
          <x:t xml:space="preserve">Amoksiklav 1000 mg (10 tabs)</x:t>
        </x:is>
      </x:c>
      <x:c r="I5" t="inlineStr">
        <x:is>
          <x:t xml:space="preserve">รับประทานครั้งละ 1 เม็ด วันละ 2 ครั้ง หรือตามแพทย์สั่ง</x:t>
        </x:is>
      </x:c>
      <x:c r="J5" t="inlineStr">
        <x:is>
          <x:t xml:space="preserve">Take 1 tablet 2 times daily or as directed by a doctor.</x:t>
        </x:is>
      </x:c>
      <x:c r="P5" t="inlineStr">
        <x:is>
          <x:t xml:space="preserve">Respiratory antibiotics</x:t>
        </x:is>
      </x:c>
    </x:row>
    <x:row r="6">
      <x:c r="A6">
        <x:v>4</x:v>
      </x:c>
      <x:c r="B6" t="inlineStr">
        <x:is>
          <x:t xml:space="preserve">ยาฆ่าเชื้อแบคทีเรียทางเดินหายใจ (D)</x:t>
        </x:is>
      </x:c>
      <x:c r="C6">
        <x:v>40017</x:v>
      </x:c>
      <x:c r="D6" t="inlineStr">
        <x:is>
          <x:t xml:space="preserve">Augmentin 1 g.</x:t>
        </x:is>
      </x:c>
      <x:c r="E6" t="inlineStr">
        <x:is>
          <x:t xml:space="preserve">กล่อง 10 เม็ด</x:t>
        </x:is>
      </x:c>
      <x:c r="F6" t="inlineStr">
        <x:is>
          <x:t xml:space="preserve">Amoxicillin Trihydrate (eq. to Amoxicillin 875 mg.)+Clavulanic Potassium (eq. to Clavulanic Acid 125 mg.)</x:t>
        </x:is>
      </x:c>
      <x:c r="G6" t="inlineStr">
        <x:is>
          <x:t xml:space="preserve">BDS040017</x:t>
        </x:is>
      </x:c>
      <x:c r="H6" t="inlineStr">
        <x:is>
          <x:t xml:space="preserve">Augmentin 1 g. (10 tabs)</x:t>
        </x:is>
      </x:c>
      <x:c r="I6" t="inlineStr">
        <x:is>
          <x:t xml:space="preserve">รับประทานครั้งละ 1 เม็ด  วันละ 2 ครั้ง </x:t>
        </x:is>
      </x:c>
      <x:c r="J6" t="inlineStr">
        <x:is>
          <x:t xml:space="preserve">Take 1 tablet 2 times daily. </x:t>
        </x:is>
      </x:c>
      <x:c r="P6" t="inlineStr">
        <x:is>
          <x:t xml:space="preserve">Respiratory antibiotics</x:t>
        </x:is>
      </x:c>
    </x:row>
    <x:row r="7">
      <x:c r="A7">
        <x:v>5</x:v>
      </x:c>
      <x:c r="B7" t="inlineStr">
        <x:is>
          <x:t xml:space="preserve">ยาฆ่าเชื้อแบคทีเรียทางเดินหายใจ (D)</x:t>
        </x:is>
      </x:c>
      <x:c r="C7">
        <x:v>1494</x:v>
      </x:c>
      <x:c r="D7" t="inlineStr">
        <x:is>
          <x:t xml:space="preserve">Azithro 250 mg</x:t>
        </x:is>
      </x:c>
      <x:c r="E7" t="inlineStr">
        <x:is>
          <x:t xml:space="preserve">กล่อง 6 แคปซูล</x:t>
        </x:is>
      </x:c>
      <x:c r="F7" t="inlineStr">
        <x:is>
          <x:t xml:space="preserve">Azithromycin 250 mg.</x:t>
        </x:is>
      </x:c>
      <x:c r="G7" t="inlineStr">
        <x:is>
          <x:t xml:space="preserve">BDS001494</x:t>
        </x:is>
      </x:c>
      <x:c r="H7" t="inlineStr">
        <x:is>
          <x:t xml:space="preserve">Azithro 250 mg (6 cap)</x:t>
        </x:is>
      </x:c>
      <x:c r="I7" t="inlineStr">
        <x:is>
          <x:t xml:space="preserve">รับประทานครั้งละ 2 แคปซูล วันละ 1 ครั้ง ก่อนอาหาร</x:t>
        </x:is>
      </x:c>
      <x:c r="J7" t="inlineStr">
        <x:is>
          <x:t xml:space="preserve">Take 2 capsules 1 time daily before meals.</x:t>
        </x:is>
      </x:c>
      <x:c r="P7" t="inlineStr">
        <x:is>
          <x:t xml:space="preserve">Respiratory antibiotics</x:t>
        </x:is>
      </x:c>
    </x:row>
    <x:row r="8">
      <x:c r="A8">
        <x:v>6</x:v>
      </x:c>
      <x:c r="B8" t="inlineStr">
        <x:is>
          <x:t xml:space="preserve">ยาฆ่าเชื้อแบคทีเรียทางเดินหายใจ (D)</x:t>
        </x:is>
      </x:c>
      <x:c r="C8">
        <x:v>6115</x:v>
      </x:c>
      <x:c r="D8" t="inlineStr">
        <x:is>
          <x:t xml:space="preserve">Azycin 250 mg (GPO)</x:t>
        </x:is>
      </x:c>
      <x:c r="E8" t="inlineStr">
        <x:is>
          <x:t xml:space="preserve">กล่อง 6 แคปซูล</x:t>
        </x:is>
      </x:c>
      <x:c r="F8" t="inlineStr">
        <x:is>
          <x:t xml:space="preserve">Azithromycin 250 mg.</x:t>
        </x:is>
      </x:c>
      <x:c r="G8" t="inlineStr">
        <x:is>
          <x:t xml:space="preserve">BDS006115</x:t>
        </x:is>
      </x:c>
      <x:c r="H8" t="inlineStr">
        <x:is>
          <x:t xml:space="preserve">Azycin 250 mg (GPO) (6 cap)</x:t>
        </x:is>
      </x:c>
      <x:c r="I8" t="inlineStr">
        <x:is>
          <x:t xml:space="preserve">รับประทานครั้งละ 2 แคปซูล วันละ 1 ครั้ง ก่อนอาหาร</x:t>
        </x:is>
      </x:c>
      <x:c r="J8" t="inlineStr">
        <x:is>
          <x:t xml:space="preserve">Take 2 capsules 1 time daily before meals.</x:t>
        </x:is>
      </x:c>
      <x:c r="P8" t="inlineStr">
        <x:is>
          <x:t xml:space="preserve">Respiratory antibiotics</x:t>
        </x:is>
      </x:c>
    </x:row>
    <x:row r="9">
      <x:c r="A9">
        <x:v>7</x:v>
      </x:c>
      <x:c r="B9" t="inlineStr">
        <x:is>
          <x:t xml:space="preserve">ยาฆ่าเชื้อแบคทีเรียทางเดินหายใจ (D)</x:t>
        </x:is>
      </x:c>
      <x:c r="C9">
        <x:v>7066</x:v>
      </x:c>
      <x:c r="D9" t="inlineStr">
        <x:is>
          <x:t xml:space="preserve">B.Roxi</x:t>
        </x:is>
      </x:c>
      <x:c r="E9" t="inlineStr">
        <x:is>
          <x:t xml:space="preserve">แผง 10 เม็ด</x:t>
        </x:is>
      </x:c>
      <x:c r="F9" t="inlineStr">
        <x:is>
          <x:t xml:space="preserve">Roxithromycin 150 mg.</x:t>
        </x:is>
      </x:c>
      <x:c r="G9" t="inlineStr">
        <x:is>
          <x:t xml:space="preserve">BDS007066</x:t>
        </x:is>
      </x:c>
      <x:c r="H9" t="inlineStr">
        <x:is>
          <x:t xml:space="preserve">B.Roxi (10 tabs)</x:t>
        </x:is>
      </x:c>
      <x:c r="I9" t="inlineStr">
        <x:is>
          <x:t xml:space="preserve">รับประทานครั้งละ 1 เม็ด วันละ 2 ครั้ง ก่อนอาหาร เช้า-เย็น</x:t>
        </x:is>
      </x:c>
      <x:c r="J9" t="inlineStr">
        <x:is>
          <x:t xml:space="preserve">Take 1 tablet 2 times a day before meals, morning and evening.</x:t>
        </x:is>
      </x:c>
      <x:c r="P9" t="inlineStr">
        <x:is>
          <x:t xml:space="preserve">Respiratory antibiotics</x:t>
        </x:is>
      </x:c>
    </x:row>
    <x:row r="10">
      <x:c r="A10">
        <x:v>8</x:v>
      </x:c>
      <x:c r="B10" t="inlineStr">
        <x:is>
          <x:t xml:space="preserve">ยาฆ่าเชื้อแบคทีเรียทางเดินหายใจ (D)</x:t>
        </x:is>
      </x:c>
      <x:c r="C10">
        <x:v>1545</x:v>
      </x:c>
      <x:c r="D10" t="inlineStr">
        <x:is>
          <x:t xml:space="preserve">Cavumox 1 g</x:t>
        </x:is>
      </x:c>
      <x:c r="E10" t="inlineStr">
        <x:is>
          <x:t xml:space="preserve">แผง 3 เม็ด</x:t>
        </x:is>
      </x:c>
      <x:c r="F10" t="inlineStr">
        <x:is>
          <x:t xml:space="preserve">Amoxicillin 875 mg.+Clavulanic Acid 125 mg.</x:t>
        </x:is>
      </x:c>
      <x:c r="G10" t="inlineStr">
        <x:is>
          <x:t xml:space="preserve">BDS001545</x:t>
        </x:is>
      </x:c>
      <x:c r="H10" t="inlineStr">
        <x:is>
          <x:t xml:space="preserve">Cavumox 1 g (3 tabs)</x:t>
        </x:is>
      </x:c>
      <x:c r="I10" t="inlineStr">
        <x:is>
          <x:t xml:space="preserve">รับประทานครั้งละ 1 เม็ด  วันละ 2 ครั้ง </x:t>
        </x:is>
      </x:c>
      <x:c r="J10" t="inlineStr">
        <x:is>
          <x:t xml:space="preserve">Take 1 tablet 2 times daily. </x:t>
        </x:is>
      </x:c>
      <x:c r="P10" t="inlineStr">
        <x:is>
          <x:t xml:space="preserve">Respiratory antibiotics</x:t>
        </x:is>
      </x:c>
    </x:row>
    <x:row r="11">
      <x:c r="A11">
        <x:v>9</x:v>
      </x:c>
      <x:c r="B11" t="inlineStr">
        <x:is>
          <x:t xml:space="preserve">ยาฆ่าเชื้อแบคทีเรียทางเดินหายใจ (D)</x:t>
        </x:is>
      </x:c>
      <x:c r="C11">
        <x:v>7784</x:v>
      </x:c>
      <x:c r="D11" t="inlineStr">
        <x:is>
          <x:t xml:space="preserve">Cephalex-500</x:t>
        </x:is>
      </x:c>
      <x:c r="E11" t="inlineStr">
        <x:is>
          <x:t xml:space="preserve">แผง 10 แคปซูล</x:t>
        </x:is>
      </x:c>
      <x:c r="F11" t="inlineStr">
        <x:is>
          <x:t xml:space="preserve">Cephalexin 500 mg.</x:t>
        </x:is>
      </x:c>
      <x:c r="G11" t="inlineStr">
        <x:is>
          <x:t xml:space="preserve">BDS007784</x:t>
        </x:is>
      </x:c>
      <x:c r="H11" t="inlineStr">
        <x:is>
          <x:t xml:space="preserve">Cephalex-500 (10 cap)</x:t>
        </x:is>
      </x:c>
      <x:c r="I11" t="inlineStr">
        <x:is>
          <x:t xml:space="preserve">รับประทานครั้งละ 1 แคปซูล วันละ 4 ครั้ง</x:t>
        </x:is>
      </x:c>
      <x:c r="J11" t="inlineStr">
        <x:is>
          <x:t xml:space="preserve">Take 1 capsule 4 times daily.</x:t>
        </x:is>
      </x:c>
      <x:c r="P11" t="inlineStr">
        <x:is>
          <x:t xml:space="preserve">Respiratory antibiotics</x:t>
        </x:is>
      </x:c>
    </x:row>
    <x:row r="12">
      <x:c r="A12">
        <x:v>10</x:v>
      </x:c>
      <x:c r="B12" t="inlineStr">
        <x:is>
          <x:t xml:space="preserve">ยาฆ่าเชื้อแบคทีเรียทางเดินหายใจ (D)</x:t>
        </x:is>
      </x:c>
      <x:c r="C12">
        <x:v>1452</x:v>
      </x:c>
      <x:c r="D12" t="inlineStr">
        <x:is>
          <x:t xml:space="preserve">Clarith 500</x:t>
        </x:is>
      </x:c>
      <x:c r="E12" t="inlineStr">
        <x:is>
          <x:t xml:space="preserve">แผง 7 เม็ด</x:t>
        </x:is>
      </x:c>
      <x:c r="F12" t="inlineStr">
        <x:is>
          <x:t xml:space="preserve">Clarithromycin 500 mg.</x:t>
        </x:is>
      </x:c>
      <x:c r="G12" t="inlineStr">
        <x:is>
          <x:t xml:space="preserve">BDS001452</x:t>
        </x:is>
      </x:c>
      <x:c r="H12" t="inlineStr">
        <x:is>
          <x:t xml:space="preserve">Clarith 500 (7 tabs)</x:t>
        </x:is>
      </x:c>
      <x:c r="I12" t="inlineStr">
        <x:is>
          <x:t xml:space="preserve">รับประทานตามแพทย์สั่ง </x:t>
        </x:is>
      </x:c>
      <x:c r="J12" t="inlineStr">
        <x:is>
          <x:t xml:space="preserve">Take as directed by your doctor. </x:t>
        </x:is>
      </x:c>
      <x:c r="P12" t="inlineStr">
        <x:is>
          <x:t xml:space="preserve">Respiratory antibiotics</x:t>
        </x:is>
      </x:c>
    </x:row>
    <x:row r="13">
      <x:c r="A13">
        <x:v>11</x:v>
      </x:c>
      <x:c r="B13" t="inlineStr">
        <x:is>
          <x:t xml:space="preserve">ยาฆ่าเชื้อแบคทีเรียทางเดินหายใจ (D)</x:t>
        </x:is>
      </x:c>
      <x:c r="C13">
        <x:v>8652</x:v>
      </x:c>
      <x:c r="D13" t="inlineStr">
        <x:is>
          <x:t xml:space="preserve">Dicloxilin-500</x:t>
        </x:is>
      </x:c>
      <x:c r="E13" t="inlineStr">
        <x:is>
          <x:t xml:space="preserve">แผง 10 แคปซูล</x:t>
        </x:is>
      </x:c>
      <x:c r="F13" t="inlineStr">
        <x:is>
          <x:t xml:space="preserve">Dicloxacillin 500 mg.</x:t>
        </x:is>
      </x:c>
      <x:c r="G13" t="inlineStr">
        <x:is>
          <x:t xml:space="preserve">BDS008652</x:t>
        </x:is>
      </x:c>
      <x:c r="H13" t="inlineStr">
        <x:is>
          <x:t xml:space="preserve">Dicloxilin-500 (10 cap)</x:t>
        </x:is>
      </x:c>
      <x:c r="I13" t="inlineStr">
        <x:is>
          <x:t xml:space="preserve">รับประทานครั้งละ 1 แคปซูลวันละ 4 ครั้ง ก่อนอาหาร</x:t>
        </x:is>
      </x:c>
      <x:c r="J13" t="inlineStr">
        <x:is>
          <x:t xml:space="preserve">Take 1 capsule 4 times daily before meals</x:t>
        </x:is>
      </x:c>
      <x:c r="P13" t="inlineStr">
        <x:is>
          <x:t xml:space="preserve">Respiratory antibiotics</x:t>
        </x:is>
      </x:c>
    </x:row>
    <x:row r="14">
      <x:c r="A14">
        <x:v>12</x:v>
      </x:c>
      <x:c r="B14" t="inlineStr">
        <x:is>
          <x:t xml:space="preserve">ยาฆ่าเชื้อแบคทีเรียทางเดินหายใจ (D)</x:t>
        </x:is>
      </x:c>
      <x:c r="C14">
        <x:v>8702</x:v>
      </x:c>
      <x:c r="D14" t="inlineStr">
        <x:is>
          <x:t xml:space="preserve">Dicloxman-500</x:t>
        </x:is>
      </x:c>
      <x:c r="E14" t="inlineStr">
        <x:is>
          <x:t xml:space="preserve">แผง 10 แคปซูล</x:t>
        </x:is>
      </x:c>
      <x:c r="F14" t="inlineStr">
        <x:is>
          <x:t xml:space="preserve">Dicloxacillin 500 mg.</x:t>
        </x:is>
      </x:c>
      <x:c r="G14" t="inlineStr">
        <x:is>
          <x:t xml:space="preserve">BDS008702</x:t>
        </x:is>
      </x:c>
      <x:c r="H14" t="inlineStr">
        <x:is>
          <x:t xml:space="preserve">Dicloxman-500 (10 cap)</x:t>
        </x:is>
      </x:c>
      <x:c r="I14" t="inlineStr">
        <x:is>
          <x:t xml:space="preserve">รับประทานครั้งละ 1 แคปซูล วันละ 4 ครั้ง ก่อนอาหาร</x:t>
        </x:is>
      </x:c>
      <x:c r="J14" t="inlineStr">
        <x:is>
          <x:t xml:space="preserve">Take 1 capsule 4 times daily before meals</x:t>
        </x:is>
      </x:c>
      <x:c r="P14" t="inlineStr">
        <x:is>
          <x:t xml:space="preserve">Respiratory antibiotics</x:t>
        </x:is>
      </x:c>
    </x:row>
    <x:row r="15">
      <x:c r="A15">
        <x:v>13</x:v>
      </x:c>
      <x:c r="B15" t="inlineStr">
        <x:is>
          <x:t xml:space="preserve">ยาฆ่าเชื้อแบคทีเรียทางเดินหายใจ (D)</x:t>
        </x:is>
      </x:c>
      <x:c r="C15">
        <x:v>1943</x:v>
      </x:c>
      <x:c r="D15" t="inlineStr">
        <x:is>
          <x:t xml:space="preserve">Floctil 250</x:t>
        </x:is>
      </x:c>
      <x:c r="E15" t="inlineStr">
        <x:is>
          <x:t xml:space="preserve">กล่อง 6 แคปซูล</x:t>
        </x:is>
      </x:c>
      <x:c r="F15" t="inlineStr">
        <x:is>
          <x:t xml:space="preserve">Azithromycin 250 mg.</x:t>
        </x:is>
      </x:c>
      <x:c r="G15" t="inlineStr">
        <x:is>
          <x:t xml:space="preserve">BDS001943</x:t>
        </x:is>
      </x:c>
      <x:c r="H15" t="inlineStr">
        <x:is>
          <x:t xml:space="preserve">Floctil 250 (6 cap)</x:t>
        </x:is>
      </x:c>
      <x:c r="I15" t="inlineStr">
        <x:is>
          <x:t xml:space="preserve">รับประทานครั้งละ 2 แคปซูล วันละ 1 ครั้ง ก่อนอาหาร</x:t>
        </x:is>
      </x:c>
      <x:c r="J15" t="inlineStr">
        <x:is>
          <x:t xml:space="preserve">Take 2 capsules 1 time daily before meals</x:t>
        </x:is>
      </x:c>
      <x:c r="P15" t="inlineStr">
        <x:is>
          <x:t xml:space="preserve">Respiratory antibiotics</x:t>
        </x:is>
      </x:c>
    </x:row>
    <x:row r="16">
      <x:c r="A16">
        <x:v>14</x:v>
      </x:c>
      <x:c r="B16" t="inlineStr">
        <x:is>
          <x:t xml:space="preserve">ยาฆ่าเชื้อแบคทีเรียทางเดินหายใจ (D)</x:t>
        </x:is>
      </x:c>
      <x:c r="C16">
        <x:v>2201</x:v>
      </x:c>
      <x:c r="D16" t="inlineStr">
        <x:is>
          <x:t xml:space="preserve">Ibiamox 500 mg</x:t>
        </x:is>
      </x:c>
      <x:c r="E16" t="inlineStr">
        <x:is>
          <x:t xml:space="preserve">แผง 10 แคปซูล</x:t>
        </x:is>
      </x:c>
      <x:c r="F16" t="inlineStr">
        <x:is>
          <x:t xml:space="preserve">Amoxicillin 500 mg.</x:t>
        </x:is>
      </x:c>
      <x:c r="G16" t="inlineStr">
        <x:is>
          <x:t xml:space="preserve">BDS002201</x:t>
        </x:is>
      </x:c>
      <x:c r="H16" t="inlineStr">
        <x:is>
          <x:t xml:space="preserve">Ibiamox 500 mg (10 cap)</x:t>
        </x:is>
      </x:c>
      <x:c r="I16" t="inlineStr">
        <x:is>
          <x:t xml:space="preserve">รับประทานครั้งละ 1 แคปซูล วันละ 3 ครั้ง หรือตามแพทย์สั่ง</x:t>
        </x:is>
      </x:c>
      <x:c r="J16" t="inlineStr">
        <x:is>
          <x:t xml:space="preserve">Take 1 capsule 3 times daily or as directed by a doctor</x:t>
        </x:is>
      </x:c>
      <x:c r="P16" t="inlineStr">
        <x:is>
          <x:t xml:space="preserve">Respiratory antibiotics</x:t>
        </x:is>
      </x:c>
    </x:row>
    <x:row r="17">
      <x:c r="A17">
        <x:v>15</x:v>
      </x:c>
      <x:c r="B17" t="inlineStr">
        <x:is>
          <x:t xml:space="preserve">ยาฆ่าเชื้อแบคทีเรียทางเดินหายใจ (D)</x:t>
        </x:is>
      </x:c>
      <x:c r="C17">
        <x:v>2447</x:v>
      </x:c>
      <x:c r="D17" t="inlineStr">
        <x:is>
          <x:t xml:space="preserve">Klacid MR 500 mg</x:t>
        </x:is>
      </x:c>
      <x:c r="E17" t="inlineStr">
        <x:is>
          <x:t xml:space="preserve">กล่อง 7 เม็ด</x:t>
        </x:is>
      </x:c>
      <x:c r="F17" t="inlineStr">
        <x:is>
          <x:t xml:space="preserve">Clarithromycin 500 mg.</x:t>
        </x:is>
      </x:c>
      <x:c r="G17" t="inlineStr">
        <x:is>
          <x:t xml:space="preserve">BDS002447</x:t>
        </x:is>
      </x:c>
      <x:c r="H17" t="inlineStr">
        <x:is>
          <x:t xml:space="preserve">Klacid MR 500 mg (7 tabs)</x:t>
        </x:is>
      </x:c>
      <x:c r="I17" t="inlineStr">
        <x:is>
          <x:t xml:space="preserve">ผู้ใหญ่รับประทานครั้งละ 1 เม็ด วันละ 1 ครั้ง หลังอาหาร</x:t>
        </x:is>
      </x:c>
      <x:c r="J17" t="inlineStr">
        <x:is>
          <x:t xml:space="preserve">Adults take 1 tablet 1 time daily after meals</x:t>
        </x:is>
      </x:c>
      <x:c r="P17" t="inlineStr">
        <x:is>
          <x:t xml:space="preserve">Respiratory antibiotics</x:t>
        </x:is>
      </x:c>
    </x:row>
    <x:row r="18">
      <x:c r="A18">
        <x:v>16</x:v>
      </x:c>
      <x:c r="B18" t="inlineStr">
        <x:is>
          <x:t xml:space="preserve">ยาฆ่าเชื้อแบคทีเรียทางเดินหายใจ (D)</x:t>
        </x:is>
      </x:c>
      <x:c r="C18">
        <x:v>2692</x:v>
      </x:c>
      <x:c r="D18" t="inlineStr">
        <x:is>
          <x:t xml:space="preserve">Meiact tabslet</x:t>
        </x:is>
      </x:c>
      <x:c r="E18" t="inlineStr">
        <x:is>
          <x:t xml:space="preserve">แผง 10 เม็ด</x:t>
        </x:is>
      </x:c>
      <x:c r="F18" t="inlineStr">
        <x:is>
          <x:t xml:space="preserve">Cefditoren 100 mg.</x:t>
        </x:is>
      </x:c>
      <x:c r="G18" t="inlineStr">
        <x:is>
          <x:t xml:space="preserve">BDS002692</x:t>
        </x:is>
      </x:c>
      <x:c r="H18" t="inlineStr">
        <x:is>
          <x:t xml:space="preserve">Meiact tabslet (10 tabs)</x:t>
        </x:is>
      </x:c>
      <x:c r="I18" t="inlineStr">
        <x:is>
          <x:t xml:space="preserve">รับประทานตามแพทย์สั่ง </x:t>
        </x:is>
      </x:c>
      <x:c r="J18" t="inlineStr">
        <x:is>
          <x:t xml:space="preserve">Take as directed by your doctor. </x:t>
        </x:is>
      </x:c>
      <x:c r="P18" t="inlineStr">
        <x:is>
          <x:t xml:space="preserve">Respiratory antibiotics</x:t>
        </x:is>
      </x:c>
    </x:row>
    <x:row r="19">
      <x:c r="A19">
        <x:v>17</x:v>
      </x:c>
      <x:c r="B19" t="inlineStr">
        <x:is>
          <x:t xml:space="preserve">ยาฆ่าเชื้อแบคทีเรียทางเดินหายใจ (D)</x:t>
        </x:is>
      </x:c>
      <x:c r="C19">
        <x:v>3078</x:v>
      </x:c>
      <x:c r="D19" t="inlineStr">
        <x:is>
          <x:t xml:space="preserve">Omnicef 100 mg</x:t>
        </x:is>
      </x:c>
      <x:c r="E19" t="inlineStr">
        <x:is>
          <x:t xml:space="preserve">แผง 10 แคปซูล</x:t>
        </x:is>
      </x:c>
      <x:c r="F19" t="inlineStr">
        <x:is>
          <x:t xml:space="preserve">Cefdinir 100 mg.</x:t>
        </x:is>
      </x:c>
      <x:c r="G19" t="inlineStr">
        <x:is>
          <x:t xml:space="preserve">BDS003078</x:t>
        </x:is>
      </x:c>
      <x:c r="H19" t="inlineStr">
        <x:is>
          <x:t xml:space="preserve">Omnicef 100 mg (10 cap)</x:t>
        </x:is>
      </x:c>
      <x:c r="I19" t="inlineStr">
        <x:is>
          <x:t xml:space="preserve">รับประทานตามแพทย์สั่ง </x:t>
        </x:is>
      </x:c>
      <x:c r="J19" t="inlineStr">
        <x:is>
          <x:t xml:space="preserve">Take as directed by your doctor. </x:t>
        </x:is>
      </x:c>
      <x:c r="P19" t="inlineStr">
        <x:is>
          <x:t xml:space="preserve">Respiratory antibiotics</x:t>
        </x:is>
      </x:c>
    </x:row>
    <x:row r="20">
      <x:c r="A20">
        <x:v>18</x:v>
      </x:c>
      <x:c r="B20" t="inlineStr">
        <x:is>
          <x:t xml:space="preserve">ยาฆ่าเชื้อแบคทีเรียทางเดินหายใจ (D)</x:t>
        </x:is>
      </x:c>
      <x:c r="C20">
        <x:v>8121</x:v>
      </x:c>
      <x:c r="D20" t="inlineStr">
        <x:is>
          <x:t xml:space="preserve">Rintacin</x:t>
        </x:is>
      </x:c>
      <x:c r="E20" t="inlineStr">
        <x:is>
          <x:t xml:space="preserve">แผง 10 เม็ด</x:t>
        </x:is>
      </x:c>
      <x:c r="F20" t="inlineStr">
        <x:is>
          <x:t xml:space="preserve">Erythromycin stearate 250 mg.</x:t>
        </x:is>
      </x:c>
      <x:c r="G20" t="inlineStr">
        <x:is>
          <x:t xml:space="preserve">BDS008121</x:t>
        </x:is>
      </x:c>
      <x:c r="H20" t="inlineStr">
        <x:is>
          <x:t xml:space="preserve">Rintacin (10 tabs)</x:t>
        </x:is>
      </x:c>
      <x:c r="I20" t="inlineStr">
        <x:is>
          <x:t xml:space="preserve">รับประทานครั้งละ 1 เม็ด วันละ 4 ครั้ง ก่อนอาหาร</x:t>
        </x:is>
      </x:c>
      <x:c r="J20" t="inlineStr">
        <x:is>
          <x:t xml:space="preserve">Take 1 tablet 4 times daily before meals</x:t>
        </x:is>
      </x:c>
      <x:c r="P20" t="inlineStr">
        <x:is>
          <x:t xml:space="preserve">Respiratory antibiotics</x:t>
        </x:is>
      </x:c>
    </x:row>
    <x:row r="21">
      <x:c r="A21">
        <x:v>19</x:v>
      </x:c>
      <x:c r="B21" t="inlineStr">
        <x:is>
          <x:t xml:space="preserve">ยาฆ่าเชื้อแบคทีเรียทางเดินหายใจ (D)</x:t>
        </x:is>
      </x:c>
      <x:c r="C21">
        <x:v>3423</x:v>
      </x:c>
      <x:c r="D21" t="inlineStr">
        <x:is>
          <x:t xml:space="preserve">Rothricin 150 mg</x:t>
        </x:is>
      </x:c>
      <x:c r="E21" t="inlineStr">
        <x:is>
          <x:t xml:space="preserve">แผง 10 เม็ด</x:t>
        </x:is>
      </x:c>
      <x:c r="F21" t="inlineStr">
        <x:is>
          <x:t xml:space="preserve">Roxithromycin 150 mg.</x:t>
        </x:is>
      </x:c>
      <x:c r="G21" t="inlineStr">
        <x:is>
          <x:t xml:space="preserve">BDS003423</x:t>
        </x:is>
      </x:c>
      <x:c r="H21" t="inlineStr">
        <x:is>
          <x:t xml:space="preserve">Rothricin 150 mg (10 tabs)</x:t>
        </x:is>
      </x:c>
      <x:c r="I21" t="inlineStr">
        <x:is>
          <x:t xml:space="preserve">รับประทานครั้งละ 1 เม็ด วันละ 2 ครั้ง ก่อนอาหาร เช้า-เย็น</x:t>
        </x:is>
      </x:c>
      <x:c r="J21" t="inlineStr">
        <x:is>
          <x:t xml:space="preserve">Take 1 tablet 2 times a day before meals, morning and evening</x:t>
        </x:is>
      </x:c>
      <x:c r="P21" t="inlineStr">
        <x:is>
          <x:t xml:space="preserve">Respiratory antibiotics</x:t>
        </x:is>
      </x:c>
    </x:row>
    <x:row r="22">
      <x:c r="A22">
        <x:v>20</x:v>
      </x:c>
      <x:c r="B22" t="inlineStr">
        <x:is>
          <x:t xml:space="preserve">ยาฆ่าเชื้อแบคทีเรียทางเดินหายใจ (D)</x:t>
        </x:is>
      </x:c>
      <x:c r="C22">
        <x:v>7976</x:v>
      </x:c>
      <x:c r="D22" t="inlineStr">
        <x:is>
          <x:t xml:space="preserve">Roxitop 300</x:t>
        </x:is>
      </x:c>
      <x:c r="E22" t="inlineStr">
        <x:is>
          <x:t xml:space="preserve">แผง 10 เม็ด</x:t>
        </x:is>
      </x:c>
      <x:c r="F22" t="inlineStr">
        <x:is>
          <x:t xml:space="preserve">Roxithromycin 300 mg.</x:t>
        </x:is>
      </x:c>
      <x:c r="G22" t="inlineStr">
        <x:is>
          <x:t xml:space="preserve">BDS007976</x:t>
        </x:is>
      </x:c>
      <x:c r="H22" t="inlineStr">
        <x:is>
          <x:t xml:space="preserve">Roxitop 300 (10 tabs)</x:t>
        </x:is>
      </x:c>
      <x:c r="I22" t="inlineStr">
        <x:is>
          <x:t xml:space="preserve">รับประทานครั้งละ 1 เม็ด วันละ 1 ครั้ง ก่อนอาหาร</x:t>
        </x:is>
      </x:c>
      <x:c r="J22" t="inlineStr">
        <x:is>
          <x:t xml:space="preserve">Take 1 tablet 1 time daily before meals</x:t>
        </x:is>
      </x:c>
      <x:c r="P22" t="inlineStr">
        <x:is>
          <x:t xml:space="preserve">Respiratory antibiotics</x:t>
        </x:is>
      </x:c>
    </x:row>
    <x:row r="23">
      <x:c r="A23">
        <x:v>21</x:v>
      </x:c>
      <x:c r="B23" t="inlineStr">
        <x:is>
          <x:t xml:space="preserve">ยาฆ่าเชื้อแบคทีเรียทางเดินหายใจ (D)</x:t>
        </x:is>
      </x:c>
      <x:c r="C23">
        <x:v>3428</x:v>
      </x:c>
      <x:c r="D23" t="inlineStr">
        <x:is>
          <x:t xml:space="preserve">Rulid 150 mg</x:t>
        </x:is>
      </x:c>
      <x:c r="E23" t="inlineStr">
        <x:is>
          <x:t xml:space="preserve">กล่อง 10 เม็ด</x:t>
        </x:is>
      </x:c>
      <x:c r="F23" t="inlineStr">
        <x:is>
          <x:t xml:space="preserve">Roxithromycin 150 mg.</x:t>
        </x:is>
      </x:c>
      <x:c r="G23" t="inlineStr">
        <x:is>
          <x:t xml:space="preserve">BDS003428</x:t>
        </x:is>
      </x:c>
      <x:c r="H23" t="inlineStr">
        <x:is>
          <x:t xml:space="preserve">Rulid 150 mg (10 tabs)</x:t>
        </x:is>
      </x:c>
      <x:c r="I23" t="inlineStr">
        <x:is>
          <x:t xml:space="preserve">รับประทานครั้งละ 1 เม็ด วันละ 2 ครั้ง ก่อนอาหาร เช้า-เย็น</x:t>
        </x:is>
      </x:c>
      <x:c r="J23" t="inlineStr">
        <x:is>
          <x:t xml:space="preserve">Take 1 tablet 2 times a day before meals, morning and evening</x:t>
        </x:is>
      </x:c>
      <x:c r="P23" t="inlineStr">
        <x:is>
          <x:t xml:space="preserve">Respiratory antibiotics</x:t>
        </x:is>
      </x:c>
    </x:row>
    <x:row r="24">
      <x:c r="A24">
        <x:v>22</x:v>
      </x:c>
      <x:c r="B24" t="inlineStr">
        <x:is>
          <x:t xml:space="preserve">ยาฆ่าเชื้อแบคทีเรียทางเดินหายใจ (D)</x:t>
        </x:is>
      </x:c>
      <x:c r="C24">
        <x:v>7007</x:v>
      </x:c>
      <x:c r="D24" t="inlineStr">
        <x:is>
          <x:t xml:space="preserve">Uramox 500</x:t>
        </x:is>
      </x:c>
      <x:c r="E24" t="inlineStr">
        <x:is>
          <x:t xml:space="preserve">แผง 10 แคปซูล</x:t>
        </x:is>
      </x:c>
      <x:c r="F24" t="inlineStr">
        <x:is>
          <x:t xml:space="preserve">Amoxicillin 500 mg.</x:t>
        </x:is>
      </x:c>
      <x:c r="G24" t="inlineStr">
        <x:is>
          <x:t xml:space="preserve">BDS007007</x:t>
        </x:is>
      </x:c>
      <x:c r="H24" t="inlineStr">
        <x:is>
          <x:t xml:space="preserve">Uramox 500 (10 cap)</x:t>
        </x:is>
      </x:c>
      <x:c r="I24" t="inlineStr">
        <x:is>
          <x:t xml:space="preserve">รับประทานครั้งละ 1 แคปซูล วันละ 4 ครั้ง</x:t>
        </x:is>
      </x:c>
      <x:c r="P24" t="inlineStr">
        <x:is>
          <x:t xml:space="preserve">Respiratory antibiotics</x:t>
        </x:is>
      </x:c>
    </x:row>
    <x:row r="25">
      <x:c r="A25">
        <x:v>23</x:v>
      </x:c>
      <x:c r="B25" t="inlineStr">
        <x:is>
          <x:t xml:space="preserve">ยาฆ่าเชื้อแบคทีเรียทางเดินหายใจ (D)</x:t>
        </x:is>
      </x:c>
      <x:c r="C25">
        <x:v>49776</x:v>
      </x:c>
      <x:c r="D25" t="inlineStr">
        <x:is>
          <x:t xml:space="preserve">Zithromax tabslet 250 mg</x:t>
        </x:is>
      </x:c>
      <x:c r="E25" t="inlineStr">
        <x:is>
          <x:t xml:space="preserve">กล่อง 6 เม็ด</x:t>
        </x:is>
      </x:c>
      <x:c r="F25" t="inlineStr">
        <x:is>
          <x:t xml:space="preserve">Azithromycin 250 mg.</x:t>
        </x:is>
      </x:c>
      <x:c r="G25" t="inlineStr">
        <x:is>
          <x:t xml:space="preserve">BDS049776</x:t>
        </x:is>
      </x:c>
      <x:c r="H25" t="inlineStr">
        <x:is>
          <x:t xml:space="preserve">Zithromax tabslet 250 mg (6 tabs)</x:t>
        </x:is>
      </x:c>
      <x:c r="I25" t="inlineStr">
        <x:is>
          <x:t xml:space="preserve">รับประทานครั้งละ 2 เม็ด วันละ 1 ครั้ง ก่อนอาหาร</x:t>
        </x:is>
      </x:c>
      <x:c r="P25" t="inlineStr">
        <x:is>
          <x:t xml:space="preserve">Respiratory antibiotics</x:t>
        </x:is>
      </x:c>
    </x:row>
    <x:row r="26">
      <x:c r="A26">
        <x:v>24</x:v>
      </x:c>
      <x:c r="B26" t="inlineStr">
        <x:is>
          <x:t xml:space="preserve">ยาแก้ปวด, ลดไข้</x:t>
        </x:is>
      </x:c>
      <x:c r="C26">
        <x:v>40614</x:v>
      </x:c>
      <x:c r="D26" t="inlineStr">
        <x:is>
          <x:t xml:space="preserve">Bakamol 500 mg bottle 100s</x:t>
        </x:is>
      </x:c>
      <x:c r="E26" t="inlineStr">
        <x:is>
          <x:t xml:space="preserve">กระปุก 100 เม็ด</x:t>
        </x:is>
      </x:c>
      <x:c r="F26" t="inlineStr">
        <x:is>
          <x:t xml:space="preserve">Paracetamol 500 mg.</x:t>
        </x:is>
      </x:c>
      <x:c r="G26" t="inlineStr">
        <x:is>
          <x:t xml:space="preserve">BDS040614</x:t>
        </x:is>
      </x:c>
      <x:c r="H26" t="inlineStr">
        <x:is>
          <x:t xml:space="preserve">Bakamol 500 mg bottle 100s (100 tabs)</x:t>
        </x:is>
      </x:c>
      <x:c r="I26" t="inlineStr">
        <x:is>
          <x:t xml:space="preserve">รับประทานครั้งละ 1-2 เม็ด ทุก 4-6 ชั่วโมง</x:t>
        </x:is>
      </x:c>
      <x:c r="P26" t="inlineStr">
        <x:is>
          <x:t xml:space="preserve">General analgesics/antipyretics</x:t>
        </x:is>
      </x:c>
    </x:row>
    <x:row r="27">
      <x:c r="A27">
        <x:v>25</x:v>
      </x:c>
      <x:c r="B27" t="inlineStr">
        <x:is>
          <x:t xml:space="preserve">ยาแก้ปวด, ลดไข้</x:t>
        </x:is>
      </x:c>
      <x:c r="C27">
        <x:v>7047</x:v>
      </x:c>
      <x:c r="D27" t="inlineStr">
        <x:is>
          <x:t xml:space="preserve">Cemol 500 mg bottle 100s ฟ้า-ขาว</x:t>
        </x:is>
      </x:c>
      <x:c r="E27" t="inlineStr">
        <x:is>
          <x:t xml:space="preserve">กระปุก 100 เม็ด</x:t>
        </x:is>
      </x:c>
      <x:c r="F27" t="inlineStr">
        <x:is>
          <x:t xml:space="preserve">Paracetamol 500 mg.</x:t>
        </x:is>
      </x:c>
      <x:c r="G27" t="inlineStr">
        <x:is>
          <x:t xml:space="preserve">BDS007047</x:t>
        </x:is>
      </x:c>
      <x:c r="H27" t="inlineStr">
        <x:is>
          <x:t xml:space="preserve">Cemol 500 mg bottle 100s ฟ้า-ขาว (100 tabs)</x:t>
        </x:is>
      </x:c>
      <x:c r="I27" t="inlineStr">
        <x:is>
          <x:t xml:space="preserve">รับประทานครั้งละ 1-2 เม็ด ทุก 4 ชั่วโมง หรือเมื่อมีอาการ</x:t>
        </x:is>
      </x:c>
      <x:c r="P27" t="inlineStr">
        <x:is>
          <x:t xml:space="preserve">General analgesics/antipyretics</x:t>
        </x:is>
      </x:c>
    </x:row>
    <x:row r="28">
      <x:c r="A28">
        <x:v>26</x:v>
      </x:c>
      <x:c r="B28" t="inlineStr">
        <x:is>
          <x:t xml:space="preserve">ยาแก้ปวด, ลดไข้</x:t>
        </x:is>
      </x:c>
      <x:c r="C28">
        <x:v>7041</x:v>
      </x:c>
      <x:c r="D28" t="inlineStr">
        <x:is>
          <x:t xml:space="preserve">Cemol 500 mg bottle 100s เม็ดกลม</x:t>
        </x:is>
      </x:c>
      <x:c r="E28" t="inlineStr">
        <x:is>
          <x:t xml:space="preserve">กระปุก 100 เม็ด</x:t>
        </x:is>
      </x:c>
      <x:c r="F28" t="inlineStr">
        <x:is>
          <x:t xml:space="preserve">Paracetamol 500 mg.</x:t>
        </x:is>
      </x:c>
      <x:c r="G28" t="inlineStr">
        <x:is>
          <x:t xml:space="preserve">BDS007041</x:t>
        </x:is>
      </x:c>
      <x:c r="H28" t="inlineStr">
        <x:is>
          <x:t xml:space="preserve">Cemol 500 mg bottle 100s เม็ดกลม (100 tabs)</x:t>
        </x:is>
      </x:c>
      <x:c r="I28" t="inlineStr">
        <x:is>
          <x:t xml:space="preserve">รับประทานครั้งละ 1-2 เม็ด ทุก 4 ชั่วโมง หรือเมื่อมีอาการ</x:t>
        </x:is>
      </x:c>
      <x:c r="P28" t="inlineStr">
        <x:is>
          <x:t xml:space="preserve">General analgesics/antipyretics</x:t>
        </x:is>
      </x:c>
    </x:row>
    <x:row r="29">
      <x:c r="A29">
        <x:v>27</x:v>
      </x:c>
      <x:c r="B29" t="inlineStr">
        <x:is>
          <x:t xml:space="preserve">ยาแก้ปวด, ลดไข้</x:t>
        </x:is>
      </x:c>
      <x:c r="C29">
        <x:v>46505</x:v>
      </x:c>
      <x:c r="D29" t="inlineStr">
        <x:is>
          <x:t xml:space="preserve">Panadol Actifast </x:t>
        </x:is>
      </x:c>
      <x:c r="E29" t="inlineStr">
        <x:is>
          <x:t xml:space="preserve">กล่อง 10 เม็ด</x:t>
        </x:is>
      </x:c>
      <x:c r="F29" t="inlineStr">
        <x:is>
          <x:t xml:space="preserve">Paracetamol 500 mg.</x:t>
        </x:is>
      </x:c>
      <x:c r="G29" t="inlineStr">
        <x:is>
          <x:t xml:space="preserve">BDS046505</x:t>
        </x:is>
      </x:c>
      <x:c r="H29" t="inlineStr">
        <x:is>
          <x:t xml:space="preserve">Panadol Actifast  (10 tabs)</x:t>
        </x:is>
      </x:c>
      <x:c r="I29" t="inlineStr">
        <x:is>
          <x:t xml:space="preserve">รับประทานครั้งละ 1-2  เม็ด ทุก 4-6 ชั่วโมง เมื่อมีอาการ</x:t>
        </x:is>
      </x:c>
      <x:c r="P29" t="inlineStr">
        <x:is>
          <x:t xml:space="preserve">General analgesics/antipyretics</x:t>
        </x:is>
      </x:c>
    </x:row>
    <x:row r="30">
      <x:c r="A30">
        <x:v>28</x:v>
      </x:c>
      <x:c r="B30" t="inlineStr">
        <x:is>
          <x:t xml:space="preserve">ยาแก้ปวด, ลดไข้</x:t>
        </x:is>
      </x:c>
      <x:c r="C30">
        <x:v>3109</x:v>
      </x:c>
      <x:c r="D30" t="inlineStr">
        <x:is>
          <x:t xml:space="preserve">Para Cap bottle 100s</x:t>
        </x:is>
      </x:c>
      <x:c r="E30" t="inlineStr">
        <x:is>
          <x:t xml:space="preserve">กระปุก 100 เม็ด</x:t>
        </x:is>
      </x:c>
      <x:c r="F30" t="inlineStr">
        <x:is>
          <x:t xml:space="preserve">Paracetamol 500 mg.</x:t>
        </x:is>
      </x:c>
      <x:c r="G30" t="inlineStr">
        <x:is>
          <x:t xml:space="preserve">BDS003109</x:t>
        </x:is>
      </x:c>
      <x:c r="H30" t="inlineStr">
        <x:is>
          <x:t xml:space="preserve">Para Cap bottle 100s (100 tabs)</x:t>
        </x:is>
      </x:c>
      <x:c r="I30" t="inlineStr">
        <x:is>
          <x:t xml:space="preserve">รับประทานครั้งละ 1-2 เม็ด ทุก 4-6 ชั่วโมง</x:t>
        </x:is>
      </x:c>
      <x:c r="P30" t="inlineStr">
        <x:is>
          <x:t xml:space="preserve">General analgesics/antipyretics</x:t>
        </x:is>
      </x:c>
    </x:row>
    <x:row r="31">
      <x:c r="A31">
        <x:v>29</x:v>
      </x:c>
      <x:c r="B31" t="inlineStr">
        <x:is>
          <x:t xml:space="preserve">ยาแก้ปวด, ลดไข้</x:t>
        </x:is>
      </x:c>
      <x:c r="C31">
        <x:v>3595</x:v>
      </x:c>
      <x:c r="D31" t="inlineStr">
        <x:is>
          <x:t xml:space="preserve">Sara เม็ดรี กระปุก 100s</x:t>
        </x:is>
      </x:c>
      <x:c r="E31" t="inlineStr">
        <x:is>
          <x:t xml:space="preserve">กระปุก 100 เม็ด</x:t>
        </x:is>
      </x:c>
      <x:c r="F31" t="inlineStr">
        <x:is>
          <x:t xml:space="preserve">Paracetamol 500 mg.</x:t>
        </x:is>
      </x:c>
      <x:c r="G31" t="inlineStr">
        <x:is>
          <x:t xml:space="preserve">BDS003595</x:t>
        </x:is>
      </x:c>
      <x:c r="H31" t="inlineStr">
        <x:is>
          <x:t xml:space="preserve">Sara เม็ดรี กระปุก 100s (100 tabs)</x:t>
        </x:is>
      </x:c>
      <x:c r="I31" t="inlineStr">
        <x:is>
          <x:t xml:space="preserve">รับประทานครั้งละ 1-2 เม็ด ทุก 4-6 ชั่วโมง</x:t>
        </x:is>
      </x:c>
      <x:c r="P31" t="inlineStr">
        <x:is>
          <x:t xml:space="preserve">General analgesics/antipyretics</x:t>
        </x:is>
      </x:c>
    </x:row>
    <x:row r="32">
      <x:c r="A32">
        <x:v>30</x:v>
      </x:c>
      <x:c r="B32" t="inlineStr">
        <x:is>
          <x:t xml:space="preserve">ยาแก้ปวด, ลดไข้</x:t>
        </x:is>
      </x:c>
      <x:c r="C32">
        <x:v>3764</x:v>
      </x:c>
      <x:c r="D32" t="inlineStr">
        <x:is>
          <x:t xml:space="preserve">Tylenol 500 mg bottle 100s</x:t>
        </x:is>
      </x:c>
      <x:c r="E32" t="inlineStr">
        <x:is>
          <x:t xml:space="preserve">กระปุก 100 เม็ด</x:t>
        </x:is>
      </x:c>
      <x:c r="F32" t="inlineStr">
        <x:is>
          <x:t xml:space="preserve">Paracetamol 500 mg.</x:t>
        </x:is>
      </x:c>
      <x:c r="G32" t="inlineStr">
        <x:is>
          <x:t xml:space="preserve">BDS003764</x:t>
        </x:is>
      </x:c>
      <x:c r="H32" t="inlineStr">
        <x:is>
          <x:t xml:space="preserve">Tylenol 500 mg bottle 100s (100 tabs)</x:t>
        </x:is>
      </x:c>
      <x:c r="I32" t="inlineStr">
        <x:is>
          <x:t xml:space="preserve">รับประทานครั้งละ 1-2 เม็ด ทุก 4-6 ชั่วโมง</x:t>
        </x:is>
      </x:c>
      <x:c r="P32" t="inlineStr">
        <x:is>
          <x:t xml:space="preserve">General analgesics/antipyretics</x:t>
        </x:is>
      </x:c>
    </x:row>
    <x:row r="33">
      <x:c r="A33">
        <x:v>31</x:v>
      </x:c>
      <x:c r="B33" t="inlineStr">
        <x:is>
          <x:t xml:space="preserve">ยาแก้ปวด, ลดไข้</x:t>
        </x:is>
      </x:c>
      <x:c r="C33">
        <x:v>3748</x:v>
      </x:c>
      <x:c r="D33" t="inlineStr">
        <x:is>
          <x:t xml:space="preserve">Tylenol 8 Hour</x:t>
        </x:is>
      </x:c>
      <x:c r="E33" t="inlineStr">
        <x:is>
          <x:t xml:space="preserve">กล่อง 10 เม็ด</x:t>
        </x:is>
      </x:c>
      <x:c r="F33" t="inlineStr">
        <x:is>
          <x:t xml:space="preserve">Paracetamol 650 mg.</x:t>
        </x:is>
      </x:c>
      <x:c r="G33" t="inlineStr">
        <x:is>
          <x:t xml:space="preserve">BDS003748</x:t>
        </x:is>
      </x:c>
      <x:c r="H33" t="inlineStr">
        <x:is>
          <x:t xml:space="preserve">Tylenol 8 Hour (10 tabs)</x:t>
        </x:is>
      </x:c>
      <x:c r="I33" t="inlineStr">
        <x:is>
          <x:t xml:space="preserve">รับประทานครั้งละ 2 เม็ด ทุก 8 ชั่วโมง หรือเมื่อมีอาการ</x:t>
        </x:is>
      </x:c>
      <x:c r="P33" t="inlineStr">
        <x:is>
          <x:t xml:space="preserve">General analgesics/antipyretics</x:t>
        </x:is>
      </x:c>
    </x:row>
    <x:row r="34">
      <x:c r="A34">
        <x:v>32</x:v>
      </x:c>
      <x:c r="B34" t="inlineStr">
        <x:is>
          <x:t xml:space="preserve">ยาแก้แพ้, ลดน้ำมูก (D)</x:t>
        </x:is>
      </x:c>
      <x:c r="C34">
        <x:v>1010</x:v>
      </x:c>
      <x:c r="D34" t="inlineStr">
        <x:is>
          <x:t xml:space="preserve">Aerius tabslet</x:t>
        </x:is>
      </x:c>
      <x:c r="E34" t="inlineStr">
        <x:is>
          <x:t xml:space="preserve">กล่อง 10 เม็ด</x:t>
        </x:is>
      </x:c>
      <x:c r="F34" t="inlineStr">
        <x:is>
          <x:t xml:space="preserve">Desloratadine 5 mg.</x:t>
        </x:is>
      </x:c>
      <x:c r="G34" t="inlineStr">
        <x:is>
          <x:t xml:space="preserve">BDS001010</x:t>
        </x:is>
      </x:c>
      <x:c r="H34" t="inlineStr">
        <x:is>
          <x:t xml:space="preserve">Aerius tabslet (10 tabs)</x:t>
        </x:is>
      </x:c>
      <x:c r="I34" t="inlineStr">
        <x:is>
          <x:t xml:space="preserve">ผู้ใหญ่รับประทานครั้งละ 1 เม็ด วันละ 1 ครั้ง</x:t>
        </x:is>
      </x:c>
      <x:c r="K34">
        <x:v>620</x:v>
      </x:c>
      <x:c r="L34">
        <x:v>62</x:v>
      </x:c>
      <x:c r="M34" t="inlineStr">
        <x:is>
          <x:t xml:space="preserve">USER</x:t>
        </x:is>
      </x:c>
      <x:c r="N34" t="inlineStr">
        <x:is>
          <x:t xml:space="preserve">2026-02-07</x:t>
        </x:is>
      </x:c>
      <x:c r="O34" t="inlineStr">
        <x:is>
          <x:t xml:space="preserve">User provided price (Aerius tabslet 10 tabs).</x:t>
        </x:is>
      </x:c>
    </x:row>
    <x:row r="35">
      <x:c r="A35">
        <x:v>33</x:v>
      </x:c>
      <x:c r="B35" t="inlineStr">
        <x:is>
          <x:t xml:space="preserve">ยาแก้แพ้, ลดน้ำมูก (D)</x:t>
        </x:is>
      </x:c>
      <x:c r="C35">
        <x:v>40029</x:v>
      </x:c>
      <x:c r="D35" t="inlineStr">
        <x:is>
          <x:t xml:space="preserve">Alerest</x:t>
        </x:is>
      </x:c>
      <x:c r="E35" t="inlineStr">
        <x:is>
          <x:t xml:space="preserve">แผง 10 เม็ด</x:t>
        </x:is>
      </x:c>
      <x:c r="F35" t="inlineStr">
        <x:is>
          <x:t xml:space="preserve">Cetirizine dihydrochloride 10 mg.</x:t>
        </x:is>
      </x:c>
      <x:c r="G35" t="inlineStr">
        <x:is>
          <x:t xml:space="preserve">BDS040029</x:t>
        </x:is>
      </x:c>
      <x:c r="H35" t="inlineStr">
        <x:is>
          <x:t xml:space="preserve">Alerest (10 tabs)</x:t>
        </x:is>
      </x:c>
      <x:c r="I35" t="inlineStr">
        <x:is>
          <x:t xml:space="preserve">รับประทานครั้งละ 1 เม็ด วันละ 1 ครั้ง</x:t>
        </x:is>
      </x:c>
    </x:row>
    <x:row r="36">
      <x:c r="A36">
        <x:v>34</x:v>
      </x:c>
      <x:c r="B36" t="inlineStr">
        <x:is>
          <x:t xml:space="preserve">ยาแก้แพ้, ลดน้ำมูก (D)</x:t>
        </x:is>
      </x:c>
      <x:c r="C36">
        <x:v>7702</x:v>
      </x:c>
      <x:c r="D36" t="inlineStr">
        <x:is>
          <x:t xml:space="preserve">Allerax-FC</x:t>
        </x:is>
      </x:c>
      <x:c r="E36" t="inlineStr">
        <x:is>
          <x:t xml:space="preserve">แผง 10 เม็ด</x:t>
        </x:is>
      </x:c>
      <x:c r="F36" t="inlineStr">
        <x:is>
          <x:t xml:space="preserve">Hydroxyzine HCl 10 mg.</x:t>
        </x:is>
      </x:c>
      <x:c r="G36" t="inlineStr">
        <x:is>
          <x:t xml:space="preserve">BDS007702</x:t>
        </x:is>
      </x:c>
      <x:c r="H36" t="inlineStr">
        <x:is>
          <x:t xml:space="preserve">Allerax-FC (10 tabs)</x:t>
        </x:is>
      </x:c>
      <x:c r="I36" t="inlineStr">
        <x:is>
          <x:t xml:space="preserve">รับประทานครั้งละ 1-2 เม็ด วันละ 3 ครั้ง หรือเมื่อมีอาการ</x:t>
        </x:is>
      </x:c>
    </x:row>
    <x:row r="37">
      <x:c r="A37">
        <x:v>35</x:v>
      </x:c>
      <x:c r="B37" t="inlineStr">
        <x:is>
          <x:t xml:space="preserve">ยาแก้แพ้, ลดน้ำมูก (D)</x:t>
        </x:is>
      </x:c>
      <x:c r="C37">
        <x:v>40033</x:v>
      </x:c>
      <x:c r="D37" t="inlineStr">
        <x:is>
          <x:t xml:space="preserve">Allernix</x:t>
        </x:is>
      </x:c>
      <x:c r="E37" t="inlineStr">
        <x:is>
          <x:t xml:space="preserve">กล่อง 10 เม็ด</x:t>
        </x:is>
      </x:c>
      <x:c r="F37" t="inlineStr">
        <x:is>
          <x:t xml:space="preserve">Loratadine 10 mg.</x:t>
        </x:is>
      </x:c>
      <x:c r="G37" t="inlineStr">
        <x:is>
          <x:t xml:space="preserve">BDS040033</x:t>
        </x:is>
      </x:c>
      <x:c r="H37" t="inlineStr">
        <x:is>
          <x:t xml:space="preserve">Allernix (10 tabs)</x:t>
        </x:is>
      </x:c>
      <x:c r="I37" t="inlineStr">
        <x:is>
          <x:t xml:space="preserve">รับประทานครั้งละ 1 เม็ด วันละ 1 ครั้ง</x:t>
        </x:is>
      </x:c>
    </x:row>
    <x:row r="38">
      <x:c r="A38">
        <x:v>36</x:v>
      </x:c>
      <x:c r="B38" t="inlineStr">
        <x:is>
          <x:t xml:space="preserve">ยาแก้แพ้, ลดน้ำมูก (D)</x:t>
        </x:is>
      </x:c>
      <x:c r="C38">
        <x:v>40028</x:v>
      </x:c>
      <x:c r="D38" t="inlineStr">
        <x:is>
          <x:t xml:space="preserve">Allora 5 mg</x:t>
        </x:is>
      </x:c>
      <x:c r="E38" t="inlineStr">
        <x:is>
          <x:t xml:space="preserve">กล่อง 10 เม็ด</x:t>
        </x:is>
      </x:c>
      <x:c r="F38" t="inlineStr">
        <x:is>
          <x:t xml:space="preserve">Desloratadine 5 mg.</x:t>
        </x:is>
      </x:c>
      <x:c r="G38" t="inlineStr">
        <x:is>
          <x:t xml:space="preserve">BDS040028</x:t>
        </x:is>
      </x:c>
      <x:c r="H38" t="inlineStr">
        <x:is>
          <x:t xml:space="preserve">Allora 5 mg (10 tabs)</x:t>
        </x:is>
      </x:c>
      <x:c r="I38" t="inlineStr">
        <x:is>
          <x:t xml:space="preserve">ผู้ใหญ่รับประทานครั้งละ 1 เม็ด วันละ 1 ครั้ง</x:t>
        </x:is>
      </x:c>
    </x:row>
    <x:row r="39">
      <x:c r="A39">
        <x:v>37</x:v>
      </x:c>
      <x:c r="B39" t="inlineStr">
        <x:is>
          <x:t xml:space="preserve">ยาแก้แพ้, ลดน้ำมูก (D)</x:t>
        </x:is>
      </x:c>
      <x:c r="C39">
        <x:v>40630</x:v>
      </x:c>
      <x:c r="D39" t="inlineStr">
        <x:is>
          <x:t xml:space="preserve">Bilaxten</x:t>
        </x:is>
      </x:c>
      <x:c r="E39" t="inlineStr">
        <x:is>
          <x:t xml:space="preserve">กล่อง 10 เม็ด</x:t>
        </x:is>
      </x:c>
      <x:c r="F39" t="inlineStr">
        <x:is>
          <x:t xml:space="preserve">Bilastine 20 mg.</x:t>
        </x:is>
      </x:c>
      <x:c r="G39" t="inlineStr">
        <x:is>
          <x:t xml:space="preserve">BDS040630</x:t>
        </x:is>
      </x:c>
      <x:c r="H39" t="inlineStr">
        <x:is>
          <x:t xml:space="preserve">Bilaxten (10 tabs)</x:t>
        </x:is>
      </x:c>
      <x:c r="I39" t="inlineStr">
        <x:is>
          <x:t xml:space="preserve">รับประทานครั้งละ 1 เม็ด วันละ 1 ครั้ง ก่อนอาหาร</x:t>
        </x:is>
      </x:c>
    </x:row>
    <x:row r="40">
      <x:c r="A40">
        <x:v>38</x:v>
      </x:c>
      <x:c r="B40" t="inlineStr">
        <x:is>
          <x:t xml:space="preserve">ยาแก้แพ้, ลดน้ำมูก (D)</x:t>
        </x:is>
      </x:c>
      <x:c r="C40">
        <x:v>41454</x:v>
      </x:c>
      <x:c r="D40" t="inlineStr">
        <x:is>
          <x:t xml:space="preserve">Carinose</x:t>
        </x:is>
      </x:c>
      <x:c r="E40" t="inlineStr">
        <x:is>
          <x:t xml:space="preserve">แผง 10 เม็ด</x:t>
        </x:is>
      </x:c>
      <x:c r="F40" t="inlineStr">
        <x:is>
          <x:t xml:space="preserve">Micronized Loratadine 10 mg.</x:t>
        </x:is>
      </x:c>
      <x:c r="G40" t="inlineStr">
        <x:is>
          <x:t xml:space="preserve">BDS041454</x:t>
        </x:is>
      </x:c>
      <x:c r="H40" t="inlineStr">
        <x:is>
          <x:t xml:space="preserve">Carinose (10 tabs)</x:t>
        </x:is>
      </x:c>
      <x:c r="I40" t="inlineStr">
        <x:is>
          <x:t xml:space="preserve">รับประทานครั้งละ 1 เม็ด วันละ 1 ครั้ง</x:t>
        </x:is>
      </x:c>
    </x:row>
    <x:row r="41">
      <x:c r="A41">
        <x:v>39</x:v>
      </x:c>
      <x:c r="B41" t="inlineStr">
        <x:is>
          <x:t xml:space="preserve">ยาแก้แพ้, ลดน้ำมูก (D)</x:t>
        </x:is>
      </x:c>
      <x:c r="C41">
        <x:v>41510</x:v>
      </x:c>
      <x:c r="D41" t="inlineStr">
        <x:is>
          <x:t xml:space="preserve">Clarid</x:t>
        </x:is>
      </x:c>
      <x:c r="E41" t="inlineStr">
        <x:is>
          <x:t xml:space="preserve">แผง 10 เม็ด</x:t>
        </x:is>
      </x:c>
      <x:c r="F41" t="inlineStr">
        <x:is>
          <x:t xml:space="preserve">Loratadine (Micronized) 10 mg</x:t>
        </x:is>
      </x:c>
      <x:c r="G41" t="inlineStr">
        <x:is>
          <x:t xml:space="preserve">BDS041510</x:t>
        </x:is>
      </x:c>
      <x:c r="H41" t="inlineStr">
        <x:is>
          <x:t xml:space="preserve">Clarid (10 tabs)</x:t>
        </x:is>
      </x:c>
      <x:c r="I41" t="inlineStr">
        <x:is>
          <x:t xml:space="preserve">รับประทานครั้งละ 1 เม็ด วันละ 1 ครั้ง </x:t>
        </x:is>
      </x:c>
    </x:row>
    <x:row r="42">
      <x:c r="A42">
        <x:v>40</x:v>
      </x:c>
      <x:c r="B42" t="inlineStr">
        <x:is>
          <x:t xml:space="preserve">ยาแก้แพ้, ลดน้ำมูก (D)</x:t>
        </x:is>
      </x:c>
      <x:c r="C42">
        <x:v>41499</x:v>
      </x:c>
      <x:c r="D42" t="inlineStr">
        <x:is>
          <x:t xml:space="preserve">Clarityne </x:t>
        </x:is>
      </x:c>
      <x:c r="E42" t="inlineStr">
        <x:is>
          <x:t xml:space="preserve">กล่อง 5 เม็ด</x:t>
        </x:is>
      </x:c>
      <x:c r="F42" t="inlineStr">
        <x:is>
          <x:t xml:space="preserve">Micronized loratadine 10 mg.</x:t>
        </x:is>
      </x:c>
      <x:c r="G42" t="inlineStr">
        <x:is>
          <x:t xml:space="preserve">BDS041499</x:t>
        </x:is>
      </x:c>
      <x:c r="H42" t="inlineStr">
        <x:is>
          <x:t xml:space="preserve">Clarityne  (5 tabs)</x:t>
        </x:is>
      </x:c>
      <x:c r="I42" t="inlineStr">
        <x:is>
          <x:t xml:space="preserve">รับประทานครั้งละ 1 เม็ด วันละ 1 ครั้ง </x:t>
        </x:is>
      </x:c>
    </x:row>
    <x:row r="43">
      <x:c r="A43">
        <x:v>41</x:v>
      </x:c>
      <x:c r="B43" t="inlineStr">
        <x:is>
          <x:t xml:space="preserve">ยาแก้แพ้, ลดน้ำมูก (D)</x:t>
        </x:is>
      </x:c>
      <x:c r="C43">
        <x:v>1978</x:v>
      </x:c>
      <x:c r="D43" t="inlineStr">
        <x:is>
          <x:t xml:space="preserve">Fenafex 180 mg</x:t>
        </x:is>
      </x:c>
      <x:c r="E43" t="inlineStr">
        <x:is>
          <x:t xml:space="preserve">กล่อง 10 เม็ด</x:t>
        </x:is>
      </x:c>
      <x:c r="F43" t="inlineStr">
        <x:is>
          <x:t xml:space="preserve">Fexofenadine HCl 180 mg.</x:t>
        </x:is>
      </x:c>
      <x:c r="G43" t="inlineStr">
        <x:is>
          <x:t xml:space="preserve">BDS001978</x:t>
        </x:is>
      </x:c>
      <x:c r="H43" t="inlineStr">
        <x:is>
          <x:t xml:space="preserve">Fenafex 180 mg (10 tabs)</x:t>
        </x:is>
      </x:c>
      <x:c r="I43" t="inlineStr">
        <x:is>
          <x:t xml:space="preserve">รับประทานครั้งละ 1 เม็ด วันละ 1 ครั้ง</x:t>
        </x:is>
      </x:c>
    </x:row>
    <x:row r="44">
      <x:c r="A44">
        <x:v>42</x:v>
      </x:c>
      <x:c r="B44" t="inlineStr">
        <x:is>
          <x:t xml:space="preserve">ยาแก้แพ้, ลดน้ำมูก (D)</x:t>
        </x:is>
      </x:c>
      <x:c r="C44">
        <x:v>1953</x:v>
      </x:c>
      <x:c r="D44" t="inlineStr">
        <x:is>
          <x:t xml:space="preserve">Fenafex 60 mg</x:t>
        </x:is>
      </x:c>
      <x:c r="E44" t="inlineStr">
        <x:is>
          <x:t xml:space="preserve">กล่อง 10 เม็ด</x:t>
        </x:is>
      </x:c>
      <x:c r="F44" t="inlineStr">
        <x:is>
          <x:t xml:space="preserve">Fexofenadine HCl 60 mg.</x:t>
        </x:is>
      </x:c>
      <x:c r="G44" t="inlineStr">
        <x:is>
          <x:t xml:space="preserve">BDS001953</x:t>
        </x:is>
      </x:c>
      <x:c r="H44" t="inlineStr">
        <x:is>
          <x:t xml:space="preserve">Fenafex 60 mg (10 tabs)</x:t>
        </x:is>
      </x:c>
      <x:c r="I44" t="inlineStr">
        <x:is>
          <x:t xml:space="preserve">รับประทานครั้งละ 1 เม็ด  วันละ 2 ครั้ง </x:t>
        </x:is>
      </x:c>
    </x:row>
    <x:row r="45">
      <x:c r="A45">
        <x:v>43</x:v>
      </x:c>
      <x:c r="B45" t="inlineStr">
        <x:is>
          <x:t xml:space="preserve">ยาแก้แพ้, ลดน้ำมูก (D)</x:t>
        </x:is>
      </x:c>
      <x:c r="C45">
        <x:v>7975</x:v>
      </x:c>
      <x:c r="D45" t="inlineStr">
        <x:is>
          <x:t xml:space="preserve">Fexotine</x:t>
        </x:is>
      </x:c>
      <x:c r="E45" t="inlineStr">
        <x:is>
          <x:t xml:space="preserve">กล่อง 10 เม็ด</x:t>
        </x:is>
      </x:c>
      <x:c r="F45" t="inlineStr">
        <x:is>
          <x:t xml:space="preserve">Fexofenadine HCl 60 mg.</x:t>
        </x:is>
      </x:c>
      <x:c r="G45" t="inlineStr">
        <x:is>
          <x:t xml:space="preserve">BDS007975</x:t>
        </x:is>
      </x:c>
      <x:c r="H45" t="inlineStr">
        <x:is>
          <x:t xml:space="preserve">Fexotine (10 tabs)</x:t>
        </x:is>
      </x:c>
      <x:c r="I45" t="inlineStr">
        <x:is>
          <x:t xml:space="preserve">รับประทานครั้งละ 1 เม็ด วันละ 2 ครั้ง</x:t>
        </x:is>
      </x:c>
    </x:row>
    <x:row r="46">
      <x:c r="A46">
        <x:v>44</x:v>
      </x:c>
      <x:c r="B46" t="inlineStr">
        <x:is>
          <x:t xml:space="preserve">ยาแก้แพ้, ลดน้ำมูก (D)</x:t>
        </x:is>
      </x:c>
      <x:c r="C46">
        <x:v>7145</x:v>
      </x:c>
      <x:c r="D46" t="inlineStr">
        <x:is>
          <x:t xml:space="preserve">Histatabs</x:t>
        </x:is>
      </x:c>
      <x:c r="E46" t="inlineStr">
        <x:is>
          <x:t xml:space="preserve">กระปุก 100 เม็ด</x:t>
        </x:is>
      </x:c>
      <x:c r="F46" t="inlineStr">
        <x:is>
          <x:t xml:space="preserve">Chlorpheniramine Maleate 4 mg.</x:t>
        </x:is>
      </x:c>
      <x:c r="G46" t="inlineStr">
        <x:is>
          <x:t xml:space="preserve">BDS007145</x:t>
        </x:is>
      </x:c>
      <x:c r="H46" t="inlineStr">
        <x:is>
          <x:t xml:space="preserve">Histatabs (100 tabs)</x:t>
        </x:is>
      </x:c>
      <x:c r="I46" t="inlineStr">
        <x:is>
          <x:t xml:space="preserve">รับประทานครั้งละ 1 เม็ด วันละ 3 ครั้ง หรือเมื่อมีอาการ</x:t>
        </x:is>
      </x:c>
    </x:row>
    <x:row r="47">
      <x:c r="A47">
        <x:v>45</x:v>
      </x:c>
      <x:c r="B47" t="inlineStr">
        <x:is>
          <x:t xml:space="preserve">ยาแก้แพ้, ลดน้ำมูก (D)</x:t>
        </x:is>
      </x:c>
      <x:c r="C47">
        <x:v>8701</x:v>
      </x:c>
      <x:c r="D47" t="inlineStr">
        <x:is>
          <x:t xml:space="preserve">Hydrox-25</x:t>
        </x:is>
      </x:c>
      <x:c r="E47" t="inlineStr">
        <x:is>
          <x:t xml:space="preserve">แผง 10 เม็ด</x:t>
        </x:is>
      </x:c>
      <x:c r="F47" t="inlineStr">
        <x:is>
          <x:t xml:space="preserve">Hydroxyzine HCl 25 mg.</x:t>
        </x:is>
      </x:c>
      <x:c r="G47" t="inlineStr">
        <x:is>
          <x:t xml:space="preserve">BDS008701</x:t>
        </x:is>
      </x:c>
      <x:c r="H47" t="inlineStr">
        <x:is>
          <x:t xml:space="preserve">Hydrox-25 (10 tabs)</x:t>
        </x:is>
      </x:c>
      <x:c r="I47" t="inlineStr">
        <x:is>
          <x:t xml:space="preserve">รับประทานครั้งละ 1-2 เม็ด วันละ 1 ครั้ง ก่อนนอน</x:t>
        </x:is>
      </x:c>
    </x:row>
    <x:row r="48">
      <x:c r="A48">
        <x:v>46</x:v>
      </x:c>
      <x:c r="B48" t="inlineStr">
        <x:is>
          <x:t xml:space="preserve">ยาแก้แพ้, ลดน้ำมูก (D)</x:t>
        </x:is>
      </x:c>
      <x:c r="C48">
        <x:v>44553</x:v>
      </x:c>
      <x:c r="D48" t="inlineStr">
        <x:is>
          <x:t xml:space="preserve">Levocet</x:t>
        </x:is>
      </x:c>
      <x:c r="E48" t="inlineStr">
        <x:is>
          <x:t xml:space="preserve">กล่อง 10 เม็ด</x:t>
        </x:is>
      </x:c>
      <x:c r="F48" t="inlineStr">
        <x:is>
          <x:t xml:space="preserve">Levocetirizine dihydrochloride 5 mg.</x:t>
        </x:is>
      </x:c>
      <x:c r="G48" t="inlineStr">
        <x:is>
          <x:t xml:space="preserve">BDS044553</x:t>
        </x:is>
      </x:c>
      <x:c r="H48" t="inlineStr">
        <x:is>
          <x:t xml:space="preserve">Levocet (10 tabs)</x:t>
        </x:is>
      </x:c>
      <x:c r="I48" t="inlineStr">
        <x:is>
          <x:t xml:space="preserve">ผู้ใหญ่และเด็กอายุ 12 ปีขึ้นไป รับประทานครั้งละ 1 เม็ด วันละ 1 ครั้ง โดยไม่ต้องคำนึงถึงมื้ออาหาร</x:t>
        </x:is>
      </x:c>
    </x:row>
    <x:row r="49">
      <x:c r="A49">
        <x:v>47</x:v>
      </x:c>
      <x:c r="B49" t="inlineStr">
        <x:is>
          <x:t xml:space="preserve">ยาแก้แพ้, ลดน้ำมูก (D)</x:t>
        </x:is>
      </x:c>
      <x:c r="C49">
        <x:v>6046</x:v>
      </x:c>
      <x:c r="D49" t="inlineStr">
        <x:is>
          <x:t xml:space="preserve">Loreze</x:t>
        </x:is>
      </x:c>
      <x:c r="E49" t="inlineStr">
        <x:is>
          <x:t xml:space="preserve">กล่อง 10 แคปซูล</x:t>
        </x:is>
      </x:c>
      <x:c r="F49" t="inlineStr">
        <x:is>
          <x:t xml:space="preserve">Loratadine 10 mg.</x:t>
        </x:is>
      </x:c>
      <x:c r="G49" t="inlineStr">
        <x:is>
          <x:t xml:space="preserve">BDS006046</x:t>
        </x:is>
      </x:c>
      <x:c r="H49" t="inlineStr">
        <x:is>
          <x:t xml:space="preserve">Loreze (10 cap)</x:t>
        </x:is>
      </x:c>
      <x:c r="I49" t="inlineStr">
        <x:is>
          <x:t xml:space="preserve">รับประทานครั้งละ 1 แคปซูล วันละ 1 ครั้ง หรือตามแพทย์สั่ง</x:t>
        </x:is>
      </x:c>
    </x:row>
    <x:row r="50">
      <x:c r="A50">
        <x:v>48</x:v>
      </x:c>
      <x:c r="B50" t="inlineStr">
        <x:is>
          <x:t xml:space="preserve">ยาแก้แพ้, ลดน้ำมูก (D)</x:t>
        </x:is>
      </x:c>
      <x:c r="C50">
        <x:v>8241</x:v>
      </x:c>
      <x:c r="D50" t="inlineStr">
        <x:is>
          <x:t xml:space="preserve">Manotabs</x:t>
        </x:is>
      </x:c>
      <x:c r="E50" t="inlineStr">
        <x:is>
          <x:t xml:space="preserve">แผง 10 เม็ด</x:t>
        </x:is>
      </x:c>
      <x:c r="F50" t="inlineStr">
        <x:is>
          <x:t xml:space="preserve">Cyproheptadine HCI 4 mg.</x:t>
        </x:is>
      </x:c>
      <x:c r="G50" t="inlineStr">
        <x:is>
          <x:t xml:space="preserve">BDS008241</x:t>
        </x:is>
      </x:c>
      <x:c r="H50" t="inlineStr">
        <x:is>
          <x:t xml:space="preserve">Manotabs (10 tabs)</x:t>
        </x:is>
      </x:c>
      <x:c r="I50" t="inlineStr">
        <x:is>
          <x:t xml:space="preserve">รับประทานครั้งละ 1 เม็ด วันละ 3 ครั้ง ก่อนอาหาร 30 นาที</x:t>
        </x:is>
      </x:c>
    </x:row>
    <x:row r="51">
      <x:c r="A51">
        <x:v>49</x:v>
      </x:c>
      <x:c r="B51" t="inlineStr">
        <x:is>
          <x:t xml:space="preserve">ยาแก้แพ้, ลดน้ำมูก (D)</x:t>
        </x:is>
      </x:c>
      <x:c r="C51">
        <x:v>3427</x:v>
      </x:c>
      <x:c r="D51" t="inlineStr">
        <x:is>
          <x:t xml:space="preserve">Montek 10 mg</x:t>
        </x:is>
      </x:c>
      <x:c r="E51" t="inlineStr">
        <x:is>
          <x:t xml:space="preserve">แผง 7 เม็ด</x:t>
        </x:is>
      </x:c>
      <x:c r="F51" t="inlineStr">
        <x:is>
          <x:t xml:space="preserve">Montelukast Sodium 10.4 mg.</x:t>
        </x:is>
      </x:c>
      <x:c r="G51" t="inlineStr">
        <x:is>
          <x:t xml:space="preserve">BDS003427</x:t>
        </x:is>
      </x:c>
      <x:c r="H51" t="inlineStr">
        <x:is>
          <x:t xml:space="preserve">Montek 10 mg (7 tabs)</x:t>
        </x:is>
      </x:c>
      <x:c r="I51" t="inlineStr">
        <x:is>
          <x:t xml:space="preserve">รับประทานครั้งละ 1 เม็ด วันละ 1 ครั้ง ก่อนนอน</x:t>
        </x:is>
      </x:c>
    </x:row>
    <x:row r="52">
      <x:c r="A52">
        <x:v>50</x:v>
      </x:c>
      <x:c r="B52" t="inlineStr">
        <x:is>
          <x:t xml:space="preserve">ยาแก้แพ้, ลดน้ำมูก (D)</x:t>
        </x:is>
      </x:c>
      <x:c r="C52">
        <x:v>44924</x:v>
      </x:c>
      <x:c r="D52" t="inlineStr">
        <x:is>
          <x:t xml:space="preserve">Montulair 10 mg </x:t>
        </x:is>
      </x:c>
      <x:c r="E52" t="inlineStr">
        <x:is>
          <x:t xml:space="preserve">แผง 10 เม็ด</x:t>
        </x:is>
      </x:c>
      <x:c r="F52" t="inlineStr">
        <x:is>
          <x:t xml:space="preserve">Montelukast 10 mg.</x:t>
        </x:is>
      </x:c>
      <x:c r="G52" t="inlineStr">
        <x:is>
          <x:t xml:space="preserve">BDS044924</x:t>
        </x:is>
      </x:c>
      <x:c r="H52" t="inlineStr">
        <x:is>
          <x:t xml:space="preserve">Montulair 10 mg  (10 tabs)</x:t>
        </x:is>
      </x:c>
      <x:c r="I52" t="inlineStr">
        <x:is>
          <x:t xml:space="preserve">รับประทานครั้งละ 1 เม็ด วันละ 1 ครั้ง ก่อนนอน</x:t>
        </x:is>
      </x:c>
    </x:row>
    <x:row r="53">
      <x:c r="A53">
        <x:v>51</x:v>
      </x:c>
      <x:c r="B53" t="inlineStr">
        <x:is>
          <x:t xml:space="preserve">ยาแก้แพ้, ลดน้ำมูก (D)</x:t>
        </x:is>
      </x:c>
      <x:c r="C53">
        <x:v>45630</x:v>
      </x:c>
      <x:c r="D53" t="inlineStr">
        <x:is>
          <x:t xml:space="preserve">Nasotapp</x:t>
        </x:is>
      </x:c>
      <x:c r="E53" t="inlineStr">
        <x:is>
          <x:t xml:space="preserve">แผง 10 เม็ด</x:t>
        </x:is>
      </x:c>
      <x:c r="F53" t="inlineStr">
        <x:is>
          <x:t xml:space="preserve">Brompheniramine Maleate 4 mg.+Phenylephrine HCl 10 mg.</x:t>
        </x:is>
      </x:c>
      <x:c r="G53" t="inlineStr">
        <x:is>
          <x:t xml:space="preserve">BDS045630</x:t>
        </x:is>
      </x:c>
      <x:c r="H53" t="inlineStr">
        <x:is>
          <x:t xml:space="preserve">Nasotapp (10 tabs)</x:t>
        </x:is>
      </x:c>
      <x:c r="I53" t="inlineStr">
        <x:is>
          <x:t xml:space="preserve">ผู้ใหญ่รับประทานครั้งละ 1 เม็ด ทุก 4-6 ชั่วโมง</x:t>
        </x:is>
      </x:c>
      <x:c r="K53">
        <x:v>116</x:v>
      </x:c>
      <x:c r="L53">
        <x:v>11.6</x:v>
      </x:c>
      <x:c r="M53" t="inlineStr">
        <x:is>
          <x:t xml:space="preserve">USER</x:t>
        </x:is>
      </x:c>
      <x:c r="N53" t="inlineStr">
        <x:is>
          <x:t xml:space="preserve">2026-02-07</x:t>
        </x:is>
      </x:c>
      <x:c r="O53" t="inlineStr">
        <x:is>
          <x:t xml:space="preserve">User provided price (Nasotapp 10 tabs).</x:t>
        </x:is>
      </x:c>
    </x:row>
    <x:row r="54">
      <x:c r="A54">
        <x:v>52</x:v>
      </x:c>
      <x:c r="B54" t="inlineStr">
        <x:is>
          <x:t xml:space="preserve">ยาแก้แพ้, ลดน้ำมูก (D)</x:t>
        </x:is>
      </x:c>
      <x:c r="C54">
        <x:v>47430</x:v>
      </x:c>
      <x:c r="D54" t="inlineStr">
        <x:is>
          <x:t xml:space="preserve">Rhinotapp</x:t>
        </x:is>
      </x:c>
      <x:c r="E54" t="inlineStr">
        <x:is>
          <x:t xml:space="preserve">แผง 10 เม็ด</x:t>
        </x:is>
      </x:c>
      <x:c r="F54" t="inlineStr">
        <x:is>
          <x:t xml:space="preserve">Brompheniramine Maleate 4 mg.+Phenylephrine HCl 10 mg.</x:t>
        </x:is>
      </x:c>
      <x:c r="G54" t="inlineStr">
        <x:is>
          <x:t xml:space="preserve">BDS047430</x:t>
        </x:is>
      </x:c>
      <x:c r="H54" t="inlineStr">
        <x:is>
          <x:t xml:space="preserve">Rhinotapp (10 tabs)</x:t>
        </x:is>
      </x:c>
      <x:c r="I54" t="inlineStr">
        <x:is>
          <x:t xml:space="preserve">รับประทานครั้งละ 1 เม็ด ทุก 4-6 ชั่วโมง</x:t>
        </x:is>
      </x:c>
    </x:row>
    <x:row r="55">
      <x:c r="A55">
        <x:v>53</x:v>
      </x:c>
      <x:c r="B55" t="inlineStr">
        <x:is>
          <x:t xml:space="preserve">ยาแก้แพ้, ลดน้ำมูก (D)</x:t>
        </x:is>
      </x:c>
      <x:c r="C55">
        <x:v>3511</x:v>
      </x:c>
      <x:c r="D55" t="inlineStr">
        <x:is>
          <x:t xml:space="preserve">Singulair 10 mg 7s</x:t>
        </x:is>
      </x:c>
      <x:c r="E55" t="inlineStr">
        <x:is>
          <x:t xml:space="preserve">แผง 7 เม็ด</x:t>
        </x:is>
      </x:c>
      <x:c r="F55" t="inlineStr">
        <x:is>
          <x:t xml:space="preserve">Montelukast Sodium 10.4 mg.</x:t>
        </x:is>
      </x:c>
      <x:c r="G55" t="inlineStr">
        <x:is>
          <x:t xml:space="preserve">BDS003511</x:t>
        </x:is>
      </x:c>
      <x:c r="H55" t="inlineStr">
        <x:is>
          <x:t xml:space="preserve">Singulair 10 mg 7s (7 tabs)</x:t>
        </x:is>
      </x:c>
      <x:c r="I55" t="inlineStr">
        <x:is>
          <x:t xml:space="preserve">รับประทานครั้งละ 1 เม็ด วันละ 1 ครั้ง ก่อนนอน</x:t>
        </x:is>
      </x:c>
    </x:row>
    <x:row r="56">
      <x:c r="A56">
        <x:v>54</x:v>
      </x:c>
      <x:c r="B56" t="inlineStr">
        <x:is>
          <x:t xml:space="preserve">ยาแก้แพ้, ลดน้ำมูก (D)</x:t>
        </x:is>
      </x:c>
      <x:c r="C56">
        <x:v>47722</x:v>
      </x:c>
      <x:c r="D56" t="inlineStr">
        <x:is>
          <x:t xml:space="preserve">Singulair 5 mg Box 28s</x:t>
        </x:is>
      </x:c>
      <x:c r="E56" t="inlineStr">
        <x:is>
          <x:t xml:space="preserve">กล่อง 4 แผง</x:t>
        </x:is>
      </x:c>
      <x:c r="F56" t="inlineStr">
        <x:is>
          <x:t xml:space="preserve">Montelukast Sodium 5.2 mg.</x:t>
        </x:is>
      </x:c>
      <x:c r="G56" t="inlineStr">
        <x:is>
          <x:t xml:space="preserve">BDS047722</x:t>
        </x:is>
      </x:c>
      <x:c r="H56" t="inlineStr">
        <x:is>
          <x:t xml:space="preserve">Singulair 5 mg Box 28s (4 blister)</x:t>
        </x:is>
      </x:c>
      <x:c r="I56" t="inlineStr">
        <x:is>
          <x:t xml:space="preserve">รับประทาน (เคี้ยว) ครั้งละ 1 เม็ดวันละ 1 ครั้ง ก่อนนอน</x:t>
        </x:is>
      </x:c>
    </x:row>
    <x:row r="57">
      <x:c r="A57">
        <x:v>55</x:v>
      </x:c>
      <x:c r="B57" t="inlineStr">
        <x:is>
          <x:t xml:space="preserve">ยาแก้แพ้, ลดน้ำมูก (D)</x:t>
        </x:is>
      </x:c>
      <x:c r="C57">
        <x:v>47643</x:v>
      </x:c>
      <x:c r="D57" t="inlineStr">
        <x:is>
          <x:t xml:space="preserve">Singulair Granules 4 mg</x:t>
        </x:is>
      </x:c>
      <x:c r="E57" t="inlineStr">
        <x:is>
          <x:t xml:space="preserve">กล่อง 28 ซอง</x:t>
        </x:is>
      </x:c>
      <x:c r="F57" t="inlineStr">
        <x:is>
          <x:t xml:space="preserve">Montelukast Sodium 4.2 mg.</x:t>
        </x:is>
      </x:c>
      <x:c r="G57" t="inlineStr">
        <x:is>
          <x:t xml:space="preserve">BDS047643</x:t>
        </x:is>
      </x:c>
      <x:c r="H57" t="inlineStr">
        <x:is>
          <x:t xml:space="preserve">Singulair Granules 4 mg (28 sachets)</x:t>
        </x:is>
      </x:c>
      <x:c r="I57" t="inlineStr">
        <x:is>
          <x:t xml:space="preserve">รับประทานครั้งละ 1 ซองวันละ 1 ครั้ง</x:t>
        </x:is>
      </x:c>
    </x:row>
    <x:row r="58">
      <x:c r="A58">
        <x:v>56</x:v>
      </x:c>
      <x:c r="B58" t="inlineStr">
        <x:is>
          <x:t xml:space="preserve">ยาแก้แพ้, ลดน้ำมูก (D)</x:t>
        </x:is>
      </x:c>
      <x:c r="C58">
        <x:v>3575</x:v>
      </x:c>
      <x:c r="D58" t="inlineStr">
        <x:is>
          <x:t xml:space="preserve">Sinufen</x:t>
        </x:is>
      </x:c>
      <x:c r="E58" t="inlineStr">
        <x:is>
          <x:t xml:space="preserve">แผง 10 เม็ด</x:t>
        </x:is>
      </x:c>
      <x:c r="F58" t="inlineStr">
        <x:is>
          <x:t xml:space="preserve">Brompheniramine Maleate 4 mg.+Phenylephrine HCl 10 mg.</x:t>
        </x:is>
      </x:c>
      <x:c r="G58" t="inlineStr">
        <x:is>
          <x:t xml:space="preserve">BDS003575</x:t>
        </x:is>
      </x:c>
      <x:c r="H58" t="inlineStr">
        <x:is>
          <x:t xml:space="preserve">Sinufen (10 tabs)</x:t>
        </x:is>
      </x:c>
      <x:c r="I58" t="inlineStr">
        <x:is>
          <x:t xml:space="preserve">ผู้ใหญ่รับประทานครั้งละ 1 เม็ด ทุก 4-6 ชั่วโมง</x:t>
        </x:is>
      </x:c>
    </x:row>
    <x:row r="59">
      <x:c r="A59">
        <x:v>57</x:v>
      </x:c>
      <x:c r="B59" t="inlineStr">
        <x:is>
          <x:t xml:space="preserve">ยาแก้แพ้, ลดน้ำมูก (D)</x:t>
        </x:is>
      </x:c>
      <x:c r="C59">
        <x:v>8481</x:v>
      </x:c>
      <x:c r="D59" t="inlineStr">
        <x:is>
          <x:t xml:space="preserve">Sominar</x:t>
        </x:is>
      </x:c>
      <x:c r="E59" t="inlineStr">
        <x:is>
          <x:t xml:space="preserve">แผง 10 เม็ด</x:t>
        </x:is>
      </x:c>
      <x:c r="F59" t="inlineStr">
        <x:is>
          <x:t xml:space="preserve">Doxylamine Succinate 25 mg.</x:t>
        </x:is>
      </x:c>
      <x:c r="G59" t="inlineStr">
        <x:is>
          <x:t xml:space="preserve">BDS008481</x:t>
        </x:is>
      </x:c>
      <x:c r="H59" t="inlineStr">
        <x:is>
          <x:t xml:space="preserve">Sominar (10 tabs)</x:t>
        </x:is>
      </x:c>
      <x:c r="I59" t="inlineStr">
        <x:is>
          <x:t xml:space="preserve">รับประทานครั้งละ 1-2 เม็ด วันละ 1 ครั้ง ก่อนนอน 1 ชั่วโมง</x:t>
        </x:is>
      </x:c>
    </x:row>
    <x:row r="60">
      <x:c r="A60">
        <x:v>58</x:v>
      </x:c>
      <x:c r="B60" t="inlineStr">
        <x:is>
          <x:t xml:space="preserve">ยาแก้แพ้, ลดน้ำมูก (D)</x:t>
        </x:is>
      </x:c>
      <x:c r="C60">
        <x:v>3562</x:v>
      </x:c>
      <x:c r="D60" t="inlineStr">
        <x:is>
          <x:t xml:space="preserve">Sulidine CP</x:t>
        </x:is>
      </x:c>
      <x:c r="E60" t="inlineStr">
        <x:is>
          <x:t xml:space="preserve">แผง 10 เม็ด</x:t>
        </x:is>
      </x:c>
      <x:c r="F60" t="inlineStr">
        <x:is>
          <x:t xml:space="preserve">Chlorpheniramine maleate 4.0 mg.+Phenylephrine hydrochloride 10.0 mg.</x:t>
        </x:is>
      </x:c>
      <x:c r="G60" t="inlineStr">
        <x:is>
          <x:t xml:space="preserve">BDS003562</x:t>
        </x:is>
      </x:c>
      <x:c r="H60" t="inlineStr">
        <x:is>
          <x:t xml:space="preserve">Sulidine CP (10 tabs)</x:t>
        </x:is>
      </x:c>
      <x:c r="I60" t="inlineStr">
        <x:is>
          <x:t xml:space="preserve">รับประทานครั้งละ 1 เม็ด วันละ 4 ครั้ง</x:t>
        </x:is>
      </x:c>
    </x:row>
    <x:row r="61">
      <x:c r="A61">
        <x:v>59</x:v>
      </x:c>
      <x:c r="B61" t="inlineStr">
        <x:is>
          <x:t xml:space="preserve">ยาแก้แพ้, ลดน้ำมูก (D)</x:t>
        </x:is>
      </x:c>
      <x:c r="C61">
        <x:v>3747</x:v>
      </x:c>
      <x:c r="D61" t="inlineStr">
        <x:is>
          <x:t xml:space="preserve">Telfast 180 mg</x:t>
        </x:is>
      </x:c>
      <x:c r="E61" t="inlineStr">
        <x:is>
          <x:t xml:space="preserve">กล่อง 10 เม็ด</x:t>
        </x:is>
      </x:c>
      <x:c r="F61" t="inlineStr">
        <x:is>
          <x:t xml:space="preserve">Fexofenadine HCl 180 mg.</x:t>
        </x:is>
      </x:c>
      <x:c r="G61" t="inlineStr">
        <x:is>
          <x:t xml:space="preserve">BDS003747</x:t>
        </x:is>
      </x:c>
      <x:c r="H61" t="inlineStr">
        <x:is>
          <x:t xml:space="preserve">Telfast 180 mg (10 tabs)</x:t>
        </x:is>
      </x:c>
      <x:c r="I61" t="inlineStr">
        <x:is>
          <x:t xml:space="preserve">รับประทานครั้งละ 1 เม็ด วันละ 1 ครั้ง </x:t>
        </x:is>
      </x:c>
      <x:c r="K61">
        <x:v>500</x:v>
      </x:c>
      <x:c r="L61">
        <x:v>50</x:v>
      </x:c>
      <x:c r="M61" t="inlineStr">
        <x:is>
          <x:t xml:space="preserve">USER</x:t>
        </x:is>
      </x:c>
      <x:c r="N61" t="inlineStr">
        <x:is>
          <x:t xml:space="preserve">2026-02-07</x:t>
        </x:is>
      </x:c>
      <x:c r="O61" t="inlineStr">
        <x:is>
          <x:t xml:space="preserve">User provided price (online). Unit price per tablet (10 tabs pack).</x:t>
        </x:is>
      </x:c>
    </x:row>
    <x:row r="62">
      <x:c r="A62">
        <x:v>60</x:v>
      </x:c>
      <x:c r="B62" t="inlineStr">
        <x:is>
          <x:t xml:space="preserve">ยาแก้แพ้, ลดน้ำมูก (D)</x:t>
        </x:is>
      </x:c>
      <x:c r="C62">
        <x:v>3769</x:v>
      </x:c>
      <x:c r="D62" t="inlineStr">
        <x:is>
          <x:t xml:space="preserve">Telfast 60 mg</x:t>
        </x:is>
      </x:c>
      <x:c r="E62" t="inlineStr">
        <x:is>
          <x:t xml:space="preserve">กล่อง 10 เม็ด</x:t>
        </x:is>
      </x:c>
      <x:c r="F62" t="inlineStr">
        <x:is>
          <x:t xml:space="preserve">Fexofenadine HCl 60 mg.</x:t>
        </x:is>
      </x:c>
      <x:c r="G62" t="inlineStr">
        <x:is>
          <x:t xml:space="preserve">BDS003769</x:t>
        </x:is>
      </x:c>
      <x:c r="H62" t="inlineStr">
        <x:is>
          <x:t xml:space="preserve">Telfast 60 mg (10 tabs)</x:t>
        </x:is>
      </x:c>
      <x:c r="I62" t="inlineStr">
        <x:is>
          <x:t xml:space="preserve">รับประทานครั้งละ 1 เม็ด วันละ 2 ครั้ง</x:t>
        </x:is>
      </x:c>
    </x:row>
    <x:row r="63">
      <x:c r="A63">
        <x:v>61</x:v>
      </x:c>
      <x:c r="B63" t="inlineStr">
        <x:is>
          <x:t xml:space="preserve">ยาแก้แพ้, ลดน้ำมูก (D)</x:t>
        </x:is>
      </x:c>
      <x:c r="C63">
        <x:v>49255</x:v>
      </x:c>
      <x:c r="D63" t="inlineStr">
        <x:is>
          <x:t xml:space="preserve">Vifas 180 mg.</x:t>
        </x:is>
      </x:c>
      <x:c r="E63" t="inlineStr">
        <x:is>
          <x:t xml:space="preserve">กล่อง 10 เม็ด</x:t>
        </x:is>
      </x:c>
      <x:c r="F63" t="inlineStr">
        <x:is>
          <x:t xml:space="preserve">Fexofenadine HCl 180 mg.</x:t>
        </x:is>
      </x:c>
      <x:c r="G63" t="inlineStr">
        <x:is>
          <x:t xml:space="preserve">BDS049255</x:t>
        </x:is>
      </x:c>
      <x:c r="H63" t="inlineStr">
        <x:is>
          <x:t xml:space="preserve">Vifas 180 mg. (10 tabs)</x:t>
        </x:is>
      </x:c>
      <x:c r="I63" t="inlineStr">
        <x:is>
          <x:t xml:space="preserve">รับประทานครั้งละ 1 เม็ดวันละ 1 ครั้ง</x:t>
        </x:is>
      </x:c>
    </x:row>
    <x:row r="64">
      <x:c r="A64">
        <x:v>62</x:v>
      </x:c>
      <x:c r="B64" t="inlineStr">
        <x:is>
          <x:t xml:space="preserve">ยาแก้แพ้, ลดน้ำมูก (D)</x:t>
        </x:is>
      </x:c>
      <x:c r="C64">
        <x:v>49254</x:v>
      </x:c>
      <x:c r="D64" t="inlineStr">
        <x:is>
          <x:t xml:space="preserve">Vifas 60 mg.</x:t>
        </x:is>
      </x:c>
      <x:c r="E64" t="inlineStr">
        <x:is>
          <x:t xml:space="preserve">กล่อง 10 เม็ด</x:t>
        </x:is>
      </x:c>
      <x:c r="F64" t="inlineStr">
        <x:is>
          <x:t xml:space="preserve">Fexofenadine HCl 60 mg.</x:t>
        </x:is>
      </x:c>
      <x:c r="G64" t="inlineStr">
        <x:is>
          <x:t xml:space="preserve">BDS049254</x:t>
        </x:is>
      </x:c>
      <x:c r="H64" t="inlineStr">
        <x:is>
          <x:t xml:space="preserve">Vifas 60 mg. (10 tabs)</x:t>
        </x:is>
      </x:c>
      <x:c r="I64" t="inlineStr">
        <x:is>
          <x:t xml:space="preserve">รับประทานครั้งละ 1 เม็ด วันละ 2 ครั้ง</x:t>
        </x:is>
      </x:c>
    </x:row>
    <x:row r="65">
      <x:c r="A65">
        <x:v>63</x:v>
      </x:c>
      <x:c r="B65" t="inlineStr">
        <x:is>
          <x:t xml:space="preserve">ยาแก้แพ้, ลดน้ำมูก (D)</x:t>
        </x:is>
      </x:c>
      <x:c r="C65">
        <x:v>4130</x:v>
      </x:c>
      <x:c r="D65" t="inlineStr">
        <x:is>
          <x:t xml:space="preserve">Xyzal 5 mg</x:t>
        </x:is>
      </x:c>
      <x:c r="E65" t="inlineStr">
        <x:is>
          <x:t xml:space="preserve">กล่อง 10 เม็ด</x:t>
        </x:is>
      </x:c>
      <x:c r="F65" t="inlineStr">
        <x:is>
          <x:t xml:space="preserve">Levocetirizine dihydrochloride 5 mg.</x:t>
        </x:is>
      </x:c>
      <x:c r="G65" t="inlineStr">
        <x:is>
          <x:t xml:space="preserve">BDS004130</x:t>
        </x:is>
      </x:c>
      <x:c r="H65" t="inlineStr">
        <x:is>
          <x:t xml:space="preserve">Xyzal 5 mg (10 tabs)</x:t>
        </x:is>
      </x:c>
      <x:c r="I65" t="inlineStr">
        <x:is>
          <x:t xml:space="preserve">ผู้ใหญ่และเด็กโตรับประทานครั้งละ 1 เม็ด วันละ 1 ครั้ง</x:t>
        </x:is>
      </x:c>
    </x:row>
    <x:row r="66">
      <x:c r="A66">
        <x:v>64</x:v>
      </x:c>
      <x:c r="B66" t="inlineStr">
        <x:is>
          <x:t xml:space="preserve">ยาแก้แพ้, ลดน้ำมูก (D)</x:t>
        </x:is>
      </x:c>
      <x:c r="C66">
        <x:v>7691</x:v>
      </x:c>
      <x:c r="D66" t="inlineStr">
        <x:is>
          <x:t xml:space="preserve">Zatifen</x:t>
        </x:is>
      </x:c>
      <x:c r="E66" t="inlineStr">
        <x:is>
          <x:t xml:space="preserve">แผง 10 เม็ด</x:t>
        </x:is>
      </x:c>
      <x:c r="F66" t="inlineStr">
        <x:is>
          <x:t xml:space="preserve">Ketotifen 1 mg.</x:t>
        </x:is>
      </x:c>
      <x:c r="G66" t="inlineStr">
        <x:is>
          <x:t xml:space="preserve">BDS007691</x:t>
        </x:is>
      </x:c>
      <x:c r="H66" t="inlineStr">
        <x:is>
          <x:t xml:space="preserve">Zatifen (10 tabs)</x:t>
        </x:is>
      </x:c>
      <x:c r="I66" t="inlineStr">
        <x:is>
          <x:t xml:space="preserve">รับประทานครั้งละ 1 เม็ด วันละ 2 ครั้ง</x:t>
        </x:is>
      </x:c>
    </x:row>
    <x:row r="67">
      <x:c r="A67">
        <x:v>65</x:v>
      </x:c>
      <x:c r="B67" t="inlineStr">
        <x:is>
          <x:t xml:space="preserve">ยาแก้แพ้, ลดน้ำมูก (D)</x:t>
        </x:is>
      </x:c>
      <x:c r="C67">
        <x:v>4224</x:v>
      </x:c>
      <x:c r="D67" t="inlineStr">
        <x:is>
          <x:t xml:space="preserve">Zensil</x:t>
        </x:is>
      </x:c>
      <x:c r="E67" t="inlineStr">
        <x:is>
          <x:t xml:space="preserve">กล่อง 10 เม็ด</x:t>
        </x:is>
      </x:c>
      <x:c r="F67" t="inlineStr">
        <x:is>
          <x:t xml:space="preserve">Cetirizine dihydrochloride 10 mg.</x:t>
        </x:is>
      </x:c>
      <x:c r="G67" t="inlineStr">
        <x:is>
          <x:t xml:space="preserve">BDS004224</x:t>
        </x:is>
      </x:c>
      <x:c r="H67" t="inlineStr">
        <x:is>
          <x:t xml:space="preserve">Zensil (10 tabs)</x:t>
        </x:is>
      </x:c>
      <x:c r="I67" t="inlineStr">
        <x:is>
          <x:t xml:space="preserve">รับประทานครั้งละ 1 เม็ด วันละ 1 ครั้ง</x:t>
        </x:is>
      </x:c>
    </x:row>
    <x:row r="68">
      <x:c r="A68">
        <x:v>66</x:v>
      </x:c>
      <x:c r="B68" t="inlineStr">
        <x:is>
          <x:t xml:space="preserve">ยาแก้แพ้, ลดน้ำมูก (D)</x:t>
        </x:is>
      </x:c>
      <x:c r="C68">
        <x:v>49778</x:v>
      </x:c>
      <x:c r="D68" t="inlineStr">
        <x:is>
          <x:t xml:space="preserve">Zirin</x:t>
        </x:is>
      </x:c>
      <x:c r="E68" t="inlineStr">
        <x:is>
          <x:t xml:space="preserve">กล่อง 10 แคปซูล</x:t>
        </x:is>
      </x:c>
      <x:c r="F68" t="inlineStr">
        <x:is>
          <x:t xml:space="preserve">Cetirizine dihydrochloride 10 mg.</x:t>
        </x:is>
      </x:c>
      <x:c r="G68" t="inlineStr">
        <x:is>
          <x:t xml:space="preserve">BDS049778</x:t>
        </x:is>
      </x:c>
      <x:c r="H68" t="inlineStr">
        <x:is>
          <x:t xml:space="preserve">Zirin (10 cap)</x:t>
        </x:is>
      </x:c>
      <x:c r="I68" t="inlineStr">
        <x:is>
          <x:t xml:space="preserve">รับประทานครั้งละ 1 แคปซูล วันละ 1 ครั้ง หรือตามแพทย์สั่ง</x:t>
        </x:is>
      </x:c>
    </x:row>
    <x:row r="69">
      <x:c r="A69">
        <x:v>67</x:v>
      </x:c>
      <x:c r="B69" t="inlineStr">
        <x:is>
          <x:t xml:space="preserve">ยาแก้แพ้, ลดน้ำมูก (D)</x:t>
        </x:is>
      </x:c>
      <x:c r="C69">
        <x:v>4213</x:v>
      </x:c>
      <x:c r="D69" t="inlineStr">
        <x:is>
          <x:t xml:space="preserve">Zyrtec</x:t>
        </x:is>
      </x:c>
      <x:c r="E69" t="inlineStr">
        <x:is>
          <x:t xml:space="preserve">กล่อง 10 เม็ด</x:t>
        </x:is>
      </x:c>
      <x:c r="F69" t="inlineStr">
        <x:is>
          <x:t xml:space="preserve">Cetirizine dihydrochloride 10 mg.</x:t>
        </x:is>
      </x:c>
      <x:c r="G69" t="inlineStr">
        <x:is>
          <x:t xml:space="preserve">BDS004213</x:t>
        </x:is>
      </x:c>
      <x:c r="H69" t="inlineStr">
        <x:is>
          <x:t xml:space="preserve">Zyrtec (10 tabs)</x:t>
        </x:is>
      </x:c>
      <x:c r="I69" t="inlineStr">
        <x:is>
          <x:t xml:space="preserve">รับประทานครั้งละ 1 เม็ด วันละ 1 ครั้ง</x:t>
        </x:is>
      </x:c>
      <x:c r="K69">
        <x:v>216</x:v>
      </x:c>
      <x:c r="L69">
        <x:v>21.6</x:v>
      </x:c>
      <x:c r="M69" t="inlineStr">
        <x:is>
          <x:t xml:space="preserve">USER</x:t>
        </x:is>
      </x:c>
      <x:c r="N69" t="inlineStr">
        <x:is>
          <x:t xml:space="preserve">2026-02-07</x:t>
        </x:is>
      </x:c>
      <x:c r="O69" t="inlineStr">
        <x:is>
          <x:t xml:space="preserve">User provided price (online). Unit price is per tablet (10-tab box).</x:t>
        </x:is>
      </x:c>
    </x:row>
    <x:row r="70">
      <x:c r="A70">
        <x:v>68</x:v>
      </x:c>
      <x:c r="B70" t="inlineStr">
        <x:is>
          <x:t xml:space="preserve">ยาแก้แพ้, ลดน้ำมูก (D)</x:t>
        </x:is>
      </x:c>
      <x:c r="C70">
        <x:v>8754</x:v>
      </x:c>
      <x:c r="D70" t="inlineStr">
        <x:is>
          <x:t xml:space="preserve">Zytizine F/C tabslet</x:t>
        </x:is>
      </x:c>
      <x:c r="E70" t="inlineStr">
        <x:is>
          <x:t xml:space="preserve">แผง 10 เม็ด</x:t>
        </x:is>
      </x:c>
      <x:c r="F70" t="inlineStr">
        <x:is>
          <x:t xml:space="preserve">Cetirizine dihydrochloride 10 mg.</x:t>
        </x:is>
      </x:c>
      <x:c r="G70" t="inlineStr">
        <x:is>
          <x:t xml:space="preserve">BDS008754</x:t>
        </x:is>
      </x:c>
      <x:c r="H70" t="inlineStr">
        <x:is>
          <x:t xml:space="preserve">Zytizine F/C tabslet (10 tabs)</x:t>
        </x:is>
      </x:c>
      <x:c r="I70" t="inlineStr">
        <x:is>
          <x:t xml:space="preserve">รับประทานครั้งละ 1 เม็ด วันละ 1 ครั้ง</x:t>
        </x:is>
      </x:c>
    </x:row>
    <x:row r="71">
      <x:c r="A71">
        <x:v>69</x:v>
      </x:c>
      <x:c r="B71" t="inlineStr">
        <x:is>
          <x:t xml:space="preserve">ยาแก้แพ้, ลดน้ำมูก</x:t>
        </x:is>
      </x:c>
      <x:c r="C71">
        <x:v>1008</x:v>
      </x:c>
      <x:c r="D71" t="inlineStr">
        <x:is>
          <x:t xml:space="preserve">Chlophe</x:t>
        </x:is>
      </x:c>
      <x:c r="E71" t="inlineStr">
        <x:is>
          <x:t xml:space="preserve">แผง 10 เม็ด</x:t>
        </x:is>
      </x:c>
      <x:c r="F71" t="inlineStr">
        <x:is>
          <x:t xml:space="preserve">Chlorpheniramine Maleate 2 mg.</x:t>
        </x:is>
      </x:c>
      <x:c r="G71" t="inlineStr">
        <x:is>
          <x:t xml:space="preserve">BDS001008</x:t>
        </x:is>
      </x:c>
      <x:c r="H71" t="inlineStr">
        <x:is>
          <x:t xml:space="preserve">Chlophe (10 tabs)</x:t>
        </x:is>
      </x:c>
      <x:c r="I71" t="inlineStr">
        <x:is>
          <x:t xml:space="preserve">รับประทานครั้งละ 1-2 เม็ด ทุก 4-6 ชั่วโมง หรือเมื่อมีอาการ</x:t>
        </x:is>
      </x:c>
    </x:row>
    <x:row r="72">
      <x:c r="A72">
        <x:v>70</x:v>
      </x:c>
      <x:c r="B72" t="inlineStr">
        <x:is>
          <x:t xml:space="preserve">ยาแก้แพ้, ลดน้ำมูก</x:t>
        </x:is>
      </x:c>
      <x:c r="C72">
        <x:v>41504</x:v>
      </x:c>
      <x:c r="D72" t="inlineStr">
        <x:is>
          <x:t xml:space="preserve">Chlorpheniramine 2 mg.</x:t>
        </x:is>
      </x:c>
      <x:c r="E72" t="inlineStr">
        <x:is>
          <x:t xml:space="preserve">ซอง 10 เม็ด</x:t>
        </x:is>
      </x:c>
      <x:c r="F72" t="inlineStr">
        <x:is>
          <x:t xml:space="preserve">Chlorpheniramine Maleate 2 mg.</x:t>
        </x:is>
      </x:c>
      <x:c r="G72" t="inlineStr">
        <x:is>
          <x:t xml:space="preserve">BDS041504</x:t>
        </x:is>
      </x:c>
      <x:c r="H72" t="inlineStr">
        <x:is>
          <x:t xml:space="preserve">Chlorpheniramine 2 mg. (10 tabs)</x:t>
        </x:is>
      </x:c>
      <x:c r="I72" t="inlineStr">
        <x:is>
          <x:t xml:space="preserve">รับประทานครั้งละ 1-2 เม็ด ทุก 4-6 ชั่วโมงเมื่อมีอาการ  </x:t>
        </x:is>
      </x:c>
    </x:row>
    <x:row r="73">
      <x:c r="A73">
        <x:v>71</x:v>
      </x:c>
      <x:c r="B73" t="inlineStr">
        <x:is>
          <x:t xml:space="preserve">ยาละลายเสมหะ</x:t>
        </x:is>
      </x:c>
      <x:c r="C73">
        <x:v>1255</x:v>
      </x:c>
      <x:c r="D73" t="inlineStr">
        <x:is>
          <x:t xml:space="preserve">Bisolvon</x:t>
        </x:is>
      </x:c>
      <x:c r="E73" t="inlineStr">
        <x:is>
          <x:t xml:space="preserve">แผง 10 เม็ด</x:t>
        </x:is>
      </x:c>
      <x:c r="F73" t="inlineStr">
        <x:is>
          <x:t xml:space="preserve">Bromhexine HCl 8 mg.</x:t>
        </x:is>
      </x:c>
      <x:c r="G73" t="inlineStr">
        <x:is>
          <x:t xml:space="preserve">BDS001255</x:t>
        </x:is>
      </x:c>
      <x:c r="H73" t="inlineStr">
        <x:is>
          <x:t xml:space="preserve">Bisolvon (10 tabs)</x:t>
        </x:is>
      </x:c>
      <x:c r="I73" t="inlineStr">
        <x:is>
          <x:t xml:space="preserve">รับประทานครั้งละ 1 เม็ด วันละ 3 ครั้ง</x:t>
        </x:is>
      </x:c>
      <x:c r="P73" t="inlineStr">
        <x:is>
          <x:t xml:space="preserve">Cough medicines / mucolytics / expectorants</x:t>
        </x:is>
      </x:c>
    </x:row>
    <x:row r="74">
      <x:c r="A74">
        <x:v>72</x:v>
      </x:c>
      <x:c r="B74" t="inlineStr">
        <x:is>
          <x:t xml:space="preserve">ยาละลายเสมหะ</x:t>
        </x:is>
      </x:c>
      <x:c r="C74">
        <x:v>8141</x:v>
      </x:c>
      <x:c r="D74" t="inlineStr">
        <x:is>
          <x:t xml:space="preserve">Bocytin Capsule</x:t>
        </x:is>
      </x:c>
      <x:c r="E74" t="inlineStr">
        <x:is>
          <x:t xml:space="preserve">กล่อง 10 แคปซูล</x:t>
        </x:is>
      </x:c>
      <x:c r="F74" t="inlineStr">
        <x:is>
          <x:t xml:space="preserve">Carbocysteine 375 mg.</x:t>
        </x:is>
      </x:c>
      <x:c r="G74" t="inlineStr">
        <x:is>
          <x:t xml:space="preserve">BDS008141</x:t>
        </x:is>
      </x:c>
      <x:c r="H74" t="inlineStr">
        <x:is>
          <x:t xml:space="preserve">Bocytin Capsule (10 cap)</x:t>
        </x:is>
      </x:c>
      <x:c r="I74" t="inlineStr">
        <x:is>
          <x:t xml:space="preserve">รับประทานครั้งละ 2 แคปซูล วันละ 3 ครั้ง</x:t>
        </x:is>
      </x:c>
      <x:c r="P74" t="inlineStr">
        <x:is>
          <x:t xml:space="preserve">Cough medicines / mucolytics / expectorants</x:t>
        </x:is>
      </x:c>
    </x:row>
    <x:row r="75">
      <x:c r="A75">
        <x:v>73</x:v>
      </x:c>
      <x:c r="B75" t="inlineStr">
        <x:is>
          <x:t xml:space="preserve">ยาละลายเสมหะ</x:t>
        </x:is>
      </x:c>
      <x:c r="C75">
        <x:v>1531</x:v>
      </x:c>
      <x:c r="D75" t="inlineStr">
        <x:is>
          <x:t xml:space="preserve">Cystaline</x:t>
        </x:is>
      </x:c>
      <x:c r="E75" t="inlineStr">
        <x:is>
          <x:t xml:space="preserve">หลอด 10 เม็ด</x:t>
        </x:is>
      </x:c>
      <x:c r="F75" t="inlineStr">
        <x:is>
          <x:t xml:space="preserve">Acetylcysteine 600 mg.</x:t>
        </x:is>
      </x:c>
      <x:c r="G75" t="inlineStr">
        <x:is>
          <x:t xml:space="preserve">BDS001531</x:t>
        </x:is>
      </x:c>
      <x:c r="H75" t="inlineStr">
        <x:is>
          <x:t xml:space="preserve">Cystaline (10 tabs)</x:t>
        </x:is>
      </x:c>
      <x:c r="I75" t="inlineStr">
        <x:is>
          <x:t xml:space="preserve">รับประทาน (ละลายยาในน้ำครึ่งแก้ว) ครั้งละ 1 เม็ดฟู่ วันละ 1 ครั้ง ก่อนอาหารเย็น</x:t>
        </x:is>
      </x:c>
      <x:c r="P75" t="inlineStr">
        <x:is>
          <x:t xml:space="preserve">Cough medicines / mucolytics / expectorants</x:t>
        </x:is>
      </x:c>
    </x:row>
    <x:row r="76">
      <x:c r="A76">
        <x:v>74</x:v>
      </x:c>
      <x:c r="B76" t="inlineStr">
        <x:is>
          <x:t xml:space="preserve">ยาละลายเสมหะ</x:t>
        </x:is>
      </x:c>
      <x:c r="C76">
        <x:v>43123</x:v>
      </x:c>
      <x:c r="D76" t="inlineStr">
        <x:is>
          <x:t xml:space="preserve">Facil 100</x:t>
        </x:is>
      </x:c>
      <x:c r="E76" t="inlineStr">
        <x:is>
          <x:t xml:space="preserve">ซอง 5 g.</x:t>
        </x:is>
      </x:c>
      <x:c r="F76" t="inlineStr">
        <x:is>
          <x:t xml:space="preserve">Acetylcysteine 100 mg./5 g.</x:t>
        </x:is>
      </x:c>
      <x:c r="G76" t="inlineStr">
        <x:is>
          <x:t xml:space="preserve">BDS043123</x:t>
        </x:is>
      </x:c>
      <x:c r="H76" t="inlineStr">
        <x:is>
          <x:t xml:space="preserve">Facil 100 (5 g.)</x:t>
        </x:is>
      </x:c>
      <x:c r="I76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76" t="inlineStr">
        <x:is>
          <x:t xml:space="preserve">Cough medicines / mucolytics / expectorants</x:t>
        </x:is>
      </x:c>
    </x:row>
    <x:row r="77">
      <x:c r="A77">
        <x:v>75</x:v>
      </x:c>
      <x:c r="B77" t="inlineStr">
        <x:is>
          <x:t xml:space="preserve">ยาละลายเสมหะ</x:t>
        </x:is>
      </x:c>
      <x:c r="C77">
        <x:v>43124</x:v>
      </x:c>
      <x:c r="D77" t="inlineStr">
        <x:is>
          <x:t xml:space="preserve">Facil 200</x:t>
        </x:is>
      </x:c>
      <x:c r="E77" t="inlineStr">
        <x:is>
          <x:t xml:space="preserve">ซอง 3 g.</x:t>
        </x:is>
      </x:c>
      <x:c r="F77" t="inlineStr">
        <x:is>
          <x:t xml:space="preserve">Acetylcysteine 200 mg./3 g.</x:t>
        </x:is>
      </x:c>
      <x:c r="G77" t="inlineStr">
        <x:is>
          <x:t xml:space="preserve">BDS043124</x:t>
        </x:is>
      </x:c>
      <x:c r="H77" t="inlineStr">
        <x:is>
          <x:t xml:space="preserve">Facil 200 (3 g.)</x:t>
        </x:is>
      </x:c>
      <x:c r="I77" t="inlineStr">
        <x:is>
          <x:t xml:space="preserve">ละลายยา 1 ซองต่อน้ำ 1 แก้ว รับประทานครั้งละ 1 ซอง วันละ 3 ครั้ง</x:t>
        </x:is>
      </x:c>
      <x:c r="P77" t="inlineStr">
        <x:is>
          <x:t xml:space="preserve">Cough medicines / mucolytics / expectorants</x:t>
        </x:is>
      </x:c>
    </x:row>
    <x:row r="78">
      <x:c r="A78">
        <x:v>76</x:v>
      </x:c>
      <x:c r="B78" t="inlineStr">
        <x:is>
          <x:t xml:space="preserve">ยาละลายเสมหะ</x:t>
        </x:is>
      </x:c>
      <x:c r="C78">
        <x:v>1937</x:v>
      </x:c>
      <x:c r="D78" t="inlineStr">
        <x:is>
          <x:t xml:space="preserve">Flemex Foil</x:t>
        </x:is>
      </x:c>
      <x:c r="E78" t="inlineStr">
        <x:is>
          <x:t xml:space="preserve">แผง 10 เม็ด</x:t>
        </x:is>
      </x:c>
      <x:c r="F78" t="inlineStr">
        <x:is>
          <x:t xml:space="preserve">Carbocysteine 375 mg.</x:t>
        </x:is>
      </x:c>
      <x:c r="G78" t="inlineStr">
        <x:is>
          <x:t xml:space="preserve">BDS001937</x:t>
        </x:is>
      </x:c>
      <x:c r="H78" t="inlineStr">
        <x:is>
          <x:t xml:space="preserve">Flemex Foil (10 tabs)</x:t>
        </x:is>
      </x:c>
      <x:c r="I78" t="inlineStr">
        <x:is>
          <x:t xml:space="preserve">รับประทานครั้งละ 2 เม็ด วันละ 3 ครั้ง</x:t>
        </x:is>
      </x:c>
      <x:c r="P78" t="inlineStr">
        <x:is>
          <x:t xml:space="preserve">Cough medicines / mucolytics / expectorants</x:t>
        </x:is>
      </x:c>
    </x:row>
    <x:row r="79">
      <x:c r="A79">
        <x:v>77</x:v>
      </x:c>
      <x:c r="B79" t="inlineStr">
        <x:is>
          <x:t xml:space="preserve">ยาละลายเสมหะ</x:t>
        </x:is>
      </x:c>
      <x:c r="C79">
        <x:v>43121</x:v>
      </x:c>
      <x:c r="D79" t="inlineStr">
        <x:is>
          <x:t xml:space="preserve">Flemex-AC OD</x:t>
        </x:is>
      </x:c>
      <x:c r="E79" t="inlineStr">
        <x:is>
          <x:t xml:space="preserve">แผง 2 เม็ด</x:t>
        </x:is>
      </x:c>
      <x:c r="F79" t="inlineStr">
        <x:is>
          <x:t xml:space="preserve">Acetylcysteine 600 mg.</x:t>
        </x:is>
      </x:c>
      <x:c r="G79" t="inlineStr">
        <x:is>
          <x:t xml:space="preserve">BDS043121</x:t>
        </x:is>
      </x:c>
      <x:c r="H79" t="inlineStr">
        <x:is>
          <x:t xml:space="preserve">Flemex-AC OD (2 tabs)</x:t>
        </x:is>
      </x:c>
      <x:c r="I79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79" t="inlineStr">
        <x:is>
          <x:t xml:space="preserve">Cough medicines / mucolytics / expectorants</x:t>
        </x:is>
      </x:c>
    </x:row>
    <x:row r="80">
      <x:c r="A80">
        <x:v>78</x:v>
      </x:c>
      <x:c r="B80" t="inlineStr">
        <x:is>
          <x:t xml:space="preserve">ยาละลายเสมหะ</x:t>
        </x:is>
      </x:c>
      <x:c r="C80">
        <x:v>1936</x:v>
      </x:c>
      <x:c r="D80" t="inlineStr">
        <x:is>
          <x:t xml:space="preserve">Fluimucil A 200 mg</x:t>
        </x:is>
      </x:c>
      <x:c r="E80" t="inlineStr">
        <x:is>
          <x:t xml:space="preserve">ซอง 3 g.</x:t>
        </x:is>
      </x:c>
      <x:c r="F80" t="inlineStr">
        <x:is>
          <x:t xml:space="preserve">Acetylcysteine 200 mg./3 g.</x:t>
        </x:is>
      </x:c>
      <x:c r="G80" t="inlineStr">
        <x:is>
          <x:t xml:space="preserve">BDS001936</x:t>
        </x:is>
      </x:c>
      <x:c r="H80" t="inlineStr">
        <x:is>
          <x:t xml:space="preserve">Fluimucil A 200 mg (3 g.)</x:t>
        </x:is>
      </x:c>
      <x:c r="I80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80" t="inlineStr">
        <x:is>
          <x:t xml:space="preserve">Cough medicines / mucolytics / expectorants</x:t>
        </x:is>
      </x:c>
    </x:row>
    <x:row r="81">
      <x:c r="A81">
        <x:v>79</x:v>
      </x:c>
      <x:c r="B81" t="inlineStr">
        <x:is>
          <x:t xml:space="preserve">ยาละลายเสมหะ</x:t>
        </x:is>
      </x:c>
      <x:c r="C81">
        <x:v>1909</x:v>
      </x:c>
      <x:c r="D81" t="inlineStr">
        <x:is>
          <x:t xml:space="preserve">Fluimucil A 600 mg</x:t>
        </x:is>
      </x:c>
      <x:c r="E81" t="inlineStr">
        <x:is>
          <x:t xml:space="preserve">แผง 2 เม็ด</x:t>
        </x:is>
      </x:c>
      <x:c r="F81" t="inlineStr">
        <x:is>
          <x:t xml:space="preserve">Acetylcysteine 600 mg.</x:t>
        </x:is>
      </x:c>
      <x:c r="G81" t="inlineStr">
        <x:is>
          <x:t xml:space="preserve">BDS001909</x:t>
        </x:is>
      </x:c>
      <x:c r="H81" t="inlineStr">
        <x:is>
          <x:t xml:space="preserve">Fluimucil A 600 mg (2 tabs)</x:t>
        </x:is>
      </x:c>
      <x:c r="I81" t="inlineStr">
        <x:is>
          <x:t xml:space="preserve">รับประทาน (ละลายยาในน้ำครึ่งแก้ว) ครั้งละ 1 เม็ดฟู่  วันละ 1 ครั้ง</x:t>
        </x:is>
      </x:c>
      <x:c r="P81" t="inlineStr">
        <x:is>
          <x:t xml:space="preserve">Cough medicines / mucolytics / expectorants</x:t>
        </x:is>
      </x:c>
    </x:row>
    <x:row r="82">
      <x:c r="A82">
        <x:v>80</x:v>
      </x:c>
      <x:c r="B82" t="inlineStr">
        <x:is>
          <x:t xml:space="preserve">ยาละลายเสมหะ</x:t>
        </x:is>
      </x:c>
      <x:c r="C82">
        <x:v>2574</x:v>
      </x:c>
      <x:c r="D82" t="inlineStr">
        <x:is>
          <x:t xml:space="preserve">Muclear tabslet</x:t>
        </x:is>
      </x:c>
      <x:c r="E82" t="inlineStr">
        <x:is>
          <x:t xml:space="preserve">หลอด 10 เม็ด</x:t>
        </x:is>
      </x:c>
      <x:c r="F82" t="inlineStr">
        <x:is>
          <x:t xml:space="preserve">Acetylcysteine 600 mg.</x:t>
        </x:is>
      </x:c>
      <x:c r="G82" t="inlineStr">
        <x:is>
          <x:t xml:space="preserve">BDS002574</x:t>
        </x:is>
      </x:c>
      <x:c r="H82" t="inlineStr">
        <x:is>
          <x:t xml:space="preserve">Muclear tabslet (10 tabs)</x:t>
        </x:is>
      </x:c>
      <x:c r="I82" t="inlineStr">
        <x:is>
          <x:t xml:space="preserve">ละลายยาครั้งละ 1 เม็ด ลงในน้ำครึ่งแก้ว ดื่มวันละ 1 ครั้ง หลังอาหารเย็น </x:t>
        </x:is>
      </x:c>
      <x:c r="P82" t="inlineStr">
        <x:is>
          <x:t xml:space="preserve">Cough medicines / mucolytics / expectorants</x:t>
        </x:is>
      </x:c>
    </x:row>
    <x:row r="83">
      <x:c r="A83">
        <x:v>81</x:v>
      </x:c>
      <x:c r="B83" t="inlineStr">
        <x:is>
          <x:t xml:space="preserve">ยาละลายเสมหะ</x:t>
        </x:is>
      </x:c>
      <x:c r="C83">
        <x:v>2655</x:v>
      </x:c>
      <x:c r="D83" t="inlineStr">
        <x:is>
          <x:t xml:space="preserve">Mucolid</x:t>
        </x:is>
      </x:c>
      <x:c r="E83" t="inlineStr">
        <x:is>
          <x:t xml:space="preserve">แผง 10 เม็ด</x:t>
        </x:is>
      </x:c>
      <x:c r="F83" t="inlineStr">
        <x:is>
          <x:t xml:space="preserve">Ambroxol HCl 30 mg.</x:t>
        </x:is>
      </x:c>
      <x:c r="G83" t="inlineStr">
        <x:is>
          <x:t xml:space="preserve">BDS002655</x:t>
        </x:is>
      </x:c>
      <x:c r="H83" t="inlineStr">
        <x:is>
          <x:t xml:space="preserve">Mucolid (10 tabs)</x:t>
        </x:is>
      </x:c>
      <x:c r="I83" t="inlineStr">
        <x:is>
          <x:t xml:space="preserve">รับประทานครั้งละ 1 เม็ด วันละ 3-4 ครั้ง </x:t>
        </x:is>
      </x:c>
      <x:c r="K83">
        <x:v>90</x:v>
      </x:c>
      <x:c r="L83">
        <x:v>9</x:v>
      </x:c>
      <x:c r="M83" t="inlineStr">
        <x:is>
          <x:t xml:space="preserve">USER</x:t>
        </x:is>
      </x:c>
      <x:c r="N83" t="inlineStr">
        <x:is>
          <x:t xml:space="preserve">2026-02-07</x:t>
        </x:is>
      </x:c>
      <x:c r="O83" t="inlineStr">
        <x:is>
          <x:t xml:space="preserve">User provided price (Mucolid 10 tabs).</x:t>
        </x:is>
      </x:c>
      <x:c r="P83" t="inlineStr">
        <x:is>
          <x:t xml:space="preserve">Cough medicines / mucolytics / expectorants</x:t>
        </x:is>
      </x:c>
    </x:row>
    <x:row r="84">
      <x:c r="A84">
        <x:v>82</x:v>
      </x:c>
      <x:c r="B84" t="inlineStr">
        <x:is>
          <x:t xml:space="preserve">ยาละลายเสมหะ</x:t>
        </x:is>
      </x:c>
      <x:c r="C84">
        <x:v>2640</x:v>
      </x:c>
      <x:c r="D84" t="inlineStr">
        <x:is>
          <x:t xml:space="preserve">Mucolid SF 600</x:t>
        </x:is>
      </x:c>
      <x:c r="E84" t="inlineStr">
        <x:is>
          <x:t xml:space="preserve">ซอง 7 g.</x:t>
        </x:is>
      </x:c>
      <x:c r="F84" t="inlineStr">
        <x:is>
          <x:t xml:space="preserve">Acetylcysteine 600 mg./7 g.</x:t>
        </x:is>
      </x:c>
      <x:c r="G84" t="inlineStr">
        <x:is>
          <x:t xml:space="preserve">BDS002640</x:t>
        </x:is>
      </x:c>
      <x:c r="H84" t="inlineStr">
        <x:is>
          <x:t xml:space="preserve">Mucolid SF 600 (7 g.)</x:t>
        </x:is>
      </x:c>
      <x:c r="I84" t="inlineStr">
        <x:is>
          <x:t xml:space="preserve">ผู้ใหญ่รับประทาน (ละลาย) ครั้งละ 1 ซอง ต่อน้ำครึ่งถ้วย วันละ 1 ครั้ง หรือตามแพทย์สั่ง</x:t>
        </x:is>
      </x:c>
      <x:c r="P84" t="inlineStr">
        <x:is>
          <x:t xml:space="preserve">Cough medicines / mucolytics / expectorants</x:t>
        </x:is>
      </x:c>
    </x:row>
    <x:row r="85">
      <x:c r="A85">
        <x:v>83</x:v>
      </x:c>
      <x:c r="B85" t="inlineStr">
        <x:is>
          <x:t xml:space="preserve">ยาละลายเสมหะ</x:t>
        </x:is>
      </x:c>
      <x:c r="C85">
        <x:v>8135</x:v>
      </x:c>
      <x:c r="D85" t="inlineStr">
        <x:is>
          <x:t xml:space="preserve">Muco-Sea 200</x:t>
        </x:is>
      </x:c>
      <x:c r="E85" t="inlineStr">
        <x:is>
          <x:t xml:space="preserve">ซอง 3 g.</x:t>
        </x:is>
      </x:c>
      <x:c r="F85" t="inlineStr">
        <x:is>
          <x:t xml:space="preserve">Acetylcysteine 200 mg./3 g.</x:t>
        </x:is>
      </x:c>
      <x:c r="G85" t="inlineStr">
        <x:is>
          <x:t xml:space="preserve">BDS008135</x:t>
        </x:is>
      </x:c>
      <x:c r="H85" t="inlineStr">
        <x:is>
          <x:t xml:space="preserve">Muco-Sea 200 (3 g.)</x:t>
        </x:is>
      </x:c>
      <x:c r="I85" t="inlineStr">
        <x:is>
          <x:t xml:space="preserve">ละลายยา 1 ซองต่อน้ำ ครึ่ง แก้ว รับประทานวันละ 3-4  ครั้ง </x:t>
        </x:is>
      </x:c>
      <x:c r="P85" t="inlineStr">
        <x:is>
          <x:t xml:space="preserve">Cough medicines / mucolytics / expectorants</x:t>
        </x:is>
      </x:c>
    </x:row>
    <x:row r="86">
      <x:c r="A86">
        <x:v>84</x:v>
      </x:c>
      <x:c r="B86" t="inlineStr">
        <x:is>
          <x:t xml:space="preserve">ยาละลายเสมหะ</x:t>
        </x:is>
      </x:c>
      <x:c r="C86">
        <x:v>2643</x:v>
      </x:c>
      <x:c r="D86" t="inlineStr">
        <x:is>
          <x:t xml:space="preserve">Mucosolvan</x:t>
        </x:is>
      </x:c>
      <x:c r="E86" t="inlineStr">
        <x:is>
          <x:t xml:space="preserve">แผง 10 เม็ด</x:t>
        </x:is>
      </x:c>
      <x:c r="F86" t="inlineStr">
        <x:is>
          <x:t xml:space="preserve">Ambroxol HCl 30 mg.</x:t>
        </x:is>
      </x:c>
      <x:c r="G86" t="inlineStr">
        <x:is>
          <x:t xml:space="preserve">BDS002643</x:t>
        </x:is>
      </x:c>
      <x:c r="H86" t="inlineStr">
        <x:is>
          <x:t xml:space="preserve">Mucosolvan (10 tabs)</x:t>
        </x:is>
      </x:c>
      <x:c r="I86" t="inlineStr">
        <x:is>
          <x:t xml:space="preserve">รับประทานครั้งละ 1 เม็ด วันละ 3-4 ครั้ง</x:t>
        </x:is>
      </x:c>
      <x:c r="P86" t="inlineStr">
        <x:is>
          <x:t xml:space="preserve">Cough medicines / mucolytics / expectorants</x:t>
        </x:is>
      </x:c>
    </x:row>
    <x:row r="87">
      <x:c r="A87">
        <x:v>85</x:v>
      </x:c>
      <x:c r="B87" t="inlineStr">
        <x:is>
          <x:t xml:space="preserve">ยาละลายเสมหะ</x:t>
        </x:is>
      </x:c>
      <x:c r="C87">
        <x:v>2639</x:v>
      </x:c>
      <x:c r="D87" t="inlineStr">
        <x:is>
          <x:t xml:space="preserve">Mucosolvan PL</x:t>
        </x:is>
      </x:c>
      <x:c r="E87" t="inlineStr">
        <x:is>
          <x:t xml:space="preserve">แผง 10 แคปซูล</x:t>
        </x:is>
      </x:c>
      <x:c r="F87" t="inlineStr">
        <x:is>
          <x:t xml:space="preserve">Ambroxol HCl 75 mg.</x:t>
        </x:is>
      </x:c>
      <x:c r="G87" t="inlineStr">
        <x:is>
          <x:t xml:space="preserve">BDS002639</x:t>
        </x:is>
      </x:c>
      <x:c r="H87" t="inlineStr">
        <x:is>
          <x:t xml:space="preserve">Mucosolvan PL (10 cap)</x:t>
        </x:is>
      </x:c>
      <x:c r="I87" t="inlineStr">
        <x:is>
          <x:t xml:space="preserve">N/A</x:t>
        </x:is>
      </x:c>
      <x:c r="P87" t="inlineStr">
        <x:is>
          <x:t xml:space="preserve">Cough medicines / mucolytics / expectorants</x:t>
        </x:is>
      </x:c>
    </x:row>
    <x:row r="88">
      <x:c r="A88">
        <x:v>86</x:v>
      </x:c>
      <x:c r="B88" t="inlineStr">
        <x:is>
          <x:t xml:space="preserve">ยาละลายเสมหะ</x:t>
        </x:is>
      </x:c>
      <x:c r="C88">
        <x:v>2901</x:v>
      </x:c>
      <x:c r="D88" t="inlineStr">
        <x:is>
          <x:t xml:space="preserve">Nac Long</x:t>
        </x:is>
      </x:c>
      <x:c r="E88" t="inlineStr">
        <x:is>
          <x:t xml:space="preserve">หลอด 10 เม็ด</x:t>
        </x:is>
      </x:c>
      <x:c r="F88" t="inlineStr">
        <x:is>
          <x:t xml:space="preserve">Acetylcysteine 600 mg.</x:t>
        </x:is>
      </x:c>
      <x:c r="G88" t="inlineStr">
        <x:is>
          <x:t xml:space="preserve">BDS002901</x:t>
        </x:is>
      </x:c>
      <x:c r="H88" t="inlineStr">
        <x:is>
          <x:t xml:space="preserve">Nac Long (10 tabs)</x:t>
        </x:is>
      </x:c>
      <x:c r="I88" t="inlineStr">
        <x:is>
          <x:t xml:space="preserve"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x:t>
        </x:is>
      </x:c>
      <x:c r="J88" t="inlineStr">
        <x:is>
          <x:t xml:space="preserve">orally (dissolve the drug in half a glass of water), Take 2-4 tablets once a day before bedtime. 1 time a day before dinner</x:t>
        </x:is>
      </x:c>
      <x:c r="K88">
        <x:v>270</x:v>
      </x:c>
      <x:c r="L88">
        <x:v>27</x:v>
      </x:c>
      <x:c r="M88" t="inlineStr">
        <x:is>
          <x:t xml:space="preserve">USER</x:t>
        </x:is>
      </x:c>
      <x:c r="N88" t="inlineStr">
        <x:is>
          <x:t xml:space="preserve">2026-02-07</x:t>
        </x:is>
      </x:c>
      <x:c r="O88" t="inlineStr">
        <x:is>
          <x:t xml:space="preserve">User provided price (online). Unit price is per tablet (10-tab tube).</x:t>
        </x:is>
      </x:c>
      <x:c r="P88" t="inlineStr">
        <x:is>
          <x:t xml:space="preserve">Cough medicines / mucolytics / expectorants</x:t>
        </x:is>
      </x:c>
    </x:row>
    <x:row r="89">
      <x:c r="A89">
        <x:v>87</x:v>
      </x:c>
      <x:c r="B89" t="inlineStr">
        <x:is>
          <x:t xml:space="preserve">ยาละลายเสมหะ</x:t>
        </x:is>
      </x:c>
      <x:c r="C89">
        <x:v>3694</x:v>
      </x:c>
      <x:c r="D89" t="inlineStr">
        <x:is>
          <x:t xml:space="preserve">Solmax</x:t>
        </x:is>
      </x:c>
      <x:c r="E89" t="inlineStr">
        <x:is>
          <x:t xml:space="preserve">แผง 10 แคปซูล</x:t>
        </x:is>
      </x:c>
      <x:c r="F89" t="inlineStr">
        <x:is>
          <x:t xml:space="preserve">Carbocysteine 500 mg.</x:t>
        </x:is>
      </x:c>
      <x:c r="G89" t="inlineStr">
        <x:is>
          <x:t xml:space="preserve">BDS003694</x:t>
        </x:is>
      </x:c>
      <x:c r="H89" t="inlineStr">
        <x:is>
          <x:t xml:space="preserve">Solmax (10 cap)</x:t>
        </x:is>
      </x:c>
      <x:c r="I89" t="inlineStr">
        <x:is>
          <x:t xml:space="preserve">รับประทานครั้งละ 1 แคปซูล วันละ 3 ครั้ง</x:t>
        </x:is>
      </x:c>
      <x:c r="P89" t="inlineStr">
        <x:is>
          <x:t xml:space="preserve">Cough medicines / mucolytics / expectorants</x:t>
        </x:is>
      </x:c>
    </x:row>
    <x:row r="90">
      <x:c r="A90">
        <x:v>88</x:v>
      </x:c>
      <x:c r="B90" t="inlineStr">
        <x:is>
          <x:t xml:space="preserve">ยาระบาย</x:t>
        </x:is>
      </x:c>
      <x:c r="C90">
        <x:v>1664</x:v>
      </x:c>
      <x:c r="D90" t="inlineStr">
        <x:is>
          <x:t xml:space="preserve">Dulcolax</x:t>
        </x:is>
      </x:c>
      <x:c r="E90" t="inlineStr">
        <x:is>
          <x:t xml:space="preserve">แผง 10 เม็ด</x:t>
        </x:is>
      </x:c>
      <x:c r="F90" t="inlineStr">
        <x:is>
          <x:t xml:space="preserve">Bisacodyl 5 mg.</x:t>
        </x:is>
      </x:c>
      <x:c r="G90" t="inlineStr">
        <x:is>
          <x:t xml:space="preserve">BDS001664</x:t>
        </x:is>
      </x:c>
      <x:c r="H90" t="inlineStr">
        <x:is>
          <x:t xml:space="preserve">Dulcolax (10 tabs)</x:t>
        </x:is>
      </x:c>
      <x:c r="I90" t="inlineStr">
        <x:is>
          <x:t xml:space="preserve">รับประทานครั้งละ 2-4 เม็ด วันละ 1 ครั้ง ก่อนนอน</x:t>
        </x:is>
      </x:c>
    </x:row>
    <x:row r="91">
      <x:c r="A91">
        <x:v>89</x:v>
      </x:c>
      <x:c r="B91" t="inlineStr">
        <x:is>
          <x:t xml:space="preserve">ยาระบาย</x:t>
        </x:is>
      </x:c>
      <x:c r="C91">
        <x:v>1715</x:v>
      </x:c>
      <x:c r="D91" t="inlineStr">
        <x:is>
          <x:t xml:space="preserve">Duphalac 100</x:t>
        </x:is>
      </x:c>
      <x:c r="E91" t="inlineStr">
        <x:is>
          <x:t xml:space="preserve">ขวด 100 ml.</x:t>
        </x:is>
      </x:c>
      <x:c r="F91" t="inlineStr">
        <x:is>
          <x:t xml:space="preserve">Lactulose 66.7 g/100 ml</x:t>
        </x:is>
      </x:c>
      <x:c r="G91" t="inlineStr">
        <x:is>
          <x:t xml:space="preserve">BDS001715</x:t>
        </x:is>
      </x:c>
      <x:c r="H91" t="inlineStr">
        <x:is>
          <x:t xml:space="preserve">Duphalac 100 (100 ml.)</x:t>
        </x:is>
      </x:c>
      <x:c r="I91" t="inlineStr">
        <x:is>
          <x:t xml:space="preserve">เด็กเล็กรับประทานครั้งละ 1-2 ช้อนชา วันละ 1 ครั้ง</x:t>
        </x:is>
      </x:c>
    </x:row>
    <x:row r="92">
      <x:c r="A92">
        <x:v>90</x:v>
      </x:c>
      <x:c r="B92" t="inlineStr">
        <x:is>
          <x:t xml:space="preserve">ยาระบาย</x:t>
        </x:is>
      </x:c>
      <x:c r="C92">
        <x:v>1837</x:v>
      </x:c>
      <x:c r="D92" t="inlineStr">
        <x:is>
          <x:t xml:space="preserve">Emulax</x:t>
        </x:is>
      </x:c>
      <x:c r="E92" t="inlineStr">
        <x:is>
          <x:t xml:space="preserve">กระปุก 100 เม็ด</x:t>
        </x:is>
      </x:c>
      <x:c r="F92" t="inlineStr">
        <x:is>
          <x:t xml:space="preserve">Bisacodyl 5 mg.</x:t>
        </x:is>
      </x:c>
      <x:c r="G92" t="inlineStr">
        <x:is>
          <x:t xml:space="preserve">BDS001837</x:t>
        </x:is>
      </x:c>
      <x:c r="H92" t="inlineStr">
        <x:is>
          <x:t xml:space="preserve">Emulax (100 tabs)</x:t>
        </x:is>
      </x:c>
      <x:c r="I92" t="inlineStr">
        <x:is>
          <x:t xml:space="preserve">รับประทานครั้งละ 2 เม็ด วันละ 1 ครั้ง ก่อนนอน</x:t>
        </x:is>
      </x:c>
    </x:row>
    <x:row r="93">
      <x:c r="A93">
        <x:v>91</x:v>
      </x:c>
      <x:c r="B93" t="inlineStr">
        <x:is>
          <x:t xml:space="preserve">ยาระบาย</x:t>
        </x:is>
      </x:c>
      <x:c r="C93">
        <x:v>1842</x:v>
      </x:c>
      <x:c r="D93" t="inlineStr">
        <x:is>
          <x:t xml:space="preserve">Forlax</x:t>
        </x:is>
      </x:c>
      <x:c r="E93" t="inlineStr">
        <x:is>
          <x:t xml:space="preserve">ซอง 10 g.</x:t>
        </x:is>
      </x:c>
      <x:c r="F93" t="inlineStr">
        <x:is>
          <x:t xml:space="preserve">Macrogol 4000 10 g.+ Saccharin sodium 0.017 g.+ Orange-grapefruit flavour 0.15 g.</x:t>
        </x:is>
      </x:c>
      <x:c r="G93" t="inlineStr">
        <x:is>
          <x:t xml:space="preserve">BDS001842</x:t>
        </x:is>
      </x:c>
      <x:c r="H93" t="inlineStr">
        <x:is>
          <x:t xml:space="preserve">Forlax (10 g.)</x:t>
        </x:is>
      </x:c>
      <x:c r="I93" t="inlineStr">
        <x:is>
          <x:t xml:space="preserve">ผสม 1 ซอง กับน้ำ 1 แก้ว (200 ml) วันละ 2 ครั้ง</x:t>
        </x:is>
      </x:c>
    </x:row>
    <x:row r="94">
      <x:c r="A94">
        <x:v>92</x:v>
      </x:c>
      <x:c r="B94" t="inlineStr">
        <x:is>
          <x:t xml:space="preserve">ยาระบาย</x:t>
        </x:is>
      </x:c>
      <x:c r="C94">
        <x:v>3505</x:v>
      </x:c>
      <x:c r="D94" t="inlineStr">
        <x:is>
          <x:t xml:space="preserve">Fybogel Orange</x:t>
        </x:is>
      </x:c>
      <x:c r="E94" t="inlineStr">
        <x:is>
          <x:t xml:space="preserve">ซอง 3.5 g.</x:t>
        </x:is>
      </x:c>
      <x:c r="F94" t="inlineStr">
        <x:is>
          <x:t xml:space="preserve">Ispaghula Husk 3.5 g.</x:t>
        </x:is>
      </x:c>
      <x:c r="G94" t="inlineStr">
        <x:is>
          <x:t xml:space="preserve">BDS003505</x:t>
        </x:is>
      </x:c>
      <x:c r="H94" t="inlineStr">
        <x:is>
          <x:t xml:space="preserve">Fybogel Orange (3.5 g.)</x:t>
        </x:is>
      </x:c>
      <x:c r="I94" t="inlineStr">
        <x:is>
          <x:t xml:space="preserve">ผสม 1 ซอง กับน้ำเย็น 1 แก้ว (150 ml.) คนให้เข้ากันแล้วดื่มทันที วันละ 2 ครั้ง เช้า-เย็น</x:t>
        </x:is>
      </x:c>
    </x:row>
    <x:row r="95">
      <x:c r="A95">
        <x:v>93</x:v>
      </x:c>
      <x:c r="B95" t="inlineStr">
        <x:is>
          <x:t xml:space="preserve">ยาระบาย</x:t>
        </x:is>
      </x:c>
      <x:c r="C95">
        <x:v>2128</x:v>
      </x:c>
      <x:c r="D95" t="inlineStr">
        <x:is>
          <x:t xml:space="preserve">Hepalac</x:t>
        </x:is>
      </x:c>
      <x:c r="E95" t="inlineStr">
        <x:is>
          <x:t xml:space="preserve">ขวด 100 ml.</x:t>
        </x:is>
      </x:c>
      <x:c r="F95" t="inlineStr">
        <x:is>
          <x:t xml:space="preserve">Lactulose 66.7 g+Galactose 11 g+Lactose 6 g/100 ml</x:t>
        </x:is>
      </x:c>
      <x:c r="G95" t="inlineStr">
        <x:is>
          <x:t xml:space="preserve">BDS002128</x:t>
        </x:is>
      </x:c>
      <x:c r="H95" t="inlineStr">
        <x:is>
          <x:t xml:space="preserve">Hepalac (100 ml.)</x:t>
        </x:is>
      </x:c>
      <x:c r="I95" t="inlineStr">
        <x:is>
          <x:t xml:space="preserve">เด็กเล็กรับประทานครั้งละ 1-2 ช้อนชา วันละ 1 ครั้ง</x:t>
        </x:is>
      </x:c>
    </x:row>
    <x:row r="96">
      <x:c r="A96">
        <x:v>94</x:v>
      </x:c>
      <x:c r="B96" t="inlineStr">
        <x:is>
          <x:t xml:space="preserve">ยาระบาย</x:t>
        </x:is>
      </x:c>
      <x:c r="C96">
        <x:v>8461</x:v>
      </x:c>
      <x:c r="D96" t="inlineStr">
        <x:is>
          <x:t xml:space="preserve">Milk of Magnesia C.B.</x:t>
        </x:is>
      </x:c>
      <x:c r="E96" t="inlineStr">
        <x:is>
          <x:t xml:space="preserve">ขวด 240 ml.</x:t>
        </x:is>
      </x:c>
      <x:c r="F96" t="inlineStr">
        <x:is>
          <x:t xml:space="preserve">Magnesium Hydroxide 400 mg./5 ml.</x:t>
        </x:is>
      </x:c>
      <x:c r="G96" t="inlineStr">
        <x:is>
          <x:t xml:space="preserve">BDS008461</x:t>
        </x:is>
      </x:c>
      <x:c r="H96" t="inlineStr">
        <x:is>
          <x:t xml:space="preserve">Milk of Magnesia C.B. (240 ml.)</x:t>
        </x:is>
      </x:c>
      <x:c r="I96" t="inlineStr">
        <x:is>
          <x:t xml:space="preserve">รับประทานครั้งละ 2-3 ช้อนโต๊ะ วันละ 1 ครั้ง ก่อนนอนหรือตอนเช้า</x:t>
        </x:is>
      </x:c>
    </x:row>
    <x:row r="97">
      <x:c r="A97">
        <x:v>95</x:v>
      </x:c>
      <x:c r="B97" t="inlineStr">
        <x:is>
          <x:t xml:space="preserve">ยาระบาย</x:t>
        </x:is>
      </x:c>
      <x:c r="C97">
        <x:v>2697</x:v>
      </x:c>
      <x:c r="D97" t="inlineStr">
        <x:is>
          <x:t xml:space="preserve">Mucilin Orange Flavour</x:t>
        </x:is>
      </x:c>
      <x:c r="E97" t="inlineStr">
        <x:is>
          <x:t xml:space="preserve">ซอง 5 g.</x:t>
        </x:is>
      </x:c>
      <x:c r="F97" t="inlineStr">
        <x:is>
          <x:t xml:space="preserve">Ispaghula Husk 49.0 g./100 g.</x:t>
        </x:is>
      </x:c>
      <x:c r="G97" t="inlineStr">
        <x:is>
          <x:t xml:space="preserve">BDS002697</x:t>
        </x:is>
      </x:c>
      <x:c r="H97" t="inlineStr">
        <x:is>
          <x:t xml:space="preserve">Mucilin Orange Flavour (5 g.)</x:t>
        </x:is>
      </x:c>
      <x:c r="I97" t="inlineStr">
        <x:is>
          <x:t xml:space="preserve">ผสมมิวซิลิน 1 ซอง ต่อน้ำเย็น 1 แก้ว (150 ml.)คนให้เข้ากันแล้วดื่มทันที ดื่มน้ำตามอีก 1 แก้ว วันละ 1-3 ครั้ง</x:t>
        </x:is>
      </x:c>
    </x:row>
    <x:row r="98">
      <x:c r="A98">
        <x:v>96</x:v>
      </x:c>
      <x:c r="B98" t="inlineStr">
        <x:is>
          <x:t xml:space="preserve">ยาระบาย</x:t>
        </x:is>
      </x:c>
      <x:c r="C98">
        <x:v>2699</x:v>
      </x:c>
      <x:c r="D98" t="inlineStr">
        <x:is>
          <x:t xml:space="preserve">Mucilin Orange SF</x:t>
        </x:is>
      </x:c>
      <x:c r="E98" t="inlineStr">
        <x:is>
          <x:t xml:space="preserve">ซอง 5 g.</x:t>
        </x:is>
      </x:c>
      <x:c r="F98" t="inlineStr">
        <x:is>
          <x:t xml:space="preserve">Ispaghula Husk 3.5 g./5 g.</x:t>
        </x:is>
      </x:c>
      <x:c r="G98" t="inlineStr">
        <x:is>
          <x:t xml:space="preserve">BDS002699</x:t>
        </x:is>
      </x:c>
      <x:c r="H98" t="inlineStr">
        <x:is>
          <x:t xml:space="preserve">Mucilin Orange SF (5 g.)</x:t>
        </x:is>
      </x:c>
      <x:c r="I98" t="inlineStr">
        <x:is>
          <x:t xml:space="preserve">ผสมมิวซิลิน 1 ซอง ต่อน้ำเย็น 1 แก้ว (150 ml.)คนให้เข้ากันแล้วดื่มทันที ดื่มน้ำตามอีก 1 แก้ว วันละ 1-3 ครั้ง</x:t>
        </x:is>
      </x:c>
    </x:row>
    <x:row r="99">
      <x:c r="A99">
        <x:v>97</x:v>
      </x:c>
      <x:c r="B99" t="inlineStr">
        <x:is>
          <x:t xml:space="preserve">ยาระบาย</x:t>
        </x:is>
      </x:c>
      <x:c r="C99">
        <x:v>3611</x:v>
      </x:c>
      <x:c r="D99" t="inlineStr">
        <x:is>
          <x:t xml:space="preserve">Senokot</x:t>
        </x:is>
      </x:c>
      <x:c r="E99" t="inlineStr">
        <x:is>
          <x:t xml:space="preserve">กล่อง 60 เม็ด</x:t>
        </x:is>
      </x:c>
      <x:c r="F99" t="inlineStr">
        <x:is>
          <x:t xml:space="preserve">Sennoside 7.5 mg.</x:t>
        </x:is>
      </x:c>
      <x:c r="G99" t="inlineStr">
        <x:is>
          <x:t xml:space="preserve">BDS003611</x:t>
        </x:is>
      </x:c>
      <x:c r="H99" t="inlineStr">
        <x:is>
          <x:t xml:space="preserve">Senokot (60 tabs)</x:t>
        </x:is>
      </x:c>
      <x:c r="I99" t="inlineStr">
        <x:is>
          <x:t xml:space="preserve">รับประทานครั้งละ 2-4 เม็ดวันละ 1 ครั้ง ก่อนนอน</x:t>
        </x:is>
      </x:c>
    </x:row>
    <x:row r="100">
      <x:c r="A100">
        <x:v>98</x:v>
      </x:c>
      <x:c r="B100" t="inlineStr">
        <x:is>
          <x:t xml:space="preserve">ยาระบาย</x:t>
        </x:is>
      </x:c>
      <x:c r="C100">
        <x:v>3613</x:v>
      </x:c>
      <x:c r="D100" t="inlineStr">
        <x:is>
          <x:t xml:space="preserve">Senolax</x:t>
        </x:is>
      </x:c>
      <x:c r="E100" t="inlineStr">
        <x:is>
          <x:t xml:space="preserve">กล่อง 60 เม็ด</x:t>
        </x:is>
      </x:c>
      <x:c r="F100" t="inlineStr">
        <x:is>
          <x:t xml:space="preserve">Sennoside B 7.5 mg.</x:t>
        </x:is>
      </x:c>
      <x:c r="G100" t="inlineStr">
        <x:is>
          <x:t xml:space="preserve">BDS003613</x:t>
        </x:is>
      </x:c>
      <x:c r="H100" t="inlineStr">
        <x:is>
          <x:t xml:space="preserve">Senolax (60 tabs)</x:t>
        </x:is>
      </x:c>
      <x:c r="I100" t="inlineStr">
        <x:is>
          <x:t xml:space="preserve">รับประทานครั้งละ 2-4 เม็ด วันละ 1 ครั้ง ก่อนนอน</x:t>
        </x:is>
      </x:c>
    </x:row>
    <x:row r="101">
      <x:c r="A101">
        <x:v>99</x:v>
      </x:c>
      <x:c r="B101" t="inlineStr">
        <x:is>
          <x:t xml:space="preserve">ยาระบาย</x:t>
        </x:is>
      </x:c>
      <x:c r="C101">
        <x:v>4866</x:v>
      </x:c>
      <x:c r="D101" t="inlineStr">
        <x:is>
          <x:t xml:space="preserve">น้ำมันละหุ่งหวาน</x:t>
        </x:is>
      </x:c>
      <x:c r="E101" t="inlineStr">
        <x:is>
          <x:t xml:space="preserve">ขวด 60 ml.</x:t>
        </x:is>
      </x:c>
      <x:c r="F101" t="inlineStr">
        <x:is>
          <x:t xml:space="preserve">Saccharin 0.006 g+Amyl Acetate 0.037 g+Alcohol 0.45 ml+Castor Oil/15 ml.</x:t>
        </x:is>
      </x:c>
      <x:c r="G101" t="inlineStr">
        <x:is>
          <x:t xml:space="preserve">BDS004866</x:t>
        </x:is>
      </x:c>
      <x:c r="H101" t="inlineStr">
        <x:is>
          <x:t xml:space="preserve">น้ำมันละหุ่งหวาน (60 ml.)</x:t>
        </x:is>
      </x:c>
      <x:c r="I101" t="inlineStr">
        <x:is>
          <x:t xml:space="preserve">รับประทานครั้งละ 1-2 ช้อนโต๊ะ วันละ 1 ครั้ง ก่อนนอนหรือตื่นตอนเช้า</x:t>
        </x:is>
      </x:c>
    </x:row>
    <x:row r="102">
      <x:c r="A102">
        <x:v>100</x:v>
      </x:c>
      <x:c r="B102" t="inlineStr">
        <x:is>
          <x:t xml:space="preserve">ยาหยุดถ่าย (D)</x:t>
        </x:is>
      </x:c>
      <x:c r="C102">
        <x:v>2214</x:v>
      </x:c>
      <x:c r="D102" t="inlineStr">
        <x:is>
          <x:t xml:space="preserve">Imodium</x:t>
        </x:is>
      </x:c>
      <x:c r="E102" t="inlineStr">
        <x:is>
          <x:t xml:space="preserve">แผง 6 แคปซูล</x:t>
        </x:is>
      </x:c>
      <x:c r="F102" t="inlineStr">
        <x:is>
          <x:t xml:space="preserve">Loperamide HCl 2 mg.</x:t>
        </x:is>
      </x:c>
      <x:c r="G102" t="inlineStr">
        <x:is>
          <x:t xml:space="preserve">BDS002214</x:t>
        </x:is>
      </x:c>
      <x:c r="H102" t="inlineStr">
        <x:is>
          <x:t xml:space="preserve">Imodium (6 cap)</x:t>
        </x:is>
      </x:c>
      <x:c r="I102" t="inlineStr">
        <x:is>
          <x:t xml:space="preserve">รับประทาน 2 แคปซูล ครั้งต่อไป 1 แคปซูล ทุก 6 ชั่วโมง ถ้ายังถ่ายอีก </x:t>
        </x:is>
      </x:c>
    </x:row>
    <x:row r="103">
      <x:c r="A103">
        <x:v>101</x:v>
      </x:c>
      <x:c r="B103" t="inlineStr">
        <x:is>
          <x:t xml:space="preserve">ยาหยุดถ่าย (D)</x:t>
        </x:is>
      </x:c>
      <x:c r="C103">
        <x:v>8703</x:v>
      </x:c>
      <x:c r="D103" t="inlineStr">
        <x:is>
          <x:t xml:space="preserve">Tedium</x:t>
        </x:is>
      </x:c>
      <x:c r="E103" t="inlineStr">
        <x:is>
          <x:t xml:space="preserve">แผง 10 แคปซูล</x:t>
        </x:is>
      </x:c>
      <x:c r="F103" t="inlineStr">
        <x:is>
          <x:t xml:space="preserve">Loperamide 2 mg.</x:t>
        </x:is>
      </x:c>
      <x:c r="G103" t="inlineStr">
        <x:is>
          <x:t xml:space="preserve">BDS008703</x:t>
        </x:is>
      </x:c>
      <x:c r="H103" t="inlineStr">
        <x:is>
          <x:t xml:space="preserve">Tedium (10 cap)</x:t>
        </x:is>
      </x:c>
      <x:c r="I103" t="inlineStr">
        <x:is>
          <x:t xml:space="preserve">รับประทาน 2 แคปซูล ครั้งต่อไป 1 แคปซูล ทุก 6 ชั่วโมง </x:t>
        </x:is>
      </x:c>
    </x:row>
    <x:row r="104">
      <x:c r="A104">
        <x:v>102</x:v>
      </x:c>
      <x:c r="B104" t="inlineStr">
        <x:is>
          <x:t xml:space="preserve">ยาลดกรด, เคลือบกระเพาะ</x:t>
        </x:is>
      </x:c>
      <x:c r="C104">
        <x:v>1036</x:v>
      </x:c>
      <x:c r="D104" t="inlineStr">
        <x:is>
          <x:t xml:space="preserve">Algycon</x:t>
        </x:is>
      </x:c>
      <x:c r="E104" t="inlineStr">
        <x:is>
          <x:t xml:space="preserve">แผง 12 เม็ด</x:t>
        </x:is>
      </x:c>
      <x:c r="F104" t="inlineStr">
        <x:is>
          <x:t xml:space="preserve">Alginic acid 200 mg.+Aluminium hydroxide gel 30 mg.+Magnesium carbonate 40 mg.</x:t>
        </x:is>
      </x:c>
      <x:c r="G104" t="inlineStr">
        <x:is>
          <x:t xml:space="preserve">BDS001036</x:t>
        </x:is>
      </x:c>
      <x:c r="H104" t="inlineStr">
        <x:is>
          <x:t xml:space="preserve">Algycon (12 tabs)</x:t>
        </x:is>
      </x:c>
      <x:c r="I104" t="inlineStr">
        <x:is>
          <x:t xml:space="preserve">เคี้ยวครั้งละ 1-3 เม็ด วันละ 4 ครั้ง หลังอาหารและก่อนนอน</x:t>
        </x:is>
      </x:c>
    </x:row>
    <x:row r="105">
      <x:c r="A105">
        <x:v>103</x:v>
      </x:c>
      <x:c r="B105" t="inlineStr">
        <x:is>
          <x:t xml:space="preserve">ยาลดกรด, เคลือบกระเพาะ</x:t>
        </x:is>
      </x:c>
      <x:c r="C105">
        <x:v>1051</x:v>
      </x:c>
      <x:c r="D105" t="inlineStr">
        <x:is>
          <x:t xml:space="preserve">Antacil</x:t>
        </x:is>
      </x:c>
      <x:c r="E105" t="inlineStr">
        <x:is>
          <x:t xml:space="preserve">แผง 10 เม็ด</x:t>
        </x:is>
      </x:c>
      <x:c r="F105" t="inlineStr">
        <x:is>
          <x:t xml:space="preserve">Aluminium Hydroxide (Dried Aluminium Hydroxide 250 mg.)+Magnesium Trisilicate 350 mg.+Kaolin 50 mg.</x:t>
        </x:is>
      </x:c>
      <x:c r="G105" t="inlineStr">
        <x:is>
          <x:t xml:space="preserve">BDS001051</x:t>
        </x:is>
      </x:c>
      <x:c r="H105" t="inlineStr">
        <x:is>
          <x:t xml:space="preserve">Antacil (10 tabs)</x:t>
        </x:is>
      </x:c>
      <x:c r="I105" t="inlineStr">
        <x:is>
          <x:t xml:space="preserve">รับประทาน (เคี้ยว) ครั้งละ 1-2 เม็ด วันละ 3-4 ครั้ง หลังอาหารและก่อนนอน</x:t>
        </x:is>
      </x:c>
    </x:row>
    <x:row r="106">
      <x:c r="A106">
        <x:v>104</x:v>
      </x:c>
      <x:c r="B106" t="inlineStr">
        <x:is>
          <x:t xml:space="preserve">ยาลดกรด, เคลือบกระเพาะ</x:t>
        </x:is>
      </x:c>
      <x:c r="C106">
        <x:v>2030</x:v>
      </x:c>
      <x:c r="D106" t="inlineStr">
        <x:is>
          <x:t xml:space="preserve">Gastro Bismol 524</x:t>
        </x:is>
      </x:c>
      <x:c r="E106" t="inlineStr">
        <x:is>
          <x:t xml:space="preserve">แผง 10 เม็ด</x:t>
        </x:is>
      </x:c>
      <x:c r="F106" t="inlineStr">
        <x:is>
          <x:t xml:space="preserve">Bismuth Subsalicylate 524 mg.</x:t>
        </x:is>
      </x:c>
      <x:c r="G106" t="inlineStr">
        <x:is>
          <x:t xml:space="preserve">BDS002030</x:t>
        </x:is>
      </x:c>
      <x:c r="H106" t="inlineStr">
        <x:is>
          <x:t xml:space="preserve">Gastro Bismol 524 (10 tabs)</x:t>
        </x:is>
      </x:c>
      <x:c r="I106" t="inlineStr">
        <x:is>
          <x:t xml:space="preserve">รับประทานครั้งละ 1 เม็ด วันละ 4 ครั้ง ก่อนอาหารและก่อนนอน</x:t>
        </x:is>
      </x:c>
    </x:row>
    <x:row r="107">
      <x:c r="A107">
        <x:v>105</x:v>
      </x:c>
      <x:c r="B107" t="inlineStr">
        <x:is>
          <x:t xml:space="preserve">ยาลดกรด, เคลือบกระเพาะ</x:t>
        </x:is>
      </x:c>
      <x:c r="C107">
        <x:v>2011</x:v>
      </x:c>
      <x:c r="D107" t="inlineStr">
        <x:is>
          <x:t xml:space="preserve">Gaviscon Dual Action tabslet 16s</x:t>
        </x:is>
      </x:c>
      <x:c r="E107" t="inlineStr">
        <x:is>
          <x:t xml:space="preserve">กล่อง 16 เม็ด</x:t>
        </x:is>
      </x:c>
      <x:c r="F107" t="inlineStr">
        <x:is>
          <x:t xml:space="preserve">Sodium alginate 250 mg.+Sodium bicarbonate 106.5 mg.+Calcium carbonate 187.5 mg.</x:t>
        </x:is>
      </x:c>
      <x:c r="G107" t="inlineStr">
        <x:is>
          <x:t xml:space="preserve">BDS002011</x:t>
        </x:is>
      </x:c>
      <x:c r="H107" t="inlineStr">
        <x:is>
          <x:t xml:space="preserve">Gaviscon Dual Action tabslet 16s (16 tabs)</x:t>
        </x:is>
      </x:c>
      <x:c r="I107" t="inlineStr">
        <x:is>
          <x:t xml:space="preserve">ผู้ใหญ่รับประทาน (เคี้ยว) ครั้งละ 2-4 เม็ด วันละ 4 ครั้ง หลังอาหารและก่อนนอน</x:t>
        </x:is>
      </x:c>
    </x:row>
    <x:row r="108">
      <x:c r="A108">
        <x:v>106</x:v>
      </x:c>
      <x:c r="B108" t="inlineStr">
        <x:is>
          <x:t xml:space="preserve">ยาลดกรด, เคลือบกระเพาะ</x:t>
        </x:is>
      </x:c>
      <x:c r="C108">
        <x:v>2015</x:v>
      </x:c>
      <x:c r="D108" t="inlineStr">
        <x:is>
          <x:t xml:space="preserve">Gaviscon Peppermint tabslet 16s</x:t>
        </x:is>
      </x:c>
      <x:c r="E108" t="inlineStr">
        <x:is>
          <x:t xml:space="preserve">กล่อง 16 เม็ด</x:t>
        </x:is>
      </x:c>
      <x:c r="F108" t="inlineStr">
        <x:is>
          <x:t xml:space="preserve">Sodium alginate 250 mg.+Sodium bicarbonate 133.5 mg.+Calcium Carbonate 80 mg.</x:t>
        </x:is>
      </x:c>
      <x:c r="G108" t="inlineStr">
        <x:is>
          <x:t xml:space="preserve">BDS002015</x:t>
        </x:is>
      </x:c>
      <x:c r="H108" t="inlineStr">
        <x:is>
          <x:t xml:space="preserve">Gaviscon Peppermint tabslet 16s (16 tabs)</x:t>
        </x:is>
      </x:c>
      <x:c r="I108" t="inlineStr">
        <x:is>
          <x:t xml:space="preserve">ผู้ใหญ่รับประทาน (เคี้ยว) ครั้งละ 2-4 เม็ด วันละ 4 ครั้ง หลังอาหารและก่อนนอน</x:t>
        </x:is>
      </x:c>
    </x:row>
    <x:row r="109">
      <x:c r="A109">
        <x:v>107</x:v>
      </x:c>
      <x:c r="B109" t="inlineStr">
        <x:is>
          <x:t xml:space="preserve">ยาลดกรด, เคลือบกระเพาะ</x:t>
        </x:is>
      </x:c>
      <x:c r="C109">
        <x:v>44334</x:v>
      </x:c>
      <x:c r="D109" t="inlineStr">
        <x:is>
          <x:t xml:space="preserve">Kremil tabslet</x:t>
        </x:is>
      </x:c>
      <x:c r="E109" t="inlineStr">
        <x:is>
          <x:t xml:space="preserve">แผง 10 เม็ด</x:t>
        </x:is>
      </x:c>
      <x:c r="F109" t="inlineStr">
        <x:is>
          <x:t xml:space="preserve">AHMC Type F-MA II 325 mg ( Aluminum Hydroxide 188.8 mg + Magnesium Carbonate 136.2 mg ) + Simethicone 60 mg</x:t>
        </x:is>
      </x:c>
      <x:c r="G109" t="inlineStr">
        <x:is>
          <x:t xml:space="preserve">BDS044334</x:t>
        </x:is>
      </x:c>
      <x:c r="H109" t="inlineStr">
        <x:is>
          <x:t xml:space="preserve">Kremil tabslet (10 tabs)</x:t>
        </x:is>
      </x:c>
      <x:c r="I109" t="inlineStr">
        <x:is>
          <x:t xml:space="preserve">รับประทานครั้งละ 2-4 เม็ด หลังอาหารเช้า กลางวัน เย็น หรือเมื่อมีอาการ </x:t>
        </x:is>
      </x:c>
    </x:row>
    <x:row r="110">
      <x:c r="A110">
        <x:v>108</x:v>
      </x:c>
      <x:c r="B110" t="inlineStr">
        <x:is>
          <x:t xml:space="preserve">ยาลดกรด, เคลือบกระเพาะ</x:t>
        </x:is>
      </x:c>
      <x:c r="C110">
        <x:v>44908</x:v>
      </x:c>
      <x:c r="D110" t="inlineStr">
        <x:is>
          <x:t xml:space="preserve">Malugel tabslets</x:t>
        </x:is>
      </x:c>
      <x:c r="E110" t="inlineStr">
        <x:is>
          <x:t xml:space="preserve">แผง 10 เม็ด</x:t>
        </x:is>
      </x:c>
      <x:c r="F110" t="inlineStr">
        <x:is>
          <x:t xml:space="preserve">Calcium Carbonate 500 mg+Simethicone 60 mg</x:t>
        </x:is>
      </x:c>
      <x:c r="G110" t="inlineStr">
        <x:is>
          <x:t xml:space="preserve">BDS044908</x:t>
        </x:is>
      </x:c>
      <x:c r="H110" t="inlineStr">
        <x:is>
          <x:t xml:space="preserve">Malugel tabslets (10 tabs)</x:t>
        </x:is>
      </x:c>
      <x:c r="I110" t="inlineStr">
        <x:is>
          <x:t xml:space="preserve">รับประทาน (เคี้ยว) ครั้งละ 1-2 เม็ด เมื่อมีอาการ  </x:t>
        </x:is>
      </x:c>
    </x:row>
    <x:row r="111">
      <x:c r="A111">
        <x:v>109</x:v>
      </x:c>
      <x:c r="B111" t="inlineStr">
        <x:is>
          <x:t xml:space="preserve">ยาลดกรด, เคลือบกระเพาะ</x:t>
        </x:is>
      </x:c>
      <x:c r="C111">
        <x:v>3903</x:v>
      </x:c>
      <x:c r="D111" t="inlineStr">
        <x:is>
          <x:t xml:space="preserve">Ulcefate tabslet strip 10s</x:t>
        </x:is>
      </x:c>
      <x:c r="E111" t="inlineStr">
        <x:is>
          <x:t xml:space="preserve">แผง 10 เม็ด</x:t>
        </x:is>
      </x:c>
      <x:c r="F111" t="inlineStr">
        <x:is>
          <x:t xml:space="preserve">Sucralfate 1 g.</x:t>
        </x:is>
      </x:c>
      <x:c r="G111" t="inlineStr">
        <x:is>
          <x:t xml:space="preserve">BDS003903</x:t>
        </x:is>
      </x:c>
      <x:c r="H111" t="inlineStr">
        <x:is>
          <x:t xml:space="preserve">Ulcefate tabslet strip 10s (10 tabs)</x:t>
        </x:is>
      </x:c>
      <x:c r="I111" t="inlineStr">
        <x:is>
          <x:t xml:space="preserve">รับประทานครั้งละ 1-2 เม็ด วันละ 2-4 ครั้ง ก่อนอาหารและก่อนนอน</x:t>
        </x:is>
      </x:c>
    </x:row>
    <x:row r="112">
      <x:c r="A112">
        <x:v>110</x:v>
      </x:c>
      <x:c r="B112" t="inlineStr">
        <x:is>
          <x:t xml:space="preserve">ยาลดการหลั่งกรด (D)</x:t>
        </x:is>
      </x:c>
      <x:c r="C112">
        <x:v>1466</x:v>
      </x:c>
      <x:c r="D112" t="inlineStr">
        <x:is>
          <x:t xml:space="preserve">Controloc 40 mg</x:t>
        </x:is>
      </x:c>
      <x:c r="E112" t="inlineStr">
        <x:is>
          <x:t xml:space="preserve">แผง 14 เม็ด</x:t>
        </x:is>
      </x:c>
      <x:c r="F112" t="inlineStr">
        <x:is>
          <x:t xml:space="preserve">Pantoprazole 40 mg.</x:t>
        </x:is>
      </x:c>
      <x:c r="G112" t="inlineStr">
        <x:is>
          <x:t xml:space="preserve">BDS001466</x:t>
        </x:is>
      </x:c>
      <x:c r="H112" t="inlineStr">
        <x:is>
          <x:t xml:space="preserve">Controloc 40 mg (14 tabs)</x:t>
        </x:is>
      </x:c>
      <x:c r="I112" t="inlineStr">
        <x:is>
          <x:t xml:space="preserve">รับประทานครั้งละ 1 เม็ด วันละ 1 ครั้ง หรือตามแพทย์สั่ง</x:t>
        </x:is>
      </x:c>
    </x:row>
    <x:row r="113">
      <x:c r="A113">
        <x:v>111</x:v>
      </x:c>
      <x:c r="B113" t="inlineStr">
        <x:is>
          <x:t xml:space="preserve">ยาลดการหลั่งกรด (D)</x:t>
        </x:is>
      </x:c>
      <x:c r="C113">
        <x:v>7108</x:v>
      </x:c>
      <x:c r="D113" t="inlineStr">
        <x:is>
          <x:t xml:space="preserve">Dosate 20 mg</x:t>
        </x:is>
      </x:c>
      <x:c r="E113" t="inlineStr">
        <x:is>
          <x:t xml:space="preserve">แผง 10 แคปซูล</x:t>
        </x:is>
      </x:c>
      <x:c r="F113" t="inlineStr">
        <x:is>
          <x:t xml:space="preserve">Omeprazole 20 mg.</x:t>
        </x:is>
      </x:c>
      <x:c r="G113" t="inlineStr">
        <x:is>
          <x:t xml:space="preserve">BDS007108</x:t>
        </x:is>
      </x:c>
      <x:c r="H113" t="inlineStr">
        <x:is>
          <x:t xml:space="preserve">Dosate 20 mg (10 cap)</x:t>
        </x:is>
      </x:c>
      <x:c r="I113" t="inlineStr">
        <x:is>
          <x:t xml:space="preserve">รับประทานครั้งละ 1 แคปซูล วันละ 1 ครั้ง ก่อนอาหาร</x:t>
        </x:is>
      </x:c>
    </x:row>
    <x:row r="114">
      <x:c r="A114">
        <x:v>112</x:v>
      </x:c>
      <x:c r="B114" t="inlineStr">
        <x:is>
          <x:t xml:space="preserve">ยาลดการหลั่งกรด (D)</x:t>
        </x:is>
      </x:c>
      <x:c r="C114">
        <x:v>2629</x:v>
      </x:c>
      <x:c r="D114" t="inlineStr">
        <x:is>
          <x:t xml:space="preserve">Miracid</x:t>
        </x:is>
      </x:c>
      <x:c r="E114" t="inlineStr">
        <x:is>
          <x:t xml:space="preserve">กล่อง 14 แคปซูล</x:t>
        </x:is>
      </x:c>
      <x:c r="F114" t="inlineStr">
        <x:is>
          <x:t xml:space="preserve">Omeprazole 20 mg.</x:t>
        </x:is>
      </x:c>
      <x:c r="G114" t="inlineStr">
        <x:is>
          <x:t xml:space="preserve">BDS002629</x:t>
        </x:is>
      </x:c>
      <x:c r="H114" t="inlineStr">
        <x:is>
          <x:t xml:space="preserve">Miracid (14 cap)</x:t>
        </x:is>
      </x:c>
      <x:c r="I114" t="inlineStr">
        <x:is>
          <x:t xml:space="preserve">รับประทานครั้งละ 1 แคปซูล วันละ 1 ครั้ง ก่อนอาหาร</x:t>
        </x:is>
      </x:c>
      <x:c r="J114" t="inlineStr">
        <x:is>
          <x:t xml:space="preserve">Take 1 capsule once daily before meals</x:t>
        </x:is>
      </x:c>
    </x:row>
    <x:row r="115">
      <x:c r="A115">
        <x:v>113</x:v>
      </x:c>
      <x:c r="B115" t="inlineStr">
        <x:is>
          <x:t xml:space="preserve">ยาลดการหลั่งกรด (D)</x:t>
        </x:is>
      </x:c>
      <x:c r="C115">
        <x:v>3417</x:v>
      </x:c>
      <x:c r="D115" t="inlineStr">
        <x:is>
          <x:t xml:space="preserve">Mucosta tabs</x:t>
        </x:is>
      </x:c>
      <x:c r="E115" t="inlineStr">
        <x:is>
          <x:t xml:space="preserve">แผง 10 เม็ด</x:t>
        </x:is>
      </x:c>
      <x:c r="F115" t="inlineStr">
        <x:is>
          <x:t xml:space="preserve">Rebamipide 100 mg.</x:t>
        </x:is>
      </x:c>
      <x:c r="G115" t="inlineStr">
        <x:is>
          <x:t xml:space="preserve">BDS003417</x:t>
        </x:is>
      </x:c>
      <x:c r="H115" t="inlineStr">
        <x:is>
          <x:t xml:space="preserve">Mucosta tabs (10 tabs)</x:t>
        </x:is>
      </x:c>
      <x:c r="I115" t="inlineStr">
        <x:is>
          <x:t xml:space="preserve">รับประทานครั้งละ 1 เม็ด วันละ 3 ครั้ง</x:t>
        </x:is>
      </x:c>
    </x:row>
    <x:row r="116">
      <x:c r="A116">
        <x:v>114</x:v>
      </x:c>
      <x:c r="B116" t="inlineStr">
        <x:is>
          <x:t xml:space="preserve">ยาลดการหลั่งกรด (D)</x:t>
        </x:is>
      </x:c>
      <x:c r="C116">
        <x:v>2898</x:v>
      </x:c>
      <x:c r="D116" t="inlineStr">
        <x:is>
          <x:t xml:space="preserve">Nexium 20 mg</x:t>
        </x:is>
      </x:c>
      <x:c r="E116" t="inlineStr">
        <x:is>
          <x:t xml:space="preserve">กล่อง 14 เม็ด</x:t>
        </x:is>
      </x:c>
      <x:c r="F116" t="inlineStr">
        <x:is>
          <x:t xml:space="preserve">Esomeprazole 20 mg.</x:t>
        </x:is>
      </x:c>
      <x:c r="G116" t="inlineStr">
        <x:is>
          <x:t xml:space="preserve">BDS002898</x:t>
        </x:is>
      </x:c>
      <x:c r="H116" t="inlineStr">
        <x:is>
          <x:t xml:space="preserve">Nexium 20 mg (14 tabs)</x:t>
        </x:is>
      </x:c>
      <x:c r="I116" t="inlineStr">
        <x:is>
          <x:t xml:space="preserve">รับประทานครั้งละ 1 เม็ด วันละ 1 ครั้ง หรือตามแพทย์สั่ง</x:t>
        </x:is>
      </x:c>
    </x:row>
    <x:row r="117">
      <x:c r="A117">
        <x:v>115</x:v>
      </x:c>
      <x:c r="B117" t="inlineStr">
        <x:is>
          <x:t xml:space="preserve">ยาลดการหลั่งกรด (D)</x:t>
        </x:is>
      </x:c>
      <x:c r="C117">
        <x:v>2903</x:v>
      </x:c>
      <x:c r="D117" t="inlineStr">
        <x:is>
          <x:t xml:space="preserve">Nexium 40 mg</x:t>
        </x:is>
      </x:c>
      <x:c r="E117" t="inlineStr">
        <x:is>
          <x:t xml:space="preserve">กล่อง 14 เม็ด</x:t>
        </x:is>
      </x:c>
      <x:c r="F117" t="inlineStr">
        <x:is>
          <x:t xml:space="preserve">Esomeprazole 40 mg.</x:t>
        </x:is>
      </x:c>
      <x:c r="G117" t="inlineStr">
        <x:is>
          <x:t xml:space="preserve">BDS002903</x:t>
        </x:is>
      </x:c>
      <x:c r="H117" t="inlineStr">
        <x:is>
          <x:t xml:space="preserve">Nexium 40 mg (14 tabs)</x:t>
        </x:is>
      </x:c>
      <x:c r="I117" t="inlineStr">
        <x:is>
          <x:t xml:space="preserve">รับประทานครั้งละ 1 เม็ด วันละ 1 ครั้ง หรือตามแพทย์สั่ง</x:t>
        </x:is>
      </x:c>
    </x:row>
    <x:row r="118">
      <x:c r="A118">
        <x:v>116</x:v>
      </x:c>
      <x:c r="B118" t="inlineStr">
        <x:is>
          <x:t xml:space="preserve">ยาลดการหลั่งกรด (D)</x:t>
        </x:is>
      </x:c>
      <x:c r="C118">
        <x:v>45613</x:v>
      </x:c>
      <x:c r="D118" t="inlineStr">
        <x:is>
          <x:t xml:space="preserve">Nycacid</x:t>
        </x:is>
      </x:c>
      <x:c r="E118" t="inlineStr">
        <x:is>
          <x:t xml:space="preserve">กล่อง 10 แคปซูล</x:t>
        </x:is>
      </x:c>
      <x:c r="F118" t="inlineStr">
        <x:is>
          <x:t xml:space="preserve">Omeprazole 20 mg.</x:t>
        </x:is>
      </x:c>
      <x:c r="G118" t="inlineStr">
        <x:is>
          <x:t xml:space="preserve">BDS045613</x:t>
        </x:is>
      </x:c>
      <x:c r="H118" t="inlineStr">
        <x:is>
          <x:t xml:space="preserve">Nycacid (10 cap)</x:t>
        </x:is>
      </x:c>
      <x:c r="I118" t="inlineStr">
        <x:is>
          <x:t xml:space="preserve">รับประทานครั้งละ 1 แคปซูล วันละ 1 ครั้ง ก่อนอาหาร หรือตามแพทย์สั่ง</x:t>
        </x:is>
      </x:c>
    </x:row>
    <x:row r="119">
      <x:c r="A119">
        <x:v>117</x:v>
      </x:c>
      <x:c r="B119" t="inlineStr">
        <x:is>
          <x:t xml:space="preserve">ยาลดการหลั่งกรด (D)</x:t>
        </x:is>
      </x:c>
      <x:c r="C119">
        <x:v>3065</x:v>
      </x:c>
      <x:c r="D119" t="inlineStr">
        <x:is>
          <x:t xml:space="preserve">Ocid</x:t>
        </x:is>
      </x:c>
      <x:c r="E119" t="inlineStr">
        <x:is>
          <x:t xml:space="preserve">กล่อง 10 แคปซูล</x:t>
        </x:is>
      </x:c>
      <x:c r="F119" t="inlineStr">
        <x:is>
          <x:t xml:space="preserve">Omeprazole 20 mg.</x:t>
        </x:is>
      </x:c>
      <x:c r="G119" t="inlineStr">
        <x:is>
          <x:t xml:space="preserve">BDS003065</x:t>
        </x:is>
      </x:c>
      <x:c r="H119" t="inlineStr">
        <x:is>
          <x:t xml:space="preserve">Ocid (10 cap)</x:t>
        </x:is>
      </x:c>
      <x:c r="I119" t="inlineStr">
        <x:is>
          <x:t xml:space="preserve">รับประทานครั้งละ 1 แคปซูล วันละ 1 ครั้ง ก่อนอาหาร</x:t>
        </x:is>
      </x:c>
    </x:row>
    <x:row r="120">
      <x:c r="A120">
        <x:v>118</x:v>
      </x:c>
      <x:c r="B120" t="inlineStr">
        <x:is>
          <x:t xml:space="preserve">ยาลดการหลั่งกรด (D)</x:t>
        </x:is>
      </x:c>
      <x:c r="C120">
        <x:v>6714</x:v>
      </x:c>
      <x:c r="D120" t="inlineStr">
        <x:is>
          <x:t xml:space="preserve">Omeprazole 20 mg (GPO)</x:t>
        </x:is>
      </x:c>
      <x:c r="E120" t="inlineStr">
        <x:is>
          <x:t xml:space="preserve">แผง 10 แคปซูล</x:t>
        </x:is>
      </x:c>
      <x:c r="F120" t="inlineStr">
        <x:is>
          <x:t xml:space="preserve">Omeprazole 20 mg.</x:t>
        </x:is>
      </x:c>
      <x:c r="G120" t="inlineStr">
        <x:is>
          <x:t xml:space="preserve">BDS006714</x:t>
        </x:is>
      </x:c>
      <x:c r="H120" t="inlineStr">
        <x:is>
          <x:t xml:space="preserve">Omeprazole 20 mg (GPO) (10 cap)</x:t>
        </x:is>
      </x:c>
      <x:c r="I120" t="inlineStr">
        <x:is>
          <x:t xml:space="preserve">รับประทานครั้งละ 1 แคปซูล วันละ 1 ครั้ง ก่อนอาหาร</x:t>
        </x:is>
      </x:c>
    </x:row>
    <x:row r="121">
      <x:c r="A121">
        <x:v>119</x:v>
      </x:c>
      <x:c r="B121" t="inlineStr">
        <x:is>
          <x:t xml:space="preserve">ยาลดการหลั่งกรด (D)</x:t>
        </x:is>
      </x:c>
      <x:c r="C121">
        <x:v>3138</x:v>
      </x:c>
      <x:c r="D121" t="inlineStr">
        <x:is>
          <x:t xml:space="preserve">Pariet 20 mg</x:t>
        </x:is>
      </x:c>
      <x:c r="E121" t="inlineStr">
        <x:is>
          <x:t xml:space="preserve">กล่อง 14 เม็ด</x:t>
        </x:is>
      </x:c>
      <x:c r="F121" t="inlineStr">
        <x:is>
          <x:t xml:space="preserve">Rabeprazole 20 mg.</x:t>
        </x:is>
      </x:c>
      <x:c r="G121" t="inlineStr">
        <x:is>
          <x:t xml:space="preserve">BDS003138</x:t>
        </x:is>
      </x:c>
      <x:c r="H121" t="inlineStr">
        <x:is>
          <x:t xml:space="preserve">Pariet 20 mg (14 tabs)</x:t>
        </x:is>
      </x:c>
      <x:c r="I121" t="inlineStr">
        <x:is>
          <x:t xml:space="preserve">รับประทานครั้งละ 1 เม็ด วันละ 1 ครั้ง หรือตามแพทย์สั่ง</x:t>
        </x:is>
      </x:c>
    </x:row>
    <x:row r="122">
      <x:c r="A122">
        <x:v>120</x:v>
      </x:c>
      <x:c r="B122" t="inlineStr">
        <x:is>
          <x:t xml:space="preserve">ยาลดการหลั่งกรด (D)</x:t>
        </x:is>
      </x:c>
      <x:c r="C122">
        <x:v>3110</x:v>
      </x:c>
      <x:c r="D122" t="inlineStr">
        <x:is>
          <x:t xml:space="preserve">Prevacid FDT 30</x:t>
        </x:is>
      </x:c>
      <x:c r="E122" t="inlineStr">
        <x:is>
          <x:t xml:space="preserve">กล่อง 14 เม็ด</x:t>
        </x:is>
      </x:c>
      <x:c r="F122" t="inlineStr">
        <x:is>
          <x:t xml:space="preserve">Lansoprazole 30 mg.</x:t>
        </x:is>
      </x:c>
      <x:c r="G122" t="inlineStr">
        <x:is>
          <x:t xml:space="preserve">BDS003110</x:t>
        </x:is>
      </x:c>
      <x:c r="H122" t="inlineStr">
        <x:is>
          <x:t xml:space="preserve">Prevacid FDT 30 (14 tabs)</x:t>
        </x:is>
      </x:c>
      <x:c r="I122" t="inlineStr">
        <x:is>
          <x:t xml:space="preserve">รับประทานครั้งละ 1 เม็ดวันละ 1 ครั้ง หรือตามแพทย์สั่ง</x:t>
        </x:is>
      </x:c>
    </x:row>
    <x:row r="123">
      <x:c r="A123">
        <x:v>121</x:v>
      </x:c>
      <x:c r="B123" t="inlineStr">
        <x:is>
          <x:t xml:space="preserve">ยาลดการหลั่งกรด (D)</x:t>
        </x:is>
      </x:c>
      <x:c r="C123">
        <x:v>47441</x:v>
      </x:c>
      <x:c r="D123" t="inlineStr">
        <x:is>
          <x:t xml:space="preserve">Rabeprazole Sandoz 20 mg </x:t>
        </x:is>
      </x:c>
      <x:c r="E123" t="inlineStr">
        <x:is>
          <x:t xml:space="preserve">กล่อง 14 เม็ด</x:t>
        </x:is>
      </x:c>
      <x:c r="F123" t="inlineStr">
        <x:is>
          <x:t xml:space="preserve">Rabeprazole Sandoz 20 mg.</x:t>
        </x:is>
      </x:c>
      <x:c r="G123" t="inlineStr">
        <x:is>
          <x:t xml:space="preserve">BDS047441</x:t>
        </x:is>
      </x:c>
      <x:c r="H123" t="inlineStr">
        <x:is>
          <x:t xml:space="preserve">Rabeprazole Sandoz 20 mg  (14 tabs)</x:t>
        </x:is>
      </x:c>
      <x:c r="I123" t="inlineStr">
        <x:is>
          <x:t xml:space="preserve">รับประทานครั้งละ 1 เม็ด วันละ 1 ครั้ง ก่อนอาหารเช้า </x:t>
        </x:is>
      </x:c>
    </x:row>
    <x:row r="124">
      <x:c r="A124">
        <x:v>122</x:v>
      </x:c>
      <x:c r="B124" t="inlineStr">
        <x:is>
          <x:t xml:space="preserve">ยาลดการหลั่งกรด (D)</x:t>
        </x:is>
      </x:c>
      <x:c r="C124">
        <x:v>3527</x:v>
      </x:c>
      <x:c r="D124" t="inlineStr">
        <x:is>
          <x:t xml:space="preserve">Siamidine 400 mg</x:t>
        </x:is>
      </x:c>
      <x:c r="E124" t="inlineStr">
        <x:is>
          <x:t xml:space="preserve">แผง 10 เม็ด</x:t>
        </x:is>
      </x:c>
      <x:c r="F124" t="inlineStr">
        <x:is>
          <x:t xml:space="preserve">Cimetidine 400 mg.</x:t>
        </x:is>
      </x:c>
      <x:c r="G124" t="inlineStr">
        <x:is>
          <x:t xml:space="preserve">BDS003527</x:t>
        </x:is>
      </x:c>
      <x:c r="H124" t="inlineStr">
        <x:is>
          <x:t xml:space="preserve">Siamidine 400 mg (10 tabs)</x:t>
        </x:is>
      </x:c>
      <x:c r="I124" t="inlineStr">
        <x:is>
          <x:t xml:space="preserve">รับประทานครั้งละ 1 เม็ด วันละ 2 ครั้ง</x:t>
        </x:is>
      </x:c>
    </x:row>
    <x:row r="125">
      <x:c r="A125">
        <x:v>123</x:v>
      </x:c>
      <x:c r="B125" t="inlineStr">
        <x:is>
          <x:t xml:space="preserve">ยาลดบวม (D)</x:t>
        </x:is>
      </x:c>
      <x:c r="C125">
        <x:v>7181</x:v>
      </x:c>
      <x:c r="D125" t="inlineStr">
        <x:is>
          <x:t xml:space="preserve">Leftose</x:t>
        </x:is>
      </x:c>
      <x:c r="E125" t="inlineStr">
        <x:is>
          <x:t xml:space="preserve">แผง 10 เม็ด</x:t>
        </x:is>
      </x:c>
      <x:c r="F125" t="inlineStr">
        <x:is>
          <x:t xml:space="preserve">Lysozyme chloride 30 mg.</x:t>
        </x:is>
      </x:c>
      <x:c r="G125" t="inlineStr">
        <x:is>
          <x:t xml:space="preserve">BDS007181</x:t>
        </x:is>
      </x:c>
      <x:c r="H125" t="inlineStr">
        <x:is>
          <x:t xml:space="preserve">Leftose (10 tabs)</x:t>
        </x:is>
      </x:c>
      <x:c r="I125" t="inlineStr">
        <x:is>
          <x:t xml:space="preserve">รับประทานครั้งละ 1 เม็ด วันละ 3 ครั้ง</x:t>
        </x:is>
      </x:c>
    </x:row>
    <x:row r="126">
      <x:c r="A126">
        <x:v>124</x:v>
      </x:c>
      <x:c r="B126" t="inlineStr">
        <x:is>
          <x:t xml:space="preserve">ยาลดบวม (D)</x:t>
        </x:is>
      </x:c>
      <x:c r="C126">
        <x:v>46509</x:v>
      </x:c>
      <x:c r="D126" t="inlineStr">
        <x:is>
          <x:t xml:space="preserve">Proctase-P</x:t>
        </x:is>
      </x:c>
      <x:c r="E126" t="inlineStr">
        <x:is>
          <x:t xml:space="preserve">แผง 10 แคปซูล</x:t>
        </x:is>
      </x:c>
      <x:c r="F126" t="inlineStr">
        <x:is>
          <x:t xml:space="preserve">Proctase 10 mg+Pancreatin 50 mg</x:t>
        </x:is>
      </x:c>
      <x:c r="G126" t="inlineStr">
        <x:is>
          <x:t xml:space="preserve">BDS046509</x:t>
        </x:is>
      </x:c>
      <x:c r="H126" t="inlineStr">
        <x:is>
          <x:t xml:space="preserve">Proctase-P (10 cap)</x:t>
        </x:is>
      </x:c>
      <x:c r="I126" t="inlineStr">
        <x:is>
          <x:t xml:space="preserve">รับประทานครั้งละ 1-2 แคปซูล วันละ 3 ครั้ง หลังอาหาร</x:t>
        </x:is>
      </x:c>
    </x:row>
    <x:row r="127">
      <x:c r="A127">
        <x:v>125</x:v>
      </x:c>
      <x:c r="B127" t="inlineStr">
        <x:is>
          <x:t xml:space="preserve">ยาขยายหลอดลม (D)</x:t>
        </x:is>
      </x:c>
      <x:c r="C127">
        <x:v>8607</x:v>
      </x:c>
      <x:c r="D127" t="inlineStr">
        <x:is>
          <x:t xml:space="preserve">Durasal-CR 4 mg</x:t>
        </x:is>
      </x:c>
      <x:c r="E127" t="inlineStr">
        <x:is>
          <x:t xml:space="preserve">แผง 10 แคปซูล</x:t>
        </x:is>
      </x:c>
      <x:c r="F127" t="inlineStr">
        <x:is>
          <x:t xml:space="preserve">Salbutamol 4 mg.</x:t>
        </x:is>
      </x:c>
      <x:c r="G127" t="inlineStr">
        <x:is>
          <x:t xml:space="preserve">BDS008607</x:t>
        </x:is>
      </x:c>
      <x:c r="H127" t="inlineStr">
        <x:is>
          <x:t xml:space="preserve">Durasal-CR 4 mg (10 cap)</x:t>
        </x:is>
      </x:c>
      <x:c r="I127" t="inlineStr">
        <x:is>
          <x:t xml:space="preserve">รับประทานครั้งละ 1 แคปซูล วันละ 2 ครั้ง เช้า-เย็น</x:t>
        </x:is>
      </x:c>
      <x:c r="P127" t="inlineStr">
        <x:is>
          <x:t xml:space="preserve">Bronchodilators (inhalers/oral)</x:t>
        </x:is>
      </x:c>
    </x:row>
    <x:row r="128">
      <x:c r="A128">
        <x:v>126</x:v>
      </x:c>
      <x:c r="B128" t="inlineStr">
        <x:is>
          <x:t xml:space="preserve">ยาขยายหลอดลม (D)</x:t>
        </x:is>
      </x:c>
      <x:c r="C128">
        <x:v>2616</x:v>
      </x:c>
      <x:c r="D128" t="inlineStr">
        <x:is>
          <x:t xml:space="preserve">Meptin 50</x:t>
        </x:is>
      </x:c>
      <x:c r="E128" t="inlineStr">
        <x:is>
          <x:t xml:space="preserve">แผง 10 เม็ด</x:t>
        </x:is>
      </x:c>
      <x:c r="F128" t="inlineStr">
        <x:is>
          <x:t xml:space="preserve">Procaterol HCl 50 mcg.</x:t>
        </x:is>
      </x:c>
      <x:c r="G128" t="inlineStr">
        <x:is>
          <x:t xml:space="preserve">BDS002616</x:t>
        </x:is>
      </x:c>
      <x:c r="H128" t="inlineStr">
        <x:is>
          <x:t xml:space="preserve">Meptin 50 (10 tabs)</x:t>
        </x:is>
      </x:c>
      <x:c r="I128" t="inlineStr">
        <x:is>
          <x:t xml:space="preserve">รับประทานครั้งละ 1 เม็ด วันละ 2   ครั้ง เช้าและก่อนนอน</x:t>
        </x:is>
      </x:c>
      <x:c r="P128" t="inlineStr">
        <x:is>
          <x:t xml:space="preserve">Bronchodilators (inhalers/oral)</x:t>
        </x:is>
      </x:c>
    </x:row>
    <x:row r="129">
      <x:c r="A129">
        <x:v>127</x:v>
      </x:c>
      <x:c r="B129" t="inlineStr">
        <x:is>
          <x:t xml:space="preserve">ยาขยายหลอดลม (D)</x:t>
        </x:is>
      </x:c>
      <x:c r="C129">
        <x:v>2617</x:v>
      </x:c>
      <x:c r="D129" t="inlineStr">
        <x:is>
          <x:t xml:space="preserve">Meptin Mini 25</x:t>
        </x:is>
      </x:c>
      <x:c r="E129" t="inlineStr">
        <x:is>
          <x:t xml:space="preserve">แผง 10 เม็ด</x:t>
        </x:is>
      </x:c>
      <x:c r="F129" t="inlineStr">
        <x:is>
          <x:t xml:space="preserve">Procaterol HCl 25 mcg.</x:t>
        </x:is>
      </x:c>
      <x:c r="G129" t="inlineStr">
        <x:is>
          <x:t xml:space="preserve">BDS002617</x:t>
        </x:is>
      </x:c>
      <x:c r="H129" t="inlineStr">
        <x:is>
          <x:t xml:space="preserve">Meptin Mini 25 (10 tabs)</x:t>
        </x:is>
      </x:c>
      <x:c r="I129" t="inlineStr">
        <x:is>
          <x:t xml:space="preserve">รับประทานครั้งละ 1 เม็ด วันละ 2 ครั้ง เช้าและก่อนนอน</x:t>
        </x:is>
      </x:c>
      <x:c r="P129" t="inlineStr">
        <x:is>
          <x:t xml:space="preserve">Bronchodilators (inhalers/oral)</x:t>
        </x:is>
      </x:c>
    </x:row>
    <x:row r="130">
      <x:c r="A130">
        <x:v>128</x:v>
      </x:c>
      <x:c r="B130" t="inlineStr">
        <x:is>
          <x:t xml:space="preserve">ยาขยายหลอดลม (D)</x:t>
        </x:is>
      </x:c>
      <x:c r="C130">
        <x:v>2844</x:v>
      </x:c>
      <x:c r="D130" t="inlineStr">
        <x:is>
          <x:t xml:space="preserve">Nuelin SR</x:t>
        </x:is>
      </x:c>
      <x:c r="E130" t="inlineStr">
        <x:is>
          <x:t xml:space="preserve">แผง 20 เม็ด</x:t>
        </x:is>
      </x:c>
      <x:c r="F130" t="inlineStr">
        <x:is>
          <x:t xml:space="preserve">Theophylline 200 mg.</x:t>
        </x:is>
      </x:c>
      <x:c r="G130" t="inlineStr">
        <x:is>
          <x:t xml:space="preserve">BDS002844</x:t>
        </x:is>
      </x:c>
      <x:c r="H130" t="inlineStr">
        <x:is>
          <x:t xml:space="preserve">Nuelin SR (20 tabs)</x:t>
        </x:is>
      </x:c>
      <x:c r="I130" t="inlineStr">
        <x:is>
          <x:t xml:space="preserve">รับประทานครั้งละ 1 เม็ด วันละ 2 ครั้ง หลังอาหาร หรือตามแพทย์สั่ง</x:t>
        </x:is>
      </x:c>
      <x:c r="P130" t="inlineStr">
        <x:is>
          <x:t xml:space="preserve">Bronchodilators (inhalers/oral)</x:t>
        </x:is>
      </x:c>
    </x:row>
    <x:row r="131">
      <x:c r="A131">
        <x:v>129</x:v>
      </x:c>
      <x:c r="B131" t="inlineStr">
        <x:is>
          <x:t xml:space="preserve">ยาขยายหลอดลม (D)</x:t>
        </x:is>
      </x:c>
      <x:c r="C131">
        <x:v>3708</x:v>
      </x:c>
      <x:c r="D131" t="inlineStr">
        <x:is>
          <x:t xml:space="preserve">Terbuhim</x:t>
        </x:is>
      </x:c>
      <x:c r="E131" t="inlineStr">
        <x:is>
          <x:t xml:space="preserve">แผง 10 เม็ด</x:t>
        </x:is>
      </x:c>
      <x:c r="F131" t="inlineStr">
        <x:is>
          <x:t xml:space="preserve">Terbutaline sulfate 2.5 mg</x:t>
        </x:is>
      </x:c>
      <x:c r="G131" t="inlineStr">
        <x:is>
          <x:t xml:space="preserve">BDS003708</x:t>
        </x:is>
      </x:c>
      <x:c r="H131" t="inlineStr">
        <x:is>
          <x:t xml:space="preserve">Terbuhim (10 tabs)</x:t>
        </x:is>
      </x:c>
      <x:c r="I131" t="inlineStr">
        <x:is>
          <x:t xml:space="preserve">รับประทานครั้งละ 1 เม็ด วันละ 3 ครั้ง หลังอาหาร</x:t>
        </x:is>
      </x:c>
      <x:c r="P131" t="inlineStr">
        <x:is>
          <x:t xml:space="preserve">Bronchodilators (inhalers/oral)</x:t>
        </x:is>
      </x:c>
    </x:row>
    <x:row r="132">
      <x:c r="A132">
        <x:v>130</x:v>
      </x:c>
      <x:c r="B132" t="inlineStr">
        <x:is>
          <x:t xml:space="preserve">ยาแก้อาเจียน (D)</x:t>
        </x:is>
      </x:c>
      <x:c r="C132">
        <x:v>42329</x:v>
      </x:c>
      <x:c r="D132" t="inlineStr">
        <x:is>
          <x:t xml:space="preserve">Doiz 50 mg</x:t>
        </x:is>
      </x:c>
      <x:c r="E132" t="inlineStr">
        <x:is>
          <x:t xml:space="preserve">กล่อง 10 เม็ด</x:t>
        </x:is>
      </x:c>
      <x:c r="F132" t="inlineStr">
        <x:is>
          <x:t xml:space="preserve">Itopride hydrochloride 50 mg.</x:t>
        </x:is>
      </x:c>
      <x:c r="G132" t="inlineStr">
        <x:is>
          <x:t xml:space="preserve">BDS042329</x:t>
        </x:is>
      </x:c>
      <x:c r="H132" t="inlineStr">
        <x:is>
          <x:t xml:space="preserve">Doiz 50 mg (10 tabs)</x:t>
        </x:is>
      </x:c>
      <x:c r="I132" t="inlineStr">
        <x:is>
          <x:t xml:space="preserve">รับประทานครั้งละ 1 เม็ด วันละ 3 ครั้ง </x:t>
        </x:is>
      </x:c>
    </x:row>
    <x:row r="133">
      <x:c r="A133">
        <x:v>131</x:v>
      </x:c>
      <x:c r="B133" t="inlineStr">
        <x:is>
          <x:t xml:space="preserve">ยาแก้อาเจียน (D)</x:t>
        </x:is>
      </x:c>
      <x:c r="C133">
        <x:v>7106</x:v>
      </x:c>
      <x:c r="D133" t="inlineStr">
        <x:is>
          <x:t xml:space="preserve">Domperdone</x:t>
        </x:is>
      </x:c>
      <x:c r="E133" t="inlineStr">
        <x:is>
          <x:t xml:space="preserve">แผง 10 เม็ด</x:t>
        </x:is>
      </x:c>
      <x:c r="F133" t="inlineStr">
        <x:is>
          <x:t xml:space="preserve">Domperidone 10 mg.</x:t>
        </x:is>
      </x:c>
      <x:c r="G133" t="inlineStr">
        <x:is>
          <x:t xml:space="preserve">BDS007106</x:t>
        </x:is>
      </x:c>
      <x:c r="H133" t="inlineStr">
        <x:is>
          <x:t xml:space="preserve">Domperdone (10 tabs)</x:t>
        </x:is>
      </x:c>
      <x:c r="I133" t="inlineStr">
        <x:is>
          <x:t xml:space="preserve">รับประทานครั้งละ 1 เม็ด วันละ 3 ครั้ง ก่อนอาหาร 30 นาที</x:t>
        </x:is>
      </x:c>
    </x:row>
    <x:row r="134">
      <x:c r="A134">
        <x:v>132</x:v>
      </x:c>
      <x:c r="B134" t="inlineStr">
        <x:is>
          <x:t xml:space="preserve">ยาแก้อาเจียน (D)</x:t>
        </x:is>
      </x:c>
      <x:c r="C134">
        <x:v>2048</x:v>
      </x:c>
      <x:c r="D134" t="inlineStr">
        <x:is>
          <x:t xml:space="preserve">Ganaton</x:t>
        </x:is>
      </x:c>
      <x:c r="E134" t="inlineStr">
        <x:is>
          <x:t xml:space="preserve">กล่อง 10 เม็ด</x:t>
        </x:is>
      </x:c>
      <x:c r="F134" t="inlineStr">
        <x:is>
          <x:t xml:space="preserve">Itopride Hydrochloride 50 mg.</x:t>
        </x:is>
      </x:c>
      <x:c r="G134" t="inlineStr">
        <x:is>
          <x:t xml:space="preserve">BDS002048</x:t>
        </x:is>
      </x:c>
      <x:c r="H134" t="inlineStr">
        <x:is>
          <x:t xml:space="preserve">Ganaton (10 tabs)</x:t>
        </x:is>
      </x:c>
      <x:c r="I134" t="inlineStr">
        <x:is>
          <x:t xml:space="preserve">รับประทานครั้งละ 1 เม็ด  วันละ 3 ครั้ง ก่อนอาหาร</x:t>
        </x:is>
      </x:c>
    </x:row>
    <x:row r="135">
      <x:c r="A135">
        <x:v>133</x:v>
      </x:c>
      <x:c r="B135" t="inlineStr">
        <x:is>
          <x:t xml:space="preserve">ยาแก้อาเจียน (D)</x:t>
        </x:is>
      </x:c>
      <x:c r="C135">
        <x:v>6250</x:v>
      </x:c>
      <x:c r="D135" t="inlineStr">
        <x:is>
          <x:t xml:space="preserve">Gasmotin tabslets</x:t>
        </x:is>
      </x:c>
      <x:c r="E135" t="inlineStr">
        <x:is>
          <x:t xml:space="preserve">แผง 10 เม็ด</x:t>
        </x:is>
      </x:c>
      <x:c r="F135" t="inlineStr">
        <x:is>
          <x:t xml:space="preserve">Mosapride citrate 5 mg.</x:t>
        </x:is>
      </x:c>
      <x:c r="G135" t="inlineStr">
        <x:is>
          <x:t xml:space="preserve">BDS006250</x:t>
        </x:is>
      </x:c>
      <x:c r="H135" t="inlineStr">
        <x:is>
          <x:t xml:space="preserve">Gasmotin tabslets (10 tabs)</x:t>
        </x:is>
      </x:c>
      <x:c r="I135" t="inlineStr">
        <x:is>
          <x:t xml:space="preserve">รับประทานครั้งละ 1 เม็ด วันละ 3  ครั้ง</x:t>
        </x:is>
      </x:c>
    </x:row>
    <x:row r="136">
      <x:c r="A136">
        <x:v>134</x:v>
      </x:c>
      <x:c r="B136" t="inlineStr">
        <x:is>
          <x:t xml:space="preserve">ยาแก้อาเจียน (D)</x:t>
        </x:is>
      </x:c>
      <x:c r="C136">
        <x:v>44921</x:v>
      </x:c>
      <x:c r="D136" t="inlineStr">
        <x:is>
          <x:t xml:space="preserve">Mirax-M</x:t>
        </x:is>
      </x:c>
      <x:c r="E136" t="inlineStr">
        <x:is>
          <x:t xml:space="preserve">แผง 10 เม็ด</x:t>
        </x:is>
      </x:c>
      <x:c r="F136" t="inlineStr">
        <x:is>
          <x:t xml:space="preserve">Domperidone 10 mg.</x:t>
        </x:is>
      </x:c>
      <x:c r="G136" t="inlineStr">
        <x:is>
          <x:t xml:space="preserve">BDS044921</x:t>
        </x:is>
      </x:c>
      <x:c r="H136" t="inlineStr">
        <x:is>
          <x:t xml:space="preserve">Mirax-M (10 tabs)</x:t>
        </x:is>
      </x:c>
      <x:c r="I136" t="inlineStr">
        <x:is>
          <x:t xml:space="preserve">รับประทานครั้งละ 1 เม็ด วันละ 3 ครั้ง ก่อนอาหาร 1 ชั่วโมง หรือตามแพทย์สั่ง</x:t>
        </x:is>
      </x:c>
    </x:row>
    <x:row r="137">
      <x:c r="A137">
        <x:v>135</x:v>
      </x:c>
      <x:c r="B137" t="inlineStr">
        <x:is>
          <x:t xml:space="preserve">ยาแก้อาเจียน (D)</x:t>
        </x:is>
      </x:c>
      <x:c r="C137">
        <x:v>6639</x:v>
      </x:c>
      <x:c r="D137" t="inlineStr">
        <x:is>
          <x:t xml:space="preserve">Molax-M</x:t>
        </x:is>
      </x:c>
      <x:c r="E137" t="inlineStr">
        <x:is>
          <x:t xml:space="preserve">แผง 10 เม็ด</x:t>
        </x:is>
      </x:c>
      <x:c r="F137" t="inlineStr">
        <x:is>
          <x:t xml:space="preserve">Domperidone 10 mg.</x:t>
        </x:is>
      </x:c>
      <x:c r="G137" t="inlineStr">
        <x:is>
          <x:t xml:space="preserve">BDS006639</x:t>
        </x:is>
      </x:c>
      <x:c r="H137" t="inlineStr">
        <x:is>
          <x:t xml:space="preserve">Molax-M (10 tabs)</x:t>
        </x:is>
      </x:c>
      <x:c r="I137" t="inlineStr">
        <x:is>
          <x:t xml:space="preserve">รับประทานครั้งละ 1 เม็ด วันละ 3 ครั้ง ก่อนอาหาร 30 นาที</x:t>
        </x:is>
      </x:c>
    </x:row>
    <x:row r="138">
      <x:c r="A138">
        <x:v>136</x:v>
      </x:c>
      <x:c r="B138" t="inlineStr">
        <x:is>
          <x:t xml:space="preserve">ยาแก้อาเจียน (D)</x:t>
        </x:is>
      </x:c>
      <x:c r="C138">
        <x:v>2636</x:v>
      </x:c>
      <x:c r="D138" t="inlineStr">
        <x:is>
          <x:t xml:space="preserve">Motilium-M</x:t>
        </x:is>
      </x:c>
      <x:c r="E138" t="inlineStr">
        <x:is>
          <x:t xml:space="preserve">แผง 10 เม็ด</x:t>
        </x:is>
      </x:c>
      <x:c r="F138" t="inlineStr">
        <x:is>
          <x:t xml:space="preserve">Domperidone 10 mg.</x:t>
        </x:is>
      </x:c>
      <x:c r="G138" t="inlineStr">
        <x:is>
          <x:t xml:space="preserve">BDS002636</x:t>
        </x:is>
      </x:c>
      <x:c r="H138" t="inlineStr">
        <x:is>
          <x:t xml:space="preserve">Motilium-M (10 tabs)</x:t>
        </x:is>
      </x:c>
      <x:c r="I138" t="inlineStr">
        <x:is>
          <x:t xml:space="preserve">รับประทานครั้งละ 1 เม็ด วันละ 3 ครั้ง ก่อนอาหาร 1 ชั่วโมง หรือตามแพทย์สั่ง</x:t>
        </x:is>
      </x:c>
    </x:row>
    <x:row r="139">
      <x:c r="A139">
        <x:v>137</x:v>
      </x:c>
      <x:c r="B139" t="inlineStr">
        <x:is>
          <x:t xml:space="preserve">ยาแก้อาเจียน (D)</x:t>
        </x:is>
      </x:c>
      <x:c r="C139">
        <x:v>46502</x:v>
      </x:c>
      <x:c r="D139" t="inlineStr">
        <x:is>
          <x:t xml:space="preserve">Patilum</x:t>
        </x:is>
      </x:c>
      <x:c r="E139" t="inlineStr">
        <x:is>
          <x:t xml:space="preserve">แผง 10 เม็ด</x:t>
        </x:is>
      </x:c>
      <x:c r="F139" t="inlineStr">
        <x:is>
          <x:t xml:space="preserve">Domperidone 10 mg.</x:t>
        </x:is>
      </x:c>
      <x:c r="G139" t="inlineStr">
        <x:is>
          <x:t xml:space="preserve">BDS046502</x:t>
        </x:is>
      </x:c>
      <x:c r="H139" t="inlineStr">
        <x:is>
          <x:t xml:space="preserve">Patilum (10 tabs)</x:t>
        </x:is>
      </x:c>
      <x:c r="I139" t="inlineStr">
        <x:is>
          <x:t xml:space="preserve">รับประทานครั้งละ 1 เม็ด วันละ 3 ครั้ง ก่อนอาหาร 30 นาที หรือตามแพทย์สั่ง</x:t>
        </x:is>
      </x:c>
    </x:row>
    <x:row r="140">
      <x:c r="A140">
        <x:v>138</x:v>
      </x:c>
      <x:c r="B140" t="inlineStr">
        <x:is>
          <x:t xml:space="preserve">ยาขับลม</x:t>
        </x:is>
      </x:c>
      <x:c r="C140">
        <x:v>1079</x:v>
      </x:c>
      <x:c r="D140" t="inlineStr">
        <x:is>
          <x:t xml:space="preserve">Air-X 120</x:t>
        </x:is>
      </x:c>
      <x:c r="E140" t="inlineStr">
        <x:is>
          <x:t xml:space="preserve">แผง 10 เม็ด</x:t>
        </x:is>
      </x:c>
      <x:c r="F140" t="inlineStr">
        <x:is>
          <x:t xml:space="preserve">Simethicone 120 mg.</x:t>
        </x:is>
      </x:c>
      <x:c r="G140" t="inlineStr">
        <x:is>
          <x:t xml:space="preserve">BDS001079</x:t>
        </x:is>
      </x:c>
      <x:c r="H140" t="inlineStr">
        <x:is>
          <x:t xml:space="preserve">Air-X 120 (10 tabs)</x:t>
        </x:is>
      </x:c>
      <x:c r="I140" t="inlineStr">
        <x:is>
          <x:t xml:space="preserve">รับประทาน (เคี้ยว) ครั้งละ 1 เม็ด วันละ 3-4 ครั้ง</x:t>
        </x:is>
      </x:c>
      <x:c r="P140" t="inlineStr">
        <x:is>
          <x:t xml:space="preserve">Carminatives (gas relief)</x:t>
        </x:is>
      </x:c>
    </x:row>
    <x:row r="141">
      <x:c r="A141">
        <x:v>139</x:v>
      </x:c>
      <x:c r="B141" t="inlineStr">
        <x:is>
          <x:t xml:space="preserve">ยาขับลม</x:t>
        </x:is>
      </x:c>
      <x:c r="C141">
        <x:v>6054</x:v>
      </x:c>
      <x:c r="D141" t="inlineStr">
        <x:is>
          <x:t xml:space="preserve">Gogaz</x:t>
        </x:is>
      </x:c>
      <x:c r="E141" t="inlineStr">
        <x:is>
          <x:t xml:space="preserve">กล่อง 10 แคปซูล</x:t>
        </x:is>
      </x:c>
      <x:c r="F141" t="inlineStr">
        <x:is>
          <x:t xml:space="preserve">Simethicone 200 mg.</x:t>
        </x:is>
      </x:c>
      <x:c r="G141" t="inlineStr">
        <x:is>
          <x:t xml:space="preserve">BDS006054</x:t>
        </x:is>
      </x:c>
      <x:c r="H141" t="inlineStr">
        <x:is>
          <x:t xml:space="preserve">Gogaz (10 cap)</x:t>
        </x:is>
      </x:c>
      <x:c r="I141" t="inlineStr">
        <x:is>
          <x:t xml:space="preserve">รับประทานครั้งละ 1 แคปซูล วันละ 1-2 ครั้ง หลังอาหาร หรือก่อนนอน หรือตามแพทย์สั่ง</x:t>
        </x:is>
      </x:c>
      <x:c r="P141" t="inlineStr">
        <x:is>
          <x:t xml:space="preserve">Carminatives (gas relief)</x:t>
        </x:is>
      </x:c>
    </x:row>
    <x:row r="142">
      <x:c r="A142">
        <x:v>140</x:v>
      </x:c>
      <x:c r="B142" t="inlineStr">
        <x:is>
          <x:t xml:space="preserve">ยาขับลม</x:t>
        </x:is>
      </x:c>
      <x:c r="C142">
        <x:v>8682</x:v>
      </x:c>
      <x:c r="D142" t="inlineStr">
        <x:is>
          <x:t xml:space="preserve">Pudin Hara</x:t>
        </x:is>
      </x:c>
      <x:c r="E142" t="inlineStr">
        <x:is>
          <x:t xml:space="preserve">แผง 10 แคปซูล</x:t>
        </x:is>
      </x:c>
      <x:c r="F142" t="inlineStr">
        <x:is>
          <x:t xml:space="preserve">Peppermint Oil 150 mg.+Spearmint Oil 30 mg.</x:t>
        </x:is>
      </x:c>
      <x:c r="G142" t="inlineStr">
        <x:is>
          <x:t xml:space="preserve">BDS008682</x:t>
        </x:is>
      </x:c>
      <x:c r="H142" t="inlineStr">
        <x:is>
          <x:t xml:space="preserve">Pudin Hara (10 cap)</x:t>
        </x:is>
      </x:c>
      <x:c r="I142" t="inlineStr">
        <x:is>
          <x:t xml:space="preserve">รับประทานครั้งละ 2 แคปซูล หลังอาหาร พร้อมน้ำ 1 แก้ว </x:t>
        </x:is>
      </x:c>
      <x:c r="P142" t="inlineStr">
        <x:is>
          <x:t xml:space="preserve">Carminatives (gas relief)</x:t>
        </x:is>
      </x:c>
    </x:row>
    <x:row r="143">
      <x:c r="A143">
        <x:v>141</x:v>
      </x:c>
      <x:c r="B143" t="inlineStr">
        <x:is>
          <x:t xml:space="preserve">ยาขับลม</x:t>
        </x:is>
      </x:c>
      <x:c r="C143">
        <x:v>47683</x:v>
      </x:c>
      <x:c r="D143" t="inlineStr">
        <x:is>
          <x:t xml:space="preserve">Soda Mint</x:t>
        </x:is>
      </x:c>
      <x:c r="E143" t="inlineStr">
        <x:is>
          <x:t xml:space="preserve">แผง 10 เม็ด</x:t>
        </x:is>
      </x:c>
      <x:c r="F143" t="inlineStr">
        <x:is>
          <x:t xml:space="preserve">Sodium bicarbonate 300 mg+Peppermint Oil 0.003 ml</x:t>
        </x:is>
      </x:c>
      <x:c r="G143" t="inlineStr">
        <x:is>
          <x:t xml:space="preserve">BDS047683</x:t>
        </x:is>
      </x:c>
      <x:c r="H143" t="inlineStr">
        <x:is>
          <x:t xml:space="preserve">Soda Mint (10 tabs)</x:t>
        </x:is>
      </x:c>
      <x:c r="I143" t="inlineStr">
        <x:is>
          <x:t xml:space="preserve">รับประทานครั้งละ 2 เม็ด วันละ 2-4 ครั้ง ก่อนอาหาร หรือตามแพทย์สั่ง</x:t>
        </x:is>
      </x:c>
      <x:c r="P143" t="inlineStr">
        <x:is>
          <x:t xml:space="preserve">Carminatives (gas relief)</x:t>
        </x:is>
      </x:c>
    </x:row>
    <x:row r="144">
      <x:c r="A144">
        <x:v>142</x:v>
      </x:c>
      <x:c r="B144" t="inlineStr">
        <x:is>
          <x:t xml:space="preserve">ยาขับลม</x:t>
        </x:is>
      </x:c>
      <x:c r="C144">
        <x:v>3910</x:v>
      </x:c>
      <x:c r="D144" t="inlineStr">
        <x:is>
          <x:t xml:space="preserve">V-Cap</x:t>
        </x:is>
      </x:c>
      <x:c r="E144" t="inlineStr">
        <x:is>
          <x:t xml:space="preserve">แผง 10 แคปซูล</x:t>
        </x:is>
      </x:c>
      <x:c r="F144" t="inlineStr">
        <x:is>
          <x:t xml:space="preserve">Simethicone 150 mg.</x:t>
        </x:is>
      </x:c>
      <x:c r="G144" t="inlineStr">
        <x:is>
          <x:t xml:space="preserve">BDS003910</x:t>
        </x:is>
      </x:c>
      <x:c r="H144" t="inlineStr">
        <x:is>
          <x:t xml:space="preserve">V-Cap (10 cap)</x:t>
        </x:is>
      </x:c>
      <x:c r="I144" t="inlineStr">
        <x:is>
          <x:t xml:space="preserve">รับประทานครั้งละ 1 แคปซูล วันละ 3 ครั้ง</x:t>
        </x:is>
      </x:c>
      <x:c r="P144" t="inlineStr">
        <x:is>
          <x:t xml:space="preserve">Carminatives (gas relief)</x:t>
        </x:is>
      </x:c>
    </x:row>
    <x:row r="145">
      <x:c r="A145">
        <x:v>143</x:v>
      </x:c>
      <x:c r="B145" t="inlineStr">
        <x:is>
          <x:t xml:space="preserve">ยาต้านเชื้อรา (D)</x:t>
        </x:is>
      </x:c>
      <x:c r="C145">
        <x:v>40602</x:v>
      </x:c>
      <x:c r="D145" t="inlineStr">
        <x:is>
          <x:t xml:space="preserve">Biozole 150 mg</x:t>
        </x:is>
      </x:c>
      <x:c r="E145" t="inlineStr">
        <x:is>
          <x:t xml:space="preserve">กล่อง 1 แคปซูล</x:t>
        </x:is>
      </x:c>
      <x:c r="F145" t="inlineStr">
        <x:is>
          <x:t xml:space="preserve">Fluconazole 150 mg.</x:t>
        </x:is>
      </x:c>
      <x:c r="G145" t="inlineStr">
        <x:is>
          <x:t xml:space="preserve">BDS040602</x:t>
        </x:is>
      </x:c>
      <x:c r="H145" t="inlineStr">
        <x:is>
          <x:t xml:space="preserve">Biozole 150 mg (1 cap)</x:t>
        </x:is>
      </x:c>
      <x:c r="I145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145" t="inlineStr">
        <x:is>
          <x:t xml:space="preserve">Antifungals (oral/topical)</x:t>
        </x:is>
      </x:c>
    </x:row>
    <x:row r="146">
      <x:c r="A146">
        <x:v>144</x:v>
      </x:c>
      <x:c r="B146" t="inlineStr">
        <x:is>
          <x:t xml:space="preserve">ยาต้านเชื้อรา (D)</x:t>
        </x:is>
      </x:c>
      <x:c r="C146">
        <x:v>7128</x:v>
      </x:c>
      <x:c r="D146" t="inlineStr">
        <x:is>
          <x:t xml:space="preserve">Funa 200 mg</x:t>
        </x:is>
      </x:c>
      <x:c r="E146" t="inlineStr">
        <x:is>
          <x:t xml:space="preserve">กล่อง 1 แคปซูล</x:t>
        </x:is>
      </x:c>
      <x:c r="F146" t="inlineStr">
        <x:is>
          <x:t xml:space="preserve">Fluconazole 200 mg.</x:t>
        </x:is>
      </x:c>
      <x:c r="G146" t="inlineStr">
        <x:is>
          <x:t xml:space="preserve">BDS007128</x:t>
        </x:is>
      </x:c>
      <x:c r="H146" t="inlineStr">
        <x:is>
          <x:t xml:space="preserve">Funa 200 mg (1 cap)</x:t>
        </x:is>
      </x:c>
      <x:c r="I146" t="inlineStr">
        <x:is>
          <x:t xml:space="preserve">รับประทานครั้งละ 1 แคปซูล วันละ 1 ครั้ง หลังอาหาร</x:t>
        </x:is>
      </x:c>
      <x:c r="P146" t="inlineStr">
        <x:is>
          <x:t xml:space="preserve">Antifungals (oral/topical)</x:t>
        </x:is>
      </x:c>
    </x:row>
    <x:row r="147">
      <x:c r="A147">
        <x:v>145</x:v>
      </x:c>
      <x:c r="B147" t="inlineStr">
        <x:is>
          <x:t xml:space="preserve">ยาต้านเชื้อรา (D)</x:t>
        </x:is>
      </x:c>
      <x:c r="C147">
        <x:v>7572</x:v>
      </x:c>
      <x:c r="D147" t="inlineStr">
        <x:is>
          <x:t xml:space="preserve">J.V.Nazole</x:t>
        </x:is>
      </x:c>
      <x:c r="E147" t="inlineStr">
        <x:is>
          <x:t xml:space="preserve">แผง 10 เม็ด</x:t>
        </x:is>
      </x:c>
      <x:c r="F147" t="inlineStr">
        <x:is>
          <x:t xml:space="preserve">Ketoconazole 200 mg.</x:t>
        </x:is>
      </x:c>
      <x:c r="G147" t="inlineStr">
        <x:is>
          <x:t xml:space="preserve">BDS007572</x:t>
        </x:is>
      </x:c>
      <x:c r="H147" t="inlineStr">
        <x:is>
          <x:t xml:space="preserve">J.V.Nazole (10 tabs)</x:t>
        </x:is>
      </x:c>
      <x:c r="I147" t="inlineStr">
        <x:is>
          <x:t xml:space="preserve">N/A</x:t>
        </x:is>
      </x:c>
      <x:c r="P147" t="inlineStr">
        <x:is>
          <x:t xml:space="preserve">Antifungals (oral/topical)</x:t>
        </x:is>
      </x:c>
    </x:row>
    <x:row r="148">
      <x:c r="A148">
        <x:v>146</x:v>
      </x:c>
      <x:c r="B148" t="inlineStr">
        <x:is>
          <x:t xml:space="preserve">ยาต้านเชื้อรา (D)</x:t>
        </x:is>
      </x:c>
      <x:c r="C148">
        <x:v>2826</x:v>
      </x:c>
      <x:c r="D148" t="inlineStr">
        <x:is>
          <x:t xml:space="preserve">Ninazol T.O.</x:t>
        </x:is>
      </x:c>
      <x:c r="E148" t="inlineStr">
        <x:is>
          <x:t xml:space="preserve">แผง 10 เม็ด</x:t>
        </x:is>
      </x:c>
      <x:c r="F148" t="inlineStr">
        <x:is>
          <x:t xml:space="preserve">Ketoconazole 200 mg.</x:t>
        </x:is>
      </x:c>
      <x:c r="G148" t="inlineStr">
        <x:is>
          <x:t xml:space="preserve">BDS002826</x:t>
        </x:is>
      </x:c>
      <x:c r="H148" t="inlineStr">
        <x:is>
          <x:t xml:space="preserve">Ninazol T.O. (10 tabs)</x:t>
        </x:is>
      </x:c>
      <x:c r="I148" t="inlineStr">
        <x:is>
          <x:t xml:space="preserve">รับประทานครั้งละ 1 เม็ด วันละ 1 ครั้ง หลังอาหาร</x:t>
        </x:is>
      </x:c>
      <x:c r="P148" t="inlineStr">
        <x:is>
          <x:t xml:space="preserve">Antifungals (oral/topical)</x:t>
        </x:is>
      </x:c>
    </x:row>
    <x:row r="149">
      <x:c r="A149">
        <x:v>147</x:v>
      </x:c>
      <x:c r="B149" t="inlineStr">
        <x:is>
          <x:t xml:space="preserve">ยาต้านเชื้อรา (D)</x:t>
        </x:is>
      </x:c>
      <x:c r="C149">
        <x:v>45631</x:v>
      </x:c>
      <x:c r="D149" t="inlineStr">
        <x:is>
          <x:t xml:space="preserve">Nyst Oral</x:t>
        </x:is>
      </x:c>
      <x:c r="E149" t="inlineStr">
        <x:is>
          <x:t xml:space="preserve">ขวด 12 ml.</x:t>
        </x:is>
      </x:c>
      <x:c r="F149" t="inlineStr">
        <x:is>
          <x:t xml:space="preserve">Nystatin 100,000 Unit/1 ml.</x:t>
        </x:is>
      </x:c>
      <x:c r="G149" t="inlineStr">
        <x:is>
          <x:t xml:space="preserve">BDS045631</x:t>
        </x:is>
      </x:c>
      <x:c r="H149" t="inlineStr">
        <x:is>
          <x:t xml:space="preserve">Nyst Oral (12 ml.)</x:t>
        </x:is>
      </x:c>
      <x:c r="I149" t="inlineStr">
        <x:is>
          <x:t xml:space="preserve">รับประทานครั้งละ 1 หลอดหยด วันละ 4 ครั้ง หลังอาหารและก่อนนอน</x:t>
        </x:is>
      </x:c>
      <x:c r="P149" t="inlineStr">
        <x:is>
          <x:t xml:space="preserve">Antifungals (oral/topical)</x:t>
        </x:is>
      </x:c>
    </x:row>
    <x:row r="150">
      <x:c r="A150">
        <x:v>148</x:v>
      </x:c>
      <x:c r="B150" t="inlineStr">
        <x:is>
          <x:t xml:space="preserve">ยาต้านเชื้อรา (D)</x:t>
        </x:is>
      </x:c>
      <x:c r="C150">
        <x:v>3653</x:v>
      </x:c>
      <x:c r="D150" t="inlineStr">
        <x:is>
          <x:t xml:space="preserve">Spornar</x:t>
        </x:is>
      </x:c>
      <x:c r="E150" t="inlineStr">
        <x:is>
          <x:t xml:space="preserve">กล่อง 10 แคปซูล</x:t>
        </x:is>
      </x:c>
      <x:c r="F150" t="inlineStr">
        <x:is>
          <x:t xml:space="preserve">Itraconazole 100 mg.</x:t>
        </x:is>
      </x:c>
      <x:c r="G150" t="inlineStr">
        <x:is>
          <x:t xml:space="preserve">BDS003653</x:t>
        </x:is>
      </x:c>
      <x:c r="H150" t="inlineStr">
        <x:is>
          <x:t xml:space="preserve">Spornar (10 cap)</x:t>
        </x:is>
      </x:c>
      <x:c r="I150" t="inlineStr">
        <x:is>
          <x:t xml:space="preserve">รับประทานครั้งละ 1 แคปซูล วันละ 1 ครั้ง หลังอาหาร หรือตามแพทย์สั่ง</x:t>
        </x:is>
      </x:c>
      <x:c r="P150" t="inlineStr">
        <x:is>
          <x:t xml:space="preserve">Antifungals (oral/topical)</x:t>
        </x:is>
      </x:c>
    </x:row>
    <x:row r="151">
      <x:c r="A151">
        <x:v>149</x:v>
      </x:c>
      <x:c r="B151" t="inlineStr">
        <x:is>
          <x:t xml:space="preserve">ยาต้านเชื้อไวรัส (D)</x:t>
        </x:is>
      </x:c>
      <x:c r="C151">
        <x:v>8064</x:v>
      </x:c>
      <x:c r="D151" t="inlineStr">
        <x:is>
          <x:t xml:space="preserve">Acyvir 400 mg</x:t>
        </x:is>
      </x:c>
      <x:c r="E151" t="inlineStr">
        <x:is>
          <x:t xml:space="preserve">แผง 5 เม็ด</x:t>
        </x:is>
      </x:c>
      <x:c r="F151" t="inlineStr">
        <x:is>
          <x:t xml:space="preserve">Acyclovir 400 mg.</x:t>
        </x:is>
      </x:c>
      <x:c r="G151" t="inlineStr">
        <x:is>
          <x:t xml:space="preserve">BDS008064</x:t>
        </x:is>
      </x:c>
      <x:c r="H151" t="inlineStr">
        <x:is>
          <x:t xml:space="preserve">Acyvir 400 mg (5 tabs)</x:t>
        </x:is>
      </x:c>
      <x:c r="I151" t="inlineStr">
        <x:is>
          <x:t xml:space="preserve">กรณีเริม รับประทานครั้งละ 1 เม็ด ทุก 6 ชั่วโมง (วันละ 3 ครั้ง)</x:t>
        </x:is>
      </x:c>
      <x:c r="P151" t="inlineStr">
        <x:is>
          <x:t xml:space="preserve">Antivirals (oral/topical)</x:t>
        </x:is>
      </x:c>
    </x:row>
    <x:row r="152">
      <x:c r="A152">
        <x:v>150</x:v>
      </x:c>
      <x:c r="B152" t="inlineStr">
        <x:is>
          <x:t xml:space="preserve">ยาต้านเชื้อไวรัส (D)</x:t>
        </x:is>
      </x:c>
      <x:c r="C152">
        <x:v>8065</x:v>
      </x:c>
      <x:c r="D152" t="inlineStr">
        <x:is>
          <x:t xml:space="preserve">Acyvir 800 mg</x:t>
        </x:is>
      </x:c>
      <x:c r="E152" t="inlineStr">
        <x:is>
          <x:t xml:space="preserve">แผง 5 เม็ด</x:t>
        </x:is>
      </x:c>
      <x:c r="F152" t="inlineStr">
        <x:is>
          <x:t xml:space="preserve">Acyclovir 800 mg.</x:t>
        </x:is>
      </x:c>
      <x:c r="G152" t="inlineStr">
        <x:is>
          <x:t xml:space="preserve">BDS008065</x:t>
        </x:is>
      </x:c>
      <x:c r="H152" t="inlineStr">
        <x:is>
          <x:t xml:space="preserve">Acyvir 800 mg (5 tabs)</x:t>
        </x:is>
      </x:c>
      <x:c r="I152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152" t="inlineStr">
        <x:is>
          <x:t xml:space="preserve">Antivirals (oral/topical)</x:t>
        </x:is>
      </x:c>
    </x:row>
    <x:row r="153">
      <x:c r="A153">
        <x:v>151</x:v>
      </x:c>
      <x:c r="B153" t="inlineStr">
        <x:is>
          <x:t xml:space="preserve">ยาต้านเชื้อไวรัส (D)</x:t>
        </x:is>
      </x:c>
      <x:c r="C153">
        <x:v>7782</x:v>
      </x:c>
      <x:c r="D153" t="inlineStr">
        <x:is>
          <x:t xml:space="preserve">Clinovir 200 mg</x:t>
        </x:is>
      </x:c>
      <x:c r="E153" t="inlineStr">
        <x:is>
          <x:t xml:space="preserve">แผง 5 เม็ด</x:t>
        </x:is>
      </x:c>
      <x:c r="F153" t="inlineStr">
        <x:is>
          <x:t xml:space="preserve">Acyclovir 200 mg.</x:t>
        </x:is>
      </x:c>
      <x:c r="G153" t="inlineStr">
        <x:is>
          <x:t xml:space="preserve">BDS007782</x:t>
        </x:is>
      </x:c>
      <x:c r="H153" t="inlineStr">
        <x:is>
          <x:t xml:space="preserve">Clinovir 200 mg (5 tabs)</x:t>
        </x:is>
      </x:c>
      <x:c r="I153" t="inlineStr">
        <x:is>
          <x:t xml:space="preserve">รับประทานครั้งละ 1 เม็ด ทุก 4 ชั่วโมง (วันละ 5 ครั้ง)</x:t>
        </x:is>
      </x:c>
      <x:c r="P153" t="inlineStr">
        <x:is>
          <x:t xml:space="preserve">Antivirals (oral/topical)</x:t>
        </x:is>
      </x:c>
    </x:row>
    <x:row r="154">
      <x:c r="A154">
        <x:v>152</x:v>
      </x:c>
      <x:c r="B154" t="inlineStr">
        <x:is>
          <x:t xml:space="preserve">ยาต้านเชื้อไวรัส (D)</x:t>
        </x:is>
      </x:c>
      <x:c r="C154">
        <x:v>7783</x:v>
      </x:c>
      <x:c r="D154" t="inlineStr">
        <x:is>
          <x:t xml:space="preserve">Clinovir 400 mg</x:t>
        </x:is>
      </x:c>
      <x:c r="E154" t="inlineStr">
        <x:is>
          <x:t xml:space="preserve">แผง 5 เม็ด</x:t>
        </x:is>
      </x:c>
      <x:c r="F154" t="inlineStr">
        <x:is>
          <x:t xml:space="preserve">Acyclovir 400 mg.</x:t>
        </x:is>
      </x:c>
      <x:c r="G154" t="inlineStr">
        <x:is>
          <x:t xml:space="preserve">BDS007783</x:t>
        </x:is>
      </x:c>
      <x:c r="H154" t="inlineStr">
        <x:is>
          <x:t xml:space="preserve">Clinovir 400 mg (5 tabs)</x:t>
        </x:is>
      </x:c>
      <x:c r="I154" t="inlineStr">
        <x:is>
          <x:t xml:space="preserve">กรณีเริม รับประทานครั้งละ 1 เม็ด ทุก 6 ชั่วโมง (วันละ 3 ครั้ง)</x:t>
        </x:is>
      </x:c>
      <x:c r="P154" t="inlineStr">
        <x:is>
          <x:t xml:space="preserve">Antivirals (oral/topical)</x:t>
        </x:is>
      </x:c>
    </x:row>
    <x:row r="155">
      <x:c r="A155">
        <x:v>153</x:v>
      </x:c>
      <x:c r="B155" t="inlineStr">
        <x:is>
          <x:t xml:space="preserve">ยาต้านเชื้อไวรัส (D)</x:t>
        </x:is>
      </x:c>
      <x:c r="C155">
        <x:v>7781</x:v>
      </x:c>
      <x:c r="D155" t="inlineStr">
        <x:is>
          <x:t xml:space="preserve">Clinovir 800 mg</x:t>
        </x:is>
      </x:c>
      <x:c r="E155" t="inlineStr">
        <x:is>
          <x:t xml:space="preserve">แผง 5 เม็ด</x:t>
        </x:is>
      </x:c>
      <x:c r="F155" t="inlineStr">
        <x:is>
          <x:t xml:space="preserve">Acyclovir 800 mg.</x:t>
        </x:is>
      </x:c>
      <x:c r="G155" t="inlineStr">
        <x:is>
          <x:t xml:space="preserve">BDS007781</x:t>
        </x:is>
      </x:c>
      <x:c r="H155" t="inlineStr">
        <x:is>
          <x:t xml:space="preserve">Clinovir 800 mg (5 tabs)</x:t>
        </x:is>
      </x:c>
      <x:c r="I155" t="inlineStr">
        <x:is>
          <x:t xml:space="preserve">กรณีงูสวัด รับประทานครั้งละ 1 เม็ด ทุก 4 ชั่วโมง (วันละ 5 ครั้ง)</x:t>
        </x:is>
      </x:c>
      <x:c r="P155" t="inlineStr">
        <x:is>
          <x:t xml:space="preserve">Antivirals (oral/topical)</x:t>
        </x:is>
      </x:c>
    </x:row>
    <x:row r="156">
      <x:c r="A156">
        <x:v>154</x:v>
      </x:c>
      <x:c r="B156" t="inlineStr">
        <x:is>
          <x:t xml:space="preserve">ยาต้านเชื้อไวรัส (D)</x:t>
        </x:is>
      </x:c>
      <x:c r="C156">
        <x:v>4019</x:v>
      </x:c>
      <x:c r="D156" t="inlineStr">
        <x:is>
          <x:t xml:space="preserve">Vilerm 200 mg 5s</x:t>
        </x:is>
      </x:c>
      <x:c r="E156" t="inlineStr">
        <x:is>
          <x:t xml:space="preserve">แผง 5 เม็ด</x:t>
        </x:is>
      </x:c>
      <x:c r="F156" t="inlineStr">
        <x:is>
          <x:t xml:space="preserve">Acyclovir 200 mg.</x:t>
        </x:is>
      </x:c>
      <x:c r="G156" t="inlineStr">
        <x:is>
          <x:t xml:space="preserve">BDS004019</x:t>
        </x:is>
      </x:c>
      <x:c r="H156" t="inlineStr">
        <x:is>
          <x:t xml:space="preserve">Vilerm 200 mg 5s (5 tabs)</x:t>
        </x:is>
      </x:c>
      <x:c r="I156" t="inlineStr">
        <x:is>
          <x:t xml:space="preserve">รับประทานครั้งละ 1 เม็ด วันละ 5 ครั้ง นาน 5 วัน</x:t>
        </x:is>
      </x:c>
      <x:c r="P156" t="inlineStr">
        <x:is>
          <x:t xml:space="preserve">Antivirals (oral/topical)</x:t>
        </x:is>
      </x:c>
    </x:row>
    <x:row r="157">
      <x:c r="A157">
        <x:v>155</x:v>
      </x:c>
      <x:c r="B157" t="inlineStr">
        <x:is>
          <x:t xml:space="preserve">ยาต้านเชื้อไวรัส (D)</x:t>
        </x:is>
      </x:c>
      <x:c r="C157">
        <x:v>4086</x:v>
      </x:c>
      <x:c r="D157" t="inlineStr">
        <x:is>
          <x:t xml:space="preserve">Vilerm 400 mg 5s</x:t>
        </x:is>
      </x:c>
      <x:c r="E157" t="inlineStr">
        <x:is>
          <x:t xml:space="preserve">แผง 5 เม็ด</x:t>
        </x:is>
      </x:c>
      <x:c r="F157" t="inlineStr">
        <x:is>
          <x:t xml:space="preserve">Acyclovir 400 mg.</x:t>
        </x:is>
      </x:c>
      <x:c r="G157" t="inlineStr">
        <x:is>
          <x:t xml:space="preserve">BDS004086</x:t>
        </x:is>
      </x:c>
      <x:c r="H157" t="inlineStr">
        <x:is>
          <x:t xml:space="preserve">Vilerm 400 mg 5s (5 tabs)</x:t>
        </x:is>
      </x:c>
      <x:c r="I157" t="inlineStr">
        <x:is>
          <x:t xml:space="preserve">รับประทานครั้งละ 1 เม็ด วันละ 5 ครั้ง นาน 5 วัน</x:t>
        </x:is>
      </x:c>
      <x:c r="P157" t="inlineStr">
        <x:is>
          <x:t xml:space="preserve">Antivirals (oral/topical)</x:t>
        </x:is>
      </x:c>
    </x:row>
    <x:row r="158">
      <x:c r="A158">
        <x:v>156</x:v>
      </x:c>
      <x:c r="B158" t="inlineStr">
        <x:is>
          <x:t xml:space="preserve">ยาต้านเชื้อไวรัส (D)</x:t>
        </x:is>
      </x:c>
      <x:c r="C158">
        <x:v>4011</x:v>
      </x:c>
      <x:c r="D158" t="inlineStr">
        <x:is>
          <x:t xml:space="preserve">Vilerm 800 mg 5s</x:t>
        </x:is>
      </x:c>
      <x:c r="E158" t="inlineStr">
        <x:is>
          <x:t xml:space="preserve">แผง 5 เม็ด</x:t>
        </x:is>
      </x:c>
      <x:c r="F158" t="inlineStr">
        <x:is>
          <x:t xml:space="preserve">Acyclovir 800 mg.</x:t>
        </x:is>
      </x:c>
      <x:c r="G158" t="inlineStr">
        <x:is>
          <x:t xml:space="preserve">BDS004011</x:t>
        </x:is>
      </x:c>
      <x:c r="H158" t="inlineStr">
        <x:is>
          <x:t xml:space="preserve">Vilerm 800 mg 5s (5 tabs)</x:t>
        </x:is>
      </x:c>
      <x:c r="I158" t="inlineStr">
        <x:is>
          <x:t xml:space="preserve">รับประทานครั้งละ 1 เม็ด ทุก 4 ชั่วโมง (วันละ 5 ครั้ง)</x:t>
        </x:is>
      </x:c>
      <x:c r="P158" t="inlineStr">
        <x:is>
          <x:t xml:space="preserve">Antivirals (oral/topical)</x:t>
        </x:is>
      </x:c>
    </x:row>
    <x:row r="159">
      <x:c r="A159">
        <x:v>157</x:v>
      </x:c>
      <x:c r="B159" t="inlineStr">
        <x:is>
          <x:t xml:space="preserve">ยาฆ่าพยาธิ</x:t>
        </x:is>
      </x:c>
      <x:c r="C159">
        <x:v>1230</x:v>
      </x:c>
      <x:c r="D159" t="inlineStr">
        <x:is>
          <x:t xml:space="preserve">Benda 500</x:t>
        </x:is>
      </x:c>
      <x:c r="E159" t="inlineStr">
        <x:is>
          <x:t xml:space="preserve">กล่อง 1 เม็ด</x:t>
        </x:is>
      </x:c>
      <x:c r="F159" t="inlineStr">
        <x:is>
          <x:t xml:space="preserve">Mebendazole 500 mg.</x:t>
        </x:is>
      </x:c>
      <x:c r="G159" t="inlineStr">
        <x:is>
          <x:t xml:space="preserve">BDS001230</x:t>
        </x:is>
      </x:c>
      <x:c r="H159" t="inlineStr">
        <x:is>
          <x:t xml:space="preserve">Benda 500 (1 tab)</x:t>
        </x:is>
      </x:c>
      <x:c r="I159" t="inlineStr">
        <x:is>
          <x:t xml:space="preserve">รับประทาน (เคี้ยว) ครั้งละ 1 เม็ด วันละ 1 ครั้ง ก่อนนอน</x:t>
        </x:is>
      </x:c>
      <x:c r="P159" t="inlineStr">
        <x:is>
          <x:t xml:space="preserve">Antiparasitics / deworming</x:t>
        </x:is>
      </x:c>
    </x:row>
    <x:row r="160">
      <x:c r="A160">
        <x:v>158</x:v>
      </x:c>
      <x:c r="B160" t="inlineStr">
        <x:is>
          <x:t xml:space="preserve">ยาฆ่าพยาธิ</x:t>
        </x:is>
      </x:c>
      <x:c r="C160">
        <x:v>1227</x:v>
      </x:c>
      <x:c r="D160" t="inlineStr">
        <x:is>
          <x:t xml:space="preserve">Benda 500 กลิ่นเลมอน</x:t>
        </x:is>
      </x:c>
      <x:c r="E160" t="inlineStr">
        <x:is>
          <x:t xml:space="preserve">กล่อง 1 เม็ด</x:t>
        </x:is>
      </x:c>
      <x:c r="F160" t="inlineStr">
        <x:is>
          <x:t xml:space="preserve">Mebendazole 500 mg.</x:t>
        </x:is>
      </x:c>
      <x:c r="G160" t="inlineStr">
        <x:is>
          <x:t xml:space="preserve">BDS001227</x:t>
        </x:is>
      </x:c>
      <x:c r="H160" t="inlineStr">
        <x:is>
          <x:t xml:space="preserve">Benda 500 กลิ่นเลมอน (1 tab)</x:t>
        </x:is>
      </x:c>
      <x:c r="I160" t="inlineStr">
        <x:is>
          <x:t xml:space="preserve">รับประทาน (เคี้ยว) ครั้งละ 1 เม็ด วันละ 1 ครั้ง ก่อนนอน</x:t>
        </x:is>
      </x:c>
      <x:c r="P160" t="inlineStr">
        <x:is>
          <x:t xml:space="preserve">Antiparasitics / deworming</x:t>
        </x:is>
      </x:c>
    </x:row>
    <x:row r="161">
      <x:c r="A161">
        <x:v>159</x:v>
      </x:c>
      <x:c r="B161" t="inlineStr">
        <x:is>
          <x:t xml:space="preserve">ยาฆ่าพยาธิ</x:t>
        </x:is>
      </x:c>
      <x:c r="C161">
        <x:v>1927</x:v>
      </x:c>
      <x:c r="D161" t="inlineStr">
        <x:is>
          <x:t xml:space="preserve">Fugacar 500 รสผลไม้</x:t>
        </x:is>
      </x:c>
      <x:c r="E161" t="inlineStr">
        <x:is>
          <x:t xml:space="preserve">กล่อง 1 เม็ด</x:t>
        </x:is>
      </x:c>
      <x:c r="F161" t="inlineStr">
        <x:is>
          <x:t xml:space="preserve">Mebendazole 500 mg.</x:t>
        </x:is>
      </x:c>
      <x:c r="G161" t="inlineStr">
        <x:is>
          <x:t xml:space="preserve">BDS001927</x:t>
        </x:is>
      </x:c>
      <x:c r="H161" t="inlineStr">
        <x:is>
          <x:t xml:space="preserve">Fugacar 500 รสผลไม้ (1 tab)</x:t>
        </x:is>
      </x:c>
      <x:c r="I161" t="inlineStr">
        <x:is>
          <x:t xml:space="preserve">รับประทาน (เคี้ยว) ครั้งละ 1  เม็ด วันละ 1 ครั้ง ก่อนนอน</x:t>
        </x:is>
      </x:c>
      <x:c r="P161" t="inlineStr">
        <x:is>
          <x:t xml:space="preserve">Antiparasitics / deworming</x:t>
        </x:is>
      </x:c>
    </x:row>
    <x:row r="162">
      <x:c r="A162">
        <x:v>160</x:v>
      </x:c>
      <x:c r="B162" t="inlineStr">
        <x:is>
          <x:t xml:space="preserve">ยาดูดซับสารพิษ</x:t>
        </x:is>
      </x:c>
      <x:c r="C162">
        <x:v>42304</x:v>
      </x:c>
      <x:c r="D162" t="inlineStr">
        <x:is>
          <x:t xml:space="preserve">Dehecta</x:t>
        </x:is>
      </x:c>
      <x:c r="E162" t="inlineStr">
        <x:is>
          <x:t xml:space="preserve">ซอง 20 ml.</x:t>
        </x:is>
      </x:c>
      <x:c r="F162" t="inlineStr">
        <x:is>
          <x:t xml:space="preserve">Dioctahedral Smectite 3 g./20 ml.</x:t>
        </x:is>
      </x:c>
      <x:c r="G162" t="inlineStr">
        <x:is>
          <x:t xml:space="preserve">BDS042304</x:t>
        </x:is>
      </x:c>
      <x:c r="H162" t="inlineStr">
        <x:is>
          <x:t xml:space="preserve">Dehecta (20 ml.)</x:t>
        </x:is>
      </x:c>
      <x:c r="I162" t="inlineStr">
        <x:is>
          <x:t xml:space="preserve">รับประทานครั้งละ 1 ซอง วันละ 3-4 ครั้ง </x:t>
        </x:is>
      </x:c>
      <x:c r="P162" t="inlineStr">
        <x:is>
          <x:t xml:space="preserve">Adsorbents / toxin binders</x:t>
        </x:is>
      </x:c>
    </x:row>
    <x:row r="163">
      <x:c r="A163">
        <x:v>161</x:v>
      </x:c>
      <x:c r="B163" t="inlineStr">
        <x:is>
          <x:t xml:space="preserve">ยาดูดซับสารพิษ</x:t>
        </x:is>
      </x:c>
      <x:c r="C163">
        <x:v>7122</x:v>
      </x:c>
      <x:c r="D163" t="inlineStr">
        <x:is>
          <x:t xml:space="preserve">Deltacarbon</x:t>
        </x:is>
      </x:c>
      <x:c r="E163" t="inlineStr">
        <x:is>
          <x:t xml:space="preserve">กล่อง 10 เม็ด</x:t>
        </x:is>
      </x:c>
      <x:c r="F163" t="inlineStr">
        <x:is>
          <x:t xml:space="preserve">Medicinal Charcoal 250 mg.</x:t>
        </x:is>
      </x:c>
      <x:c r="G163" t="inlineStr">
        <x:is>
          <x:t xml:space="preserve">BDS007122</x:t>
        </x:is>
      </x:c>
      <x:c r="H163" t="inlineStr">
        <x:is>
          <x:t xml:space="preserve">Deltacarbon (10 tabs)</x:t>
        </x:is>
      </x:c>
      <x:c r="I163" t="inlineStr">
        <x:is>
          <x:t xml:space="preserve">รับประทานครั้งละ 3 เม็ด วันละ 3-4 ครั้ง</x:t>
        </x:is>
      </x:c>
      <x:c r="P163" t="inlineStr">
        <x:is>
          <x:t xml:space="preserve">Adsorbents / toxin binders</x:t>
        </x:is>
      </x:c>
    </x:row>
    <x:row r="164">
      <x:c r="A164">
        <x:v>162</x:v>
      </x:c>
      <x:c r="B164" t="inlineStr">
        <x:is>
          <x:t xml:space="preserve">ยาดูดซับสารพิษ</x:t>
        </x:is>
      </x:c>
      <x:c r="C164">
        <x:v>45666</x:v>
      </x:c>
      <x:c r="D164" t="inlineStr">
        <x:is>
          <x:t xml:space="preserve">Ny-C-Bon</x:t>
        </x:is>
      </x:c>
      <x:c r="E164" t="inlineStr">
        <x:is>
          <x:t xml:space="preserve">กล่อง 10 แคปซูล</x:t>
        </x:is>
      </x:c>
      <x:c r="F164" t="inlineStr">
        <x:is>
          <x:t xml:space="preserve">Activated Charcoal 260 mg.</x:t>
        </x:is>
      </x:c>
      <x:c r="G164" t="inlineStr">
        <x:is>
          <x:t xml:space="preserve">BDS045666</x:t>
        </x:is>
      </x:c>
      <x:c r="H164" t="inlineStr">
        <x:is>
          <x:t xml:space="preserve">Ny-C-Bon (10 cap)</x:t>
        </x:is>
      </x:c>
      <x:c r="I164" t="inlineStr">
        <x:is>
          <x:t xml:space="preserve">รับประทานครั้งละ 3 เม็ด วันละ 3-4 ครั้ง </x:t>
        </x:is>
      </x:c>
      <x:c r="P164" t="inlineStr">
        <x:is>
          <x:t xml:space="preserve">Adsorbents / toxin binders</x:t>
        </x:is>
      </x:c>
    </x:row>
    <x:row r="165">
      <x:c r="A165">
        <x:v>163</x:v>
      </x:c>
      <x:c r="B165" t="inlineStr">
        <x:is>
          <x:t xml:space="preserve">ยาดูดซับสารพิษ</x:t>
        </x:is>
      </x:c>
      <x:c r="C165">
        <x:v>3546</x:v>
      </x:c>
      <x:c r="D165" t="inlineStr">
        <x:is>
          <x:t xml:space="preserve">Smecta</x:t>
        </x:is>
      </x:c>
      <x:c r="E165" t="inlineStr">
        <x:is>
          <x:t xml:space="preserve">ซอง 3 g.</x:t>
        </x:is>
      </x:c>
      <x:c r="F165" t="inlineStr">
        <x:is>
          <x:t xml:space="preserve">Dioctahedral Smectite 3 g.</x:t>
        </x:is>
      </x:c>
      <x:c r="G165" t="inlineStr">
        <x:is>
          <x:t xml:space="preserve">BDS003546</x:t>
        </x:is>
      </x:c>
      <x:c r="H165" t="inlineStr">
        <x:is>
          <x:t xml:space="preserve">Smecta (3 g.)</x:t>
        </x:is>
      </x:c>
      <x:c r="I165" t="inlineStr">
        <x:is>
          <x:t xml:space="preserve">ผสมสเมคต้าในน้ำประมาณ 30-50 ml. วันละ 3 ซอง</x:t>
        </x:is>
      </x:c>
      <x:c r="P165" t="inlineStr">
        <x:is>
          <x:t xml:space="preserve">Adsorbents / toxin binders</x:t>
        </x:is>
      </x:c>
    </x:row>
    <x:row r="166">
      <x:c r="A166">
        <x:v>164</x:v>
      </x:c>
      <x:c r="B166" t="inlineStr">
        <x:is>
          <x:t xml:space="preserve">ยาฆ่าเชื้อแบคทีเรียอื่นๆ (D)</x:t>
        </x:is>
      </x:c>
      <x:c r="C166">
        <x:v>3912</x:v>
      </x:c>
      <x:c r="D166" t="inlineStr">
        <x:is>
          <x:t xml:space="preserve">Dacin-F 300</x:t>
        </x:is>
      </x:c>
      <x:c r="E166" t="inlineStr">
        <x:is>
          <x:t xml:space="preserve">แผง 10 แคปซูล</x:t>
        </x:is>
      </x:c>
      <x:c r="F166" t="inlineStr">
        <x:is>
          <x:t xml:space="preserve">Clindamycin 300 mg.</x:t>
        </x:is>
      </x:c>
      <x:c r="G166" t="inlineStr">
        <x:is>
          <x:t xml:space="preserve">BDS003912</x:t>
        </x:is>
      </x:c>
      <x:c r="H166" t="inlineStr">
        <x:is>
          <x:t xml:space="preserve">Dacin-F 300 (10 cap)</x:t>
        </x:is>
      </x:c>
      <x:c r="I166" t="inlineStr">
        <x:is>
          <x:t xml:space="preserve">รับประทานครั้งละ 1 แคปซูล วันละ 3  ครั้ง หลังอาหาร</x:t>
        </x:is>
      </x:c>
      <x:c r="P166" t="inlineStr">
        <x:is>
          <x:t xml:space="preserve">Other antibiotics</x:t>
        </x:is>
      </x:c>
    </x:row>
    <x:row r="167">
      <x:c r="A167">
        <x:v>165</x:v>
      </x:c>
      <x:c r="B167" t="inlineStr">
        <x:is>
          <x:t xml:space="preserve">ยาฆ่าเชื้อแบคทีเรียอื่นๆ (D)</x:t>
        </x:is>
      </x:c>
      <x:c r="C167">
        <x:v>7723</x:v>
      </x:c>
      <x:c r="D167" t="inlineStr">
        <x:is>
          <x:t xml:space="preserve">Doxylcap</x:t>
        </x:is>
      </x:c>
      <x:c r="E167" t="inlineStr">
        <x:is>
          <x:t xml:space="preserve">แผง 10 แคปซูล</x:t>
        </x:is>
      </x:c>
      <x:c r="F167" t="inlineStr">
        <x:is>
          <x:t xml:space="preserve">Doxycycline Hyclate (eq. to Doxycycline 100 mg.)</x:t>
        </x:is>
      </x:c>
      <x:c r="G167" t="inlineStr">
        <x:is>
          <x:t xml:space="preserve">BDS007723</x:t>
        </x:is>
      </x:c>
      <x:c r="H167" t="inlineStr">
        <x:is>
          <x:t xml:space="preserve">Doxylcap (10 cap)</x:t>
        </x:is>
      </x:c>
      <x:c r="I167" t="inlineStr">
        <x:is>
          <x:t xml:space="preserve">รับประทานครั้งละ 1 แคปซูล วันละ 2 ครั้ง หลังอาหาร</x:t>
        </x:is>
      </x:c>
      <x:c r="P167" t="inlineStr">
        <x:is>
          <x:t xml:space="preserve">Other antibiotics</x:t>
        </x:is>
      </x:c>
    </x:row>
    <x:row r="168">
      <x:c r="A168">
        <x:v>166</x:v>
      </x:c>
      <x:c r="B168" t="inlineStr">
        <x:is>
          <x:t xml:space="preserve">ยาฆ่าเชื้อแบคทีเรียอื่นๆ (D)</x:t>
        </x:is>
      </x:c>
      <x:c r="C168">
        <x:v>44901</x:v>
      </x:c>
      <x:c r="D168" t="inlineStr">
        <x:is>
          <x:t xml:space="preserve">Metrolex 400 mg</x:t>
        </x:is>
      </x:c>
      <x:c r="E168" t="inlineStr">
        <x:is>
          <x:t xml:space="preserve">แผง 10 เม็ด</x:t>
        </x:is>
      </x:c>
      <x:c r="F168" t="inlineStr">
        <x:is>
          <x:t xml:space="preserve">Metronidazole 400 mg.</x:t>
        </x:is>
      </x:c>
      <x:c r="G168" t="inlineStr">
        <x:is>
          <x:t xml:space="preserve">BDS044901</x:t>
        </x:is>
      </x:c>
      <x:c r="H168" t="inlineStr">
        <x:is>
          <x:t xml:space="preserve">Metrolex 400 mg (10 tabs)</x:t>
        </x:is>
      </x:c>
      <x:c r="I168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168" t="inlineStr">
        <x:is>
          <x:t xml:space="preserve">Other antibiotics</x:t>
        </x:is>
      </x:c>
    </x:row>
    <x:row r="169">
      <x:c r="A169">
        <x:v>167</x:v>
      </x:c>
      <x:c r="B169" t="inlineStr">
        <x:is>
          <x:t xml:space="preserve">ยาฆ่าเชื้อแบคทีเรียอื่นๆ (D)</x:t>
        </x:is>
      </x:c>
      <x:c r="C169">
        <x:v>7193</x:v>
      </x:c>
      <x:c r="D169" t="inlineStr">
        <x:is>
          <x:t xml:space="preserve">Metronidazole 400</x:t>
        </x:is>
      </x:c>
      <x:c r="E169" t="inlineStr">
        <x:is>
          <x:t xml:space="preserve">แผง 10 เม็ด</x:t>
        </x:is>
      </x:c>
      <x:c r="F169" t="inlineStr">
        <x:is>
          <x:t xml:space="preserve">Metronidazole 400 mg.</x:t>
        </x:is>
      </x:c>
      <x:c r="G169" t="inlineStr">
        <x:is>
          <x:t xml:space="preserve">BDS007193</x:t>
        </x:is>
      </x:c>
      <x:c r="H169" t="inlineStr">
        <x:is>
          <x:t xml:space="preserve">Metronidazole 400 (10 tabs)</x:t>
        </x:is>
      </x:c>
      <x:c r="I169" t="inlineStr">
        <x:is>
          <x:t xml:space="preserve">รับประทานครั้งละ 1-2 เม็ด วันละ 3 ครั้ง หลังอาหารทันที หรือตามแพทย์สั่ง </x:t>
        </x:is>
      </x:c>
      <x:c r="P169" t="inlineStr">
        <x:is>
          <x:t xml:space="preserve">Other antibiotics</x:t>
        </x:is>
      </x:c>
    </x:row>
    <x:row r="170">
      <x:c r="A170">
        <x:v>168</x:v>
      </x:c>
      <x:c r="B170" t="inlineStr">
        <x:is>
          <x:t xml:space="preserve">ยาแก้ไอแห้ง, คันคอ (D)</x:t>
        </x:is>
      </x:c>
      <x:c r="C170">
        <x:v>7911</x:v>
      </x:c>
      <x:c r="D170" t="inlineStr">
        <x:is>
          <x:t xml:space="preserve">Dibendryl</x:t>
        </x:is>
      </x:c>
      <x:c r="E170" t="inlineStr">
        <x:is>
          <x:t xml:space="preserve">แผง 10 เม็ด</x:t>
        </x:is>
      </x:c>
      <x:c r="F170" t="inlineStr">
        <x:is>
          <x:t xml:space="preserve">Diphenhydramine 25 mg.</x:t>
        </x:is>
      </x:c>
      <x:c r="G170" t="inlineStr">
        <x:is>
          <x:t xml:space="preserve">BDS007911</x:t>
        </x:is>
      </x:c>
      <x:c r="H170" t="inlineStr">
        <x:is>
          <x:t xml:space="preserve">Dibendryl (10 tabs)</x:t>
        </x:is>
      </x:c>
      <x:c r="I170" t="inlineStr">
        <x:is>
          <x:t xml:space="preserve">รับประทานครั้งละ 1-2 เม็ด วันละ 3-4 ครั้ง</x:t>
        </x:is>
      </x:c>
      <x:c r="P170" t="inlineStr">
        <x:is>
          <x:t xml:space="preserve">Cough medicines / mucolytics / expectorants</x:t>
        </x:is>
      </x:c>
    </x:row>
    <x:row r="171">
      <x:c r="A171">
        <x:v>169</x:v>
      </x:c>
      <x:c r="B171" t="inlineStr">
        <x:is>
          <x:t xml:space="preserve">ยาแก้ไอแห้ง, คันคอ (D)</x:t>
        </x:is>
      </x:c>
      <x:c r="C171">
        <x:v>2211</x:v>
      </x:c>
      <x:c r="D171" t="inlineStr">
        <x:is>
          <x:t xml:space="preserve">Icolid (ควบคุมจำนวน)</x:t>
        </x:is>
      </x:c>
      <x:c r="E171" t="inlineStr">
        <x:is>
          <x:t xml:space="preserve">แผง 10 เม็ด</x:t>
        </x:is>
      </x:c>
      <x:c r="F171" t="inlineStr">
        <x:is>
          <x:t xml:space="preserve">Dextromethorphan HBr 15 mg.</x:t>
        </x:is>
      </x:c>
      <x:c r="G171" t="inlineStr">
        <x:is>
          <x:t xml:space="preserve">BDS002211</x:t>
        </x:is>
      </x:c>
      <x:c r="H171" t="inlineStr">
        <x:is>
          <x:t xml:space="preserve">Icolid (ควบคุมจำนวน) (10 tabs)</x:t>
        </x:is>
      </x:c>
      <x:c r="I171" t="inlineStr">
        <x:is>
          <x:t xml:space="preserve">รับประทานครั้งละ 1-2 เม็ด วันละ 3 ครั้ง</x:t>
        </x:is>
      </x:c>
      <x:c r="K171">
        <x:v>50</x:v>
      </x:c>
      <x:c r="L171">
        <x:v>5</x:v>
      </x:c>
      <x:c r="M171" t="inlineStr">
        <x:is>
          <x:t xml:space="preserve">USER</x:t>
        </x:is>
      </x:c>
      <x:c r="N171" t="inlineStr">
        <x:is>
          <x:t xml:space="preserve">2026-02-07</x:t>
        </x:is>
      </x:c>
      <x:c r="O171" t="inlineStr">
        <x:is>
          <x:t xml:space="preserve">User provided price (online). Unit price per tablet (10 tabs pack).</x:t>
        </x:is>
      </x:c>
      <x:c r="P171" t="inlineStr">
        <x:is>
          <x:t xml:space="preserve">Cough medicines / mucolytics / expectorants</x:t>
        </x:is>
      </x:c>
    </x:row>
    <x:row r="172">
      <x:c r="A172">
        <x:v>170</x:v>
      </x:c>
      <x:c r="B172" t="inlineStr">
        <x:is>
          <x:t xml:space="preserve">ยาฆ่าเชื้อแบคทีเรีย ชนิดน้ำ (D)</x:t>
        </x:is>
      </x:c>
      <x:c r="C172">
        <x:v>1046</x:v>
      </x:c>
      <x:c r="D172" t="inlineStr">
        <x:is>
          <x:t xml:space="preserve">AMK 228</x:t>
        </x:is>
      </x:c>
      <x:c r="E172" t="inlineStr">
        <x:is>
          <x:t xml:space="preserve">ขวด 70 ml.</x:t>
        </x:is>
      </x:c>
      <x:c r="F172" t="inlineStr">
        <x:is>
          <x:t xml:space="preserve">Amoxicillin 200 mg.+Clavulanic Acid 28 mg./5 ml.</x:t>
        </x:is>
      </x:c>
      <x:c r="G172" t="inlineStr">
        <x:is>
          <x:t xml:space="preserve">BDS001046</x:t>
        </x:is>
      </x:c>
      <x:c r="H172" t="inlineStr">
        <x:is>
          <x:t xml:space="preserve">AMK 228 (70 ml.)</x:t>
        </x:is>
      </x:c>
      <x:c r="I172" t="inlineStr">
        <x:is>
          <x:t xml:space="preserve">รับประทานครั้งละ 1 ช้อนชา (5 ml.) วันละ 2 ครั้ง</x:t>
        </x:is>
      </x:c>
      <x:c r="P172" t="inlineStr">
        <x:is>
          <x:t xml:space="preserve">Other antibiotics</x:t>
        </x:is>
      </x:c>
    </x:row>
    <x:row r="173">
      <x:c r="A173">
        <x:v>171</x:v>
      </x:c>
      <x:c r="B173" t="inlineStr">
        <x:is>
          <x:t xml:space="preserve">ยาฆ่าเชื้อแบคทีเรีย ชนิดน้ำ (D)</x:t>
        </x:is>
      </x:c>
      <x:c r="C173">
        <x:v>1047</x:v>
      </x:c>
      <x:c r="D173" t="inlineStr">
        <x:is>
          <x:t xml:space="preserve">AMK 457</x:t>
        </x:is>
      </x:c>
      <x:c r="E173" t="inlineStr">
        <x:is>
          <x:t xml:space="preserve">ขวด 70 ml.</x:t>
        </x:is>
      </x:c>
      <x:c r="F173" t="inlineStr">
        <x:is>
          <x:t xml:space="preserve">Amoxicillin 400 mg.+Clavulanic Acid 57 mg./5 ml.</x:t>
        </x:is>
      </x:c>
      <x:c r="G173" t="inlineStr">
        <x:is>
          <x:t xml:space="preserve">BDS001047</x:t>
        </x:is>
      </x:c>
      <x:c r="H173" t="inlineStr">
        <x:is>
          <x:t xml:space="preserve">AMK 457 (70 ml.)</x:t>
        </x:is>
      </x:c>
      <x:c r="I173" t="inlineStr">
        <x:is>
          <x:t xml:space="preserve">เด็กเล็กรับประทานครั้งละ ครึ่ง ช้อนชา (2.5 ml.) วันละ 2 ครั้ง</x:t>
        </x:is>
      </x:c>
      <x:c r="P173" t="inlineStr">
        <x:is>
          <x:t xml:space="preserve">Other antibiotics</x:t>
        </x:is>
      </x:c>
    </x:row>
    <x:row r="174">
      <x:c r="A174">
        <x:v>172</x:v>
      </x:c>
      <x:c r="B174" t="inlineStr">
        <x:is>
          <x:t xml:space="preserve">ยาฆ่าเชื้อแบคทีเรีย ชนิดน้ำ (D)</x:t>
        </x:is>
      </x:c>
      <x:c r="C174">
        <x:v>1056</x:v>
      </x:c>
      <x:c r="D174" t="inlineStr">
        <x:is>
          <x:t xml:space="preserve">Augmentin 457 mg</x:t>
        </x:is>
      </x:c>
      <x:c r="E174" t="inlineStr">
        <x:is>
          <x:t xml:space="preserve">ขวด 70 ml.</x:t>
        </x:is>
      </x:c>
      <x:c r="F174" t="inlineStr">
        <x:is>
          <x:t xml:space="preserve">Amoxicillin 400 mg.+Clavulanic Acid 57 mg./5 ml.</x:t>
        </x:is>
      </x:c>
      <x:c r="G174" t="inlineStr">
        <x:is>
          <x:t xml:space="preserve">BDS001056</x:t>
        </x:is>
      </x:c>
      <x:c r="H174" t="inlineStr">
        <x:is>
          <x:t xml:space="preserve">Augmentin 457 mg (70 ml.)</x:t>
        </x:is>
      </x:c>
      <x:c r="I174" t="inlineStr">
        <x:is>
          <x:t xml:space="preserve">เด็กเล็กรับประทานครั้งละ 1/2 ช้อนชา (2.5 ml.) วันละ 2 ครั้ง</x:t>
        </x:is>
      </x:c>
      <x:c r="P174" t="inlineStr">
        <x:is>
          <x:t xml:space="preserve">Other antibiotics</x:t>
        </x:is>
      </x:c>
    </x:row>
    <x:row r="175">
      <x:c r="A175">
        <x:v>173</x:v>
      </x:c>
      <x:c r="B175" t="inlineStr">
        <x:is>
          <x:t xml:space="preserve">ยาฆ่าเชื้อแบคทีเรีย ชนิดน้ำ (D)</x:t>
        </x:is>
      </x:c>
      <x:c r="C175">
        <x:v>1054</x:v>
      </x:c>
      <x:c r="D175" t="inlineStr">
        <x:is>
          <x:t xml:space="preserve">Augmentin ES</x:t>
        </x:is>
      </x:c>
      <x:c r="E175" t="inlineStr">
        <x:is>
          <x:t xml:space="preserve">ขวด 50 ml.</x:t>
        </x:is>
      </x:c>
      <x:c r="F175" t="inlineStr">
        <x:is>
          <x:t xml:space="preserve">Amoxicillin 600 mg.+Clavulanic Acid 42.9 mg./5 ml.</x:t>
        </x:is>
      </x:c>
      <x:c r="G175" t="inlineStr">
        <x:is>
          <x:t xml:space="preserve">BDS001054</x:t>
        </x:is>
      </x:c>
      <x:c r="H175" t="inlineStr">
        <x:is>
          <x:t xml:space="preserve">Augmentin ES (50 ml.)</x:t>
        </x:is>
      </x:c>
      <x:c r="I175" t="inlineStr">
        <x:is>
          <x:t xml:space="preserve">รับประทานตามแพทย์สั่ง </x:t>
        </x:is>
      </x:c>
      <x:c r="P175" t="inlineStr">
        <x:is>
          <x:t xml:space="preserve">Other antibiotics</x:t>
        </x:is>
      </x:c>
    </x:row>
    <x:row r="176">
      <x:c r="A176">
        <x:v>174</x:v>
      </x:c>
      <x:c r="B176" t="inlineStr">
        <x:is>
          <x:t xml:space="preserve">ยาฆ่าเชื้อแบคทีเรีย ชนิดน้ำ (D)</x:t>
        </x:is>
      </x:c>
      <x:c r="C176">
        <x:v>1084</x:v>
      </x:c>
      <x:c r="D176" t="inlineStr">
        <x:is>
          <x:t xml:space="preserve">Azith Oral Suspension</x:t>
        </x:is>
      </x:c>
      <x:c r="E176" t="inlineStr">
        <x:is>
          <x:t xml:space="preserve">ขวด 15 ml.</x:t>
        </x:is>
      </x:c>
      <x:c r="F176" t="inlineStr">
        <x:is>
          <x:t xml:space="preserve">Azithromycin 200 mg./5 ml.</x:t>
        </x:is>
      </x:c>
      <x:c r="G176" t="inlineStr">
        <x:is>
          <x:t xml:space="preserve">BDS001084</x:t>
        </x:is>
      </x:c>
      <x:c r="H176" t="inlineStr">
        <x:is>
          <x:t xml:space="preserve">Azith Oral Suspension (15 ml.)</x:t>
        </x:is>
      </x:c>
      <x:c r="I176" t="inlineStr">
        <x:is>
          <x:t xml:space="preserve">รับประทานครั้งละ 1 ช้อนชา วันละ 1 ครั้ง ก่อนอาหาร </x:t>
        </x:is>
      </x:c>
      <x:c r="P176" t="inlineStr">
        <x:is>
          <x:t xml:space="preserve">Other antibiotics</x:t>
        </x:is>
      </x:c>
    </x:row>
    <x:row r="177">
      <x:c r="A177">
        <x:v>175</x:v>
      </x:c>
      <x:c r="B177" t="inlineStr">
        <x:is>
          <x:t xml:space="preserve">ยาฆ่าเชื้อแบคทีเรีย ชนิดน้ำ (D)</x:t>
        </x:is>
      </x:c>
      <x:c r="C177">
        <x:v>1441</x:v>
      </x:c>
      <x:c r="D177" t="inlineStr">
        <x:is>
          <x:t xml:space="preserve">Cefspan Suspension</x:t>
        </x:is>
      </x:c>
      <x:c r="E177" t="inlineStr">
        <x:is>
          <x:t xml:space="preserve">ขวด 30 ml.</x:t>
        </x:is>
      </x:c>
      <x:c r="F177" t="inlineStr">
        <x:is>
          <x:t xml:space="preserve">Cefixime 100 mg./5 ml.</x:t>
        </x:is>
      </x:c>
      <x:c r="G177" t="inlineStr">
        <x:is>
          <x:t xml:space="preserve">BDS001441</x:t>
        </x:is>
      </x:c>
      <x:c r="H177" t="inlineStr">
        <x:is>
          <x:t xml:space="preserve">Cefspan Suspension (30 ml.)</x:t>
        </x:is>
      </x:c>
      <x:c r="I177" t="inlineStr">
        <x:is>
          <x:t xml:space="preserve">เด็กโตรับประทานครั้งละ 1 ช้อนชาวันละ 2 ครั้ง หรือตามแพทย์สั่ง</x:t>
        </x:is>
      </x:c>
      <x:c r="P177" t="inlineStr">
        <x:is>
          <x:t xml:space="preserve">Other antibiotics</x:t>
        </x:is>
      </x:c>
    </x:row>
    <x:row r="178">
      <x:c r="A178">
        <x:v>176</x:v>
      </x:c>
      <x:c r="B178" t="inlineStr">
        <x:is>
          <x:t xml:space="preserve">ยาฆ่าเชื้อแบคทีเรีย ชนิดน้ำ (D)</x:t>
        </x:is>
      </x:c>
      <x:c r="C178">
        <x:v>2206</x:v>
      </x:c>
      <x:c r="D178" t="inlineStr">
        <x:is>
          <x:t xml:space="preserve">Ibilex Syrup</x:t>
        </x:is>
      </x:c>
      <x:c r="E178" t="inlineStr">
        <x:is>
          <x:t xml:space="preserve">ขวด 60 ml.</x:t>
        </x:is>
      </x:c>
      <x:c r="F178" t="inlineStr">
        <x:is>
          <x:t xml:space="preserve">Cephalexin 125 mg./5 ml.</x:t>
        </x:is>
      </x:c>
      <x:c r="G178" t="inlineStr">
        <x:is>
          <x:t xml:space="preserve">BDS002206</x:t>
        </x:is>
      </x:c>
      <x:c r="H178" t="inlineStr">
        <x:is>
          <x:t xml:space="preserve">Ibilex Syrup (60 ml.)</x:t>
        </x:is>
      </x:c>
      <x:c r="I178" t="inlineStr">
        <x:is>
          <x:t xml:space="preserve">รับประทานครั้งละ 1 ช้อนชา วันละ 3 ครั้ง</x:t>
        </x:is>
      </x:c>
      <x:c r="P178" t="inlineStr">
        <x:is>
          <x:t xml:space="preserve">Other antibiotics</x:t>
        </x:is>
      </x:c>
    </x:row>
    <x:row r="179">
      <x:c r="A179">
        <x:v>177</x:v>
      </x:c>
      <x:c r="B179" t="inlineStr">
        <x:is>
          <x:t xml:space="preserve">ยาฆ่าเชื้อแบคทีเรีย ชนิดน้ำ (D)</x:t>
        </x:is>
      </x:c>
      <x:c r="C179">
        <x:v>2693</x:v>
      </x:c>
      <x:c r="D179" t="inlineStr">
        <x:is>
          <x:t xml:space="preserve">Meiact Fine Granules</x:t>
        </x:is>
      </x:c>
      <x:c r="E179" t="inlineStr">
        <x:is>
          <x:t xml:space="preserve">ซอง 0.5 g.</x:t>
        </x:is>
      </x:c>
      <x:c r="F179" t="inlineStr">
        <x:is>
          <x:t xml:space="preserve">Cefditoren 50 mg.</x:t>
        </x:is>
      </x:c>
      <x:c r="G179" t="inlineStr">
        <x:is>
          <x:t xml:space="preserve">BDS002693</x:t>
        </x:is>
      </x:c>
      <x:c r="H179" t="inlineStr">
        <x:is>
          <x:t xml:space="preserve">Meiact Fine Granules (0.5 g.)</x:t>
        </x:is>
      </x:c>
      <x:c r="I179" t="inlineStr">
        <x:is>
          <x:t xml:space="preserve">รับประทานตามแพทย์สั่ง </x:t>
        </x:is>
      </x:c>
      <x:c r="P179" t="inlineStr">
        <x:is>
          <x:t xml:space="preserve">Other antibiotics</x:t>
        </x:is>
      </x:c>
    </x:row>
    <x:row r="180">
      <x:c r="A180">
        <x:v>178</x:v>
      </x:c>
      <x:c r="B180" t="inlineStr">
        <x:is>
          <x:t xml:space="preserve">ยาฆ่าเชื้อแบคทีเรีย ชนิดน้ำ (D)</x:t>
        </x:is>
      </x:c>
      <x:c r="C180">
        <x:v>7586</x:v>
      </x:c>
      <x:c r="D180" t="inlineStr">
        <x:is>
          <x:t xml:space="preserve">Newtamox For Oral Suspension</x:t>
        </x:is>
      </x:c>
      <x:c r="E180" t="inlineStr">
        <x:is>
          <x:t xml:space="preserve">ขวด 60 ml.</x:t>
        </x:is>
      </x:c>
      <x:c r="F180" t="inlineStr">
        <x:is>
          <x:t xml:space="preserve">Amoxicillin 125 mg./5 ml.</x:t>
        </x:is>
      </x:c>
      <x:c r="G180" t="inlineStr">
        <x:is>
          <x:t xml:space="preserve">BDS007586</x:t>
        </x:is>
      </x:c>
      <x:c r="H180" t="inlineStr">
        <x:is>
          <x:t xml:space="preserve">Newtamox For Oral Suspension (60 ml.)</x:t>
        </x:is>
      </x:c>
      <x:c r="I180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 ครั้ง</x:t>
        </x:is>
      </x:c>
      <x:c r="P180" t="inlineStr">
        <x:is>
          <x:t xml:space="preserve">Other antibiotics</x:t>
        </x:is>
      </x:c>
    </x:row>
    <x:row r="181">
      <x:c r="A181">
        <x:v>179</x:v>
      </x:c>
      <x:c r="B181" t="inlineStr">
        <x:is>
          <x:t xml:space="preserve">ยาฆ่าเชื้อแบคทีเรีย ชนิดน้ำ (D)</x:t>
        </x:is>
      </x:c>
      <x:c r="C181">
        <x:v>7589</x:v>
      </x:c>
      <x:c r="D181" t="inlineStr">
        <x:is>
          <x:t xml:space="preserve">Newthrocin</x:t>
        </x:is>
      </x:c>
      <x:c r="E181" t="inlineStr">
        <x:is>
          <x:t xml:space="preserve">ขวด 60 ml.</x:t>
        </x:is>
      </x:c>
      <x:c r="F181" t="inlineStr">
        <x:is>
          <x:t xml:space="preserve">Erythromycin 125 mg./5 ml.</x:t>
        </x:is>
      </x:c>
      <x:c r="G181" t="inlineStr">
        <x:is>
          <x:t xml:space="preserve">BDS007589</x:t>
        </x:is>
      </x:c>
      <x:c r="H181" t="inlineStr">
        <x:is>
          <x:t xml:space="preserve">Newthrocin (60 ml.)</x:t>
        </x:is>
      </x:c>
      <x:c r="I181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3-4 ครั้ง</x:t>
        </x:is>
      </x:c>
      <x:c r="P181" t="inlineStr">
        <x:is>
          <x:t xml:space="preserve">Other antibiotics</x:t>
        </x:is>
      </x:c>
    </x:row>
    <x:row r="182">
      <x:c r="A182">
        <x:v>180</x:v>
      </x:c>
      <x:c r="B182" t="inlineStr">
        <x:is>
          <x:t xml:space="preserve">ยาฆ่าเชื้อแบคทีเรีย ชนิดน้ำ (D)</x:t>
        </x:is>
      </x:c>
      <x:c r="C182">
        <x:v>46209</x:v>
      </x:c>
      <x:c r="D182" t="inlineStr">
        <x:is>
          <x:t xml:space="preserve">Onzet Oral Suspension</x:t>
        </x:is>
      </x:c>
      <x:c r="E182" t="inlineStr">
        <x:is>
          <x:t xml:space="preserve">ขวด 15 ml.</x:t>
        </x:is>
      </x:c>
      <x:c r="F182" t="inlineStr">
        <x:is>
          <x:t xml:space="preserve">Azithromycin 200 mg./5 ml.</x:t>
        </x:is>
      </x:c>
      <x:c r="G182" t="inlineStr">
        <x:is>
          <x:t xml:space="preserve">BDS046209</x:t>
        </x:is>
      </x:c>
      <x:c r="H182" t="inlineStr">
        <x:is>
          <x:t xml:space="preserve">Onzet Oral Suspension (15 ml.)</x:t>
        </x:is>
      </x:c>
      <x:c r="I182" t="inlineStr">
        <x:is>
          <x:t xml:space="preserve">รับประทานครั้งละ 1 ช้อนชา วันละ 1 ครั้ง ก่อนอาหาร </x:t>
        </x:is>
      </x:c>
      <x:c r="P182" t="inlineStr">
        <x:is>
          <x:t xml:space="preserve">Other antibiotics</x:t>
        </x:is>
      </x:c>
    </x:row>
    <x:row r="183">
      <x:c r="A183">
        <x:v>181</x:v>
      </x:c>
      <x:c r="B183" t="inlineStr">
        <x:is>
          <x:t xml:space="preserve">ยาฆ่าเชื้อแบคทีเรีย ชนิดน้ำ (D)</x:t>
        </x:is>
      </x:c>
      <x:c r="C183">
        <x:v>3549</x:v>
      </x:c>
      <x:c r="D183" t="inlineStr">
        <x:is>
          <x:t xml:space="preserve">Sia-Mox Syrup 125 mg</x:t>
        </x:is>
      </x:c>
      <x:c r="E183" t="inlineStr">
        <x:is>
          <x:t xml:space="preserve">ขวด 60 ml.</x:t>
        </x:is>
      </x:c>
      <x:c r="F183" t="inlineStr">
        <x:is>
          <x:t xml:space="preserve">Amoxicillin 125 mg./5 ml.</x:t>
        </x:is>
      </x:c>
      <x:c r="G183" t="inlineStr">
        <x:is>
          <x:t xml:space="preserve">BDS003549</x:t>
        </x:is>
      </x:c>
      <x:c r="H183" t="inlineStr">
        <x:is>
          <x:t xml:space="preserve">Sia-Mox Syrup 125 mg (60 ml.)</x:t>
        </x:is>
      </x:c>
      <x:c r="I183" t="inlineStr">
        <x:is>
          <x:t xml:space="preserve">รับประทานครั้งละ 1 ช้อนชา วันละ 3 ครั้ง</x:t>
        </x:is>
      </x:c>
      <x:c r="P183" t="inlineStr">
        <x:is>
          <x:t xml:space="preserve">Other antibiotics</x:t>
        </x:is>
      </x:c>
    </x:row>
    <x:row r="184">
      <x:c r="A184">
        <x:v>182</x:v>
      </x:c>
      <x:c r="B184" t="inlineStr">
        <x:is>
          <x:t xml:space="preserve">ยาฆ่าเชื้อแบคทีเรีย ชนิดน้ำ (D)</x:t>
        </x:is>
      </x:c>
      <x:c r="C184">
        <x:v>3550</x:v>
      </x:c>
      <x:c r="D184" t="inlineStr">
        <x:is>
          <x:t xml:space="preserve">Sia-Mox Syrup 250 mg</x:t>
        </x:is>
      </x:c>
      <x:c r="E184" t="inlineStr">
        <x:is>
          <x:t xml:space="preserve">ขวด 60 ml.</x:t>
        </x:is>
      </x:c>
      <x:c r="F184" t="inlineStr">
        <x:is>
          <x:t xml:space="preserve">Amoxicillin 250 mg./5 ml.</x:t>
        </x:is>
      </x:c>
      <x:c r="G184" t="inlineStr">
        <x:is>
          <x:t xml:space="preserve">BDS003550</x:t>
        </x:is>
      </x:c>
      <x:c r="H184" t="inlineStr">
        <x:is>
          <x:t xml:space="preserve">Sia-Mox Syrup 250 mg (60 ml.)</x:t>
        </x:is>
      </x:c>
      <x:c r="I184" t="inlineStr">
        <x:is>
          <x:t xml:space="preserve">เด็กโตรับประทานครั้งละ 1 ช้อนชา วันละ 3 ครั้ง</x:t>
        </x:is>
      </x:c>
      <x:c r="P184" t="inlineStr">
        <x:is>
          <x:t xml:space="preserve">Other antibiotics</x:t>
        </x:is>
      </x:c>
    </x:row>
    <x:row r="185">
      <x:c r="A185">
        <x:v>183</x:v>
      </x:c>
      <x:c r="B185" t="inlineStr">
        <x:is>
          <x:t xml:space="preserve">ยาฆ่าเชื้อแบคทีเรีย ชนิดน้ำ (D)</x:t>
        </x:is>
      </x:c>
      <x:c r="C185">
        <x:v>7682</x:v>
      </x:c>
      <x:c r="D185" t="inlineStr">
        <x:is>
          <x:t xml:space="preserve">Xalin Dry Syrup 125 mg</x:t>
        </x:is>
      </x:c>
      <x:c r="E185" t="inlineStr">
        <x:is>
          <x:t xml:space="preserve">ขวด 60 ml.</x:t>
        </x:is>
      </x:c>
      <x:c r="F185" t="inlineStr">
        <x:is>
          <x:t xml:space="preserve">Cloxacillin 125 mg./5 ml.</x:t>
        </x:is>
      </x:c>
      <x:c r="G185" t="inlineStr">
        <x:is>
          <x:t xml:space="preserve">BDS007682</x:t>
        </x:is>
      </x:c>
      <x:c r="H185" t="inlineStr">
        <x:is>
          <x:t xml:space="preserve">Xalin Dry Syrup 125 mg (60 ml.)</x:t>
        </x:is>
      </x:c>
      <x:c r="I185" t="inlineStr">
        <x:is>
          <x:t xml:space="preserve"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1-2 ช้อนชา วันละ 3-4 ครั้ง ก่อนอาหาร</x:t>
        </x:is>
      </x:c>
      <x:c r="P185" t="inlineStr">
        <x:is>
          <x:t xml:space="preserve">Other antibiotics</x:t>
        </x:is>
      </x:c>
    </x:row>
    <x:row r="186">
      <x:c r="A186">
        <x:v>184</x:v>
      </x:c>
      <x:c r="B186" t="inlineStr">
        <x:is>
          <x:t xml:space="preserve">ยาฆ่าเชื้อแบคทีเรีย ชนิดน้ำ (D)</x:t>
        </x:is>
      </x:c>
      <x:c r="C186">
        <x:v>4225</x:v>
      </x:c>
      <x:c r="D186" t="inlineStr">
        <x:is>
          <x:t xml:space="preserve">Zithromax Dry 200 mg</x:t>
        </x:is>
      </x:c>
      <x:c r="E186" t="inlineStr">
        <x:is>
          <x:t xml:space="preserve">ขวด 15 ml.</x:t>
        </x:is>
      </x:c>
      <x:c r="F186" t="inlineStr">
        <x:is>
          <x:t xml:space="preserve">Azithromycin 200 mg./5 ml.</x:t>
        </x:is>
      </x:c>
      <x:c r="G186" t="inlineStr">
        <x:is>
          <x:t xml:space="preserve">BDS004225</x:t>
        </x:is>
      </x:c>
      <x:c r="H186" t="inlineStr">
        <x:is>
          <x:t xml:space="preserve">Zithromax Dry 200 mg (15 ml.)</x:t>
        </x:is>
      </x:c>
      <x:c r="I186" t="inlineStr">
        <x:is>
          <x:t xml:space="preserve">รับประทานครั้งละ 1 ช้อนชา วันละ 1 ครั้ง ก่อนอาหาร </x:t>
        </x:is>
      </x:c>
      <x:c r="P186" t="inlineStr">
        <x:is>
          <x:t xml:space="preserve">Other antibiotics</x:t>
        </x:is>
      </x:c>
    </x:row>
    <x:row r="187">
      <x:c r="A187">
        <x:v>185</x:v>
      </x:c>
      <x:c r="B187" t="inlineStr">
        <x:is>
          <x:t xml:space="preserve">ยาแก้ปวด, ลดไข้ ชนิดน้ำ</x:t>
        </x:is>
      </x:c>
      <x:c r="C187">
        <x:v>8609</x:v>
      </x:c>
      <x:c r="D187" t="inlineStr">
        <x:is>
          <x:t xml:space="preserve">Ampol Suspension</x:t>
        </x:is>
      </x:c>
      <x:c r="E187" t="inlineStr">
        <x:is>
          <x:t xml:space="preserve">ขวด 60 ml.</x:t>
        </x:is>
      </x:c>
      <x:c r="F187" t="inlineStr">
        <x:is>
          <x:t xml:space="preserve">Paracetamol 120 mg./5 ml.</x:t>
        </x:is>
      </x:c>
      <x:c r="G187" t="inlineStr">
        <x:is>
          <x:t xml:space="preserve">BDS008609</x:t>
        </x:is>
      </x:c>
      <x:c r="H187" t="inlineStr">
        <x:is>
          <x:t xml:space="preserve">Ampol Suspension (60 ml.)</x:t>
        </x:is>
      </x:c>
      <x:c r="I187" t="inlineStr">
        <x:is>
          <x:t xml:space="preserve">เด็กเล็กรับประทานครั้งละ 1-2 ช้อนชา ทุก 4-6 ชั่วโมง</x:t>
        </x:is>
      </x:c>
      <x:c r="P187" t="inlineStr">
        <x:is>
          <x:t xml:space="preserve">General analgesics/antipyretics</x:t>
        </x:is>
      </x:c>
    </x:row>
    <x:row r="188">
      <x:c r="A188">
        <x:v>186</x:v>
      </x:c>
      <x:c r="B188" t="inlineStr">
        <x:is>
          <x:t xml:space="preserve">ยาแก้ปวด, ลดไข้ ชนิดน้ำ</x:t>
        </x:is>
      </x:c>
      <x:c r="C188">
        <x:v>2407</x:v>
      </x:c>
      <x:c r="D188" t="inlineStr">
        <x:is>
          <x:t xml:space="preserve">Kit-F Drops</x:t>
        </x:is>
      </x:c>
      <x:c r="E188" t="inlineStr">
        <x:is>
          <x:t xml:space="preserve">ขวด 15 ml.</x:t>
        </x:is>
      </x:c>
      <x:c r="F188" t="inlineStr">
        <x:is>
          <x:t xml:space="preserve">Paracetamol 60 mg./0.6 ml.</x:t>
        </x:is>
      </x:c>
      <x:c r="G188" t="inlineStr">
        <x:is>
          <x:t xml:space="preserve">BDS002407</x:t>
        </x:is>
      </x:c>
      <x:c r="H188" t="inlineStr">
        <x:is>
          <x:t xml:space="preserve">Kit-F Drops (15 ml.)</x:t>
        </x:is>
      </x:c>
      <x:c r="I188" t="inlineStr">
        <x:is>
          <x:t xml:space="preserve">รับประทานครั้งละ 1-2 หลอดหยด วันละ 3-4 ครั้ง</x:t>
        </x:is>
      </x:c>
      <x:c r="P188" t="inlineStr">
        <x:is>
          <x:t xml:space="preserve">General analgesics/antipyretics</x:t>
        </x:is>
      </x:c>
    </x:row>
    <x:row r="189">
      <x:c r="A189">
        <x:v>187</x:v>
      </x:c>
      <x:c r="B189" t="inlineStr">
        <x:is>
          <x:t xml:space="preserve">ยาแก้ปวด, ลดไข้ ชนิดน้ำ</x:t>
        </x:is>
      </x:c>
      <x:c r="C189">
        <x:v>7583</x:v>
      </x:c>
      <x:c r="D189" t="inlineStr">
        <x:is>
          <x:t xml:space="preserve">Newtamol Syrup</x:t>
        </x:is>
      </x:c>
      <x:c r="E189" t="inlineStr">
        <x:is>
          <x:t xml:space="preserve">ขวด 60 ml.</x:t>
        </x:is>
      </x:c>
      <x:c r="F189" t="inlineStr">
        <x:is>
          <x:t xml:space="preserve">Paracetamol 150 mg./5 ml.</x:t>
        </x:is>
      </x:c>
      <x:c r="G189" t="inlineStr">
        <x:is>
          <x:t xml:space="preserve">BDS007583</x:t>
        </x:is>
      </x:c>
      <x:c r="H189" t="inlineStr">
        <x:is>
          <x:t xml:space="preserve">Newtamol Syrup (60 ml.)</x:t>
        </x:is>
      </x:c>
      <x:c r="I189" t="inlineStr">
        <x:is>
          <x:t xml:space="preserve">เด็กโตรับประทานครั้งละ 2 ช้อนชา วันละ 3 ครั้ง หรือทุก 4 ชั่วโมง</x:t>
        </x:is>
      </x:c>
      <x:c r="P189" t="inlineStr">
        <x:is>
          <x:t xml:space="preserve">General analgesics/antipyretics</x:t>
        </x:is>
      </x:c>
    </x:row>
    <x:row r="190">
      <x:c r="A190">
        <x:v>188</x:v>
      </x:c>
      <x:c r="B190" t="inlineStr">
        <x:is>
          <x:t xml:space="preserve">ยาแก้ปวด, ลดไข้ ชนิดน้ำ</x:t>
        </x:is>
      </x:c>
      <x:c r="C190">
        <x:v>2861</x:v>
      </x:c>
      <x:c r="D190" t="inlineStr">
        <x:is>
          <x:t xml:space="preserve">Panadol Orange Suspension</x:t>
        </x:is>
      </x:c>
      <x:c r="E190" t="inlineStr">
        <x:is>
          <x:t xml:space="preserve">ขวด 60 ml.</x:t>
        </x:is>
      </x:c>
      <x:c r="F190" t="inlineStr">
        <x:is>
          <x:t xml:space="preserve">Paracetamol 250 mg./5 ml.</x:t>
        </x:is>
      </x:c>
      <x:c r="G190" t="inlineStr">
        <x:is>
          <x:t xml:space="preserve">BDS002861</x:t>
        </x:is>
      </x:c>
      <x:c r="H190" t="inlineStr">
        <x:is>
          <x:t xml:space="preserve">Panadol Orange Suspension (60 ml.)</x:t>
        </x:is>
      </x:c>
      <x:c r="I190" t="inlineStr">
        <x:is>
          <x:t xml:space="preserve">รับประทานครั้งละ 1-2 ช้อนชาทุก 4-6 ชั่วโมง เมื่อมีอาการ</x:t>
        </x:is>
      </x:c>
      <x:c r="P190" t="inlineStr">
        <x:is>
          <x:t xml:space="preserve">General analgesics/antipyretics</x:t>
        </x:is>
      </x:c>
    </x:row>
    <x:row r="191">
      <x:c r="A191">
        <x:v>189</x:v>
      </x:c>
      <x:c r="B191" t="inlineStr">
        <x:is>
          <x:t xml:space="preserve">ยาแก้ปวด, ลดไข้ ชนิดน้ำ</x:t>
        </x:is>
      </x:c>
      <x:c r="C191">
        <x:v>2847</x:v>
      </x:c>
      <x:c r="D191" t="inlineStr">
        <x:is>
          <x:t xml:space="preserve">Panadol Strawberry Suspension</x:t>
        </x:is>
      </x:c>
      <x:c r="E191" t="inlineStr">
        <x:is>
          <x:t xml:space="preserve">ขวด 60 ml.</x:t>
        </x:is>
      </x:c>
      <x:c r="F191" t="inlineStr">
        <x:is>
          <x:t xml:space="preserve">Paracetamol 120 mg./5 ml.</x:t>
        </x:is>
      </x:c>
      <x:c r="G191" t="inlineStr">
        <x:is>
          <x:t xml:space="preserve">BDS002847</x:t>
        </x:is>
      </x:c>
      <x:c r="H191" t="inlineStr">
        <x:is>
          <x:t xml:space="preserve">Panadol Strawberry Suspension (60 ml.)</x:t>
        </x:is>
      </x:c>
      <x:c r="I191" t="inlineStr">
        <x:is>
          <x:t xml:space="preserve">รับประทานครั้งละ 1/2-2 ช้อนชาทุก 4-6 ชั่วโมง เมื่อมีอาการ</x:t>
        </x:is>
      </x:c>
      <x:c r="P191" t="inlineStr">
        <x:is>
          <x:t xml:space="preserve">General analgesics/antipyretics</x:t>
        </x:is>
      </x:c>
    </x:row>
    <x:row r="192">
      <x:c r="A192">
        <x:v>190</x:v>
      </x:c>
      <x:c r="B192" t="inlineStr">
        <x:is>
          <x:t xml:space="preserve">ยาแก้ปวด, ลดไข้ ชนิดน้ำ</x:t>
        </x:is>
      </x:c>
      <x:c r="C192">
        <x:v>8137</x:v>
      </x:c>
      <x:c r="D192" t="inlineStr">
        <x:is>
          <x:t xml:space="preserve">Poro Suspension</x:t>
        </x:is>
      </x:c>
      <x:c r="E192" t="inlineStr">
        <x:is>
          <x:t xml:space="preserve">ขวด 60 ml.</x:t>
        </x:is>
      </x:c>
      <x:c r="F192" t="inlineStr">
        <x:is>
          <x:t xml:space="preserve">Paracetamol 250 mg./5 ml.</x:t>
        </x:is>
      </x:c>
      <x:c r="G192" t="inlineStr">
        <x:is>
          <x:t xml:space="preserve">BDS008137</x:t>
        </x:is>
      </x:c>
      <x:c r="H192" t="inlineStr">
        <x:is>
          <x:t xml:space="preserve">Poro Suspension (60 ml.)</x:t>
        </x:is>
      </x:c>
      <x:c r="I192" t="inlineStr">
        <x:is>
          <x:t xml:space="preserve">เด็กโตรับประทานครั้งละ 1-2 ช้อนชา ทุก 4-6 ชั่วโมง</x:t>
        </x:is>
      </x:c>
      <x:c r="P192" t="inlineStr">
        <x:is>
          <x:t xml:space="preserve">General analgesics/antipyretics</x:t>
        </x:is>
      </x:c>
    </x:row>
    <x:row r="193">
      <x:c r="A193">
        <x:v>191</x:v>
      </x:c>
      <x:c r="B193" t="inlineStr">
        <x:is>
          <x:t xml:space="preserve">ยาแก้ปวด, ลดไข้ ชนิดน้ำ</x:t>
        </x:is>
      </x:c>
      <x:c r="C193">
        <x:v>3597</x:v>
      </x:c>
      <x:c r="D193" t="inlineStr">
        <x:is>
          <x:t xml:space="preserve">Sara Infant Drops (รสองุ่น)</x:t>
        </x:is>
      </x:c>
      <x:c r="E193" t="inlineStr">
        <x:is>
          <x:t xml:space="preserve">ขวด 15 ml.</x:t>
        </x:is>
      </x:c>
      <x:c r="F193" t="inlineStr">
        <x:is>
          <x:t xml:space="preserve">Paracetamol 60 mg./0.6 ml.</x:t>
        </x:is>
      </x:c>
      <x:c r="G193" t="inlineStr">
        <x:is>
          <x:t xml:space="preserve">BDS003597</x:t>
        </x:is>
      </x:c>
      <x:c r="H193" t="inlineStr">
        <x:is>
          <x:t xml:space="preserve">Sara Infant Drops (รสองุ่น) (15 ml.)</x:t>
        </x:is>
      </x:c>
      <x:c r="I193" t="inlineStr">
        <x:is>
          <x:t xml:space="preserve">เด็กเล็กรับประทานครั้งละ 2-3 หลอดหยด วันละ 3-4 ครั้ง</x:t>
        </x:is>
      </x:c>
      <x:c r="P193" t="inlineStr">
        <x:is>
          <x:t xml:space="preserve">General analgesics/antipyretics</x:t>
        </x:is>
      </x:c>
    </x:row>
    <x:row r="194">
      <x:c r="A194">
        <x:v>192</x:v>
      </x:c>
      <x:c r="B194" t="inlineStr">
        <x:is>
          <x:t xml:space="preserve">ยาแก้ปวด, ลดไข้ ชนิดน้ำ</x:t>
        </x:is>
      </x:c>
      <x:c r="C194">
        <x:v>3596</x:v>
      </x:c>
      <x:c r="D194" t="inlineStr">
        <x:is>
          <x:t xml:space="preserve">Sara น้ำรสสตรอเบอร์รี่</x:t>
        </x:is>
      </x:c>
      <x:c r="E194" t="inlineStr">
        <x:is>
          <x:t xml:space="preserve">ขวด 60 ml.</x:t>
        </x:is>
      </x:c>
      <x:c r="F194" t="inlineStr">
        <x:is>
          <x:t xml:space="preserve">Paracetamol 120 mg./5 ml.</x:t>
        </x:is>
      </x:c>
      <x:c r="G194" t="inlineStr">
        <x:is>
          <x:t xml:space="preserve">BDS003596</x:t>
        </x:is>
      </x:c>
      <x:c r="H194" t="inlineStr">
        <x:is>
          <x:t xml:space="preserve">Sara น้ำรสสตรอเบอร์รี่ (60 ml.)</x:t>
        </x:is>
      </x:c>
      <x:c r="I194" t="inlineStr">
        <x:is>
          <x:t xml:space="preserve">รับประทานครั้งละ 1-2 ช้อนชา วันละ 3-4 ครั้ง</x:t>
        </x:is>
      </x:c>
      <x:c r="P194" t="inlineStr">
        <x:is>
          <x:t xml:space="preserve">General analgesics/antipyretics</x:t>
        </x:is>
      </x:c>
    </x:row>
    <x:row r="195">
      <x:c r="A195">
        <x:v>193</x:v>
      </x:c>
      <x:c r="B195" t="inlineStr">
        <x:is>
          <x:t xml:space="preserve">ยาแก้ปวด, ลดไข้ ชนิดน้ำ</x:t>
        </x:is>
      </x:c>
      <x:c r="C195">
        <x:v>3504</x:v>
      </x:c>
      <x:c r="D195" t="inlineStr">
        <x:is>
          <x:t xml:space="preserve">Sara น้ำรสส้ม</x:t>
        </x:is>
      </x:c>
      <x:c r="E195" t="inlineStr">
        <x:is>
          <x:t xml:space="preserve">ขวด 60 ml.</x:t>
        </x:is>
      </x:c>
      <x:c r="F195" t="inlineStr">
        <x:is>
          <x:t xml:space="preserve">Paracetamol 250 mg./5 ml.</x:t>
        </x:is>
      </x:c>
      <x:c r="G195" t="inlineStr">
        <x:is>
          <x:t xml:space="preserve">BDS003504</x:t>
        </x:is>
      </x:c>
      <x:c r="H195" t="inlineStr">
        <x:is>
          <x:t xml:space="preserve">Sara น้ำรสส้ม (60 ml.)</x:t>
        </x:is>
      </x:c>
      <x:c r="I195" t="inlineStr">
        <x:is>
          <x:t xml:space="preserve">รับประทานครั้งละ 1-2 ช้อนชา วันละ 3-4 ครั้ง </x:t>
        </x:is>
      </x:c>
      <x:c r="P195" t="inlineStr">
        <x:is>
          <x:t xml:space="preserve">General analgesics/antipyretics</x:t>
        </x:is>
      </x:c>
    </x:row>
    <x:row r="196">
      <x:c r="A196">
        <x:v>194</x:v>
      </x:c>
      <x:c r="B196" t="inlineStr">
        <x:is>
          <x:t xml:space="preserve">ยาแก้ปวด, ลดไข้ ชนิดน้ำ</x:t>
        </x:is>
      </x:c>
      <x:c r="C196">
        <x:v>3600</x:v>
      </x:c>
      <x:c r="D196" t="inlineStr">
        <x:is>
          <x:t xml:space="preserve">Sara น้ำรสองุ่น</x:t>
        </x:is>
      </x:c>
      <x:c r="E196" t="inlineStr">
        <x:is>
          <x:t xml:space="preserve">ขวด 60 ml.</x:t>
        </x:is>
      </x:c>
      <x:c r="F196" t="inlineStr">
        <x:is>
          <x:t xml:space="preserve">Paracetamol 160 mg./5 ml.</x:t>
        </x:is>
      </x:c>
      <x:c r="G196" t="inlineStr">
        <x:is>
          <x:t xml:space="preserve">BDS003600</x:t>
        </x:is>
      </x:c>
      <x:c r="H196" t="inlineStr">
        <x:is>
          <x:t xml:space="preserve">Sara น้ำรสองุ่น (60 ml.)</x:t>
        </x:is>
      </x:c>
      <x:c r="I196" t="inlineStr">
        <x:is>
          <x:t xml:space="preserve">รับประทานครั้งละ 1 ช้อนชา วันละ 3-4 ครั้ง</x:t>
        </x:is>
      </x:c>
      <x:c r="P196" t="inlineStr">
        <x:is>
          <x:t xml:space="preserve">General analgesics/antipyretics</x:t>
        </x:is>
      </x:c>
    </x:row>
    <x:row r="197">
      <x:c r="A197">
        <x:v>195</x:v>
      </x:c>
      <x:c r="B197" t="inlineStr">
        <x:is>
          <x:t xml:space="preserve">ยาแก้ปวด, ลดไข้ ชนิดน้ำ</x:t>
        </x:is>
      </x:c>
      <x:c r="C197">
        <x:v>3711</x:v>
      </x:c>
      <x:c r="D197" t="inlineStr">
        <x:is>
          <x:t xml:space="preserve">Tempra Drop</x:t>
        </x:is>
      </x:c>
      <x:c r="E197" t="inlineStr">
        <x:is>
          <x:t xml:space="preserve">ขวด 15 ml.</x:t>
        </x:is>
      </x:c>
      <x:c r="F197" t="inlineStr">
        <x:is>
          <x:t xml:space="preserve">Paracetamol 80 mg./0.8 ml.</x:t>
        </x:is>
      </x:c>
      <x:c r="G197" t="inlineStr">
        <x:is>
          <x:t xml:space="preserve">BDS003711</x:t>
        </x:is>
      </x:c>
      <x:c r="H197" t="inlineStr">
        <x:is>
          <x:t xml:space="preserve">Tempra Drop (15 ml.)</x:t>
        </x:is>
      </x:c>
      <x:c r="I197" t="inlineStr">
        <x:is>
          <x:t xml:space="preserve">รับประทานครั้งละ 1-2 หลอดหยด แต่ละครั้งห่างกันอย่างน้อย 4 ชม. วันละไม่เกิน 5 ครั้ง</x:t>
        </x:is>
      </x:c>
      <x:c r="P197" t="inlineStr">
        <x:is>
          <x:t xml:space="preserve">General analgesics/antipyretics</x:t>
        </x:is>
      </x:c>
    </x:row>
    <x:row r="198">
      <x:c r="A198">
        <x:v>196</x:v>
      </x:c>
      <x:c r="B198" t="inlineStr">
        <x:is>
          <x:t xml:space="preserve">ยาแก้ปวด, ลดไข้ ชนิดน้ำ</x:t>
        </x:is>
      </x:c>
      <x:c r="C198">
        <x:v>3712</x:v>
      </x:c>
      <x:c r="D198" t="inlineStr">
        <x:is>
          <x:t xml:space="preserve">Tempra Forte</x:t>
        </x:is>
      </x:c>
      <x:c r="E198" t="inlineStr">
        <x:is>
          <x:t xml:space="preserve">ขวด 60 ml.</x:t>
        </x:is>
      </x:c>
      <x:c r="F198" t="inlineStr">
        <x:is>
          <x:t xml:space="preserve">Paracetamol 250 mg./5 ml.</x:t>
        </x:is>
      </x:c>
      <x:c r="G198" t="inlineStr">
        <x:is>
          <x:t xml:space="preserve">BDS003712</x:t>
        </x:is>
      </x:c>
      <x:c r="H198" t="inlineStr">
        <x:is>
          <x:t xml:space="preserve">Tempra Forte (60 ml.)</x:t>
        </x:is>
      </x:c>
      <x:c r="I198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198" t="inlineStr">
        <x:is>
          <x:t xml:space="preserve">General analgesics/antipyretics</x:t>
        </x:is>
      </x:c>
    </x:row>
    <x:row r="199">
      <x:c r="A199">
        <x:v>197</x:v>
      </x:c>
      <x:c r="B199" t="inlineStr">
        <x:is>
          <x:t xml:space="preserve">ยาแก้ปวด, ลดไข้ ชนิดน้ำ</x:t>
        </x:is>
      </x:c>
      <x:c r="C199">
        <x:v>48670</x:v>
      </x:c>
      <x:c r="D199" t="inlineStr">
        <x:is>
          <x:t xml:space="preserve">Tempra Kids Orange</x:t>
        </x:is>
      </x:c>
      <x:c r="E199" t="inlineStr">
        <x:is>
          <x:t xml:space="preserve">ขวด 60 ml.</x:t>
        </x:is>
      </x:c>
      <x:c r="F199" t="inlineStr">
        <x:is>
          <x:t xml:space="preserve">Paracetamol 120 mg./5 ml.</x:t>
        </x:is>
      </x:c>
      <x:c r="G199" t="inlineStr">
        <x:is>
          <x:t xml:space="preserve">BDS048670</x:t>
        </x:is>
      </x:c>
      <x:c r="H199" t="inlineStr">
        <x:is>
          <x:t xml:space="preserve">Tempra Kids Orange (60 ml.)</x:t>
        </x:is>
      </x:c>
      <x:c r="I199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199" t="inlineStr">
        <x:is>
          <x:t xml:space="preserve">General analgesics/antipyretics</x:t>
        </x:is>
      </x:c>
    </x:row>
    <x:row r="200">
      <x:c r="A200">
        <x:v>198</x:v>
      </x:c>
      <x:c r="B200" t="inlineStr">
        <x:is>
          <x:t xml:space="preserve">ยาแก้ปวด, ลดไข้ ชนิดน้ำ</x:t>
        </x:is>
      </x:c>
      <x:c r="C200">
        <x:v>3713</x:v>
      </x:c>
      <x:c r="D200" t="inlineStr">
        <x:is>
          <x:t xml:space="preserve">Tempra Kids Strawberry</x:t>
        </x:is>
      </x:c>
      <x:c r="E200" t="inlineStr">
        <x:is>
          <x:t xml:space="preserve">ขวด 60 ml.</x:t>
        </x:is>
      </x:c>
      <x:c r="F200" t="inlineStr">
        <x:is>
          <x:t xml:space="preserve">Paracetamol 120 mg./5 ml.</x:t>
        </x:is>
      </x:c>
      <x:c r="G200" t="inlineStr">
        <x:is>
          <x:t xml:space="preserve">BDS003713</x:t>
        </x:is>
      </x:c>
      <x:c r="H200" t="inlineStr">
        <x:is>
          <x:t xml:space="preserve">Tempra Kids Strawberry (60 ml.)</x:t>
        </x:is>
      </x:c>
      <x:c r="I200" t="inlineStr">
        <x:is>
          <x:t xml:space="preserve">รับประทานครั้งละ 1-2 ช้อนชา แต่ละครั้งห่างกันอย่างน้อย 4 ชม. วันละไม่เกิน 5 ครั้ง</x:t>
        </x:is>
      </x:c>
      <x:c r="P200" t="inlineStr">
        <x:is>
          <x:t xml:space="preserve">General analgesics/antipyretics</x:t>
        </x:is>
      </x:c>
    </x:row>
    <x:row r="201">
      <x:c r="A201">
        <x:v>199</x:v>
      </x:c>
      <x:c r="B201" t="inlineStr">
        <x:is>
          <x:t xml:space="preserve">ยาแก้ปวด, ลดไข้ ชนิดน้ำ</x:t>
        </x:is>
      </x:c>
      <x:c r="C201">
        <x:v>3737</x:v>
      </x:c>
      <x:c r="D201" t="inlineStr">
        <x:is>
          <x:t xml:space="preserve">Tylenol Drop</x:t>
        </x:is>
      </x:c>
      <x:c r="E201" t="inlineStr">
        <x:is>
          <x:t xml:space="preserve">ขวด 15 ml.</x:t>
        </x:is>
      </x:c>
      <x:c r="F201" t="inlineStr">
        <x:is>
          <x:t xml:space="preserve">Paracetamol 80 mg./0.8 ml.</x:t>
        </x:is>
      </x:c>
      <x:c r="G201" t="inlineStr">
        <x:is>
          <x:t xml:space="preserve">BDS003737</x:t>
        </x:is>
      </x:c>
      <x:c r="H201" t="inlineStr">
        <x:is>
          <x:t xml:space="preserve">Tylenol Drop (15 ml.)</x:t>
        </x:is>
      </x:c>
      <x:c r="I201" t="inlineStr">
        <x:is>
          <x:t xml:space="preserve">รับประทานครั้งละ 0.8 ml./5.5-7.9 kg. ทุก 4 ชั่วโมง</x:t>
        </x:is>
      </x:c>
      <x:c r="P201" t="inlineStr">
        <x:is>
          <x:t xml:space="preserve">General analgesics/antipyretics</x:t>
        </x:is>
      </x:c>
    </x:row>
    <x:row r="202">
      <x:c r="A202">
        <x:v>200</x:v>
      </x:c>
      <x:c r="B202" t="inlineStr">
        <x:is>
          <x:t xml:space="preserve">ยาแก้ปวด, ลดไข้ ชนิดน้ำ</x:t>
        </x:is>
      </x:c>
      <x:c r="C202">
        <x:v>3763</x:v>
      </x:c>
      <x:c r="D202" t="inlineStr">
        <x:is>
          <x:t xml:space="preserve">Tylenol Suspension</x:t>
        </x:is>
      </x:c>
      <x:c r="E202" t="inlineStr">
        <x:is>
          <x:t xml:space="preserve">ขวด 60 ml.</x:t>
        </x:is>
      </x:c>
      <x:c r="F202" t="inlineStr">
        <x:is>
          <x:t xml:space="preserve">Paracetamol 160 mg./5 ml.</x:t>
        </x:is>
      </x:c>
      <x:c r="G202" t="inlineStr">
        <x:is>
          <x:t xml:space="preserve">BDS003763</x:t>
        </x:is>
      </x:c>
      <x:c r="H202" t="inlineStr">
        <x:is>
          <x:t xml:space="preserve">Tylenol Suspension (60 ml.)</x:t>
        </x:is>
      </x:c>
      <x:c r="I202" t="inlineStr">
        <x:is>
          <x:t xml:space="preserve">รับประทานครั้งละ 5 ซีซี วันละ 3-4 ครั้ง</x:t>
        </x:is>
      </x:c>
      <x:c r="P202" t="inlineStr">
        <x:is>
          <x:t xml:space="preserve">General analgesics/antipyretics</x:t>
        </x:is>
      </x:c>
    </x:row>
    <x:row r="203">
      <x:c r="A203">
        <x:v>201</x:v>
      </x:c>
      <x:c r="B203" t="inlineStr">
        <x:is>
          <x:t xml:space="preserve">ยาแก้แพ้, ลดน้ำมูก ชนิดน้ำ (D)</x:t>
        </x:is>
      </x:c>
      <x:c r="C203">
        <x:v>1015</x:v>
      </x:c>
      <x:c r="D203" t="inlineStr">
        <x:is>
          <x:t xml:space="preserve">Aerius Syrup</x:t>
        </x:is>
      </x:c>
      <x:c r="E203" t="inlineStr">
        <x:is>
          <x:t xml:space="preserve">ขวด 60 ml.</x:t>
        </x:is>
      </x:c>
      <x:c r="F203" t="inlineStr">
        <x:is>
          <x:t xml:space="preserve">Desloratadine 0.5 mg./1 ml.</x:t>
        </x:is>
      </x:c>
      <x:c r="G203" t="inlineStr">
        <x:is>
          <x:t xml:space="preserve">BDS001015</x:t>
        </x:is>
      </x:c>
      <x:c r="H203" t="inlineStr">
        <x:is>
          <x:t xml:space="preserve">Aerius Syrup (60 ml.)</x:t>
        </x:is>
      </x:c>
      <x:c r="I203" t="inlineStr">
        <x:is>
          <x:t xml:space="preserve">เด็กโตรับประทานครั้งละ 1 ช้อนชาวันละ 1 ครั้ง</x:t>
        </x:is>
      </x:c>
    </x:row>
    <x:row r="204">
      <x:c r="A204">
        <x:v>202</x:v>
      </x:c>
      <x:c r="B204" t="inlineStr">
        <x:is>
          <x:t xml:space="preserve">ยาแก้แพ้, ลดน้ำมูก ชนิดน้ำ (D)</x:t>
        </x:is>
      </x:c>
      <x:c r="C204">
        <x:v>7003</x:v>
      </x:c>
      <x:c r="D204" t="inlineStr">
        <x:is>
          <x:t xml:space="preserve">Asiatapp Infant Drops (ควบคุมจำนวน)</x:t>
        </x:is>
      </x:c>
      <x:c r="E204" t="inlineStr">
        <x:is>
          <x:t xml:space="preserve">ขวด 15 ml.</x:t>
        </x:is>
      </x:c>
      <x:c r="F204" t="inlineStr">
        <x:is>
          <x:t xml:space="preserve">Brompheniramine Maleate 2.0 mg.+Phenylephrine HCl 2.5 mg./1 ml.</x:t>
        </x:is>
      </x:c>
      <x:c r="G204" t="inlineStr">
        <x:is>
          <x:t xml:space="preserve">BDS007003</x:t>
        </x:is>
      </x:c>
      <x:c r="H204" t="inlineStr">
        <x:is>
          <x:t xml:space="preserve">Asiatapp Infant Drops (ควบคุมจำนวน) (15 ml.)</x:t>
        </x:is>
      </x:c>
      <x:c r="I204" t="inlineStr">
        <x:is>
          <x:t xml:space="preserve">เด็กเล็กรับประทาน ครั้งละ 1-2 ml. วันละ 3-4 ครั้ง หรือรับประทานตามแพทย์สั่ง </x:t>
        </x:is>
      </x:c>
    </x:row>
    <x:row r="205">
      <x:c r="A205">
        <x:v>203</x:v>
      </x:c>
      <x:c r="B205" t="inlineStr">
        <x:is>
          <x:t xml:space="preserve">ยาแก้แพ้, ลดน้ำมูก ชนิดน้ำ (D)</x:t>
        </x:is>
      </x:c>
      <x:c r="C205">
        <x:v>8047</x:v>
      </x:c>
      <x:c r="D205" t="inlineStr">
        <x:is>
          <x:t xml:space="preserve">Asiatapp Syrup (ควบคุมจำนวน)</x:t>
        </x:is>
      </x:c>
      <x:c r="E205" t="inlineStr">
        <x:is>
          <x:t xml:space="preserve">ขวด 60 ml.</x:t>
        </x:is>
      </x:c>
      <x:c r="F205" t="inlineStr">
        <x:is>
          <x:t xml:space="preserve">Brompheniramine Maleate 4 mg.+Phenylephrine HCl 10 mg./5 ml.</x:t>
        </x:is>
      </x:c>
      <x:c r="G205" t="inlineStr">
        <x:is>
          <x:t xml:space="preserve">BDS008047</x:t>
        </x:is>
      </x:c>
      <x:c r="H205" t="inlineStr">
        <x:is>
          <x:t xml:space="preserve">Asiatapp Syrup (ควบคุมจำนวน) (60 ml.)</x:t>
        </x:is>
      </x:c>
      <x:c r="I205" t="inlineStr">
        <x:is>
          <x:t xml:space="preserve">เด็กเล็กรับประทาน ครั้งละ 1-2 ml. วันละ 3-4 ครั้ง หรือรับประทานตามแพทย์สั่ง </x:t>
        </x:is>
      </x:c>
    </x:row>
    <x:row r="206">
      <x:c r="A206">
        <x:v>204</x:v>
      </x:c>
      <x:c r="B206" t="inlineStr">
        <x:is>
          <x:t xml:space="preserve">ยาแก้แพ้, ลดน้ำมูก ชนิดน้ำ (D)</x:t>
        </x:is>
      </x:c>
      <x:c r="C206">
        <x:v>8033</x:v>
      </x:c>
      <x:c r="D206" t="inlineStr">
        <x:is>
          <x:t xml:space="preserve">Chlophen Syrup (ควบคุมจำนวน)</x:t>
        </x:is>
      </x:c>
      <x:c r="E206" t="inlineStr">
        <x:is>
          <x:t xml:space="preserve">ขวด 60 ml.</x:t>
        </x:is>
      </x:c>
      <x:c r="F206" t="inlineStr">
        <x:is>
          <x:t xml:space="preserve">Chlorpheniramine Maleate 2 mg./5 ml.</x:t>
        </x:is>
      </x:c>
      <x:c r="G206" t="inlineStr">
        <x:is>
          <x:t xml:space="preserve">BDS008033</x:t>
        </x:is>
      </x:c>
      <x:c r="H206" t="inlineStr">
        <x:is>
          <x:t xml:space="preserve">Chlophen Syrup (ควบคุมจำนวน) (60 ml.)</x:t>
        </x:is>
      </x:c>
      <x:c r="I206" t="inlineStr">
        <x:is>
          <x:t xml:space="preserve">เด็กโตรับประทานครั้งละ 1 ช้อนชา วันละ 3-4 ครั้ง</x:t>
        </x:is>
      </x:c>
    </x:row>
    <x:row r="207">
      <x:c r="A207">
        <x:v>205</x:v>
      </x:c>
      <x:c r="B207" t="inlineStr">
        <x:is>
          <x:t xml:space="preserve">ยาแก้แพ้, ลดน้ำมูก ชนิดน้ำ (D)</x:t>
        </x:is>
      </x:c>
      <x:c r="C207">
        <x:v>7038</x:v>
      </x:c>
      <x:c r="D207" t="inlineStr">
        <x:is>
          <x:t xml:space="preserve">Cistamine Syrup</x:t>
        </x:is>
      </x:c>
      <x:c r="E207" t="inlineStr">
        <x:is>
          <x:t xml:space="preserve">ขวด 60 ml.</x:t>
        </x:is>
      </x:c>
      <x:c r="F207" t="inlineStr">
        <x:is>
          <x:t xml:space="preserve">Cetirizine 2HCl 5 mg./5 ml.</x:t>
        </x:is>
      </x:c>
      <x:c r="G207" t="inlineStr">
        <x:is>
          <x:t xml:space="preserve">BDS007038</x:t>
        </x:is>
      </x:c>
      <x:c r="H207" t="inlineStr">
        <x:is>
          <x:t xml:space="preserve">Cistamine Syrup (60 ml.)</x:t>
        </x:is>
      </x:c>
      <x:c r="I207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08">
      <x:c r="A208">
        <x:v>206</x:v>
      </x:c>
      <x:c r="B208" t="inlineStr">
        <x:is>
          <x:t xml:space="preserve">ยาแก้แพ้, ลดน้ำมูก ชนิดน้ำ (D)</x:t>
        </x:is>
      </x:c>
      <x:c r="C208">
        <x:v>44519</x:v>
      </x:c>
      <x:c r="D208" t="inlineStr">
        <x:is>
          <x:t xml:space="preserve">Lorius Syrup</x:t>
        </x:is>
      </x:c>
      <x:c r="E208" t="inlineStr">
        <x:is>
          <x:t xml:space="preserve">ขวด 60 ml.</x:t>
        </x:is>
      </x:c>
      <x:c r="F208" t="inlineStr">
        <x:is>
          <x:t xml:space="preserve">Desloratadine 0.5 mg./1 ml.</x:t>
        </x:is>
      </x:c>
      <x:c r="G208" t="inlineStr">
        <x:is>
          <x:t xml:space="preserve">BDS044519</x:t>
        </x:is>
      </x:c>
      <x:c r="H208" t="inlineStr">
        <x:is>
          <x:t xml:space="preserve">Lorius Syrup (60 ml.)</x:t>
        </x:is>
      </x:c>
      <x:c r="I208" t="inlineStr">
        <x:is>
          <x:t xml:space="preserve">เด็กโตรับประทานครั้งละ 1 ช้อนชา วันละ 1  ครั้ง</x:t>
        </x:is>
      </x:c>
    </x:row>
    <x:row r="209">
      <x:c r="A209">
        <x:v>207</x:v>
      </x:c>
      <x:c r="B209" t="inlineStr">
        <x:is>
          <x:t xml:space="preserve">ยาแก้แพ้, ลดน้ำมูก ชนิดน้ำ (D)</x:t>
        </x:is>
      </x:c>
      <x:c r="C209">
        <x:v>7271</x:v>
      </x:c>
      <x:c r="D209" t="inlineStr">
        <x:is>
          <x:t xml:space="preserve">Sea Chlor Syrup (ควบคุมจำนวน)</x:t>
        </x:is>
      </x:c>
      <x:c r="E209" t="inlineStr">
        <x:is>
          <x:t xml:space="preserve">ขวด 60 ml.</x:t>
        </x:is>
      </x:c>
      <x:c r="F209" t="inlineStr">
        <x:is>
          <x:t xml:space="preserve">Chlorpheniramine Maleate 2 mg./5 ml.</x:t>
        </x:is>
      </x:c>
      <x:c r="G209" t="inlineStr">
        <x:is>
          <x:t xml:space="preserve">BDS007271</x:t>
        </x:is>
      </x:c>
      <x:c r="H209" t="inlineStr">
        <x:is>
          <x:t xml:space="preserve">Sea Chlor Syrup (ควบคุมจำนวน) (60 ml.)</x:t>
        </x:is>
      </x:c>
      <x:c r="I209" t="inlineStr">
        <x:is>
          <x:t xml:space="preserve">เด็กโตรับประทานครั้งละ 1 ช้อนชา วันละ 3-4 ครั้ง</x:t>
        </x:is>
      </x:c>
    </x:row>
    <x:row r="210">
      <x:c r="A210">
        <x:v>208</x:v>
      </x:c>
      <x:c r="B210" t="inlineStr">
        <x:is>
          <x:t xml:space="preserve">ยาแก้แพ้, ลดน้ำมูก ชนิดน้ำ (D)</x:t>
        </x:is>
      </x:c>
      <x:c r="C210">
        <x:v>3573</x:v>
      </x:c>
      <x:c r="D210" t="inlineStr">
        <x:is>
          <x:t xml:space="preserve">Sulidine CP Plus (ควบคุมจำนวน)</x:t>
        </x:is>
      </x:c>
      <x:c r="E210" t="inlineStr">
        <x:is>
          <x:t xml:space="preserve">ขวด 60 ml.</x:t>
        </x:is>
      </x:c>
      <x:c r="F210" t="inlineStr">
        <x:is>
          <x:t xml:space="preserve">Acetaminophen 120 mg+Chlorpheniramine maleate 1 mg+Phenylephrine HCl 5 mg/5 ml</x:t>
        </x:is>
      </x:c>
      <x:c r="G210" t="inlineStr">
        <x:is>
          <x:t xml:space="preserve">BDS003573</x:t>
        </x:is>
      </x:c>
      <x:c r="H210" t="inlineStr">
        <x:is>
          <x:t xml:space="preserve">Sulidine CP Plus (ควบคุมจำนวน) (60 ml.)</x:t>
        </x:is>
      </x:c>
      <x:c r="I210" t="inlineStr">
        <x:is>
          <x:t xml:space="preserve">เด็กโตรับประทานครั้งละ 1-2 ช้อนชา ทุก 4 ชั่วโมง</x:t>
        </x:is>
      </x:c>
    </x:row>
    <x:row r="211">
      <x:c r="A211">
        <x:v>209</x:v>
      </x:c>
      <x:c r="B211" t="inlineStr">
        <x:is>
          <x:t xml:space="preserve">ยาแก้แพ้, ลดน้ำมูก ชนิดน้ำ (D)</x:t>
        </x:is>
      </x:c>
      <x:c r="C211">
        <x:v>8301</x:v>
      </x:c>
      <x:c r="D211" t="inlineStr">
        <x:is>
          <x:t xml:space="preserve">Trandrozine Syrup (ควบคุมจำนวน)</x:t>
        </x:is>
      </x:c>
      <x:c r="E211" t="inlineStr">
        <x:is>
          <x:t xml:space="preserve">ขวด 60 ml.</x:t>
        </x:is>
      </x:c>
      <x:c r="F211" t="inlineStr">
        <x:is>
          <x:t xml:space="preserve">Hydroxyzine HCl 10 mg./5 ml.</x:t>
        </x:is>
      </x:c>
      <x:c r="G211" t="inlineStr">
        <x:is>
          <x:t xml:space="preserve">BDS008301</x:t>
        </x:is>
      </x:c>
      <x:c r="H211" t="inlineStr">
        <x:is>
          <x:t xml:space="preserve">Trandrozine Syrup (ควบคุมจำนวน) (60 ml.)</x:t>
        </x:is>
      </x:c>
      <x:c r="I211" t="inlineStr">
        <x:is>
          <x:t xml:space="preserve">เด็กเล็กรับประทานครั้งละ 1/2-1 ช้อนชา วันละ 3 ครั้ง หรือตามแพทย์สั่ง</x:t>
        </x:is>
      </x:c>
    </x:row>
    <x:row r="212">
      <x:c r="A212">
        <x:v>210</x:v>
      </x:c>
      <x:c r="B212" t="inlineStr">
        <x:is>
          <x:t xml:space="preserve">ยาแก้แพ้, ลดน้ำมูก ชนิดน้ำ (D)</x:t>
        </x:is>
      </x:c>
      <x:c r="C212">
        <x:v>8086</x:v>
      </x:c>
      <x:c r="D212" t="inlineStr">
        <x:is>
          <x:t xml:space="preserve">Zermed Syrup</x:t>
        </x:is>
      </x:c>
      <x:c r="E212" t="inlineStr">
        <x:is>
          <x:t xml:space="preserve">ขวด 60 ml.</x:t>
        </x:is>
      </x:c>
      <x:c r="F212" t="inlineStr">
        <x:is>
          <x:t xml:space="preserve">Cetirizine 2HCl 5 mg./5 ml.</x:t>
        </x:is>
      </x:c>
      <x:c r="G212" t="inlineStr">
        <x:is>
          <x:t xml:space="preserve">BDS008086</x:t>
        </x:is>
      </x:c>
      <x:c r="H212" t="inlineStr">
        <x:is>
          <x:t xml:space="preserve">Zermed Syrup (60 ml.)</x:t>
        </x:is>
      </x:c>
      <x:c r="I212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13">
      <x:c r="A213">
        <x:v>211</x:v>
      </x:c>
      <x:c r="B213" t="inlineStr">
        <x:is>
          <x:t xml:space="preserve">ยาแก้แพ้, ลดน้ำมูก ชนิดน้ำ (D)</x:t>
        </x:is>
      </x:c>
      <x:c r="C213">
        <x:v>4212</x:v>
      </x:c>
      <x:c r="D213" t="inlineStr">
        <x:is>
          <x:t xml:space="preserve">Zyrtec Syrup</x:t>
        </x:is>
      </x:c>
      <x:c r="E213" t="inlineStr">
        <x:is>
          <x:t xml:space="preserve">ขวด 75 ml.</x:t>
        </x:is>
      </x:c>
      <x:c r="F213" t="inlineStr">
        <x:is>
          <x:t xml:space="preserve">Cetirizine 2HCI 1 mg./1 ml.</x:t>
        </x:is>
      </x:c>
      <x:c r="G213" t="inlineStr">
        <x:is>
          <x:t xml:space="preserve">BDS004212</x:t>
        </x:is>
      </x:c>
      <x:c r="H213" t="inlineStr">
        <x:is>
          <x:t xml:space="preserve">Zyrtec Syrup (75 ml.)</x:t>
        </x:is>
      </x:c>
      <x:c r="I213" t="inlineStr">
        <x:is>
          <x:t xml:space="preserve">ผู้ใหญ่และเด็กโตรับประทานครั้งละ 1-2 ช้อนชา วันละ 1 ครั้ง</x:t>
        </x:is>
      </x:c>
    </x:row>
    <x:row r="214">
      <x:c r="A214">
        <x:v>212</x:v>
      </x:c>
      <x:c r="B214" t="inlineStr">
        <x:is>
          <x:t xml:space="preserve">ยาแก้ไอแห้ง, คันคอ ชนิดน้ำ (D)</x:t>
        </x:is>
      </x:c>
      <x:c r="C214">
        <x:v>6036</x:v>
      </x:c>
      <x:c r="D214" t="inlineStr">
        <x:is>
          <x:t xml:space="preserve">Icorin Kids Syrup</x:t>
        </x:is>
      </x:c>
      <x:c r="E214" t="inlineStr">
        <x:is>
          <x:t xml:space="preserve">ขวด 60 ml.</x:t>
        </x:is>
      </x:c>
      <x:c r="F214" t="inlineStr">
        <x:is>
          <x:t xml:space="preserve">Butamirate Citrate 4 mg/5 ml</x:t>
        </x:is>
      </x:c>
      <x:c r="G214" t="inlineStr">
        <x:is>
          <x:t xml:space="preserve">BDS006036</x:t>
        </x:is>
      </x:c>
      <x:c r="H214" t="inlineStr">
        <x:is>
          <x:t xml:space="preserve">Icorin Kids Syrup (60 ml.)</x:t>
        </x:is>
      </x:c>
      <x:c r="I214" t="inlineStr">
        <x:is>
          <x:t xml:space="preserve">รับประทานครั้งละ 1-2 ช้อนชา วันละ 3 ครั้ง</x:t>
        </x:is>
      </x:c>
      <x:c r="P214" t="inlineStr">
        <x:is>
          <x:t xml:space="preserve">Cough medicines / mucolytics / expectorants</x:t>
        </x:is>
      </x:c>
    </x:row>
    <x:row r="215">
      <x:c r="A215">
        <x:v>213</x:v>
      </x:c>
      <x:c r="B215" t="inlineStr">
        <x:is>
          <x:t xml:space="preserve">ยาแก้ไอแห้ง, คันคอ ชนิดน้ำ (D)</x:t>
        </x:is>
      </x:c>
      <x:c r="C215">
        <x:v>2290</x:v>
      </x:c>
      <x:c r="D215" t="inlineStr">
        <x:is>
          <x:t xml:space="preserve">Ivorin Syrup</x:t>
        </x:is>
      </x:c>
      <x:c r="E215" t="inlineStr">
        <x:is>
          <x:t xml:space="preserve">ขวด 60 ml.</x:t>
        </x:is>
      </x:c>
      <x:c r="F215" t="inlineStr">
        <x:is>
          <x:t xml:space="preserve">Levodropropizine 30 mg./5 ml.</x:t>
        </x:is>
      </x:c>
      <x:c r="G215" t="inlineStr">
        <x:is>
          <x:t xml:space="preserve">BDS002290</x:t>
        </x:is>
      </x:c>
      <x:c r="H215" t="inlineStr">
        <x:is>
          <x:t xml:space="preserve">Ivorin Syrup (60 ml.)</x:t>
        </x:is>
      </x:c>
      <x:c r="I215" t="inlineStr">
        <x:is>
          <x:t xml:space="preserve">ผู้ใหญ่รับประทานครั้งละ 2 ช้อนชา (10 ml.) วันละ 3 ครั้ง</x:t>
        </x:is>
      </x:c>
      <x:c r="P215" t="inlineStr">
        <x:is>
          <x:t xml:space="preserve">Cough medicines / mucolytics / expectorants</x:t>
        </x:is>
      </x:c>
    </x:row>
    <x:row r="216">
      <x:c r="A216">
        <x:v>214</x:v>
      </x:c>
      <x:c r="B216" t="inlineStr">
        <x:is>
          <x:t xml:space="preserve">ยาละลายเสมหะ ชนิดน้ำ</x:t>
        </x:is>
      </x:c>
      <x:c r="C216">
        <x:v>1257</x:v>
      </x:c>
      <x:c r="D216" t="inlineStr">
        <x:is>
          <x:t xml:space="preserve">Bisolvon EX Syrup เล็ก</x:t>
        </x:is>
      </x:c>
      <x:c r="E216" t="inlineStr">
        <x:is>
          <x:t xml:space="preserve">ขวด 60 ml.</x:t>
        </x:is>
      </x:c>
      <x:c r="F216" t="inlineStr">
        <x:is>
          <x:t xml:space="preserve">Bromhexine HCl 4 mg.+K guaiacolsulphonate 100 mg./5 ml.</x:t>
        </x:is>
      </x:c>
      <x:c r="G216" t="inlineStr">
        <x:is>
          <x:t xml:space="preserve">BDS001257</x:t>
        </x:is>
      </x:c>
      <x:c r="H216" t="inlineStr">
        <x:is>
          <x:t xml:space="preserve">Bisolvon EX Syrup เล็ก (60 ml.)</x:t>
        </x:is>
      </x:c>
      <x:c r="I216" t="inlineStr">
        <x:is>
          <x:t xml:space="preserve">รับประทานครั้งละ 1-2 ช้อนชา วันละ 3-4 ครั้ง</x:t>
        </x:is>
      </x:c>
      <x:c r="P216" t="inlineStr">
        <x:is>
          <x:t xml:space="preserve">Cough medicines / mucolytics / expectorants</x:t>
        </x:is>
      </x:c>
    </x:row>
    <x:row r="217">
      <x:c r="A217">
        <x:v>215</x:v>
      </x:c>
      <x:c r="B217" t="inlineStr">
        <x:is>
          <x:t xml:space="preserve">ยาละลายเสมหะ ชนิดน้ำ</x:t>
        </x:is>
      </x:c>
      <x:c r="C217">
        <x:v>1296</x:v>
      </x:c>
      <x:c r="D217" t="inlineStr">
        <x:is>
          <x:t xml:space="preserve">Bisolvon EX Syrup ใหญ่</x:t>
        </x:is>
      </x:c>
      <x:c r="E217" t="inlineStr">
        <x:is>
          <x:t xml:space="preserve">ขวด 125 ml.</x:t>
        </x:is>
      </x:c>
      <x:c r="F217" t="inlineStr">
        <x:is>
          <x:t xml:space="preserve">Bromhexine HCl 4 mg.+K guaiacolsulphonate 100 mg./5 ml.</x:t>
        </x:is>
      </x:c>
      <x:c r="G217" t="inlineStr">
        <x:is>
          <x:t xml:space="preserve">BDS001296</x:t>
        </x:is>
      </x:c>
      <x:c r="H217" t="inlineStr">
        <x:is>
          <x:t xml:space="preserve">Bisolvon EX Syrup ใหญ่ (125 ml.)</x:t>
        </x:is>
      </x:c>
      <x:c r="I217" t="inlineStr">
        <x:is>
          <x:t xml:space="preserve">รับประทานครั้งละ 1-2 ช้อนชา วันละ 3 ครั้ง</x:t>
        </x:is>
      </x:c>
      <x:c r="P217" t="inlineStr">
        <x:is>
          <x:t xml:space="preserve">Cough medicines / mucolytics / expectorants</x:t>
        </x:is>
      </x:c>
    </x:row>
    <x:row r="218">
      <x:c r="A218">
        <x:v>216</x:v>
      </x:c>
      <x:c r="B218" t="inlineStr">
        <x:is>
          <x:t xml:space="preserve">ยาละลายเสมหะ ชนิดน้ำ</x:t>
        </x:is>
      </x:c>
      <x:c r="C218">
        <x:v>1253</x:v>
      </x:c>
      <x:c r="D218" t="inlineStr">
        <x:is>
          <x:t xml:space="preserve">Bisolvon Pediatric Syrup</x:t>
        </x:is>
      </x:c>
      <x:c r="E218" t="inlineStr">
        <x:is>
          <x:t xml:space="preserve">ขวด 60 ml.</x:t>
        </x:is>
      </x:c>
      <x:c r="F218" t="inlineStr">
        <x:is>
          <x:t xml:space="preserve">Bromhexine HCl 4 mg./5 ml.</x:t>
        </x:is>
      </x:c>
      <x:c r="G218" t="inlineStr">
        <x:is>
          <x:t xml:space="preserve">BDS001253</x:t>
        </x:is>
      </x:c>
      <x:c r="H218" t="inlineStr">
        <x:is>
          <x:t xml:space="preserve">Bisolvon Pediatric Syrup (60 ml.)</x:t>
        </x:is>
      </x:c>
      <x:c r="I218" t="inlineStr">
        <x:is>
          <x:t xml:space="preserve">รับประทานครั้งละ 1 ช้อนชา วันละ 3 ครั้ง</x:t>
        </x:is>
      </x:c>
      <x:c r="P218" t="inlineStr">
        <x:is>
          <x:t xml:space="preserve">Cough medicines / mucolytics / expectorants</x:t>
        </x:is>
      </x:c>
    </x:row>
    <x:row r="219">
      <x:c r="A219">
        <x:v>217</x:v>
      </x:c>
      <x:c r="B219" t="inlineStr">
        <x:is>
          <x:t xml:space="preserve">ยาละลายเสมหะ ชนิดน้ำ</x:t>
        </x:is>
      </x:c>
      <x:c r="C219">
        <x:v>7033</x:v>
      </x:c>
      <x:c r="D219" t="inlineStr">
        <x:is>
          <x:t xml:space="preserve">Bocytin Syrup</x:t>
        </x:is>
      </x:c>
      <x:c r="E219" t="inlineStr">
        <x:is>
          <x:t xml:space="preserve">ขวด 60 ml.</x:t>
        </x:is>
      </x:c>
      <x:c r="F219" t="inlineStr">
        <x:is>
          <x:t xml:space="preserve">Carbocysteine 250 mg./5 ml.</x:t>
        </x:is>
      </x:c>
      <x:c r="G219" t="inlineStr">
        <x:is>
          <x:t xml:space="preserve">BDS007033</x:t>
        </x:is>
      </x:c>
      <x:c r="H219" t="inlineStr">
        <x:is>
          <x:t xml:space="preserve">Bocytin Syrup (60 ml.)</x:t>
        </x:is>
      </x:c>
      <x:c r="I219" t="inlineStr">
        <x:is>
          <x:t xml:space="preserve">เด็กเล็กรับประทาน 1/2 ช้อนชา วันละ 2 ครั้ง</x:t>
        </x:is>
      </x:c>
      <x:c r="P219" t="inlineStr">
        <x:is>
          <x:t xml:space="preserve">Cough medicines / mucolytics / expectorants</x:t>
        </x:is>
      </x:c>
    </x:row>
    <x:row r="220">
      <x:c r="A220">
        <x:v>218</x:v>
      </x:c>
      <x:c r="B220" t="inlineStr">
        <x:is>
          <x:t xml:space="preserve">ยาละลายเสมหะ ชนิดน้ำ</x:t>
        </x:is>
      </x:c>
      <x:c r="C220">
        <x:v>41506</x:v>
      </x:c>
      <x:c r="D220" t="inlineStr">
        <x:is>
          <x:t xml:space="preserve">Carboflex Syrup</x:t>
        </x:is>
      </x:c>
      <x:c r="E220" t="inlineStr">
        <x:is>
          <x:t xml:space="preserve">ขวด 60 ml.</x:t>
        </x:is>
      </x:c>
      <x:c r="F220" t="inlineStr">
        <x:is>
          <x:t xml:space="preserve">Carbocysteine 250 mg./5 ml.</x:t>
        </x:is>
      </x:c>
      <x:c r="G220" t="inlineStr">
        <x:is>
          <x:t xml:space="preserve">BDS041506</x:t>
        </x:is>
      </x:c>
      <x:c r="H220" t="inlineStr">
        <x:is>
          <x:t xml:space="preserve">Carboflex Syrup (60 ml.)</x:t>
        </x:is>
      </x:c>
      <x:c r="I220" t="inlineStr">
        <x:is>
          <x:t xml:space="preserve">เด็กอายุ 6-12 ปี รับประทานครั้งละ 1 ช้อนชา วันละ 3 ครั้ง</x:t>
        </x:is>
      </x:c>
      <x:c r="P220" t="inlineStr">
        <x:is>
          <x:t xml:space="preserve">Cough medicines / mucolytics / expectorants</x:t>
        </x:is>
      </x:c>
    </x:row>
    <x:row r="221">
      <x:c r="A221">
        <x:v>219</x:v>
      </x:c>
      <x:c r="B221" t="inlineStr">
        <x:is>
          <x:t xml:space="preserve">ยาละลายเสมหะ ชนิดน้ำ</x:t>
        </x:is>
      </x:c>
      <x:c r="C221">
        <x:v>1495</x:v>
      </x:c>
      <x:c r="D221" t="inlineStr">
        <x:is>
          <x:t xml:space="preserve">Cisteine</x:t>
        </x:is>
      </x:c>
      <x:c r="E221" t="inlineStr">
        <x:is>
          <x:t xml:space="preserve">ขวด 60 ml.</x:t>
        </x:is>
      </x:c>
      <x:c r="F221" t="inlineStr">
        <x:is>
          <x:t xml:space="preserve">Carbocysteine 100 mg./5 ml.</x:t>
        </x:is>
      </x:c>
      <x:c r="G221" t="inlineStr">
        <x:is>
          <x:t xml:space="preserve">BDS001495</x:t>
        </x:is>
      </x:c>
      <x:c r="H221" t="inlineStr">
        <x:is>
          <x:t xml:space="preserve">Cisteine (60 ml.)</x:t>
        </x:is>
      </x:c>
      <x:c r="I221" t="inlineStr">
        <x:is>
          <x:t xml:space="preserve">รับประทานครั้งละ 1 ช้อนชา วันละ 3 ครั้ง</x:t>
        </x:is>
      </x:c>
      <x:c r="P221" t="inlineStr">
        <x:is>
          <x:t xml:space="preserve">Cough medicines / mucolytics / expectorants</x:t>
        </x:is>
      </x:c>
    </x:row>
    <x:row r="222">
      <x:c r="A222">
        <x:v>220</x:v>
      </x:c>
      <x:c r="B222" t="inlineStr">
        <x:is>
          <x:t xml:space="preserve">ยาละลายเสมหะ ชนิดน้ำ</x:t>
        </x:is>
      </x:c>
      <x:c r="C222">
        <x:v>1919</x:v>
      </x:c>
      <x:c r="D222" t="inlineStr">
        <x:is>
          <x:t xml:space="preserve">Flemex Kids</x:t>
        </x:is>
      </x:c>
      <x:c r="E222" t="inlineStr">
        <x:is>
          <x:t xml:space="preserve">ขวด 60 ml.</x:t>
        </x:is>
      </x:c>
      <x:c r="F222" t="inlineStr">
        <x:is>
          <x:t xml:space="preserve">Carbocysteine 100 mg./5 ml.</x:t>
        </x:is>
      </x:c>
      <x:c r="G222" t="inlineStr">
        <x:is>
          <x:t xml:space="preserve">BDS001919</x:t>
        </x:is>
      </x:c>
      <x:c r="H222" t="inlineStr">
        <x:is>
          <x:t xml:space="preserve">Flemex Kids (60 ml.)</x:t>
        </x:is>
      </x:c>
      <x:c r="I222" t="inlineStr">
        <x:is>
          <x:t xml:space="preserve">รับประทานครั้งละ 1 ช้อนชา วันละ 2 ครั้ง</x:t>
        </x:is>
      </x:c>
      <x:c r="P222" t="inlineStr">
        <x:is>
          <x:t xml:space="preserve">Cough medicines / mucolytics / expectorants</x:t>
        </x:is>
      </x:c>
    </x:row>
    <x:row r="223">
      <x:c r="A223">
        <x:v>221</x:v>
      </x:c>
      <x:c r="B223" t="inlineStr">
        <x:is>
          <x:t xml:space="preserve">ยาละลายเสมหะ ชนิดน้ำ</x:t>
        </x:is>
      </x:c>
      <x:c r="C223">
        <x:v>1920</x:v>
      </x:c>
      <x:c r="D223" t="inlineStr">
        <x:is>
          <x:t xml:space="preserve">Flemex Syrup</x:t>
        </x:is>
      </x:c>
      <x:c r="E223" t="inlineStr">
        <x:is>
          <x:t xml:space="preserve">ขวด 60 ml.</x:t>
        </x:is>
      </x:c>
      <x:c r="F223" t="inlineStr">
        <x:is>
          <x:t xml:space="preserve">Carbocysteine 250 mg./5 ml.</x:t>
        </x:is>
      </x:c>
      <x:c r="G223" t="inlineStr">
        <x:is>
          <x:t xml:space="preserve">BDS001920</x:t>
        </x:is>
      </x:c>
      <x:c r="H223" t="inlineStr">
        <x:is>
          <x:t xml:space="preserve">Flemex Syrup (60 ml.)</x:t>
        </x:is>
      </x:c>
      <x:c r="I223" t="inlineStr">
        <x:is>
          <x:t xml:space="preserve">รับประทานครั้งละ 1 ช้อนโต๊ะ วันละ 3 ครั้ง</x:t>
        </x:is>
      </x:c>
      <x:c r="P223" t="inlineStr">
        <x:is>
          <x:t xml:space="preserve">Cough medicines / mucolytics / expectorants</x:t>
        </x:is>
      </x:c>
    </x:row>
    <x:row r="224">
      <x:c r="A224">
        <x:v>222</x:v>
      </x:c>
      <x:c r="B224" t="inlineStr">
        <x:is>
          <x:t xml:space="preserve">ยาละลายเสมหะ ชนิดน้ำ</x:t>
        </x:is>
      </x:c>
      <x:c r="C224">
        <x:v>7742</x:v>
      </x:c>
      <x:c r="D224" t="inlineStr">
        <x:is>
          <x:t xml:space="preserve">Mucobrox</x:t>
        </x:is>
      </x:c>
      <x:c r="E224" t="inlineStr">
        <x:is>
          <x:t xml:space="preserve">ขวด 60 ml.</x:t>
        </x:is>
      </x:c>
      <x:c r="F224" t="inlineStr">
        <x:is>
          <x:t xml:space="preserve">Ambroxol HCl 30 mg./5 ml.</x:t>
        </x:is>
      </x:c>
      <x:c r="G224" t="inlineStr">
        <x:is>
          <x:t xml:space="preserve">BDS007742</x:t>
        </x:is>
      </x:c>
      <x:c r="H224" t="inlineStr">
        <x:is>
          <x:t xml:space="preserve">Mucobrox (60 ml.)</x:t>
        </x:is>
      </x:c>
      <x:c r="I224" t="inlineStr">
        <x:is>
          <x:t xml:space="preserve">ผู้ใหญ่และเด็กโตรับประทาน 1 ช้อนชา  วันละ 3 ครั้ง</x:t>
        </x:is>
      </x:c>
      <x:c r="P224" t="inlineStr">
        <x:is>
          <x:t xml:space="preserve">Cough medicines / mucolytics / expectorants</x:t>
        </x:is>
      </x:c>
    </x:row>
    <x:row r="225">
      <x:c r="A225">
        <x:v>223</x:v>
      </x:c>
      <x:c r="B225" t="inlineStr">
        <x:is>
          <x:t xml:space="preserve">ยาละลายเสมหะ ชนิดน้ำ</x:t>
        </x:is>
      </x:c>
      <x:c r="C225">
        <x:v>2659</x:v>
      </x:c>
      <x:c r="D225" t="inlineStr">
        <x:is>
          <x:t xml:space="preserve">Mucoflux Syrup</x:t>
        </x:is>
      </x:c>
      <x:c r="E225" t="inlineStr">
        <x:is>
          <x:t xml:space="preserve">ขวด 60 ml.</x:t>
        </x:is>
      </x:c>
      <x:c r="F225" t="inlineStr">
        <x:is>
          <x:t xml:space="preserve">Cyclidrol 80 mg./10 ml.</x:t>
        </x:is>
      </x:c>
      <x:c r="G225" t="inlineStr">
        <x:is>
          <x:t xml:space="preserve">BDS002659</x:t>
        </x:is>
      </x:c>
      <x:c r="H225" t="inlineStr">
        <x:is>
          <x:t xml:space="preserve">Mucoflux Syrup (60 ml.)</x:t>
        </x:is>
      </x:c>
      <x:c r="I225" t="inlineStr">
        <x:is>
          <x:t xml:space="preserve">รับประทานครั้งละ 2-4 ช้อนชาวันละ 2 ครั้ง</x:t>
        </x:is>
      </x:c>
      <x:c r="P225" t="inlineStr">
        <x:is>
          <x:t xml:space="preserve">Cough medicines / mucolytics / expectorants</x:t>
        </x:is>
      </x:c>
    </x:row>
    <x:row r="226">
      <x:c r="A226">
        <x:v>224</x:v>
      </x:c>
      <x:c r="B226" t="inlineStr">
        <x:is>
          <x:t xml:space="preserve">ยาละลายเสมหะ ชนิดน้ำ</x:t>
        </x:is>
      </x:c>
      <x:c r="C226">
        <x:v>2691</x:v>
      </x:c>
      <x:c r="D226" t="inlineStr">
        <x:is>
          <x:t xml:space="preserve">Mucolid Junior บลูเบอร์รี่</x:t>
        </x:is>
      </x:c>
      <x:c r="E226" t="inlineStr">
        <x:is>
          <x:t xml:space="preserve">ขวด 60 ml.</x:t>
        </x:is>
      </x:c>
      <x:c r="F226" t="inlineStr">
        <x:is>
          <x:t xml:space="preserve">Ambroxol HCl 15 mg./5 ml.</x:t>
        </x:is>
      </x:c>
      <x:c r="G226" t="inlineStr">
        <x:is>
          <x:t xml:space="preserve">BDS002691</x:t>
        </x:is>
      </x:c>
      <x:c r="H226" t="inlineStr">
        <x:is>
          <x:t xml:space="preserve">Mucolid Junior บลูเบอร์รี่ (60 ml.)</x:t>
        </x:is>
      </x:c>
      <x:c r="I226" t="inlineStr">
        <x:is>
          <x:t xml:space="preserve">รับประทานครั้งละ 2 ช้อนชา วันละ 3 ครั้ง</x:t>
        </x:is>
      </x:c>
      <x:c r="P226" t="inlineStr">
        <x:is>
          <x:t xml:space="preserve">Cough medicines / mucolytics / expectorants</x:t>
        </x:is>
      </x:c>
    </x:row>
    <x:row r="227">
      <x:c r="A227">
        <x:v>225</x:v>
      </x:c>
      <x:c r="B227" t="inlineStr">
        <x:is>
          <x:t xml:space="preserve">ยาละลายเสมหะ ชนิดน้ำ</x:t>
        </x:is>
      </x:c>
      <x:c r="C227">
        <x:v>2654</x:v>
      </x:c>
      <x:c r="D227" t="inlineStr">
        <x:is>
          <x:t xml:space="preserve">Mucolid Syrup</x:t>
        </x:is>
      </x:c>
      <x:c r="E227" t="inlineStr">
        <x:is>
          <x:t xml:space="preserve">ขวด 60 ml.</x:t>
        </x:is>
      </x:c>
      <x:c r="F227" t="inlineStr">
        <x:is>
          <x:t xml:space="preserve">Ambroxol HCl 30 mg./5 ml.</x:t>
        </x:is>
      </x:c>
      <x:c r="G227" t="inlineStr">
        <x:is>
          <x:t xml:space="preserve">BDS002654</x:t>
        </x:is>
      </x:c>
      <x:c r="H227" t="inlineStr">
        <x:is>
          <x:t xml:space="preserve">Mucolid Syrup (60 ml.)</x:t>
        </x:is>
      </x:c>
      <x:c r="I227" t="inlineStr">
        <x:is>
          <x:t xml:space="preserve">รับประทานครั้งละ 1 ช้อนชา วันละ 4 ครั้ง</x:t>
        </x:is>
      </x:c>
      <x:c r="P227" t="inlineStr">
        <x:is>
          <x:t xml:space="preserve">Cough medicines / mucolytics / expectorants</x:t>
        </x:is>
      </x:c>
    </x:row>
    <x:row r="228">
      <x:c r="A228">
        <x:v>226</x:v>
      </x:c>
      <x:c r="B228" t="inlineStr">
        <x:is>
          <x:t xml:space="preserve">ยาละลายเสมหะ ชนิดน้ำ</x:t>
        </x:is>
      </x:c>
      <x:c r="C228">
        <x:v>3697</x:v>
      </x:c>
      <x:c r="D228" t="inlineStr">
        <x:is>
          <x:t xml:space="preserve">Solmax Forte Suspension</x:t>
        </x:is>
      </x:c>
      <x:c r="E228" t="inlineStr">
        <x:is>
          <x:t xml:space="preserve">ขวด 60 ml.</x:t>
        </x:is>
      </x:c>
      <x:c r="F228" t="inlineStr">
        <x:is>
          <x:t xml:space="preserve">Carbocysteine 500 mg./5 ml.</x:t>
        </x:is>
      </x:c>
      <x:c r="G228" t="inlineStr">
        <x:is>
          <x:t xml:space="preserve">BDS003697</x:t>
        </x:is>
      </x:c>
      <x:c r="H228" t="inlineStr">
        <x:is>
          <x:t xml:space="preserve">Solmax Forte Suspension (60 ml.)</x:t>
        </x:is>
      </x:c>
      <x:c r="I228" t="inlineStr">
        <x:is>
          <x:t xml:space="preserve">เด็กโตรับประทานครั้งละ ครึ่ง ช้อนชา วันละ 3 ครั้ง</x:t>
        </x:is>
      </x:c>
      <x:c r="P228" t="inlineStr">
        <x:is>
          <x:t xml:space="preserve">Cough medicines / mucolytics / expectorants</x:t>
        </x:is>
      </x:c>
    </x:row>
    <x:row r="229">
      <x:c r="A229">
        <x:v>227</x:v>
      </x:c>
      <x:c r="B229" t="inlineStr">
        <x:is>
          <x:t xml:space="preserve">ยาละลายเสมหะ ชนิดน้ำ</x:t>
        </x:is>
      </x:c>
      <x:c r="C229">
        <x:v>3782</x:v>
      </x:c>
      <x:c r="D229" t="inlineStr">
        <x:is>
          <x:t xml:space="preserve">Solmax Kids Suspension</x:t>
        </x:is>
      </x:c>
      <x:c r="E229" t="inlineStr">
        <x:is>
          <x:t xml:space="preserve">ขวด 60 ml.</x:t>
        </x:is>
      </x:c>
      <x:c r="F229" t="inlineStr">
        <x:is>
          <x:t xml:space="preserve">Carbocysteine 200 mg./5 ml.</x:t>
        </x:is>
      </x:c>
      <x:c r="G229" t="inlineStr">
        <x:is>
          <x:t xml:space="preserve">BDS003782</x:t>
        </x:is>
      </x:c>
      <x:c r="H229" t="inlineStr">
        <x:is>
          <x:t xml:space="preserve">Solmax Kids Suspension (60 ml.)</x:t>
        </x:is>
      </x:c>
      <x:c r="I229" t="inlineStr">
        <x:is>
          <x:t xml:space="preserve">เด็กเล็กรับประทาน 1/2 ช้อนชา วันละ 3-4 ครั้ง</x:t>
        </x:is>
      </x:c>
      <x:c r="P229" t="inlineStr">
        <x:is>
          <x:t xml:space="preserve">Cough medicines / mucolytics / expectorants</x:t>
        </x:is>
      </x:c>
    </x:row>
    <x:row r="230">
      <x:c r="A230">
        <x:v>228</x:v>
      </x:c>
      <x:c r="B230" t="inlineStr">
        <x:is>
          <x:t xml:space="preserve">ยาแก้ปวดอักเสบกลุ่ม NSAIDs (D)</x:t>
        </x:is>
      </x:c>
      <x:c r="C230">
        <x:v>40009</x:v>
      </x:c>
      <x:c r="D230" t="inlineStr">
        <x:is>
          <x:t xml:space="preserve">Anpuzz 520 </x:t>
        </x:is>
      </x:c>
      <x:c r="E230" t="inlineStr">
        <x:is>
          <x:t xml:space="preserve">กล่อง 10 เม็ด</x:t>
        </x:is>
      </x:c>
      <x:c r="F230" t="inlineStr">
        <x:is>
          <x:t xml:space="preserve">Mefenamic acid 500 mg. + Dicyclomine HCl 20 mg.</x:t>
        </x:is>
      </x:c>
      <x:c r="G230" t="inlineStr">
        <x:is>
          <x:t xml:space="preserve">BDS040009</x:t>
        </x:is>
      </x:c>
      <x:c r="H230" t="inlineStr">
        <x:is>
          <x:t xml:space="preserve">Anpuzz 520  (10 tabs)</x:t>
        </x:is>
      </x:c>
      <x:c r="I230" t="inlineStr">
        <x:is>
          <x:t xml:space="preserve">รับประทานครั้งละ 1 เม็ด วันละ 3 ครั้ง หลังอาหารทันที </x:t>
        </x:is>
      </x:c>
      <x:c r="P230" t="inlineStr">
        <x:is>
          <x:t xml:space="preserve">NSAIDs (oral anti-inflammatory painkillers)</x:t>
        </x:is>
      </x:c>
    </x:row>
    <x:row r="231">
      <x:c r="A231">
        <x:v>229</x:v>
      </x:c>
      <x:c r="B231" t="inlineStr">
        <x:is>
          <x:t xml:space="preserve">ยาแก้ปวดอักเสบกลุ่ม NSAIDs (D)</x:t>
        </x:is>
      </x:c>
      <x:c r="C231">
        <x:v>1076</x:v>
      </x:c>
      <x:c r="D231" t="inlineStr">
        <x:is>
          <x:t xml:space="preserve">Arcoxia 120 mg</x:t>
        </x:is>
      </x:c>
      <x:c r="E231" t="inlineStr">
        <x:is>
          <x:t xml:space="preserve">แผง 5 เม็ด</x:t>
        </x:is>
      </x:c>
      <x:c r="F231" t="inlineStr">
        <x:is>
          <x:t xml:space="preserve">Etoricoxib 120 mg.</x:t>
        </x:is>
      </x:c>
      <x:c r="G231" t="inlineStr">
        <x:is>
          <x:t xml:space="preserve">BDS001076</x:t>
        </x:is>
      </x:c>
      <x:c r="H231" t="inlineStr">
        <x:is>
          <x:t xml:space="preserve">Arcoxia 120 mg (5 tabs)</x:t>
        </x:is>
      </x:c>
      <x:c r="I231" t="inlineStr">
        <x:is>
          <x:t xml:space="preserve">รับประทานครั้งละ 1 เม็ด วันละ 1 ครั้ง หลังอาหารทันที</x:t>
        </x:is>
      </x:c>
      <x:c r="P231" t="inlineStr">
        <x:is>
          <x:t xml:space="preserve">NSAIDs (oral anti-inflammatory painkillers)</x:t>
        </x:is>
      </x:c>
    </x:row>
    <x:row r="232">
      <x:c r="A232">
        <x:v>230</x:v>
      </x:c>
      <x:c r="B232" t="inlineStr">
        <x:is>
          <x:t xml:space="preserve">ยาแก้ปวดอักเสบกลุ่ม NSAIDs (D)</x:t>
        </x:is>
      </x:c>
      <x:c r="C232">
        <x:v>1078</x:v>
      </x:c>
      <x:c r="D232" t="inlineStr">
        <x:is>
          <x:t xml:space="preserve">Arcoxia 60 mg</x:t>
        </x:is>
      </x:c>
      <x:c r="E232" t="inlineStr">
        <x:is>
          <x:t xml:space="preserve">แผง 5 เม็ด</x:t>
        </x:is>
      </x:c>
      <x:c r="F232" t="inlineStr">
        <x:is>
          <x:t xml:space="preserve">Etoricoxib 60 mg.</x:t>
        </x:is>
      </x:c>
      <x:c r="G232" t="inlineStr">
        <x:is>
          <x:t xml:space="preserve">BDS001078</x:t>
        </x:is>
      </x:c>
      <x:c r="H232" t="inlineStr">
        <x:is>
          <x:t xml:space="preserve">Arcoxia 60 mg (5 tabs)</x:t>
        </x:is>
      </x:c>
      <x:c r="I232" t="inlineStr">
        <x:is>
          <x:t xml:space="preserve">รับประทานครั้งละ 1 เม็ด วันละ 1 ครั้ง หลังอาหารทันที</x:t>
        </x:is>
      </x:c>
      <x:c r="P232" t="inlineStr">
        <x:is>
          <x:t xml:space="preserve">NSAIDs (oral anti-inflammatory painkillers)</x:t>
        </x:is>
      </x:c>
    </x:row>
    <x:row r="233">
      <x:c r="A233">
        <x:v>231</x:v>
      </x:c>
      <x:c r="B233" t="inlineStr">
        <x:is>
          <x:t xml:space="preserve">ยาแก้ปวดอักเสบกลุ่ม NSAIDs (D)</x:t>
        </x:is>
      </x:c>
      <x:c r="C233">
        <x:v>1075</x:v>
      </x:c>
      <x:c r="D233" t="inlineStr">
        <x:is>
          <x:t xml:space="preserve">Arcoxia 90 mg</x:t>
        </x:is>
      </x:c>
      <x:c r="E233" t="inlineStr">
        <x:is>
          <x:t xml:space="preserve">แผง 5 เม็ด</x:t>
        </x:is>
      </x:c>
      <x:c r="F233" t="inlineStr">
        <x:is>
          <x:t xml:space="preserve">Etoricoxib 90 mg.</x:t>
        </x:is>
      </x:c>
      <x:c r="G233" t="inlineStr">
        <x:is>
          <x:t xml:space="preserve">BDS001075</x:t>
        </x:is>
      </x:c>
      <x:c r="H233" t="inlineStr">
        <x:is>
          <x:t xml:space="preserve">Arcoxia 90 mg (5 tabs)</x:t>
        </x:is>
      </x:c>
      <x:c r="I233" t="inlineStr">
        <x:is>
          <x:t xml:space="preserve">รับประทานครั้งละ 1 เม็ด  วันละ 1 ครั้ง หลังอาหารทันที</x:t>
        </x:is>
      </x:c>
      <x:c r="P233" t="inlineStr">
        <x:is>
          <x:t xml:space="preserve">NSAIDs (oral anti-inflammatory painkillers)</x:t>
        </x:is>
      </x:c>
    </x:row>
    <x:row r="234">
      <x:c r="A234">
        <x:v>232</x:v>
      </x:c>
      <x:c r="B234" t="inlineStr">
        <x:is>
          <x:t xml:space="preserve">ยาแก้ปวดอักเสบกลุ่ม NSAIDs (D)</x:t>
        </x:is>
      </x:c>
      <x:c r="C234">
        <x:v>40616</x:v>
      </x:c>
      <x:c r="D234" t="inlineStr">
        <x:is>
          <x:t xml:space="preserve">Biocoxib 90 mg.</x:t>
        </x:is>
      </x:c>
      <x:c r="E234" t="inlineStr">
        <x:is>
          <x:t xml:space="preserve">แผง 5 เม็ด</x:t>
        </x:is>
      </x:c>
      <x:c r="F234" t="inlineStr">
        <x:is>
          <x:t xml:space="preserve">Etoricoxib 90 mg.</x:t>
        </x:is>
      </x:c>
      <x:c r="G234" t="inlineStr">
        <x:is>
          <x:t xml:space="preserve">BDS040616</x:t>
        </x:is>
      </x:c>
      <x:c r="H234" t="inlineStr">
        <x:is>
          <x:t xml:space="preserve">Biocoxib 90 mg. (5 tabs)</x:t>
        </x:is>
      </x:c>
      <x:c r="I234" t="inlineStr">
        <x:is>
          <x:t xml:space="preserve">รับประทานครั้งละ 1 เม็ด  วันละ 1 ครั้ง หลังอาหารทันที</x:t>
        </x:is>
      </x:c>
      <x:c r="P234" t="inlineStr">
        <x:is>
          <x:t xml:space="preserve">NSAIDs (oral anti-inflammatory painkillers)</x:t>
        </x:is>
      </x:c>
    </x:row>
    <x:row r="235">
      <x:c r="A235">
        <x:v>233</x:v>
      </x:c>
      <x:c r="B235" t="inlineStr">
        <x:is>
          <x:t xml:space="preserve">ยาแก้ปวดอักเสบกลุ่ม NSAIDs (D)</x:t>
        </x:is>
      </x:c>
      <x:c r="C235">
        <x:v>8116</x:v>
      </x:c>
      <x:c r="D235" t="inlineStr">
        <x:is>
          <x:t xml:space="preserve">Cambic 15</x:t>
        </x:is>
      </x:c>
      <x:c r="E235" t="inlineStr">
        <x:is>
          <x:t xml:space="preserve">แผง 10 เม็ด</x:t>
        </x:is>
      </x:c>
      <x:c r="F235" t="inlineStr">
        <x:is>
          <x:t xml:space="preserve">Meloxicam 15 mg.</x:t>
        </x:is>
      </x:c>
      <x:c r="G235" t="inlineStr">
        <x:is>
          <x:t xml:space="preserve">BDS008116</x:t>
        </x:is>
      </x:c>
      <x:c r="H235" t="inlineStr">
        <x:is>
          <x:t xml:space="preserve">Cambic 15 (10 tabs)</x:t>
        </x:is>
      </x:c>
      <x:c r="I235" t="inlineStr">
        <x:is>
          <x:t xml:space="preserve">รับประทานครั้งละ 1 เม็ด วันละ 1 ครั้ง หลังอาหารทันที</x:t>
        </x:is>
      </x:c>
      <x:c r="P235" t="inlineStr">
        <x:is>
          <x:t xml:space="preserve">NSAIDs (oral anti-inflammatory painkillers)</x:t>
        </x:is>
      </x:c>
    </x:row>
    <x:row r="236">
      <x:c r="A236">
        <x:v>234</x:v>
      </x:c>
      <x:c r="B236" t="inlineStr">
        <x:is>
          <x:t xml:space="preserve">ยาแก้ปวดอักเสบกลุ่ม NSAIDs (D)</x:t>
        </x:is>
      </x:c>
      <x:c r="C236">
        <x:v>41402</x:v>
      </x:c>
      <x:c r="D236" t="inlineStr">
        <x:is>
          <x:t xml:space="preserve">Cataflam 50 mg</x:t>
        </x:is>
      </x:c>
      <x:c r="E236" t="inlineStr">
        <x:is>
          <x:t xml:space="preserve">แผง 10 เม็ด</x:t>
        </x:is>
      </x:c>
      <x:c r="F236" t="inlineStr">
        <x:is>
          <x:t xml:space="preserve">Diclofenac Potassium 50 mg</x:t>
        </x:is>
      </x:c>
      <x:c r="G236" t="inlineStr">
        <x:is>
          <x:t xml:space="preserve">BDS041402</x:t>
        </x:is>
      </x:c>
      <x:c r="H236" t="inlineStr">
        <x:is>
          <x:t xml:space="preserve">Cataflam 50 mg (10 tabs)</x:t>
        </x:is>
      </x:c>
      <x:c r="I236" t="inlineStr">
        <x:is>
          <x:t xml:space="preserve">รับประทานครั้งละ 1 เม็ด วันละ 1-2 ครั้ง หลังอาหารทันที หรือตามแพทย์สั่ง</x:t>
        </x:is>
      </x:c>
      <x:c r="P236" t="inlineStr">
        <x:is>
          <x:t xml:space="preserve">NSAIDs (oral anti-inflammatory painkillers)</x:t>
        </x:is>
      </x:c>
    </x:row>
    <x:row r="237">
      <x:c r="A237">
        <x:v>235</x:v>
      </x:c>
      <x:c r="B237" t="inlineStr">
        <x:is>
          <x:t xml:space="preserve">ยาแก้ปวดอักเสบกลุ่ม NSAIDs (D)</x:t>
        </x:is>
      </x:c>
      <x:c r="C237">
        <x:v>7035</x:v>
      </x:c>
      <x:c r="D237" t="inlineStr">
        <x:is>
          <x:t xml:space="preserve">Catanac 50 mg</x:t>
        </x:is>
      </x:c>
      <x:c r="E237" t="inlineStr">
        <x:is>
          <x:t xml:space="preserve">แผง 10 เม็ด</x:t>
        </x:is>
      </x:c>
      <x:c r="F237" t="inlineStr">
        <x:is>
          <x:t xml:space="preserve">Diclofenac Potassium 50 mg.</x:t>
        </x:is>
      </x:c>
      <x:c r="G237" t="inlineStr">
        <x:is>
          <x:t xml:space="preserve">BDS007035</x:t>
        </x:is>
      </x:c>
      <x:c r="H237" t="inlineStr">
        <x:is>
          <x:t xml:space="preserve">Catanac 50 mg (10 tabs)</x:t>
        </x:is>
      </x:c>
      <x:c r="I237" t="inlineStr">
        <x:is>
          <x:t xml:space="preserve">รับประทานครั้งละ 1 เม็ด วันละ 3 ครั้ง หลังอาหารทันที</x:t>
        </x:is>
      </x:c>
      <x:c r="P237" t="inlineStr">
        <x:is>
          <x:t xml:space="preserve">NSAIDs (oral anti-inflammatory painkillers)</x:t>
        </x:is>
      </x:c>
    </x:row>
    <x:row r="238">
      <x:c r="A238">
        <x:v>236</x:v>
      </x:c>
      <x:c r="B238" t="inlineStr">
        <x:is>
          <x:t xml:space="preserve">ยาแก้ปวดอักเสบกลุ่ม NSAIDs (D)</x:t>
        </x:is>
      </x:c>
      <x:c r="C238">
        <x:v>1509</x:v>
      </x:c>
      <x:c r="D238" t="inlineStr">
        <x:is>
          <x:t xml:space="preserve">Celebrex 200 mg</x:t>
        </x:is>
      </x:c>
      <x:c r="E238" t="inlineStr">
        <x:is>
          <x:t xml:space="preserve">กล่อง 10 แคปซูล</x:t>
        </x:is>
      </x:c>
      <x:c r="F238" t="inlineStr">
        <x:is>
          <x:t xml:space="preserve">Celecoxib 200 mg.</x:t>
        </x:is>
      </x:c>
      <x:c r="G238" t="inlineStr">
        <x:is>
          <x:t xml:space="preserve">BDS001509</x:t>
        </x:is>
      </x:c>
      <x:c r="H238" t="inlineStr">
        <x:is>
          <x:t xml:space="preserve">Celebrex 200 mg (10 cap)</x:t>
        </x:is>
      </x:c>
      <x:c r="I238" t="inlineStr">
        <x:is>
          <x:t xml:space="preserve">รับประทานครั้งละ 1 แคปซูล วันละ 2 ครั้ง หลังอาหารทันที</x:t>
        </x:is>
      </x:c>
      <x:c r="P238" t="inlineStr">
        <x:is>
          <x:t xml:space="preserve">NSAIDs (oral anti-inflammatory painkillers)</x:t>
        </x:is>
      </x:c>
    </x:row>
    <x:row r="239">
      <x:c r="A239">
        <x:v>237</x:v>
      </x:c>
      <x:c r="B239" t="inlineStr">
        <x:is>
          <x:t xml:space="preserve">ยาแก้ปวดอักเสบกลุ่ม NSAIDs (D)</x:t>
        </x:is>
      </x:c>
      <x:c r="C239">
        <x:v>1507</x:v>
      </x:c>
      <x:c r="D239" t="inlineStr">
        <x:is>
          <x:t xml:space="preserve">Celebrex 400 mg</x:t>
        </x:is>
      </x:c>
      <x:c r="E239" t="inlineStr">
        <x:is>
          <x:t xml:space="preserve">กล่อง 10 แคปซูล</x:t>
        </x:is>
      </x:c>
      <x:c r="F239" t="inlineStr">
        <x:is>
          <x:t xml:space="preserve">Celecoxib 400 mg.</x:t>
        </x:is>
      </x:c>
      <x:c r="G239" t="inlineStr">
        <x:is>
          <x:t xml:space="preserve">BDS001507</x:t>
        </x:is>
      </x:c>
      <x:c r="H239" t="inlineStr">
        <x:is>
          <x:t xml:space="preserve">Celebrex 400 mg (10 cap)</x:t>
        </x:is>
      </x:c>
      <x:c r="I239" t="inlineStr">
        <x:is>
          <x:t xml:space="preserve">รับประทานครั้งละ 1 แคปซูล วันละ 1 ครั้ง หลังอาหารทันที</x:t>
        </x:is>
      </x:c>
      <x:c r="P239" t="inlineStr">
        <x:is>
          <x:t xml:space="preserve">NSAIDs (oral anti-inflammatory painkillers)</x:t>
        </x:is>
      </x:c>
    </x:row>
    <x:row r="240">
      <x:c r="A240">
        <x:v>238</x:v>
      </x:c>
      <x:c r="B240" t="inlineStr">
        <x:is>
          <x:t xml:space="preserve">ยาแก้ปวดอักเสบกลุ่ม NSAIDs (D)</x:t>
        </x:is>
      </x:c>
      <x:c r="C240">
        <x:v>1822</x:v>
      </x:c>
      <x:c r="D240" t="inlineStr">
        <x:is>
          <x:t xml:space="preserve">Dosanac 25</x:t>
        </x:is>
      </x:c>
      <x:c r="E240" t="inlineStr">
        <x:is>
          <x:t xml:space="preserve">กล่อง 10 เม็ด</x:t>
        </x:is>
      </x:c>
      <x:c r="F240" t="inlineStr">
        <x:is>
          <x:t xml:space="preserve">Diclofenac Sodium 25 mg.</x:t>
        </x:is>
      </x:c>
      <x:c r="G240" t="inlineStr">
        <x:is>
          <x:t xml:space="preserve">BDS001822</x:t>
        </x:is>
      </x:c>
      <x:c r="H240" t="inlineStr">
        <x:is>
          <x:t xml:space="preserve">Dosanac 25 (10 tabs)</x:t>
        </x:is>
      </x:c>
      <x:c r="I240" t="inlineStr">
        <x:is>
          <x:t xml:space="preserve">รับประทานครั้งละ 1-2 เม็ด วันละ 3 ครั้ง หลังอาหารทันที หรือตามแพทย์สั่ง</x:t>
        </x:is>
      </x:c>
      <x:c r="P240" t="inlineStr">
        <x:is>
          <x:t xml:space="preserve">NSAIDs (oral anti-inflammatory painkillers)</x:t>
        </x:is>
      </x:c>
    </x:row>
    <x:row r="241">
      <x:c r="A241">
        <x:v>239</x:v>
      </x:c>
      <x:c r="B241" t="inlineStr">
        <x:is>
          <x:t xml:space="preserve">ยาแก้ปวดอักเสบกลุ่ม NSAIDs (D)</x:t>
        </x:is>
      </x:c>
      <x:c r="C241">
        <x:v>1824</x:v>
      </x:c>
      <x:c r="D241" t="inlineStr">
        <x:is>
          <x:t xml:space="preserve">Dosanac 50</x:t>
        </x:is>
      </x:c>
      <x:c r="E241" t="inlineStr">
        <x:is>
          <x:t xml:space="preserve">กล่อง 10 เม็ด</x:t>
        </x:is>
      </x:c>
      <x:c r="F241" t="inlineStr">
        <x:is>
          <x:t xml:space="preserve">Diclofenac Sodium 50 mg.</x:t>
        </x:is>
      </x:c>
      <x:c r="G241" t="inlineStr">
        <x:is>
          <x:t xml:space="preserve">BDS001824</x:t>
        </x:is>
      </x:c>
      <x:c r="H241" t="inlineStr">
        <x:is>
          <x:t xml:space="preserve">Dosanac 50 (10 tabs)</x:t>
        </x:is>
      </x:c>
      <x:c r="I241" t="inlineStr">
        <x:is>
          <x:t xml:space="preserve">รับประทานครั้งละ 1 เม็ดวันละ 3 ครั้ง หลังอาหารทันที หรือตามแพทย์สั่ง</x:t>
        </x:is>
      </x:c>
      <x:c r="P241" t="inlineStr">
        <x:is>
          <x:t xml:space="preserve">NSAIDs (oral anti-inflammatory painkillers)</x:t>
        </x:is>
      </x:c>
    </x:row>
    <x:row r="242">
      <x:c r="A242">
        <x:v>240</x:v>
      </x:c>
      <x:c r="B242" t="inlineStr">
        <x:is>
          <x:t xml:space="preserve">ยาแก้ปวดอักเสบกลุ่ม NSAIDs (D)</x:t>
        </x:is>
      </x:c>
      <x:c r="C242">
        <x:v>42806</x:v>
      </x:c>
      <x:c r="D242" t="inlineStr">
        <x:is>
          <x:t xml:space="preserve">Eberil 120</x:t>
        </x:is>
      </x:c>
      <x:c r="E242" t="inlineStr">
        <x:is>
          <x:t xml:space="preserve">กล่อง 5 เม็ด</x:t>
        </x:is>
      </x:c>
      <x:c r="F242" t="inlineStr">
        <x:is>
          <x:t xml:space="preserve">Etoricoxib 120 mg.</x:t>
        </x:is>
      </x:c>
      <x:c r="G242" t="inlineStr">
        <x:is>
          <x:t xml:space="preserve">BDS042806</x:t>
        </x:is>
      </x:c>
      <x:c r="H242" t="inlineStr">
        <x:is>
          <x:t xml:space="preserve">Eberil 120 (5 tabs)</x:t>
        </x:is>
      </x:c>
      <x:c r="I242" t="inlineStr">
        <x:is>
          <x:t xml:space="preserve">รับประทานครั้งละ 1 เม็ด วันละ 1 ครั้ง หลังอาหารทันที</x:t>
        </x:is>
      </x:c>
      <x:c r="P242" t="inlineStr">
        <x:is>
          <x:t xml:space="preserve">NSAIDs (oral anti-inflammatory painkillers)</x:t>
        </x:is>
      </x:c>
    </x:row>
    <x:row r="243">
      <x:c r="A243">
        <x:v>241</x:v>
      </x:c>
      <x:c r="B243" t="inlineStr">
        <x:is>
          <x:t xml:space="preserve">ยาแก้ปวดอักเสบกลุ่ม NSAIDs (D)</x:t>
        </x:is>
      </x:c>
      <x:c r="C243">
        <x:v>8061</x:v>
      </x:c>
      <x:c r="D243" t="inlineStr">
        <x:is>
          <x:t xml:space="preserve">Felcam</x:t>
        </x:is>
      </x:c>
      <x:c r="E243" t="inlineStr">
        <x:is>
          <x:t xml:space="preserve">แผง 10 เม็ด</x:t>
        </x:is>
      </x:c>
      <x:c r="F243" t="inlineStr">
        <x:is>
          <x:t xml:space="preserve">Piroxicam 20 mg.</x:t>
        </x:is>
      </x:c>
      <x:c r="G243" t="inlineStr">
        <x:is>
          <x:t xml:space="preserve">BDS008061</x:t>
        </x:is>
      </x:c>
      <x:c r="H243" t="inlineStr">
        <x:is>
          <x:t xml:space="preserve">Felcam (10 tabs)</x:t>
        </x:is>
      </x:c>
      <x:c r="I243" t="inlineStr">
        <x:is>
          <x:t xml:space="preserve">รับประทานครั้งละ 1 เม็ด วันละ 1-2 ครั้ง หลังอาหารทันที</x:t>
        </x:is>
      </x:c>
      <x:c r="P243" t="inlineStr">
        <x:is>
          <x:t xml:space="preserve">NSAIDs (oral anti-inflammatory painkillers)</x:t>
        </x:is>
      </x:c>
    </x:row>
    <x:row r="244">
      <x:c r="A244">
        <x:v>242</x:v>
      </x:c>
      <x:c r="B244" t="inlineStr">
        <x:is>
          <x:t xml:space="preserve">ยาแก้ปวดอักเสบกลุ่ม NSAIDs (D)</x:t>
        </x:is>
      </x:c>
      <x:c r="C244">
        <x:v>7602</x:v>
      </x:c>
      <x:c r="D244" t="inlineStr">
        <x:is>
          <x:t xml:space="preserve">Felcam Capsule</x:t>
        </x:is>
      </x:c>
      <x:c r="E244" t="inlineStr">
        <x:is>
          <x:t xml:space="preserve">แผง 10 แคปซูล</x:t>
        </x:is>
      </x:c>
      <x:c r="F244" t="inlineStr">
        <x:is>
          <x:t xml:space="preserve">Piroxicam 10 mg.</x:t>
        </x:is>
      </x:c>
      <x:c r="G244" t="inlineStr">
        <x:is>
          <x:t xml:space="preserve">BDS007602</x:t>
        </x:is>
      </x:c>
      <x:c r="H244" t="inlineStr">
        <x:is>
          <x:t xml:space="preserve">Felcam Capsule (10 cap)</x:t>
        </x:is>
      </x:c>
      <x:c r="I244" t="inlineStr">
        <x:is>
          <x:t xml:space="preserve">รับประทานครั้งละ 1-2 แคปซูล วันละ 2 ครั้ง หลังอาหารทันที</x:t>
        </x:is>
      </x:c>
      <x:c r="P244" t="inlineStr">
        <x:is>
          <x:t xml:space="preserve">NSAIDs (oral anti-inflammatory painkillers)</x:t>
        </x:is>
      </x:c>
    </x:row>
    <x:row r="245">
      <x:c r="A245">
        <x:v>243</x:v>
      </x:c>
      <x:c r="B245" t="inlineStr">
        <x:is>
          <x:t xml:space="preserve">ยาแก้ปวดอักเสบกลุ่ม NSAIDs (D)</x:t>
        </x:is>
      </x:c>
      <x:c r="C245">
        <x:v>44250</x:v>
      </x:c>
      <x:c r="D245" t="inlineStr">
        <x:is>
          <x:t xml:space="preserve">Japrolox tabslets</x:t>
        </x:is>
      </x:c>
      <x:c r="E245" t="inlineStr">
        <x:is>
          <x:t xml:space="preserve">กล่อง 20 เม็ด</x:t>
        </x:is>
      </x:c>
      <x:c r="F245" t="inlineStr">
        <x:is>
          <x:t xml:space="preserve">Loxoprofen sodium 60 mg.</x:t>
        </x:is>
      </x:c>
      <x:c r="G245" t="inlineStr">
        <x:is>
          <x:t xml:space="preserve">BDS044250</x:t>
        </x:is>
      </x:c>
      <x:c r="H245" t="inlineStr">
        <x:is>
          <x:t xml:space="preserve">Japrolox tabslets (20 tabs)</x:t>
        </x:is>
      </x:c>
      <x:c r="I245" t="inlineStr">
        <x:is>
          <x:t xml:space="preserve">รับประทานครั้งละ 1 เม็ด วันละ 3 ครั้ง หลังอาหารทันที</x:t>
        </x:is>
      </x:c>
      <x:c r="P245" t="inlineStr">
        <x:is>
          <x:t xml:space="preserve">NSAIDs (oral anti-inflammatory painkillers)</x:t>
        </x:is>
      </x:c>
    </x:row>
    <x:row r="246">
      <x:c r="A246">
        <x:v>244</x:v>
      </x:c>
      <x:c r="B246" t="inlineStr">
        <x:is>
          <x:t xml:space="preserve">ยาแก้ปวดอักเสบกลุ่ม NSAIDs (D)</x:t>
        </x:is>
      </x:c>
      <x:c r="C246">
        <x:v>44900</x:v>
      </x:c>
      <x:c r="D246" t="inlineStr">
        <x:is>
          <x:t xml:space="preserve">Mefamed 500</x:t>
        </x:is>
      </x:c>
      <x:c r="E246" t="inlineStr">
        <x:is>
          <x:t xml:space="preserve">แผง 10 เม็ด</x:t>
        </x:is>
      </x:c>
      <x:c r="F246" t="inlineStr">
        <x:is>
          <x:t xml:space="preserve">Mefenamic acid 500 mg.</x:t>
        </x:is>
      </x:c>
      <x:c r="G246" t="inlineStr">
        <x:is>
          <x:t xml:space="preserve">BDS044900</x:t>
        </x:is>
      </x:c>
      <x:c r="H246" t="inlineStr">
        <x:is>
          <x:t xml:space="preserve">Mefamed 500 (10 tabs)</x:t>
        </x:is>
      </x:c>
      <x:c r="I246" t="inlineStr">
        <x:is>
          <x:t xml:space="preserve">รับประทานครั้งละ 1 เม็ด วันละ 3 ครั้ง หลังอาหารทันที </x:t>
        </x:is>
      </x:c>
      <x:c r="P246" t="inlineStr">
        <x:is>
          <x:t xml:space="preserve">NSAIDs (oral anti-inflammatory painkillers)</x:t>
        </x:is>
      </x:c>
    </x:row>
    <x:row r="247">
      <x:c r="A247">
        <x:v>245</x:v>
      </x:c>
      <x:c r="B247" t="inlineStr">
        <x:is>
          <x:t xml:space="preserve">ยาแก้ปวดอักเสบกลุ่ม NSAIDs (D)</x:t>
        </x:is>
      </x:c>
      <x:c r="C247">
        <x:v>2669</x:v>
      </x:c>
      <x:c r="D247" t="inlineStr">
        <x:is>
          <x:t xml:space="preserve">Melcam</x:t>
        </x:is>
      </x:c>
      <x:c r="E247" t="inlineStr">
        <x:is>
          <x:t xml:space="preserve">แผง 10 เม็ด</x:t>
        </x:is>
      </x:c>
      <x:c r="F247" t="inlineStr">
        <x:is>
          <x:t xml:space="preserve">Meloxicam 7.5 mg.</x:t>
        </x:is>
      </x:c>
      <x:c r="G247" t="inlineStr">
        <x:is>
          <x:t xml:space="preserve">BDS002669</x:t>
        </x:is>
      </x:c>
      <x:c r="H247" t="inlineStr">
        <x:is>
          <x:t xml:space="preserve">Melcam (10 tabs)</x:t>
        </x:is>
      </x:c>
      <x:c r="I247" t="inlineStr">
        <x:is>
          <x:t xml:space="preserve">รับประทานครั้งละ 1 เม็ด  วันละ 1-2 ครั้ง หลังอาหารทันที</x:t>
        </x:is>
      </x:c>
      <x:c r="P247" t="inlineStr">
        <x:is>
          <x:t xml:space="preserve">NSAIDs (oral anti-inflammatory painkillers)</x:t>
        </x:is>
      </x:c>
    </x:row>
    <x:row r="248">
      <x:c r="A248">
        <x:v>246</x:v>
      </x:c>
      <x:c r="B248" t="inlineStr">
        <x:is>
          <x:t xml:space="preserve">ยาแก้ปวดอักเสบกลุ่ม NSAIDs (D)</x:t>
        </x:is>
      </x:c>
      <x:c r="C248">
        <x:v>44909</x:v>
      </x:c>
      <x:c r="D248" t="inlineStr">
        <x:is>
          <x:t xml:space="preserve">Meomic 500 </x:t>
        </x:is>
      </x:c>
      <x:c r="E248" t="inlineStr">
        <x:is>
          <x:t xml:space="preserve">แผง 10 เม็ด</x:t>
        </x:is>
      </x:c>
      <x:c r="F248" t="inlineStr">
        <x:is>
          <x:t xml:space="preserve">Mefenamic acid 500 mg.</x:t>
        </x:is>
      </x:c>
      <x:c r="G248" t="inlineStr">
        <x:is>
          <x:t xml:space="preserve">BDS044909</x:t>
        </x:is>
      </x:c>
      <x:c r="H248" t="inlineStr">
        <x:is>
          <x:t xml:space="preserve">Meomic 500  (10 tabs)</x:t>
        </x:is>
      </x:c>
      <x:c r="I248" t="inlineStr">
        <x:is>
          <x:t xml:space="preserve">รับประทานครั้งละ 1 เม็ด วันละ 3 ครั้ง หลังอาหารทันที </x:t>
        </x:is>
      </x:c>
      <x:c r="P248" t="inlineStr">
        <x:is>
          <x:t xml:space="preserve">NSAIDs (oral anti-inflammatory painkillers)</x:t>
        </x:is>
      </x:c>
    </x:row>
    <x:row r="249">
      <x:c r="A249">
        <x:v>247</x:v>
      </x:c>
      <x:c r="B249" t="inlineStr">
        <x:is>
          <x:t xml:space="preserve">ยาแก้ปวดอักเสบกลุ่ม NSAIDs (D)</x:t>
        </x:is>
      </x:c>
      <x:c r="C249">
        <x:v>2642</x:v>
      </x:c>
      <x:c r="D249" t="inlineStr">
        <x:is>
          <x:t xml:space="preserve">Mobic 7.5 mg</x:t>
        </x:is>
      </x:c>
      <x:c r="E249" t="inlineStr">
        <x:is>
          <x:t xml:space="preserve">แผง 10  เม็ด</x:t>
        </x:is>
      </x:c>
      <x:c r="F249" t="inlineStr">
        <x:is>
          <x:t xml:space="preserve">Meloxicam 7.5 mg.</x:t>
        </x:is>
      </x:c>
      <x:c r="G249" t="inlineStr">
        <x:is>
          <x:t xml:space="preserve">BDS002642</x:t>
        </x:is>
      </x:c>
      <x:c r="H249" t="inlineStr">
        <x:is>
          <x:t xml:space="preserve">Mobic 7.5 mg (10 tabs)</x:t>
        </x:is>
      </x:c>
      <x:c r="I249" t="inlineStr">
        <x:is>
          <x:t xml:space="preserve">รับประทานครั้งละ 1-2 เม็ด วันละ 1-2 ครั้ง หลังอาหารทันที</x:t>
        </x:is>
      </x:c>
      <x:c r="P249" t="inlineStr">
        <x:is>
          <x:t xml:space="preserve">NSAIDs (oral anti-inflammatory painkillers)</x:t>
        </x:is>
      </x:c>
    </x:row>
    <x:row r="250">
      <x:c r="A250">
        <x:v>248</x:v>
      </x:c>
      <x:c r="B250" t="inlineStr">
        <x:is>
          <x:t xml:space="preserve">ยาแก้ปวดอักเสบกลุ่ม NSAIDs (D)</x:t>
        </x:is>
      </x:c>
      <x:c r="C250">
        <x:v>45624</x:v>
      </x:c>
      <x:c r="D250" t="inlineStr">
        <x:is>
          <x:t xml:space="preserve">Naprofazt</x:t>
        </x:is>
      </x:c>
      <x:c r="E250" t="inlineStr">
        <x:is>
          <x:t xml:space="preserve">แผง 10 แคปซูล</x:t>
        </x:is>
      </x:c>
      <x:c r="F250" t="inlineStr">
        <x:is>
          <x:t xml:space="preserve">Naproxen (as Naproxen Sodium) 250 mg.</x:t>
        </x:is>
      </x:c>
      <x:c r="G250" t="inlineStr">
        <x:is>
          <x:t xml:space="preserve">BDS045624</x:t>
        </x:is>
      </x:c>
      <x:c r="H250" t="inlineStr">
        <x:is>
          <x:t xml:space="preserve">Naprofazt (10 cap)</x:t>
        </x:is>
      </x:c>
      <x:c r="I250" t="inlineStr">
        <x:is>
          <x:t xml:space="preserve">รับประทานครั้งละ 1 แคปซูล วันละ 2 ครั้ง หลังอาหารทันที</x:t>
        </x:is>
      </x:c>
      <x:c r="P250" t="inlineStr">
        <x:is>
          <x:t xml:space="preserve">NSAIDs (oral anti-inflammatory painkillers)</x:t>
        </x:is>
      </x:c>
    </x:row>
    <x:row r="251">
      <x:c r="A251">
        <x:v>249</x:v>
      </x:c>
      <x:c r="B251" t="inlineStr">
        <x:is>
          <x:t xml:space="preserve">ยาแก้ปวดอักเสบกลุ่ม NSAIDs (D)</x:t>
        </x:is>
      </x:c>
      <x:c r="C251">
        <x:v>7214</x:v>
      </x:c>
      <x:c r="D251" t="inlineStr">
        <x:is>
          <x:t xml:space="preserve">Naproflex</x:t>
        </x:is>
      </x:c>
      <x:c r="E251" t="inlineStr">
        <x:is>
          <x:t xml:space="preserve">แผง 6 เม็ด</x:t>
        </x:is>
      </x:c>
      <x:c r="F251" t="inlineStr">
        <x:is>
          <x:t xml:space="preserve">Naproxen sodium 275 mg.</x:t>
        </x:is>
      </x:c>
      <x:c r="G251" t="inlineStr">
        <x:is>
          <x:t xml:space="preserve">BDS007214</x:t>
        </x:is>
      </x:c>
      <x:c r="H251" t="inlineStr">
        <x:is>
          <x:t xml:space="preserve">Naproflex (6 tabs)</x:t>
        </x:is>
      </x:c>
      <x:c r="I251" t="inlineStr">
        <x:is>
          <x:t xml:space="preserve">รับประทานครั้งละ 1 เม็ด วันละ 2 ครั้ง หลังอาหารทันที</x:t>
        </x:is>
      </x:c>
      <x:c r="P251" t="inlineStr">
        <x:is>
          <x:t xml:space="preserve">NSAIDs (oral anti-inflammatory painkillers)</x:t>
        </x:is>
      </x:c>
    </x:row>
    <x:row r="252">
      <x:c r="A252">
        <x:v>250</x:v>
      </x:c>
      <x:c r="B252" t="inlineStr">
        <x:is>
          <x:t xml:space="preserve">ยาแก้ปวดอักเสบกลุ่ม NSAIDs (D)</x:t>
        </x:is>
      </x:c>
      <x:c r="C252">
        <x:v>7576</x:v>
      </x:c>
      <x:c r="D252" t="inlineStr">
        <x:is>
          <x:t xml:space="preserve">Naprosian</x:t>
        </x:is>
      </x:c>
      <x:c r="E252" t="inlineStr">
        <x:is>
          <x:t xml:space="preserve">แผง 10 เม็ด</x:t>
        </x:is>
      </x:c>
      <x:c r="F252" t="inlineStr">
        <x:is>
          <x:t xml:space="preserve">Naproxen 250 mg.</x:t>
        </x:is>
      </x:c>
      <x:c r="G252" t="inlineStr">
        <x:is>
          <x:t xml:space="preserve">BDS007576</x:t>
        </x:is>
      </x:c>
      <x:c r="H252" t="inlineStr">
        <x:is>
          <x:t xml:space="preserve">Naprosian (10 tabs)</x:t>
        </x:is>
      </x:c>
      <x:c r="I252" t="inlineStr">
        <x:is>
          <x:t xml:space="preserve">รับประทานครั้งละ 1 เม็ด วันละ 2 ครั้ง หลังอาหารทันที</x:t>
        </x:is>
      </x:c>
      <x:c r="P252" t="inlineStr">
        <x:is>
          <x:t xml:space="preserve">NSAIDs (oral anti-inflammatory painkillers)</x:t>
        </x:is>
      </x:c>
    </x:row>
    <x:row r="253">
      <x:c r="A253">
        <x:v>251</x:v>
      </x:c>
      <x:c r="B253" t="inlineStr">
        <x:is>
          <x:t xml:space="preserve">ยาแก้ปวดอักเสบกลุ่ม NSAIDs (D)</x:t>
        </x:is>
      </x:c>
      <x:c r="C253">
        <x:v>3422</x:v>
      </x:c>
      <x:c r="D253" t="inlineStr">
        <x:is>
          <x:t xml:space="preserve">Pircam 20 mg</x:t>
        </x:is>
      </x:c>
      <x:c r="E253" t="inlineStr">
        <x:is>
          <x:t xml:space="preserve">แผง 10 แคปซูล</x:t>
        </x:is>
      </x:c>
      <x:c r="F253" t="inlineStr">
        <x:is>
          <x:t xml:space="preserve">Piroxicam 20 mg.</x:t>
        </x:is>
      </x:c>
      <x:c r="G253" t="inlineStr">
        <x:is>
          <x:t xml:space="preserve">BDS003422</x:t>
        </x:is>
      </x:c>
      <x:c r="H253" t="inlineStr">
        <x:is>
          <x:t xml:space="preserve">Pircam 20 mg (10 cap)</x:t>
        </x:is>
      </x:c>
      <x:c r="I253" t="inlineStr">
        <x:is>
          <x:t xml:space="preserve">รับประทานครั้งละ 1 แคปซูล วันละ 2 ครั้ง หลังอาหารทันที</x:t>
        </x:is>
      </x:c>
      <x:c r="P253" t="inlineStr">
        <x:is>
          <x:t xml:space="preserve">NSAIDs (oral anti-inflammatory painkillers)</x:t>
        </x:is>
      </x:c>
    </x:row>
    <x:row r="254">
      <x:c r="A254">
        <x:v>252</x:v>
      </x:c>
      <x:c r="B254" t="inlineStr">
        <x:is>
          <x:t xml:space="preserve">ยาแก้ปวดอักเสบกลุ่ม NSAIDs (D)</x:t>
        </x:is>
      </x:c>
      <x:c r="C254">
        <x:v>3131</x:v>
      </x:c>
      <x:c r="D254" t="inlineStr">
        <x:is>
          <x:t xml:space="preserve">Ponstan 500 mg</x:t>
        </x:is>
      </x:c>
      <x:c r="E254" t="inlineStr">
        <x:is>
          <x:t xml:space="preserve">แผง 10 เม็ด</x:t>
        </x:is>
      </x:c>
      <x:c r="F254" t="inlineStr">
        <x:is>
          <x:t xml:space="preserve">Mefenamic acid 500 mg.</x:t>
        </x:is>
      </x:c>
      <x:c r="G254" t="inlineStr">
        <x:is>
          <x:t xml:space="preserve">BDS003131</x:t>
        </x:is>
      </x:c>
      <x:c r="H254" t="inlineStr">
        <x:is>
          <x:t xml:space="preserve">Ponstan 500 mg (10 tabs)</x:t>
        </x:is>
      </x:c>
      <x:c r="I254" t="inlineStr">
        <x:is>
          <x:t xml:space="preserve">รับประทานครั้งละ 1 เม็ด วันละ 3 ครั้ง หลังอาหารทันที</x:t>
        </x:is>
      </x:c>
      <x:c r="P254" t="inlineStr">
        <x:is>
          <x:t xml:space="preserve">NSAIDs (oral anti-inflammatory painkillers)</x:t>
        </x:is>
      </x:c>
    </x:row>
    <x:row r="255">
      <x:c r="A255">
        <x:v>253</x:v>
      </x:c>
      <x:c r="B255" t="inlineStr">
        <x:is>
          <x:t xml:space="preserve">ยาแก้ปวดอักเสบกลุ่ม NSAIDs (D)</x:t>
        </x:is>
      </x:c>
      <x:c r="C255">
        <x:v>47654</x:v>
      </x:c>
      <x:c r="D255" t="inlineStr">
        <x:is>
          <x:t xml:space="preserve">Soproxen</x:t>
        </x:is>
      </x:c>
      <x:c r="E255" t="inlineStr">
        <x:is>
          <x:t xml:space="preserve">แผง 10 เม็ด</x:t>
        </x:is>
      </x:c>
      <x:c r="F255" t="inlineStr">
        <x:is>
          <x:t xml:space="preserve">Naproxen sodium 275 mg. (eq. to Naproxen 250 mg.)</x:t>
        </x:is>
      </x:c>
      <x:c r="G255" t="inlineStr">
        <x:is>
          <x:t xml:space="preserve">BDS047654</x:t>
        </x:is>
      </x:c>
      <x:c r="H255" t="inlineStr">
        <x:is>
          <x:t xml:space="preserve">Soproxen (10 tabs)</x:t>
        </x:is>
      </x:c>
      <x:c r="I255" t="inlineStr">
        <x:is>
          <x:t xml:space="preserve">รับประทานครั้งละ 1 เม็ด วันละ 2 ครั้ง หลังอาหารทันที</x:t>
        </x:is>
      </x:c>
      <x:c r="P255" t="inlineStr">
        <x:is>
          <x:t xml:space="preserve">NSAIDs (oral anti-inflammatory painkillers)</x:t>
        </x:is>
      </x:c>
    </x:row>
    <x:row r="256">
      <x:c r="A256">
        <x:v>254</x:v>
      </x:c>
      <x:c r="B256" t="inlineStr">
        <x:is>
          <x:t xml:space="preserve">ยาแก้ปวดอักเสบกลุ่ม NSAIDs (D)</x:t>
        </x:is>
      </x:c>
      <x:c r="C256">
        <x:v>3581</x:v>
      </x:c>
      <x:c r="D256" t="inlineStr">
        <x:is>
          <x:t xml:space="preserve">S-Pro 600</x:t>
        </x:is>
      </x:c>
      <x:c r="E256" t="inlineStr">
        <x:is>
          <x:t xml:space="preserve">แผง 10 เม็ด</x:t>
        </x:is>
      </x:c>
      <x:c r="F256" t="inlineStr">
        <x:is>
          <x:t xml:space="preserve">Ibuprofen 600 mg.</x:t>
        </x:is>
      </x:c>
      <x:c r="G256" t="inlineStr">
        <x:is>
          <x:t xml:space="preserve">BDS003581</x:t>
        </x:is>
      </x:c>
      <x:c r="H256" t="inlineStr">
        <x:is>
          <x:t xml:space="preserve">S-Pro 600 (10 tabs)</x:t>
        </x:is>
      </x:c>
      <x:c r="I256" t="inlineStr">
        <x:is>
          <x:t xml:space="preserve">รับประทานครั้งละ 1 เม็ด ทุก 6 ชั่วโมง เมื่อมีอาการ</x:t>
        </x:is>
      </x:c>
      <x:c r="P256" t="inlineStr">
        <x:is>
          <x:t xml:space="preserve">NSAIDs (oral anti-inflammatory painkillers)</x:t>
        </x:is>
      </x:c>
    </x:row>
    <x:row r="257">
      <x:c r="A257">
        <x:v>255</x:v>
      </x:c>
      <x:c r="B257" t="inlineStr">
        <x:is>
          <x:t xml:space="preserve">ยาแก้ปวดอักเสบกลุ่ม NSAIDs (D)</x:t>
        </x:is>
      </x:c>
      <x:c r="C257">
        <x:v>3599</x:v>
      </x:c>
      <x:c r="D257" t="inlineStr">
        <x:is>
          <x:t xml:space="preserve">Subsyde-CR</x:t>
        </x:is>
      </x:c>
      <x:c r="E257" t="inlineStr">
        <x:is>
          <x:t xml:space="preserve">แผง 10 แคปซูล</x:t>
        </x:is>
      </x:c>
      <x:c r="F257" t="inlineStr">
        <x:is>
          <x:t xml:space="preserve">Diclofenac Sodium 100 mg. (Controlled Release cap)</x:t>
        </x:is>
      </x:c>
      <x:c r="G257" t="inlineStr">
        <x:is>
          <x:t xml:space="preserve">BDS003599</x:t>
        </x:is>
      </x:c>
      <x:c r="H257" t="inlineStr">
        <x:is>
          <x:t xml:space="preserve">Subsyde-CR (10 cap)</x:t>
        </x:is>
      </x:c>
      <x:c r="I257" t="inlineStr">
        <x:is>
          <x:t xml:space="preserve">รับประทานครั้งละ 1 แคปซูล วันละ 1 ครั้ง หลังอาหารทันที</x:t>
        </x:is>
      </x:c>
      <x:c r="P257" t="inlineStr">
        <x:is>
          <x:t xml:space="preserve">NSAIDs (oral anti-inflammatory painkillers)</x:t>
        </x:is>
      </x:c>
    </x:row>
    <x:row r="258">
      <x:c r="A258">
        <x:v>256</x:v>
      </x:c>
      <x:c r="B258" t="inlineStr">
        <x:is>
          <x:t xml:space="preserve">ยาแก้ปวดอักเสบกลุ่ม NSAIDs (D)</x:t>
        </x:is>
      </x:c>
      <x:c r="C258">
        <x:v>3568</x:v>
      </x:c>
      <x:c r="D258" t="inlineStr">
        <x:is>
          <x:t xml:space="preserve">Synflex</x:t>
        </x:is>
      </x:c>
      <x:c r="E258" t="inlineStr">
        <x:is>
          <x:t xml:space="preserve">แผง 6 เม็ด</x:t>
        </x:is>
      </x:c>
      <x:c r="F258" t="inlineStr">
        <x:is>
          <x:t xml:space="preserve">Naproxen sodium 275 mg.</x:t>
        </x:is>
      </x:c>
      <x:c r="G258" t="inlineStr">
        <x:is>
          <x:t xml:space="preserve">BDS003568</x:t>
        </x:is>
      </x:c>
      <x:c r="H258" t="inlineStr">
        <x:is>
          <x:t xml:space="preserve">Synflex (6 tabs)</x:t>
        </x:is>
      </x:c>
      <x:c r="I258" t="inlineStr">
        <x:is>
          <x:t xml:space="preserve">รับประทานครั้งละ 1 เม็ด วันละ 2 ครั้ง หลังอาหารทันที </x:t>
        </x:is>
      </x:c>
      <x:c r="P258" t="inlineStr">
        <x:is>
          <x:t xml:space="preserve">NSAIDs (oral anti-inflammatory painkillers)</x:t>
        </x:is>
      </x:c>
    </x:row>
    <x:row r="259">
      <x:c r="A259">
        <x:v>257</x:v>
      </x:c>
      <x:c r="B259" t="inlineStr">
        <x:is>
          <x:t xml:space="preserve">ยาแก้ปวดอักเสบกลุ่ม NSAIDs (D)</x:t>
        </x:is>
      </x:c>
      <x:c r="C259">
        <x:v>49251</x:v>
      </x:c>
      <x:c r="D259" t="inlineStr">
        <x:is>
          <x:t xml:space="preserve">Voltaren SR 100 mg</x:t>
        </x:is>
      </x:c>
      <x:c r="E259" t="inlineStr">
        <x:is>
          <x:t xml:space="preserve">แผง 10 เม็ด</x:t>
        </x:is>
      </x:c>
      <x:c r="F259" t="inlineStr">
        <x:is>
          <x:t xml:space="preserve">Diclofenac Sodium 100 mg.</x:t>
        </x:is>
      </x:c>
      <x:c r="G259" t="inlineStr">
        <x:is>
          <x:t xml:space="preserve">BDS049251</x:t>
        </x:is>
      </x:c>
      <x:c r="H259" t="inlineStr">
        <x:is>
          <x:t xml:space="preserve">Voltaren SR 100 mg (10 tabs)</x:t>
        </x:is>
      </x:c>
      <x:c r="I259" t="inlineStr">
        <x:is>
          <x:t xml:space="preserve">รับประทานครั้งละ 1 เม็ด วันละ 1 ครั้ง หลังอาหารทันที</x:t>
        </x:is>
      </x:c>
      <x:c r="P259" t="inlineStr">
        <x:is>
          <x:t xml:space="preserve">NSAIDs (oral anti-inflammatory painkillers)</x:t>
        </x:is>
      </x:c>
    </x:row>
    <x:row r="260">
      <x:c r="A260">
        <x:v>258</x:v>
      </x:c>
      <x:c r="B260" t="inlineStr">
        <x:is>
          <x:t xml:space="preserve">ยาแก้ปวดอักเสบกลุ่ม NSAIDs (D)</x:t>
        </x:is>
      </x:c>
      <x:c r="C260">
        <x:v>4052</x:v>
      </x:c>
      <x:c r="D260" t="inlineStr">
        <x:is>
          <x:t xml:space="preserve">Voltaren SR 75 mg</x:t>
        </x:is>
      </x:c>
      <x:c r="E260" t="inlineStr">
        <x:is>
          <x:t xml:space="preserve">แผง 10 เม็ด</x:t>
        </x:is>
      </x:c>
      <x:c r="F260" t="inlineStr">
        <x:is>
          <x:t xml:space="preserve">Diclofenac Sodium 75 mg.</x:t>
        </x:is>
      </x:c>
      <x:c r="G260" t="inlineStr">
        <x:is>
          <x:t xml:space="preserve">BDS004052</x:t>
        </x:is>
      </x:c>
      <x:c r="H260" t="inlineStr">
        <x:is>
          <x:t xml:space="preserve">Voltaren SR 75 mg (10 tabs)</x:t>
        </x:is>
      </x:c>
      <x:c r="I260" t="inlineStr">
        <x:is>
          <x:t xml:space="preserve">รับประทานครั้งละ 1-2 เม็ด วันละ 1 ครั้ง หลังอาหารทันที</x:t>
        </x:is>
      </x:c>
      <x:c r="P260" t="inlineStr">
        <x:is>
          <x:t xml:space="preserve">NSAIDs (oral anti-inflammatory painkillers)</x:t>
        </x:is>
      </x:c>
    </x:row>
    <x:row r="261">
      <x:c r="A261">
        <x:v>259</x:v>
      </x:c>
      <x:c r="B261" t="inlineStr">
        <x:is>
          <x:t xml:space="preserve">ยาแก้ปวดอักเสบกลุ่ม NSAIDs (D)</x:t>
        </x:is>
      </x:c>
      <x:c r="C261">
        <x:v>4041</x:v>
      </x:c>
      <x:c r="D261" t="inlineStr">
        <x:is>
          <x:t xml:space="preserve">Voltaren-25</x:t>
        </x:is>
      </x:c>
      <x:c r="E261" t="inlineStr">
        <x:is>
          <x:t xml:space="preserve">แผง 10 เม็ด</x:t>
        </x:is>
      </x:c>
      <x:c r="F261" t="inlineStr">
        <x:is>
          <x:t xml:space="preserve">Diclofenac Sodium 25 mg.</x:t>
        </x:is>
      </x:c>
      <x:c r="G261" t="inlineStr">
        <x:is>
          <x:t xml:space="preserve">BDS004041</x:t>
        </x:is>
      </x:c>
      <x:c r="H261" t="inlineStr">
        <x:is>
          <x:t xml:space="preserve">Voltaren-25 (10 tabs)</x:t>
        </x:is>
      </x:c>
      <x:c r="I261" t="inlineStr">
        <x:is>
          <x:t xml:space="preserve">รับประทานครั้งละ 1-2 เม็ด วันละ 3 ครั้ง หลังอาหารทันที</x:t>
        </x:is>
      </x:c>
      <x:c r="P261" t="inlineStr">
        <x:is>
          <x:t xml:space="preserve">NSAIDs (oral anti-inflammatory painkillers)</x:t>
        </x:is>
      </x:c>
    </x:row>
    <x:row r="262">
      <x:c r="A262">
        <x:v>260</x:v>
      </x:c>
      <x:c r="B262" t="inlineStr">
        <x:is>
          <x:t xml:space="preserve">ยาแก้ปวดอักเสบกลุ่ม NSAIDs (D)</x:t>
        </x:is>
      </x:c>
      <x:c r="C262">
        <x:v>49777</x:v>
      </x:c>
      <x:c r="D262" t="inlineStr">
        <x:is>
          <x:t xml:space="preserve">Zobrex</x:t>
        </x:is>
      </x:c>
      <x:c r="E262" t="inlineStr">
        <x:is>
          <x:t xml:space="preserve">กล่อง 10 แคปซูล</x:t>
        </x:is>
      </x:c>
      <x:c r="F262" t="inlineStr">
        <x:is>
          <x:t xml:space="preserve">Celecoxib 200 mg.</x:t>
        </x:is>
      </x:c>
      <x:c r="G262" t="inlineStr">
        <x:is>
          <x:t xml:space="preserve">BDS049777</x:t>
        </x:is>
      </x:c>
      <x:c r="H262" t="inlineStr">
        <x:is>
          <x:t xml:space="preserve">Zobrex (10 cap)</x:t>
        </x:is>
      </x:c>
      <x:c r="I262" t="inlineStr">
        <x:is>
          <x:t xml:space="preserve">รับประทานครั้งละ 1-2 แคปซูล วันละ 1 ครั้ง หลังอาหารทันที หรือตามแพทย์สั่ง </x:t>
        </x:is>
      </x:c>
      <x:c r="P262" t="inlineStr">
        <x:is>
          <x:t xml:space="preserve">NSAIDs (oral anti-inflammatory painkillers)</x:t>
        </x:is>
      </x:c>
    </x:row>
    <x:row r="263">
      <x:c r="A263">
        <x:v>261</x:v>
      </x:c>
      <x:c r="B263" t="inlineStr">
        <x:is>
          <x:t xml:space="preserve">ยาแก้ท้องเสีย (D)</x:t>
        </x:is>
      </x:c>
      <x:c r="C263">
        <x:v>1248</x:v>
      </x:c>
      <x:c r="D263" t="inlineStr">
        <x:is>
          <x:t xml:space="preserve">Bioflor</x:t>
        </x:is>
      </x:c>
      <x:c r="E263" t="inlineStr">
        <x:is>
          <x:t xml:space="preserve">ซอง</x:t>
        </x:is>
      </x:c>
      <x:c r="F263" t="inlineStr">
        <x:is>
          <x:t xml:space="preserve">Lyophilized Saccharomyces boulardii 250 mg.</x:t>
        </x:is>
      </x:c>
      <x:c r="G263" t="inlineStr">
        <x:is>
          <x:t xml:space="preserve">BDS001248</x:t>
        </x:is>
      </x:c>
      <x:c r="H263" t="inlineStr">
        <x:is>
          <x:t xml:space="preserve">Bioflor (1 sachet)</x:t>
        </x:is>
      </x:c>
      <x:c r="I263" t="inlineStr">
        <x:is>
          <x:t xml:space="preserve">รับประทานครั้งละ 1 ซอง วันละ 2 ครั้ง</x:t>
        </x:is>
      </x:c>
    </x:row>
    <x:row r="264">
      <x:c r="A264">
        <x:v>262</x:v>
      </x:c>
      <x:c r="B264" t="inlineStr">
        <x:is>
          <x:t xml:space="preserve">ยาแก้ท้องเสีย (D)</x:t>
        </x:is>
      </x:c>
      <x:c r="C264">
        <x:v>1233</x:v>
      </x:c>
      <x:c r="D264" t="inlineStr">
        <x:is>
          <x:t xml:space="preserve">Bioflor Capsule</x:t>
        </x:is>
      </x:c>
      <x:c r="E264" t="inlineStr">
        <x:is>
          <x:t xml:space="preserve">แผง 5 แคปซูล</x:t>
        </x:is>
      </x:c>
      <x:c r="F264" t="inlineStr">
        <x:is>
          <x:t xml:space="preserve">Lyophilized Saccharomyces boulardii 250 mg.</x:t>
        </x:is>
      </x:c>
      <x:c r="G264" t="inlineStr">
        <x:is>
          <x:t xml:space="preserve">BDS001233</x:t>
        </x:is>
      </x:c>
      <x:c r="H264" t="inlineStr">
        <x:is>
          <x:t xml:space="preserve">Bioflor Capsule (5 cap)</x:t>
        </x:is>
      </x:c>
      <x:c r="I264" t="inlineStr">
        <x:is>
          <x:t xml:space="preserve">รับประทานครั้งละ 1-2 แคปซูล วันละ 1-2 ครั้ง</x:t>
        </x:is>
      </x:c>
    </x:row>
    <x:row r="265">
      <x:c r="A265">
        <x:v>263</x:v>
      </x:c>
      <x:c r="B265" t="inlineStr">
        <x:is>
          <x:t xml:space="preserve">ยาแก้ท้องเสีย (D)</x:t>
        </x:is>
      </x:c>
      <x:c r="C265">
        <x:v>42802</x:v>
      </x:c>
      <x:c r="D265" t="inlineStr">
        <x:is>
          <x:t xml:space="preserve">Erfuzide cap</x:t>
        </x:is>
      </x:c>
      <x:c r="E265" t="inlineStr">
        <x:is>
          <x:t xml:space="preserve">แผง 12 แคปซูล</x:t>
        </x:is>
      </x:c>
      <x:c r="F265" t="inlineStr">
        <x:is>
          <x:t xml:space="preserve">Nifuroxazide 200 mg</x:t>
        </x:is>
      </x:c>
      <x:c r="G265" t="inlineStr">
        <x:is>
          <x:t xml:space="preserve">BDS042802</x:t>
        </x:is>
      </x:c>
      <x:c r="H265" t="inlineStr">
        <x:is>
          <x:t xml:space="preserve">Erfuzide cap (12 cap)</x:t>
        </x:is>
      </x:c>
      <x:c r="I265" t="inlineStr">
        <x:is>
          <x:t xml:space="preserve">รับประทานครั้งละ 1-2 แคปซูล วันละ 4 ครั้ง </x:t>
        </x:is>
      </x:c>
    </x:row>
    <x:row r="266">
      <x:c r="A266">
        <x:v>264</x:v>
      </x:c>
      <x:c r="B266" t="inlineStr">
        <x:is>
          <x:t xml:space="preserve">ยาแก้ท้องเสีย (D)</x:t>
        </x:is>
      </x:c>
      <x:c r="C266">
        <x:v>43842</x:v>
      </x:c>
      <x:c r="D266" t="inlineStr">
        <x:is>
          <x:t xml:space="preserve">Hidrasec 100 mg.</x:t>
        </x:is>
      </x:c>
      <x:c r="E266" t="inlineStr">
        <x:is>
          <x:t xml:space="preserve">กล่อง 10 แคปซูล</x:t>
        </x:is>
      </x:c>
      <x:c r="F266" t="inlineStr">
        <x:is>
          <x:t xml:space="preserve">Racecadotril 100 mg.</x:t>
        </x:is>
      </x:c>
      <x:c r="G266" t="inlineStr">
        <x:is>
          <x:t xml:space="preserve">BDS043842</x:t>
        </x:is>
      </x:c>
      <x:c r="H266" t="inlineStr">
        <x:is>
          <x:t xml:space="preserve">Hidrasec 100 mg. (10 cap)</x:t>
        </x:is>
      </x:c>
      <x:c r="I266" t="inlineStr">
        <x:is>
          <x:t xml:space="preserve">รับประทานครั้งละ 1 แคปซูล ทุก 8 ชั่วโมง  </x:t>
        </x:is>
      </x:c>
    </x:row>
    <x:row r="267">
      <x:c r="A267">
        <x:v>265</x:v>
      </x:c>
      <x:c r="B267" t="inlineStr">
        <x:is>
          <x:t xml:space="preserve">ยาแก้ท้องเสีย (D)</x:t>
        </x:is>
      </x:c>
      <x:c r="C267">
        <x:v>2108</x:v>
      </x:c>
      <x:c r="D267" t="inlineStr">
        <x:is>
          <x:t xml:space="preserve">Hidrasec Paediatric 30 mg</x:t>
        </x:is>
      </x:c>
      <x:c r="E267" t="inlineStr">
        <x:is>
          <x:t xml:space="preserve">ซอง 3 g.</x:t>
        </x:is>
      </x:c>
      <x:c r="F267" t="inlineStr">
        <x:is>
          <x:t xml:space="preserve">Racecadotril 30 mg.</x:t>
        </x:is>
      </x:c>
      <x:c r="G267" t="inlineStr">
        <x:is>
          <x:t xml:space="preserve">BDS002108</x:t>
        </x:is>
      </x:c>
      <x:c r="H267" t="inlineStr">
        <x:is>
          <x:t xml:space="preserve">Hidrasec Paediatric 30 mg (3 g.)</x:t>
        </x:is>
      </x:c>
      <x:c r="I267" t="inlineStr">
        <x:is>
          <x:t xml:space="preserve">รับประทานครั้งละ 1 แคปซูล ทุก 8 ชั่วโมง  </x:t>
        </x:is>
      </x:c>
    </x:row>
    <x:row r="268">
      <x:c r="A268">
        <x:v>266</x:v>
      </x:c>
      <x:c r="B268" t="inlineStr">
        <x:is>
          <x:t xml:space="preserve">ยาฆ่าพยาธิ ชนิดน้ำ (D)</x:t>
        </x:is>
      </x:c>
      <x:c r="C268">
        <x:v>1231</x:v>
      </x:c>
      <x:c r="D268" t="inlineStr">
        <x:is>
          <x:t xml:space="preserve">Benda Syrup กลิ่นผลไม้รวม</x:t>
        </x:is>
      </x:c>
      <x:c r="E268" t="inlineStr">
        <x:is>
          <x:t xml:space="preserve">ขวด 30 ml.</x:t>
        </x:is>
      </x:c>
      <x:c r="F268" t="inlineStr">
        <x:is>
          <x:t xml:space="preserve">Mebendazole 100 mg./5 ml.</x:t>
        </x:is>
      </x:c>
      <x:c r="G268" t="inlineStr">
        <x:is>
          <x:t xml:space="preserve">BDS001231</x:t>
        </x:is>
      </x:c>
      <x:c r="H268" t="inlineStr">
        <x:is>
          <x:t xml:space="preserve">Benda Syrup กลิ่นผลไม้รวม (30 ml.)</x:t>
        </x:is>
      </x:c>
      <x:c r="I268" t="inlineStr">
        <x:is>
          <x:t xml:space="preserve">รับประทานครั้งละ 1 ช้อนชา วันละ 2 ครั้ง ติดต่อกัน 3 วัน</x:t>
        </x:is>
      </x:c>
      <x:c r="P268" t="inlineStr">
        <x:is>
          <x:t xml:space="preserve">Antiparasitics / deworming</x:t>
        </x:is>
      </x:c>
    </x:row>
    <x:row r="269">
      <x:c r="A269">
        <x:v>267</x:v>
      </x:c>
      <x:c r="B269" t="inlineStr">
        <x:is>
          <x:t xml:space="preserve">ยาฆ่าพยาธิ ชนิดน้ำ (D)</x:t>
        </x:is>
      </x:c>
      <x:c r="C269">
        <x:v>49775</x:v>
      </x:c>
      <x:c r="D269" t="inlineStr">
        <x:is>
          <x:t xml:space="preserve">Zenzera-200 Suspension</x:t>
        </x:is>
      </x:c>
      <x:c r="E269" t="inlineStr">
        <x:is>
          <x:t xml:space="preserve">ซอง 10 ml.</x:t>
        </x:is>
      </x:c>
      <x:c r="F269" t="inlineStr">
        <x:is>
          <x:t xml:space="preserve">Albendazole 200 mg./5 ml.</x:t>
        </x:is>
      </x:c>
      <x:c r="G269" t="inlineStr">
        <x:is>
          <x:t xml:space="preserve">BDS049775</x:t>
        </x:is>
      </x:c>
      <x:c r="H269" t="inlineStr">
        <x:is>
          <x:t xml:space="preserve">Zenzera-200 Suspension (10 ml.)</x:t>
        </x:is>
      </x:c>
      <x:c r="I269" t="inlineStr">
        <x:is>
          <x:t xml:space="preserve">รับประทานครั้งละ 10 ml. (1 ซอง) วันละ 2 ครั้ง ติดต่อกัน 3 วัน </x:t>
        </x:is>
      </x:c>
      <x:c r="P269" t="inlineStr">
        <x:is>
          <x:t xml:space="preserve">Antiparasitics / deworming</x:t>
        </x:is>
      </x:c>
    </x:row>
    <x:row r="270">
      <x:c r="A270">
        <x:v>268</x:v>
      </x:c>
      <x:c r="B270" t="inlineStr">
        <x:is>
          <x:t xml:space="preserve">ยาแก้ไอสูตรผสม (D)</x:t>
        </x:is>
      </x:c>
      <x:c r="C270">
        <x:v>7973</x:v>
      </x:c>
      <x:c r="D270" t="inlineStr">
        <x:is>
          <x:t xml:space="preserve">Fartussin (ควบคุมจำนวน)</x:t>
        </x:is>
      </x:c>
      <x:c r="E270" t="inlineStr">
        <x:is>
          <x:t xml:space="preserve">แผง 10 เม็ด</x:t>
        </x:is>
      </x:c>
      <x:c r="F270" t="inlineStr">
        <x:is>
          <x:t xml:space="preserve">Dextromethorphan HBr 15 mg.+Glyceryl Guaiacolate 100 mg.+Terpin Hydrate 130 mg.</x:t>
        </x:is>
      </x:c>
      <x:c r="G270" t="inlineStr">
        <x:is>
          <x:t xml:space="preserve">BDS007973</x:t>
        </x:is>
      </x:c>
      <x:c r="H270" t="inlineStr">
        <x:is>
          <x:t xml:space="preserve">Fartussin (ควบคุมจำนวน) (10 tabs)</x:t>
        </x:is>
      </x:c>
      <x:c r="I270" t="inlineStr">
        <x:is>
          <x:t xml:space="preserve">รับประทานครั้งละ 1-2 เม็ด วันละ 3-4 ครั้ง</x:t>
        </x:is>
      </x:c>
      <x:c r="P270" t="inlineStr">
        <x:is>
          <x:t xml:space="preserve">Cough medicines / mucolytics / expectorants</x:t>
        </x:is>
      </x:c>
    </x:row>
    <x:row r="271">
      <x:c r="A271">
        <x:v>269</x:v>
      </x:c>
      <x:c r="B271" t="inlineStr">
        <x:is>
          <x:t xml:space="preserve">ยาแก้ไอสูตรผสม (D)</x:t>
        </x:is>
      </x:c>
      <x:c r="C271">
        <x:v>8106</x:v>
      </x:c>
      <x:c r="D271" t="inlineStr">
        <x:is>
          <x:t xml:space="preserve">Kenya-I (ควบคุมจำนวน)</x:t>
        </x:is>
      </x:c>
      <x:c r="E271" t="inlineStr">
        <x:is>
          <x:t xml:space="preserve">แผง 10 เม็ด</x:t>
        </x:is>
      </x:c>
      <x:c r="F271" t="inlineStr">
        <x:is>
          <x:t xml:space="preserve">Dextromethorphan HBr 15 mg+Chlorpheniramine maleate 2 mg+Terpine hydrate 125 mg</x:t>
        </x:is>
      </x:c>
      <x:c r="G271" t="inlineStr">
        <x:is>
          <x:t xml:space="preserve">BDS008106</x:t>
        </x:is>
      </x:c>
      <x:c r="H271" t="inlineStr">
        <x:is>
          <x:t xml:space="preserve">Kenya-I (ควบคุมจำนวน) (10 tabs)</x:t>
        </x:is>
      </x:c>
      <x:c r="I271" t="inlineStr">
        <x:is>
          <x:t xml:space="preserve">รับประทานครั้งละ 1-2 เม็ด วันละ 3-4 ครั้ง</x:t>
        </x:is>
      </x:c>
      <x:c r="P271" t="inlineStr">
        <x:is>
          <x:t xml:space="preserve">Cough medicines / mucolytics / expectorants</x:t>
        </x:is>
      </x:c>
    </x:row>
    <x:row r="272">
      <x:c r="A272">
        <x:v>270</x:v>
      </x:c>
      <x:c r="B272" t="inlineStr">
        <x:is>
          <x:t xml:space="preserve">ยาแก้ไอสูตรผสม (D)</x:t>
        </x:is>
      </x:c>
      <x:c r="C272">
        <x:v>3112</x:v>
      </x:c>
      <x:c r="D272" t="inlineStr">
        <x:is>
          <x:t xml:space="preserve">Patar-Cap (ควบคุมจำนวน)</x:t>
        </x:is>
      </x:c>
      <x:c r="E272" t="inlineStr">
        <x:is>
          <x:t xml:space="preserve">แผง 10 แคปซูล</x:t>
        </x:is>
      </x:c>
      <x:c r="F272" t="inlineStr">
        <x:is>
          <x:t xml:space="preserve">Dextromethorphan 10 mg.+Guaifenesin 100 mg.</x:t>
        </x:is>
      </x:c>
      <x:c r="G272" t="inlineStr">
        <x:is>
          <x:t xml:space="preserve">BDS003112</x:t>
        </x:is>
      </x:c>
      <x:c r="H272" t="inlineStr">
        <x:is>
          <x:t xml:space="preserve">Patar-Cap (ควบคุมจำนวน) (10 cap)</x:t>
        </x:is>
      </x:c>
      <x:c r="I272" t="inlineStr">
        <x:is>
          <x:t xml:space="preserve">รับประทานครั้งละ 1-2 แคปซูล วันละ 3-4 ครั้ง</x:t>
        </x:is>
      </x:c>
      <x:c r="P272" t="inlineStr">
        <x:is>
          <x:t xml:space="preserve">Cough medicines / mucolytics / expectorants</x:t>
        </x:is>
      </x:c>
    </x:row>
    <x:row r="273">
      <x:c r="A273">
        <x:v>271</x:v>
      </x:c>
      <x:c r="B273" t="inlineStr">
        <x:is>
          <x:t xml:space="preserve">ยาแก้ไอสูตรผสม ชนิดน้ำ (D)</x:t>
        </x:is>
      </x:c>
      <x:c r="C273">
        <x:v>3416</x:v>
      </x:c>
      <x:c r="D273" t="inlineStr">
        <x:is>
          <x:t xml:space="preserve">Robitussin DM เล็ก (ควบคุมจำนวน)</x:t>
        </x:is>
      </x:c>
      <x:c r="E273" t="inlineStr">
        <x:is>
          <x:t xml:space="preserve">ขวด 60 ml.</x:t>
        </x:is>
      </x:c>
      <x:c r="F273" t="inlineStr">
        <x:is>
          <x:t xml:space="preserve">Guaifenesin 200 mg.+Dextromethorphan HBr 10 mg./5 ml.</x:t>
        </x:is>
      </x:c>
      <x:c r="G273" t="inlineStr">
        <x:is>
          <x:t xml:space="preserve">BDS003416</x:t>
        </x:is>
      </x:c>
      <x:c r="H273" t="inlineStr">
        <x:is>
          <x:t xml:space="preserve">Robitussin DM เล็ก (ควบคุมจำนวน) (60 ml.)</x:t>
        </x:is>
      </x:c>
      <x:c r="I273" t="inlineStr">
        <x:is>
          <x:t xml:space="preserve">รับประทานครั้งละ 2 ช้อนชาวันละ 2-3 ครั้ง</x:t>
        </x:is>
      </x:c>
      <x:c r="P273" t="inlineStr">
        <x:is>
          <x:t xml:space="preserve">Cough medicines / mucolytics / expectorants</x:t>
        </x:is>
      </x:c>
    </x:row>
    <x:row r="274">
      <x:c r="A274">
        <x:v>272</x:v>
      </x:c>
      <x:c r="B274" t="inlineStr">
        <x:is>
          <x:t xml:space="preserve">ยาขยายหลอดลม ชนิดน้ำ (D)</x:t>
        </x:is>
      </x:c>
      <x:c r="C274">
        <x:v>1458</x:v>
      </x:c>
      <x:c r="D274" t="inlineStr">
        <x:is>
          <x:t xml:space="preserve">Asthmasian Expectorant Syrup</x:t>
        </x:is>
      </x:c>
      <x:c r="E274" t="inlineStr">
        <x:is>
          <x:t xml:space="preserve">ขวด 60 ml.</x:t>
        </x:is>
      </x:c>
      <x:c r="F274" t="inlineStr">
        <x:is>
          <x:t xml:space="preserve">Terbutaline sulfate 1.5 mg.+Glyceryl guaiacolate 100 mg.</x:t>
        </x:is>
      </x:c>
      <x:c r="G274" t="inlineStr">
        <x:is>
          <x:t xml:space="preserve">BDS001458</x:t>
        </x:is>
      </x:c>
      <x:c r="H274" t="inlineStr">
        <x:is>
          <x:t xml:space="preserve">Asthmasian Expectorant Syrup (60 ml.)</x:t>
        </x:is>
      </x:c>
      <x:c r="I274" t="inlineStr">
        <x:is>
          <x:t xml:space="preserve">เด็กโตรับประทานครั้งละ 1-2 ช้อนชา วันละ 3 ครั้ง</x:t>
        </x:is>
      </x:c>
      <x:c r="P274" t="inlineStr">
        <x:is>
          <x:t xml:space="preserve">Bronchodilators (inhalers/oral)</x:t>
        </x:is>
      </x:c>
    </x:row>
    <x:row r="275">
      <x:c r="A275">
        <x:v>273</x:v>
      </x:c>
      <x:c r="B275" t="inlineStr">
        <x:is>
          <x:t xml:space="preserve">ยาขยายหลอดลม ชนิดน้ำ (D)</x:t>
        </x:is>
      </x:c>
      <x:c r="C275">
        <x:v>2618</x:v>
      </x:c>
      <x:c r="D275" t="inlineStr">
        <x:is>
          <x:t xml:space="preserve">Meptin น้ำ มีกล่อง</x:t>
        </x:is>
      </x:c>
      <x:c r="E275" t="inlineStr">
        <x:is>
          <x:t xml:space="preserve">ขวด 60 ml.</x:t>
        </x:is>
      </x:c>
      <x:c r="F275" t="inlineStr">
        <x:is>
          <x:t xml:space="preserve">Procaterol HCl 5 mcg./1 ml.  </x:t>
        </x:is>
      </x:c>
      <x:c r="G275" t="inlineStr">
        <x:is>
          <x:t xml:space="preserve">BDS002618</x:t>
        </x:is>
      </x:c>
      <x:c r="H275" t="inlineStr">
        <x:is>
          <x:t xml:space="preserve">Meptin น้ำ มีกล่อง (60 ml.)</x:t>
        </x:is>
      </x:c>
      <x:c r="I275" t="inlineStr">
        <x:is>
          <x:t xml:space="preserve">รับประทานครั้งละ 1-2 ช้อนชา วันละ 2 ครั้ง</x:t>
        </x:is>
      </x:c>
      <x:c r="P275" t="inlineStr">
        <x:is>
          <x:t xml:space="preserve">Bronchodilators (inhalers/oral)</x:t>
        </x:is>
      </x:c>
    </x:row>
    <x:row r="276">
      <x:c r="A276">
        <x:v>274</x:v>
      </x:c>
      <x:c r="B276" t="inlineStr">
        <x:is>
          <x:t xml:space="preserve">ยาขยายหลอดลม ชนิดน้ำ (D)</x:t>
        </x:is>
      </x:c>
      <x:c r="C276">
        <x:v>3645</x:v>
      </x:c>
      <x:c r="D276" t="inlineStr">
        <x:is>
          <x:t xml:space="preserve">Salbulin Syrup</x:t>
        </x:is>
      </x:c>
      <x:c r="E276" t="inlineStr">
        <x:is>
          <x:t xml:space="preserve">ขวด 60 ml.</x:t>
        </x:is>
      </x:c>
      <x:c r="F276" t="inlineStr">
        <x:is>
          <x:t xml:space="preserve">Salbutamol 2.4 mg./5 ml.</x:t>
        </x:is>
      </x:c>
      <x:c r="G276" t="inlineStr">
        <x:is>
          <x:t xml:space="preserve">BDS003645</x:t>
        </x:is>
      </x:c>
      <x:c r="H276" t="inlineStr">
        <x:is>
          <x:t xml:space="preserve">Salbulin Syrup (60 ml.)</x:t>
        </x:is>
      </x:c>
      <x:c r="I276" t="inlineStr">
        <x:is>
          <x:t xml:space="preserve">เด็กโตรับประทานครั้งละ 1 ช้อนชา วันละ 3 ครั้ง หรือตามแพทย์สั่ง</x:t>
        </x:is>
      </x:c>
      <x:c r="P276" t="inlineStr">
        <x:is>
          <x:t xml:space="preserve">Bronchodilators (inhalers/oral)</x:t>
        </x:is>
      </x:c>
    </x:row>
    <x:row r="277">
      <x:c r="A277">
        <x:v>275</x:v>
      </x:c>
      <x:c r="B277" t="inlineStr">
        <x:is>
          <x:t xml:space="preserve">ยาขยายหลอดลม ชนิดน้ำ (D)</x:t>
        </x:is>
      </x:c>
      <x:c r="C277">
        <x:v>3589</x:v>
      </x:c>
      <x:c r="D277" t="inlineStr">
        <x:is>
          <x:t xml:space="preserve">Salmol Syrup</x:t>
        </x:is>
      </x:c>
      <x:c r="E277" t="inlineStr">
        <x:is>
          <x:t xml:space="preserve">ขวด 60 ml.</x:t>
        </x:is>
      </x:c>
      <x:c r="F277" t="inlineStr">
        <x:is>
          <x:t xml:space="preserve">Salbutamol 2 mg./5 ml.</x:t>
        </x:is>
      </x:c>
      <x:c r="G277" t="inlineStr">
        <x:is>
          <x:t xml:space="preserve">BDS003589</x:t>
        </x:is>
      </x:c>
      <x:c r="H277" t="inlineStr">
        <x:is>
          <x:t xml:space="preserve">Salmol Syrup (60 ml.)</x:t>
        </x:is>
      </x:c>
      <x:c r="I277" t="inlineStr">
        <x:is>
          <x:t xml:space="preserve">เด็กโตรับประทานครั้งละ 1 ช้อนชา วันละ 3-4 ครั้ง หรือตามแพทย์สั่ง</x:t>
        </x:is>
      </x:c>
      <x:c r="P277" t="inlineStr">
        <x:is>
          <x:t xml:space="preserve">Bronchodilators (inhalers/oral)</x:t>
        </x:is>
      </x:c>
    </x:row>
    <x:row r="278">
      <x:c r="A278">
        <x:v>276</x:v>
      </x:c>
      <x:c r="B278" t="inlineStr">
        <x:is>
          <x:t xml:space="preserve">ยาแก้ปวดไมเกรน (D)</x:t>
        </x:is>
      </x:c>
      <x:c r="C278">
        <x:v>1071</x:v>
      </x:c>
      <x:c r="D278" t="inlineStr">
        <x:is>
          <x:t xml:space="preserve">Avamigran</x:t>
        </x:is>
      </x:c>
      <x:c r="E278" t="inlineStr">
        <x:is>
          <x:t xml:space="preserve">กล่อง 1 แผง</x:t>
        </x:is>
      </x:c>
      <x:c r="F278" t="inlineStr">
        <x:is>
          <x:t xml:space="preserve">Ergotamine tartrate 1 mg.+Caffeine 100 mg.</x:t>
        </x:is>
      </x:c>
      <x:c r="G278" t="inlineStr">
        <x:is>
          <x:t xml:space="preserve">BDS001071</x:t>
        </x:is>
      </x:c>
      <x:c r="H278" t="inlineStr">
        <x:is>
          <x:t xml:space="preserve">Avamigran (1 blister)</x:t>
        </x:is>
      </x:c>
      <x:c r="I278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78" t="inlineStr">
        <x:is>
          <x:t xml:space="preserve">Migraine-specific drugs</x:t>
        </x:is>
      </x:c>
    </x:row>
    <x:row r="279">
      <x:c r="A279">
        <x:v>277</x:v>
      </x:c>
      <x:c r="B279" t="inlineStr">
        <x:is>
          <x:t xml:space="preserve">ยาแก้ปวดไมเกรน (D)</x:t>
        </x:is>
      </x:c>
      <x:c r="C279">
        <x:v>1405</x:v>
      </x:c>
      <x:c r="D279" t="inlineStr">
        <x:is>
          <x:t xml:space="preserve">Cafergot</x:t>
        </x:is>
      </x:c>
      <x:c r="E279" t="inlineStr">
        <x:is>
          <x:t xml:space="preserve">กล่อง 10 เม็ด</x:t>
        </x:is>
      </x:c>
      <x:c r="F279" t="inlineStr">
        <x:is>
          <x:t xml:space="preserve">Ergotamine tartrate 1 mg.+Caffeine 100 mg.</x:t>
        </x:is>
      </x:c>
      <x:c r="G279" t="inlineStr">
        <x:is>
          <x:t xml:space="preserve">BDS001405</x:t>
        </x:is>
      </x:c>
      <x:c r="H279" t="inlineStr">
        <x:is>
          <x:t xml:space="preserve">Cafergot (10 tabs)</x:t>
        </x:is>
      </x:c>
      <x:c r="I279" t="inlineStr">
        <x:is>
          <x:t xml:space="preserve"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79" t="inlineStr">
        <x:is>
          <x:t xml:space="preserve">Migraine-specific drugs</x:t>
        </x:is>
      </x:c>
    </x:row>
    <x:row r="280">
      <x:c r="A280">
        <x:v>278</x:v>
      </x:c>
      <x:c r="B280" t="inlineStr">
        <x:is>
          <x:t xml:space="preserve">ยาแก้ปวดไมเกรน (D)</x:t>
        </x:is>
      </x:c>
      <x:c r="C280">
        <x:v>6840</x:v>
      </x:c>
      <x:c r="D280" t="inlineStr">
        <x:is>
          <x:t xml:space="preserve">Relpax 40 mg</x:t>
        </x:is>
      </x:c>
      <x:c r="E280" t="inlineStr">
        <x:is>
          <x:t xml:space="preserve">กล่อง 2 เม็ด</x:t>
        </x:is>
      </x:c>
      <x:c r="F280" t="inlineStr">
        <x:is>
          <x:t xml:space="preserve">Eletriptan 40 mg.</x:t>
        </x:is>
      </x:c>
      <x:c r="G280" t="inlineStr">
        <x:is>
          <x:t xml:space="preserve">BDS006840</x:t>
        </x:is>
      </x:c>
      <x:c r="H280" t="inlineStr">
        <x:is>
          <x:t xml:space="preserve">Relpax 40 mg (2 tabs)</x:t>
        </x:is>
      </x:c>
      <x:c r="I280" t="inlineStr">
        <x:is>
          <x:t xml:space="preserve">รับประทานครั้งละ 1 เม็ด เมื่อเริ่มมีอาการ รับประทานเม็ดที่ 2 ได้ ห่างจากเม็ดแรก 2 ชั่วโมง</x:t>
        </x:is>
      </x:c>
      <x:c r="P280" t="inlineStr">
        <x:is>
          <x:t xml:space="preserve">Migraine-specific drugs</x:t>
        </x:is>
      </x:c>
    </x:row>
    <x:row r="281">
      <x:c r="A281">
        <x:v>279</x:v>
      </x:c>
      <x:c r="B281" t="inlineStr">
        <x:is>
          <x:t xml:space="preserve">ยาแก้ปวดไมเกรน (D)</x:t>
        </x:is>
      </x:c>
      <x:c r="C281">
        <x:v>47646</x:v>
      </x:c>
      <x:c r="D281" t="inlineStr">
        <x:is>
          <x:t xml:space="preserve">Siagran 50 mg</x:t>
        </x:is>
      </x:c>
      <x:c r="E281" t="inlineStr">
        <x:is>
          <x:t xml:space="preserve">กล่อง 4 เม็ด</x:t>
        </x:is>
      </x:c>
      <x:c r="F281" t="inlineStr">
        <x:is>
          <x:t xml:space="preserve">Sumatriptan succinate (eq. to Sumatriptan 50 mg.)</x:t>
        </x:is>
      </x:c>
      <x:c r="G281" t="inlineStr">
        <x:is>
          <x:t xml:space="preserve">BDS047646</x:t>
        </x:is>
      </x:c>
      <x:c r="H281" t="inlineStr">
        <x:is>
          <x:t xml:space="preserve">Siagran 50 mg (4 tabs)</x:t>
        </x:is>
      </x:c>
      <x:c r="I281" t="inlineStr">
        <x:is>
          <x:t xml:space="preserve">รับประทานครั้งละ 1 เม็ด เมื่อเริ่มมีอาการ รับประทานซ้ำได้ หลังจากรับประทานเม็ดแรกแล้ว 2 ชั่วโมง</x:t>
        </x:is>
      </x:c>
      <x:c r="P281" t="inlineStr">
        <x:is>
          <x:t xml:space="preserve">Migraine-specific drugs</x:t>
        </x:is>
      </x:c>
    </x:row>
    <x:row r="282">
      <x:c r="A282">
        <x:v>280</x:v>
      </x:c>
      <x:c r="B282" t="inlineStr">
        <x:is>
          <x:t xml:space="preserve">ยาแก้ปวดไมเกรน (D)</x:t>
        </x:is>
      </x:c>
      <x:c r="C282">
        <x:v>1404</x:v>
      </x:c>
      <x:c r="D282" t="inlineStr">
        <x:is>
          <x:t xml:space="preserve">Tofago</x:t>
        </x:is>
      </x:c>
      <x:c r="E282" t="inlineStr">
        <x:is>
          <x:t xml:space="preserve">กล่อง 10 เม็ด</x:t>
        </x:is>
      </x:c>
      <x:c r="F282" t="inlineStr">
        <x:is>
          <x:t xml:space="preserve">Ergotamine tartrate 1 mg.+Caffeine 100 mg.</x:t>
        </x:is>
      </x:c>
      <x:c r="G282" t="inlineStr">
        <x:is>
          <x:t xml:space="preserve">BDS001404</x:t>
        </x:is>
      </x:c>
      <x:c r="H282" t="inlineStr">
        <x:is>
          <x:t xml:space="preserve">Tofago (10 tabs)</x:t>
        </x:is>
      </x:c>
      <x:c r="I282" t="inlineStr">
        <x:is>
          <x:t xml:space="preserve"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x:t>
        </x:is>
      </x:c>
      <x:c r="P282" t="inlineStr">
        <x:is>
          <x:t xml:space="preserve">Migraine-specific drugs</x:t>
        </x:is>
      </x:c>
    </x:row>
    <x:row r="283">
      <x:c r="A283">
        <x:v>281</x:v>
      </x:c>
      <x:c r="B283" t="inlineStr">
        <x:is>
          <x:t xml:space="preserve">ยาปรับการไหลเวียนโลหิต (D)</x:t>
        </x:is>
      </x:c>
      <x:c r="C283">
        <x:v>7022</x:v>
      </x:c>
      <x:c r="D283" t="inlineStr">
        <x:is>
          <x:t xml:space="preserve">Behistin</x:t>
        </x:is>
      </x:c>
      <x:c r="E283" t="inlineStr">
        <x:is>
          <x:t xml:space="preserve">แผง 10 เม็ด</x:t>
        </x:is>
      </x:c>
      <x:c r="F283" t="inlineStr">
        <x:is>
          <x:t xml:space="preserve">Betahistine Mesylate 6 mg.</x:t>
        </x:is>
      </x:c>
      <x:c r="G283" t="inlineStr">
        <x:is>
          <x:t xml:space="preserve">BDS007022</x:t>
        </x:is>
      </x:c>
      <x:c r="H283" t="inlineStr">
        <x:is>
          <x:t xml:space="preserve">Behistin (10 tabs)</x:t>
        </x:is>
      </x:c>
      <x:c r="I283" t="inlineStr">
        <x:is>
          <x:t xml:space="preserve">รับประทานครั้งละ 1-2 เม็ด วันละ 3 ครั้ง</x:t>
        </x:is>
      </x:c>
    </x:row>
    <x:row r="284">
      <x:c r="A284">
        <x:v>282</x:v>
      </x:c>
      <x:c r="B284" t="inlineStr">
        <x:is>
          <x:t xml:space="preserve">ยาปรับการไหลเวียนโลหิต (D)</x:t>
        </x:is>
      </x:c>
      <x:c r="C284">
        <x:v>8007</x:v>
      </x:c>
      <x:c r="D284" t="inlineStr">
        <x:is>
          <x:t xml:space="preserve">Cephadol</x:t>
        </x:is>
      </x:c>
      <x:c r="E284" t="inlineStr">
        <x:is>
          <x:t xml:space="preserve">แผง 10 เม็ด</x:t>
        </x:is>
      </x:c>
      <x:c r="F284" t="inlineStr">
        <x:is>
          <x:t xml:space="preserve">Diphenidol hydrochloride 25 mg</x:t>
        </x:is>
      </x:c>
      <x:c r="G284" t="inlineStr">
        <x:is>
          <x:t xml:space="preserve">BDS008007</x:t>
        </x:is>
      </x:c>
      <x:c r="H284" t="inlineStr">
        <x:is>
          <x:t xml:space="preserve">Cephadol (10 tabs)</x:t>
        </x:is>
      </x:c>
      <x:c r="I284" t="inlineStr">
        <x:is>
          <x:t xml:space="preserve">รับประทานครั้งละ 1-2 เม็ด วันละ 2-3 ครั้ง</x:t>
        </x:is>
      </x:c>
    </x:row>
    <x:row r="285">
      <x:c r="A285">
        <x:v>283</x:v>
      </x:c>
      <x:c r="B285" t="inlineStr">
        <x:is>
          <x:t xml:space="preserve">ยาปรับการไหลเวียนโลหิต (D)</x:t>
        </x:is>
      </x:c>
      <x:c r="C285">
        <x:v>7055</x:v>
      </x:c>
      <x:c r="D285" t="inlineStr">
        <x:is>
          <x:t xml:space="preserve">Cinerine</x:t>
        </x:is>
      </x:c>
      <x:c r="E285" t="inlineStr">
        <x:is>
          <x:t xml:space="preserve">แผง 10 เม็ด</x:t>
        </x:is>
      </x:c>
      <x:c r="F285" t="inlineStr">
        <x:is>
          <x:t xml:space="preserve">Cinnarizine 25 mg.</x:t>
        </x:is>
      </x:c>
      <x:c r="G285" t="inlineStr">
        <x:is>
          <x:t xml:space="preserve">BDS007055</x:t>
        </x:is>
      </x:c>
      <x:c r="H285" t="inlineStr">
        <x:is>
          <x:t xml:space="preserve">Cinerine (10 tabs)</x:t>
        </x:is>
      </x:c>
      <x:c r="I285" t="inlineStr">
        <x:is>
          <x:t xml:space="preserve">รับประทานครั้งละ 1-2 เม็ด วันละ 3 ครั้ง</x:t>
        </x:is>
      </x:c>
    </x:row>
    <x:row r="286">
      <x:c r="A286">
        <x:v>284</x:v>
      </x:c>
      <x:c r="B286" t="inlineStr">
        <x:is>
          <x:t xml:space="preserve">ยาปรับการไหลเวียนโลหิต (D)</x:t>
        </x:is>
      </x:c>
      <x:c r="C286">
        <x:v>8142</x:v>
      </x:c>
      <x:c r="D286" t="inlineStr">
        <x:is>
          <x:t xml:space="preserve">Liberal Cap</x:t>
        </x:is>
      </x:c>
      <x:c r="E286" t="inlineStr">
        <x:is>
          <x:t xml:space="preserve">แผง 10 แคปซูล</x:t>
        </x:is>
      </x:c>
      <x:c r="F286" t="inlineStr">
        <x:is>
          <x:t xml:space="preserve">Flunarizine 5 mg.</x:t>
        </x:is>
      </x:c>
      <x:c r="G286" t="inlineStr">
        <x:is>
          <x:t xml:space="preserve">BDS008142</x:t>
        </x:is>
      </x:c>
      <x:c r="H286" t="inlineStr">
        <x:is>
          <x:t xml:space="preserve">Liberal Cap (10 cap)</x:t>
        </x:is>
      </x:c>
      <x:c r="I286" t="inlineStr">
        <x:is>
          <x:t xml:space="preserve">รับประทานครั้งละ 1-2 แคปซูล วันละ 1 ครั้ง ก่อนนอน</x:t>
        </x:is>
      </x:c>
    </x:row>
    <x:row r="287">
      <x:c r="A287">
        <x:v>285</x:v>
      </x:c>
      <x:c r="B287" t="inlineStr">
        <x:is>
          <x:t xml:space="preserve">ยาปรับการไหลเวียนโลหิต (D)</x:t>
        </x:is>
      </x:c>
      <x:c r="C287">
        <x:v>2688</x:v>
      </x:c>
      <x:c r="D287" t="inlineStr">
        <x:is>
          <x:t xml:space="preserve">Merislon 12 mg</x:t>
        </x:is>
      </x:c>
      <x:c r="E287" t="inlineStr">
        <x:is>
          <x:t xml:space="preserve">แผง 10 เม็ด</x:t>
        </x:is>
      </x:c>
      <x:c r="F287" t="inlineStr">
        <x:is>
          <x:t xml:space="preserve">Betahistine Mesilate 12 mg.</x:t>
        </x:is>
      </x:c>
      <x:c r="G287" t="inlineStr">
        <x:is>
          <x:t xml:space="preserve">BDS002688</x:t>
        </x:is>
      </x:c>
      <x:c r="H287" t="inlineStr">
        <x:is>
          <x:t xml:space="preserve">Merislon 12 mg (10 tabs)</x:t>
        </x:is>
      </x:c>
      <x:c r="I287" t="inlineStr">
        <x:is>
          <x:t xml:space="preserve">รับประทานครั้งละ 1 เม็ด วันละ 3 ครั้ง หลังอาหาร หรือตามแพทย์สั่ง</x:t>
        </x:is>
      </x:c>
    </x:row>
    <x:row r="288">
      <x:c r="A288">
        <x:v>286</x:v>
      </x:c>
      <x:c r="B288" t="inlineStr">
        <x:is>
          <x:t xml:space="preserve">ยาปรับการไหลเวียนโลหิต (D)</x:t>
        </x:is>
      </x:c>
      <x:c r="C288">
        <x:v>2621</x:v>
      </x:c>
      <x:c r="D288" t="inlineStr">
        <x:is>
          <x:t xml:space="preserve">Merislon 6 mg</x:t>
        </x:is>
      </x:c>
      <x:c r="E288" t="inlineStr">
        <x:is>
          <x:t xml:space="preserve">แผง 10 เม็ด</x:t>
        </x:is>
      </x:c>
      <x:c r="F288" t="inlineStr">
        <x:is>
          <x:t xml:space="preserve">Betahistine Mesilate 6 mg.</x:t>
        </x:is>
      </x:c>
      <x:c r="G288" t="inlineStr">
        <x:is>
          <x:t xml:space="preserve">BDS002621</x:t>
        </x:is>
      </x:c>
      <x:c r="H288" t="inlineStr">
        <x:is>
          <x:t xml:space="preserve">Merislon 6 mg (10 tabs)</x:t>
        </x:is>
      </x:c>
      <x:c r="I288" t="inlineStr">
        <x:is>
          <x:t xml:space="preserve">รับประทานครั้งละ 1-2 เม็ด วันละ 3 ครั้ง</x:t>
        </x:is>
      </x:c>
    </x:row>
    <x:row r="289">
      <x:c r="A289">
        <x:v>287</x:v>
      </x:c>
      <x:c r="B289" t="inlineStr">
        <x:is>
          <x:t xml:space="preserve">ยาปรับการไหลเวียนโลหิต (D)</x:t>
        </x:is>
      </x:c>
      <x:c r="C289">
        <x:v>7222</x:v>
      </x:c>
      <x:c r="D289" t="inlineStr">
        <x:is>
          <x:t xml:space="preserve">Poli-Flunarin</x:t>
        </x:is>
      </x:c>
      <x:c r="E289" t="inlineStr">
        <x:is>
          <x:t xml:space="preserve">แผง 10 แคปซูล</x:t>
        </x:is>
      </x:c>
      <x:c r="F289" t="inlineStr">
        <x:is>
          <x:t xml:space="preserve">Flunarizine 5 mg.</x:t>
        </x:is>
      </x:c>
      <x:c r="G289" t="inlineStr">
        <x:is>
          <x:t xml:space="preserve">BDS007222</x:t>
        </x:is>
      </x:c>
      <x:c r="H289" t="inlineStr">
        <x:is>
          <x:t xml:space="preserve">Poli-Flunarin (10 cap)</x:t>
        </x:is>
      </x:c>
      <x:c r="I289" t="inlineStr">
        <x:is>
          <x:t xml:space="preserve">รับประทานครั้งละ 1-2 แคปซูล วันละ 1 ครั้ง ก่อนนอน</x:t>
        </x:is>
      </x:c>
    </x:row>
    <x:row r="290">
      <x:c r="A290">
        <x:v>288</x:v>
      </x:c>
      <x:c r="B290" t="inlineStr">
        <x:is>
          <x:t xml:space="preserve">ยาปรับการไหลเวียนโลหิต (D)</x:t>
        </x:is>
      </x:c>
      <x:c r="C290">
        <x:v>3510</x:v>
      </x:c>
      <x:c r="D290" t="inlineStr">
        <x:is>
          <x:t xml:space="preserve">Serc 16 mg</x:t>
        </x:is>
      </x:c>
      <x:c r="E290" t="inlineStr">
        <x:is>
          <x:t xml:space="preserve">แผง 20 เม็ด</x:t>
        </x:is>
      </x:c>
      <x:c r="F290" t="inlineStr">
        <x:is>
          <x:t xml:space="preserve">Betahistine dihydrochloride 16 mg.</x:t>
        </x:is>
      </x:c>
      <x:c r="G290" t="inlineStr">
        <x:is>
          <x:t xml:space="preserve">BDS003510</x:t>
        </x:is>
      </x:c>
      <x:c r="H290" t="inlineStr">
        <x:is>
          <x:t xml:space="preserve">Serc 16 mg (20 tabs)</x:t>
        </x:is>
      </x:c>
      <x:c r="I290" t="inlineStr">
        <x:is>
          <x:t xml:space="preserve">รับประทานครั้งละ 1 เม็ด วันละ 2-3 ครั้ง หรือตามแพทย์สั่ง</x:t>
        </x:is>
      </x:c>
    </x:row>
    <x:row r="291">
      <x:c r="A291">
        <x:v>289</x:v>
      </x:c>
      <x:c r="B291" t="inlineStr">
        <x:is>
          <x:t xml:space="preserve">ยาปรับการไหลเวียนโลหิต (D)</x:t>
        </x:is>
      </x:c>
      <x:c r="C291">
        <x:v>6571</x:v>
      </x:c>
      <x:c r="D291" t="inlineStr">
        <x:is>
          <x:t xml:space="preserve">Serc 24 mg</x:t>
        </x:is>
      </x:c>
      <x:c r="E291" t="inlineStr">
        <x:is>
          <x:t xml:space="preserve">กล่อง 20 เม็ด</x:t>
        </x:is>
      </x:c>
      <x:c r="F291" t="inlineStr">
        <x:is>
          <x:t xml:space="preserve">Betahistine dihydrochloride 24 mg.</x:t>
        </x:is>
      </x:c>
      <x:c r="G291" t="inlineStr">
        <x:is>
          <x:t xml:space="preserve">BDS006571</x:t>
        </x:is>
      </x:c>
      <x:c r="H291" t="inlineStr">
        <x:is>
          <x:t xml:space="preserve">Serc 24 mg (20 tabs)</x:t>
        </x:is>
      </x:c>
      <x:c r="I291" t="inlineStr">
        <x:is>
          <x:t xml:space="preserve">รับประทานครั้งละ 1 เม็ด วันละ 2 ครั้ง หรือตามแพทย์สั่ง</x:t>
        </x:is>
      </x:c>
    </x:row>
    <x:row r="292">
      <x:c r="A292">
        <x:v>290</x:v>
      </x:c>
      <x:c r="B292" t="inlineStr">
        <x:is>
          <x:t xml:space="preserve">ยาปรับการไหลเวียนโลหิต (D)</x:t>
        </x:is>
      </x:c>
      <x:c r="C292">
        <x:v>47664</x:v>
      </x:c>
      <x:c r="D292" t="inlineStr">
        <x:is>
          <x:t xml:space="preserve">Sobelin</x:t>
        </x:is>
      </x:c>
      <x:c r="E292" t="inlineStr">
        <x:is>
          <x:t xml:space="preserve">แผง 10 แคปซูล</x:t>
        </x:is>
      </x:c>
      <x:c r="F292" t="inlineStr">
        <x:is>
          <x:t xml:space="preserve">Flunarizine 5 mg.</x:t>
        </x:is>
      </x:c>
      <x:c r="G292" t="inlineStr">
        <x:is>
          <x:t xml:space="preserve">BDS047664</x:t>
        </x:is>
      </x:c>
      <x:c r="H292" t="inlineStr">
        <x:is>
          <x:t xml:space="preserve">Sobelin (10 cap)</x:t>
        </x:is>
      </x:c>
      <x:c r="I292" t="inlineStr">
        <x:is>
          <x:t xml:space="preserve">รับประทานครั้งละ 1-2 แคปซูล วันละ 1 ครั้ง ก่อนนอน</x:t>
        </x:is>
      </x:c>
    </x:row>
    <x:row r="293">
      <x:c r="A293">
        <x:v>291</x:v>
      </x:c>
      <x:c r="B293" t="inlineStr">
        <x:is>
          <x:t xml:space="preserve">ยาปรับการไหลเวียนโลหิต (D)</x:t>
        </x:is>
      </x:c>
      <x:c r="C293">
        <x:v>7272</x:v>
      </x:c>
      <x:c r="D293" t="inlineStr">
        <x:is>
          <x:t xml:space="preserve">Stei 16 mg</x:t>
        </x:is>
      </x:c>
      <x:c r="E293" t="inlineStr">
        <x:is>
          <x:t xml:space="preserve">แผง 10 เม็ด</x:t>
        </x:is>
      </x:c>
      <x:c r="F293" t="inlineStr">
        <x:is>
          <x:t xml:space="preserve">Betahistine dihydrochloride 16 mg.</x:t>
        </x:is>
      </x:c>
      <x:c r="G293" t="inlineStr">
        <x:is>
          <x:t xml:space="preserve">BDS007272</x:t>
        </x:is>
      </x:c>
      <x:c r="H293" t="inlineStr">
        <x:is>
          <x:t xml:space="preserve">Stei 16 mg (10 tabs)</x:t>
        </x:is>
      </x:c>
      <x:c r="I293" t="inlineStr">
        <x:is>
          <x:t xml:space="preserve">รับประทานครั้งละ 1 เม็ด วันละ 3 ครั้ง หรือตามแพทย์สั่ง</x:t>
        </x:is>
      </x:c>
    </x:row>
    <x:row r="294">
      <x:c r="A294">
        <x:v>292</x:v>
      </x:c>
      <x:c r="B294" t="inlineStr">
        <x:is>
          <x:t xml:space="preserve">ยาปรับการไหลเวียนโลหิต (D)</x:t>
        </x:is>
      </x:c>
      <x:c r="C294">
        <x:v>3514</x:v>
      </x:c>
      <x:c r="D294" t="inlineStr">
        <x:is>
          <x:t xml:space="preserve">Stugeron 25 mg</x:t>
        </x:is>
      </x:c>
      <x:c r="E294" t="inlineStr">
        <x:is>
          <x:t xml:space="preserve">แผง 10 เม็ด</x:t>
        </x:is>
      </x:c>
      <x:c r="F294" t="inlineStr">
        <x:is>
          <x:t xml:space="preserve">Cinnarizine 25 mg.</x:t>
        </x:is>
      </x:c>
      <x:c r="G294" t="inlineStr">
        <x:is>
          <x:t xml:space="preserve">BDS003514</x:t>
        </x:is>
      </x:c>
      <x:c r="H294" t="inlineStr">
        <x:is>
          <x:t xml:space="preserve">Stugeron 25 mg (10 tabs)</x:t>
        </x:is>
      </x:c>
      <x:c r="I294" t="inlineStr">
        <x:is>
          <x:t xml:space="preserve">รับประทานครั้งละ 1-2 เม็ด  วันละ 3 ครั้ง</x:t>
        </x:is>
      </x:c>
    </x:row>
    <x:row r="295">
      <x:c r="A295">
        <x:v>293</x:v>
      </x:c>
      <x:c r="B295" t="inlineStr">
        <x:is>
          <x:t xml:space="preserve">ยาขับลม ชนิดน้ำ (D)</x:t>
        </x:is>
      </x:c>
      <x:c r="C295">
        <x:v>8034</x:v>
      </x:c>
      <x:c r="D295" t="inlineStr">
        <x:is>
          <x:t xml:space="preserve">Berclomine Syrup</x:t>
        </x:is>
      </x:c>
      <x:c r="E295" t="inlineStr">
        <x:is>
          <x:t xml:space="preserve">ขวด 60 ml.</x:t>
        </x:is>
      </x:c>
      <x:c r="F295" t="inlineStr">
        <x:is>
          <x:t xml:space="preserve">Dicyclomine 5 mg.+Simethicone 50 mg./5 ml.</x:t>
        </x:is>
      </x:c>
      <x:c r="G295" t="inlineStr">
        <x:is>
          <x:t xml:space="preserve">BDS008034</x:t>
        </x:is>
      </x:c>
      <x:c r="H295" t="inlineStr">
        <x:is>
          <x:t xml:space="preserve">Berclomine Syrup (60 ml.)</x:t>
        </x:is>
      </x:c>
      <x:c r="I295" t="inlineStr">
        <x:is>
          <x:t xml:space="preserve">รับประทานครั้งละ 1 ช้อนชา วันละ 4 ครั้ง ก่อนอาหาร</x:t>
        </x:is>
      </x:c>
      <x:c r="P295" t="inlineStr">
        <x:is>
          <x:t xml:space="preserve">Carminatives (gas relief)</x:t>
        </x:is>
      </x:c>
    </x:row>
    <x:row r="296">
      <x:c r="A296">
        <x:v>294</x:v>
      </x:c>
      <x:c r="B296" t="inlineStr">
        <x:is>
          <x:t xml:space="preserve">ยาบรรเทาริดสีดวง, เส้นเลือดขอด (D)</x:t>
        </x:is>
      </x:c>
      <x:c r="C296">
        <x:v>42321</x:v>
      </x:c>
      <x:c r="D296" t="inlineStr">
        <x:is>
          <x:t xml:space="preserve">Daflon 1000 mg</x:t>
        </x:is>
      </x:c>
      <x:c r="E296" t="inlineStr">
        <x:is>
          <x:t xml:space="preserve">แผง 10 เม็ด</x:t>
        </x:is>
      </x:c>
      <x:c r="F296" t="inlineStr">
        <x:is>
          <x:t xml:space="preserve">Diosmin 900 mg.+Hesperidin 100 mg.</x:t>
        </x:is>
      </x:c>
      <x:c r="G296" t="inlineStr">
        <x:is>
          <x:t xml:space="preserve">BDS042321</x:t>
        </x:is>
      </x:c>
      <x:c r="H296" t="inlineStr">
        <x:is>
          <x:t xml:space="preserve">Daflon 1000 mg (10 tabs)</x:t>
        </x:is>
      </x:c>
      <x:c r="I296" t="inlineStr">
        <x:is>
          <x:t xml:space="preserve">รับประทานครั้งละ 1 เม็ด วันละ 3 ครั้ง ติดต่อกัน 4 วัน หลังจากนั้นรับประทานวันละ 2 ครั้ง ติดต่อกันอีก 3 วัน</x:t>
        </x:is>
      </x:c>
    </x:row>
    <x:row r="297">
      <x:c r="A297">
        <x:v>295</x:v>
      </x:c>
      <x:c r="B297" t="inlineStr">
        <x:is>
          <x:t xml:space="preserve">ยาบรรเทาริดสีดวง, เส้นเลือดขอด (D)</x:t>
        </x:is>
      </x:c>
      <x:c r="C297">
        <x:v>1602</x:v>
      </x:c>
      <x:c r="D297" t="inlineStr">
        <x:is>
          <x:t xml:space="preserve">Daflon 500 mg</x:t>
        </x:is>
      </x:c>
      <x:c r="E297" t="inlineStr">
        <x:is>
          <x:t xml:space="preserve">แผง 15 เม็ด</x:t>
        </x:is>
      </x:c>
      <x:c r="F297" t="inlineStr">
        <x:is>
          <x:t xml:space="preserve">Diosmin 450 mg.+Hesperidin 50 mg.</x:t>
        </x:is>
      </x:c>
      <x:c r="G297" t="inlineStr">
        <x:is>
          <x:t xml:space="preserve">BDS001602</x:t>
        </x:is>
      </x:c>
      <x:c r="H297" t="inlineStr">
        <x:is>
          <x:t xml:space="preserve">Daflon 500 mg (15 tabs)</x:t>
        </x:is>
      </x:c>
      <x:c r="I297" t="inlineStr">
        <x:is>
          <x:t xml:space="preserve">รับประทานครั้งละ 1-2 เม็ด วันละ 2 ครั้ง หลังอาหาร</x:t>
        </x:is>
      </x:c>
    </x:row>
    <x:row r="298">
      <x:c r="A298">
        <x:v>296</x:v>
      </x:c>
      <x:c r="B298" t="inlineStr">
        <x:is>
          <x:t xml:space="preserve">ยาบรรเทาริดสีดวง, เส้นเลือดขอด (D)</x:t>
        </x:is>
      </x:c>
      <x:c r="C298">
        <x:v>1444</x:v>
      </x:c>
      <x:c r="D298" t="inlineStr">
        <x:is>
          <x:t xml:space="preserve">Dafomin 500 mg</x:t>
        </x:is>
      </x:c>
      <x:c r="E298" t="inlineStr">
        <x:is>
          <x:t xml:space="preserve">แผง 10 เม็ด</x:t>
        </x:is>
      </x:c>
      <x:c r="F298" t="inlineStr">
        <x:is>
          <x:t xml:space="preserve">Diosmin 450 mg.+Hesperidin 50 mg.</x:t>
        </x:is>
      </x:c>
      <x:c r="G298" t="inlineStr">
        <x:is>
          <x:t xml:space="preserve">BDS001444</x:t>
        </x:is>
      </x:c>
      <x:c r="H298" t="inlineStr">
        <x:is>
          <x:t xml:space="preserve">Dafomin 500 mg (10 tabs)</x:t>
        </x:is>
      </x:c>
      <x:c r="I298" t="inlineStr">
        <x:is>
          <x:t xml:space="preserve">รับประทานครั้งละ 1-2 เม็ด วันละ 2 ครั้ง หลังอาหาร</x:t>
        </x:is>
      </x:c>
    </x:row>
    <x:row r="299">
      <x:c r="A299">
        <x:v>297</x:v>
      </x:c>
      <x:c r="B299" t="inlineStr">
        <x:is>
          <x:t xml:space="preserve">ยาบรรเทาริดสีดวง, เส้นเลือดขอด (D)</x:t>
        </x:is>
      </x:c>
      <x:c r="C299">
        <x:v>8452</x:v>
      </x:c>
      <x:c r="D299" t="inlineStr">
        <x:is>
          <x:t xml:space="preserve">Diosmin 500</x:t>
        </x:is>
      </x:c>
      <x:c r="E299" t="inlineStr">
        <x:is>
          <x:t xml:space="preserve">แผง 10 เม็ด</x:t>
        </x:is>
      </x:c>
      <x:c r="F299" t="inlineStr">
        <x:is>
          <x:t xml:space="preserve">Diosmin 450 mg.+Hesperidin 50 mg.</x:t>
        </x:is>
      </x:c>
      <x:c r="G299" t="inlineStr">
        <x:is>
          <x:t xml:space="preserve">BDS008452</x:t>
        </x:is>
      </x:c>
      <x:c r="H299" t="inlineStr">
        <x:is>
          <x:t xml:space="preserve">Diosmin 500 (10 tabs)</x:t>
        </x:is>
      </x:c>
      <x:c r="I299" t="inlineStr">
        <x:is>
          <x:t xml:space="preserve">รับประทานครั้งละ 1-2 เม็ด วันละ 2 ครั้ง หลังอาหาร</x:t>
        </x:is>
      </x:c>
    </x:row>
    <x:row r="300">
      <x:c r="A300">
        <x:v>298</x:v>
      </x:c>
      <x:c r="B300" t="inlineStr">
        <x:is>
          <x:t xml:space="preserve">ยาบรรเทาริดสีดวง, เส้นเลือดขอด (D)</x:t>
        </x:is>
      </x:c>
      <x:c r="C300">
        <x:v>3407</x:v>
      </x:c>
      <x:c r="D300" t="inlineStr">
        <x:is>
          <x:t xml:space="preserve">Reparil Dragees</x:t>
        </x:is>
      </x:c>
      <x:c r="E300" t="inlineStr">
        <x:is>
          <x:t xml:space="preserve">แผง 10 เม็ด</x:t>
        </x:is>
      </x:c>
      <x:c r="F300" t="inlineStr">
        <x:is>
          <x:t xml:space="preserve">Absorbable aescin 20 mg.</x:t>
        </x:is>
      </x:c>
      <x:c r="G300" t="inlineStr">
        <x:is>
          <x:t xml:space="preserve">BDS003407</x:t>
        </x:is>
      </x:c>
      <x:c r="H300" t="inlineStr">
        <x:is>
          <x:t xml:space="preserve">Reparil Dragees (10 tabs)</x:t>
        </x:is>
      </x:c>
      <x:c r="I300" t="inlineStr">
        <x:is>
          <x:t xml:space="preserve">รับประทานครั้งละ 1-2 เม็ด วันละ 3 ครั้ง</x:t>
        </x:is>
      </x:c>
    </x:row>
    <x:row r="301">
      <x:c r="A301">
        <x:v>299</x:v>
      </x:c>
      <x:c r="B301" t="inlineStr">
        <x:is>
          <x:t xml:space="preserve">ยาบรรเทาริดสีดวง, เส้นเลือดขอด (D)</x:t>
        </x:is>
      </x:c>
      <x:c r="C301">
        <x:v>3507</x:v>
      </x:c>
      <x:c r="D301" t="inlineStr">
        <x:is>
          <x:t xml:space="preserve">Siduol</x:t>
        </x:is>
      </x:c>
      <x:c r="E301" t="inlineStr">
        <x:is>
          <x:t xml:space="preserve">แผง 10 แคปซูล</x:t>
        </x:is>
      </x:c>
      <x:c r="F301" t="inlineStr">
        <x:is>
          <x:t xml:space="preserve">Vit K1 2 mg+ Rutin 100 mg+Lysozyme Cl 10 mg+Vit E 52 mg+Pluronic F-68  20 mg</x:t>
        </x:is>
      </x:c>
      <x:c r="G301" t="inlineStr">
        <x:is>
          <x:t xml:space="preserve">BDS003507</x:t>
        </x:is>
      </x:c>
      <x:c r="H301" t="inlineStr">
        <x:is>
          <x:t xml:space="preserve">Siduol (10 cap)</x:t>
        </x:is>
      </x:c>
      <x:c r="I301" t="inlineStr">
        <x:is>
          <x:t xml:space="preserve">รับประทานครั้งละ 1-2 แคปซูล วันละ 3 ครั้ง หลังอาหาร</x:t>
        </x:is>
      </x:c>
    </x:row>
    <x:row r="302">
      <x:c r="A302">
        <x:v>300</x:v>
      </x:c>
      <x:c r="B302" t="inlineStr">
        <x:is>
          <x:t xml:space="preserve">ยาบรรเทาริดสีดวง, เส้นเลือดขอด (D)</x:t>
        </x:is>
      </x:c>
      <x:c r="C302">
        <x:v>7765</x:v>
      </x:c>
      <x:c r="D302" t="inlineStr">
        <x:is>
          <x:t xml:space="preserve">T-Osmin</x:t>
        </x:is>
      </x:c>
      <x:c r="E302" t="inlineStr">
        <x:is>
          <x:t xml:space="preserve">แผง 10 เม็ด</x:t>
        </x:is>
      </x:c>
      <x:c r="F302" t="inlineStr">
        <x:is>
          <x:t xml:space="preserve">Diosmin 450 mg.+Hesperidin 50 mg.</x:t>
        </x:is>
      </x:c>
      <x:c r="G302" t="inlineStr">
        <x:is>
          <x:t xml:space="preserve">BDS007765</x:t>
        </x:is>
      </x:c>
      <x:c r="H302" t="inlineStr">
        <x:is>
          <x:t xml:space="preserve">T-Osmin (10 tabs)</x:t>
        </x:is>
      </x:c>
      <x:c r="I302" t="inlineStr">
        <x:is>
          <x:t xml:space="preserve">3 วันถัดมา: 2 เม็ด 2 ครั้ง หลังจากนั้น: 1 เม็ด 2 ครั้ง</x:t>
        </x:is>
      </x:c>
    </x:row>
    <x:row r="303">
      <x:c r="A303">
        <x:v>301</x:v>
      </x:c>
      <x:c r="B303" t="inlineStr">
        <x:is>
          <x:t xml:space="preserve">ยาแก้ปวดรุนแรง (D)</x:t>
        </x:is>
      </x:c>
      <x:c r="C303">
        <x:v>3739</x:v>
      </x:c>
      <x:c r="D303" t="inlineStr">
        <x:is>
          <x:t xml:space="preserve">Tramal</x:t>
        </x:is>
      </x:c>
      <x:c r="E303" t="inlineStr">
        <x:is>
          <x:t xml:space="preserve">กล่อง 10 แคปซูล</x:t>
        </x:is>
      </x:c>
      <x:c r="F303" t="inlineStr">
        <x:is>
          <x:t xml:space="preserve">Tramadol HCl 50 mg.</x:t>
        </x:is>
      </x:c>
      <x:c r="G303" t="inlineStr">
        <x:is>
          <x:t xml:space="preserve">BDS003739</x:t>
        </x:is>
      </x:c>
      <x:c r="H303" t="inlineStr">
        <x:is>
          <x:t xml:space="preserve">Tramal (10 cap)</x:t>
        </x:is>
      </x:c>
      <x:c r="I303" t="inlineStr">
        <x:is>
          <x:t xml:space="preserve">รับประทานครั้งละ 1 แคปซูลวันละ 3 ครั้ง หลังอาหาร</x:t>
        </x:is>
      </x:c>
      <x:c r="P303" t="inlineStr">
        <x:is>
          <x:t xml:space="preserve">Strong pain meds</x:t>
        </x:is>
      </x:c>
    </x:row>
    <x:row r="304">
      <x:c r="A304">
        <x:v>302</x:v>
      </x:c>
      <x:c r="B304" t="inlineStr">
        <x:is>
          <x:t xml:space="preserve">ยาแก้ปวดเกร็งกล้ามเนื้อเรียบ (D)</x:t>
        </x:is>
      </x:c>
      <x:c r="C304">
        <x:v>1283</x:v>
      </x:c>
      <x:c r="D304" t="inlineStr">
        <x:is>
          <x:t xml:space="preserve">Buscopan</x:t>
        </x:is>
      </x:c>
      <x:c r="E304" t="inlineStr">
        <x:is>
          <x:t xml:space="preserve">แผง 10 เม็ด</x:t>
        </x:is>
      </x:c>
      <x:c r="F304" t="inlineStr">
        <x:is>
          <x:t xml:space="preserve">Hyoscine-N-butylbromide 10 mg.</x:t>
        </x:is>
      </x:c>
      <x:c r="G304" t="inlineStr">
        <x:is>
          <x:t xml:space="preserve">BDS001283</x:t>
        </x:is>
      </x:c>
      <x:c r="H304" t="inlineStr">
        <x:is>
          <x:t xml:space="preserve">Buscopan (10 tabs)</x:t>
        </x:is>
      </x:c>
      <x:c r="I304" t="inlineStr">
        <x:is>
          <x:t xml:space="preserve">รับประทานครั้งละ 1-2 เม็ด วันละ 3-5 ครั้ง </x:t>
        </x:is>
      </x:c>
      <x:c r="P304" t="inlineStr">
        <x:is>
          <x:t xml:space="preserve">Antispasmodics (smooth muscle cramps / abdominal colic)</x:t>
        </x:is>
      </x:c>
    </x:row>
    <x:row r="305">
      <x:c r="A305">
        <x:v>303</x:v>
      </x:c>
      <x:c r="B305" t="inlineStr">
        <x:is>
          <x:t xml:space="preserve">ยาแก้ปวดเกร็งกล้ามเนื้อเรียบ (D)</x:t>
        </x:is>
      </x:c>
      <x:c r="C305">
        <x:v>7061</x:v>
      </x:c>
      <x:c r="D305" t="inlineStr">
        <x:is>
          <x:t xml:space="preserve">Cencopan-S</x:t>
        </x:is>
      </x:c>
      <x:c r="E305" t="inlineStr">
        <x:is>
          <x:t xml:space="preserve">แผง 10 เม็ด</x:t>
        </x:is>
      </x:c>
      <x:c r="F305" t="inlineStr">
        <x:is>
          <x:t xml:space="preserve">Hyoscine-N-butylbromide 10 mg.</x:t>
        </x:is>
      </x:c>
      <x:c r="G305" t="inlineStr">
        <x:is>
          <x:t xml:space="preserve">BDS007061</x:t>
        </x:is>
      </x:c>
      <x:c r="H305" t="inlineStr">
        <x:is>
          <x:t xml:space="preserve">Cencopan-S (10 tabs)</x:t>
        </x:is>
      </x:c>
      <x:c r="I305" t="inlineStr">
        <x:is>
          <x:t xml:space="preserve">รับประทานครั้งละ 1-2 เม็ด วันละ 3 ครั้ง หรือเมื่อมีอาการ</x:t>
        </x:is>
      </x:c>
      <x:c r="P305" t="inlineStr">
        <x:is>
          <x:t xml:space="preserve">Antispasmodics (smooth muscle cramps / abdominal colic)</x:t>
        </x:is>
      </x:c>
    </x:row>
    <x:row r="306">
      <x:c r="A306">
        <x:v>304</x:v>
      </x:c>
      <x:c r="B306" t="inlineStr">
        <x:is>
          <x:t xml:space="preserve">ยาแก้ปวดเกร็งกล้ามเนื้อเรียบ (D)</x:t>
        </x:is>
      </x:c>
      <x:c r="C306">
        <x:v>1484</x:v>
      </x:c>
      <x:c r="D306" t="inlineStr">
        <x:is>
          <x:t xml:space="preserve">Colofac 135</x:t>
        </x:is>
      </x:c>
      <x:c r="E306" t="inlineStr">
        <x:is>
          <x:t xml:space="preserve">แผง 10 เม็ด</x:t>
        </x:is>
      </x:c>
      <x:c r="F306" t="inlineStr">
        <x:is>
          <x:t xml:space="preserve">Mebeverine HCl 135 mg.</x:t>
        </x:is>
      </x:c>
      <x:c r="G306" t="inlineStr">
        <x:is>
          <x:t xml:space="preserve">BDS001484</x:t>
        </x:is>
      </x:c>
      <x:c r="H306" t="inlineStr">
        <x:is>
          <x:t xml:space="preserve">Colofac 135 (10 tabs)</x:t>
        </x:is>
      </x:c>
      <x:c r="I306" t="inlineStr">
        <x:is>
          <x:t xml:space="preserve">รับประทานครั้งละ 1 เม็ด วันละ 3 ครั้ง ก่อนอาหาร</x:t>
        </x:is>
      </x:c>
      <x:c r="P306" t="inlineStr">
        <x:is>
          <x:t xml:space="preserve">Antispasmodics (smooth muscle cramps / abdominal colic)</x:t>
        </x:is>
      </x:c>
    </x:row>
    <x:row r="307">
      <x:c r="A307">
        <x:v>305</x:v>
      </x:c>
      <x:c r="B307" t="inlineStr">
        <x:is>
          <x:t xml:space="preserve">ยาแก้ปวดเกร็งกล้ามเนื้อเรียบ (D)</x:t>
        </x:is>
      </x:c>
      <x:c r="C307">
        <x:v>1707</x:v>
      </x:c>
      <x:c r="D307" t="inlineStr">
        <x:is>
          <x:t xml:space="preserve">Duspatin 135</x:t>
        </x:is>
      </x:c>
      <x:c r="E307" t="inlineStr">
        <x:is>
          <x:t xml:space="preserve">แผง 10 เม็ด</x:t>
        </x:is>
      </x:c>
      <x:c r="F307" t="inlineStr">
        <x:is>
          <x:t xml:space="preserve">Mebeverine HCl 135 mg.</x:t>
        </x:is>
      </x:c>
      <x:c r="G307" t="inlineStr">
        <x:is>
          <x:t xml:space="preserve">BDS001707</x:t>
        </x:is>
      </x:c>
      <x:c r="H307" t="inlineStr">
        <x:is>
          <x:t xml:space="preserve">Duspatin 135 (10 tabs)</x:t>
        </x:is>
      </x:c>
      <x:c r="I307" t="inlineStr">
        <x:is>
          <x:t xml:space="preserve">รับประทานครั้งละ 1 เม็ด พร้อมน้ำ วันละ 3 ครั้ง ก่อนอาหาร 20 นาที</x:t>
        </x:is>
      </x:c>
      <x:c r="P307" t="inlineStr">
        <x:is>
          <x:t xml:space="preserve">Antispasmodics (smooth muscle cramps / abdominal colic)</x:t>
        </x:is>
      </x:c>
    </x:row>
    <x:row r="308">
      <x:c r="A308">
        <x:v>306</x:v>
      </x:c>
      <x:c r="B308" t="inlineStr">
        <x:is>
          <x:t xml:space="preserve">ยาแก้ปวดเกร็งกล้ามเนื้อเรียบ (D)</x:t>
        </x:is>
      </x:c>
      <x:c r="C308">
        <x:v>7284</x:v>
      </x:c>
      <x:c r="D308" t="inlineStr">
        <x:is>
          <x:t xml:space="preserve">Scopas S/C tabslets</x:t>
        </x:is>
      </x:c>
      <x:c r="E308" t="inlineStr">
        <x:is>
          <x:t xml:space="preserve">แผง 10 เม็ด</x:t>
        </x:is>
      </x:c>
      <x:c r="F308" t="inlineStr">
        <x:is>
          <x:t xml:space="preserve">Hyoscine-N-butylbromide 10 mg.</x:t>
        </x:is>
      </x:c>
      <x:c r="G308" t="inlineStr">
        <x:is>
          <x:t xml:space="preserve">BDS007284</x:t>
        </x:is>
      </x:c>
      <x:c r="H308" t="inlineStr">
        <x:is>
          <x:t xml:space="preserve">Scopas S/C tabslets (10 tabs)</x:t>
        </x:is>
      </x:c>
      <x:c r="I308" t="inlineStr">
        <x:is>
          <x:t xml:space="preserve">รับประทานครั้งละ 1-2 เม็ด วันละ 3 ครั้ง หรือเมื่อมีอาการ</x:t>
        </x:is>
      </x:c>
      <x:c r="P308" t="inlineStr">
        <x:is>
          <x:t xml:space="preserve">Antispasmodics (smooth muscle cramps / abdominal colic)</x:t>
        </x:is>
      </x:c>
    </x:row>
    <x:row r="309">
      <x:c r="A309">
        <x:v>307</x:v>
      </x:c>
      <x:c r="B309" t="inlineStr">
        <x:is>
          <x:t xml:space="preserve">ยาแก้ปวดเกร็งกล้ามเนื้อเรียบ (D)</x:t>
        </x:is>
      </x:c>
      <x:c r="C309">
        <x:v>7303</x:v>
      </x:c>
      <x:c r="D309" t="inlineStr">
        <x:is>
          <x:t xml:space="preserve">Spacovin 40</x:t>
        </x:is>
      </x:c>
      <x:c r="E309" t="inlineStr">
        <x:is>
          <x:t xml:space="preserve">แผง 10 เม็ด</x:t>
        </x:is>
      </x:c>
      <x:c r="F309" t="inlineStr">
        <x:is>
          <x:t xml:space="preserve">Drotaverine Hydrochloride 40 mg.</x:t>
        </x:is>
      </x:c>
      <x:c r="G309" t="inlineStr">
        <x:is>
          <x:t xml:space="preserve">BDS007303</x:t>
        </x:is>
      </x:c>
      <x:c r="H309" t="inlineStr">
        <x:is>
          <x:t xml:space="preserve">Spacovin 40 (10 tabs)</x:t>
        </x:is>
      </x:c>
      <x:c r="I309" t="inlineStr">
        <x:is>
          <x:t xml:space="preserve">รับประทานครั้งละ 1-2 เม็ด วันละ 3 ครั้ง หรือเมื่อมีอาการ</x:t>
        </x:is>
      </x:c>
      <x:c r="P309" t="inlineStr">
        <x:is>
          <x:t xml:space="preserve">Antispasmodics (smooth muscle cramps / abdominal colic)</x:t>
        </x:is>
      </x:c>
    </x:row>
    <x:row r="310">
      <x:c r="A310">
        <x:v>308</x:v>
      </x:c>
      <x:c r="B310" t="inlineStr">
        <x:is>
          <x:t xml:space="preserve">ยาแก้ปวดเกร็งกล้ามเนื้อเรียบ (D)</x:t>
        </x:is>
      </x:c>
      <x:c r="C310">
        <x:v>7107</x:v>
      </x:c>
      <x:c r="D310" t="inlineStr">
        <x:is>
          <x:t xml:space="preserve">Sparta</x:t>
        </x:is>
      </x:c>
      <x:c r="E310" t="inlineStr">
        <x:is>
          <x:t xml:space="preserve">แผง 10 เม็ด</x:t>
        </x:is>
      </x:c>
      <x:c r="F310" t="inlineStr">
        <x:is>
          <x:t xml:space="preserve">Drotaverine Hydrochloride 40 mg.</x:t>
        </x:is>
      </x:c>
      <x:c r="G310" t="inlineStr">
        <x:is>
          <x:t xml:space="preserve">BDS007107</x:t>
        </x:is>
      </x:c>
      <x:c r="H310" t="inlineStr">
        <x:is>
          <x:t xml:space="preserve">Sparta (10 tabs)</x:t>
        </x:is>
      </x:c>
      <x:c r="I310" t="inlineStr">
        <x:is>
          <x:t xml:space="preserve">รับประทานครั้งละ 1-2 เม็ด วันละ 3 ครั้ง หรือเมื่อมีอาการ</x:t>
        </x:is>
      </x:c>
      <x:c r="P310" t="inlineStr">
        <x:is>
          <x:t xml:space="preserve">Antispasmodics (smooth muscle cramps / abdominal colic)</x:t>
        </x:is>
      </x:c>
    </x:row>
    <x:row r="311">
      <x:c r="A311">
        <x:v>309</x:v>
      </x:c>
      <x:c r="B311" t="inlineStr">
        <x:is>
          <x:t xml:space="preserve">ยาแก้ปวดเกร็งกล้ามเนื้อเรียบ (D)</x:t>
        </x:is>
      </x:c>
      <x:c r="C311">
        <x:v>7274</x:v>
      </x:c>
      <x:c r="D311" t="inlineStr">
        <x:is>
          <x:t xml:space="preserve">Spasuri</x:t>
        </x:is>
      </x:c>
      <x:c r="E311" t="inlineStr">
        <x:is>
          <x:t xml:space="preserve">แผง 10 เม็ด</x:t>
        </x:is>
      </x:c>
      <x:c r="F311" t="inlineStr">
        <x:is>
          <x:t xml:space="preserve">Flavoxate HCl 100 mg.</x:t>
        </x:is>
      </x:c>
      <x:c r="G311" t="inlineStr">
        <x:is>
          <x:t xml:space="preserve">BDS007274</x:t>
        </x:is>
      </x:c>
      <x:c r="H311" t="inlineStr">
        <x:is>
          <x:t xml:space="preserve">Spasuri (10 tabs)</x:t>
        </x:is>
      </x:c>
      <x:c r="I311" t="inlineStr">
        <x:is>
          <x:t xml:space="preserve">รับประทานครั้งละ 1-2 เม็ด วันละ 3 ครั้ง หรือเมื่อมีอาการ</x:t>
        </x:is>
      </x:c>
      <x:c r="P311" t="inlineStr">
        <x:is>
          <x:t xml:space="preserve">Antispasmodics (smooth muscle cramps / abdominal colic)</x:t>
        </x:is>
      </x:c>
    </x:row>
    <x:row r="312">
      <x:c r="A312">
        <x:v>310</x:v>
      </x:c>
      <x:c r="B312" t="inlineStr">
        <x:is>
          <x:t xml:space="preserve">ยาลดกรด, เคลือบกระเพาะ ชนิดน้ำ</x:t>
        </x:is>
      </x:c>
      <x:c r="C312">
        <x:v>1042</x:v>
      </x:c>
      <x:c r="D312" t="inlineStr">
        <x:is>
          <x:t xml:space="preserve">Amogin-Gel bottle 240 ml</x:t>
        </x:is>
      </x:c>
      <x:c r="E312" t="inlineStr">
        <x:is>
          <x:t xml:space="preserve">ขวด 240 ml.</x:t>
        </x:is>
      </x:c>
      <x:c r="F312" t="inlineStr">
        <x:is>
          <x:t xml:space="preserve">Aluminium Hydroxide 0.459 g.+Magnesium Hydroxide 0.300 g.+Dimethylpolysiloxane 0.021 g.</x:t>
        </x:is>
      </x:c>
      <x:c r="G312" t="inlineStr">
        <x:is>
          <x:t xml:space="preserve">BDS001042</x:t>
        </x:is>
      </x:c>
      <x:c r="H312" t="inlineStr">
        <x:is>
          <x:t xml:space="preserve">Amogin-Gel bottle 240 ml (240 ml.)</x:t>
        </x:is>
      </x:c>
      <x:c r="I312" t="inlineStr">
        <x:is>
          <x:t xml:space="preserve">รับประทานครั้งละ 1-2 ช้อนโต๊ะ วันละ 3-4 ครั้ง ก่อนอาหาร และก่อนนอน</x:t>
        </x:is>
      </x:c>
    </x:row>
    <x:row r="313">
      <x:c r="A313">
        <x:v>311</x:v>
      </x:c>
      <x:c r="B313" t="inlineStr">
        <x:is>
          <x:t xml:space="preserve">ยาลดกรด, เคลือบกระเพาะ ชนิดน้ำ</x:t>
        </x:is>
      </x:c>
      <x:c r="C313">
        <x:v>1095</x:v>
      </x:c>
      <x:c r="D313" t="inlineStr">
        <x:is>
          <x:t xml:space="preserve">Amogin-Gel sachet 15 ml</x:t>
        </x:is>
      </x:c>
      <x:c r="E313" t="inlineStr">
        <x:is>
          <x:t xml:space="preserve">ซอง 15 ml.</x:t>
        </x:is>
      </x:c>
      <x:c r="F313" t="inlineStr">
        <x:is>
          <x:t xml:space="preserve">Aluminium Hydroxide 0.459 g.+Magnesium Hydroxide 0.300 g.+Dimethylpolysiloxane 0.021 g.</x:t>
        </x:is>
      </x:c>
      <x:c r="G313" t="inlineStr">
        <x:is>
          <x:t xml:space="preserve">BDS001095</x:t>
        </x:is>
      </x:c>
      <x:c r="H313" t="inlineStr">
        <x:is>
          <x:t xml:space="preserve">Amogin-Gel sachet 15 ml (15 ml.)</x:t>
        </x:is>
      </x:c>
      <x:c r="I313" t="inlineStr">
        <x:is>
          <x:t xml:space="preserve">รับประทานครั้ง 1-2 ซอง วันละ 3-4 ครั้ง 1 ชั่วโมง ก่อนอาหาร และก่อนนอน</x:t>
        </x:is>
      </x:c>
    </x:row>
    <x:row r="314">
      <x:c r="A314">
        <x:v>312</x:v>
      </x:c>
      <x:c r="B314" t="inlineStr">
        <x:is>
          <x:t xml:space="preserve">ยาลดกรด, เคลือบกระเพาะ ชนิดน้ำ</x:t>
        </x:is>
      </x:c>
      <x:c r="C314">
        <x:v>1050</x:v>
      </x:c>
      <x:c r="D314" t="inlineStr">
        <x:is>
          <x:t xml:space="preserve">Antacil Gel กลาง</x:t>
        </x:is>
      </x:c>
      <x:c r="E314" t="inlineStr">
        <x:is>
          <x:t xml:space="preserve">ขวด 450 ml.</x:t>
        </x:is>
      </x:c>
      <x:c r="F314" t="inlineStr">
        <x:is>
          <x:t xml:space="preserve">Aluminium Hydroxide 960 mg. (Aluminium Hydroxide Compressed Gel)+Magnesium Hydroxide 330 mg.+Simethicone 60 mg./15 ml.</x:t>
        </x:is>
      </x:c>
      <x:c r="G314" t="inlineStr">
        <x:is>
          <x:t xml:space="preserve">BDS001050</x:t>
        </x:is>
      </x:c>
      <x:c r="H314" t="inlineStr">
        <x:is>
          <x:t xml:space="preserve">Antacil Gel กลาง (450 ml.)</x:t>
        </x:is>
      </x:c>
      <x:c r="I314" t="inlineStr">
        <x:is>
          <x:t xml:space="preserve">รับประทานครั้งละ 1-2 ช้อนโต๊ะ วันละ 3-4 ครั้ง</x:t>
        </x:is>
      </x:c>
    </x:row>
    <x:row r="315">
      <x:c r="A315">
        <x:v>313</x:v>
      </x:c>
      <x:c r="B315" t="inlineStr">
        <x:is>
          <x:t xml:space="preserve">ยาลดกรด, เคลือบกระเพาะ ชนิดน้ำ</x:t>
        </x:is>
      </x:c>
      <x:c r="C315">
        <x:v>1048</x:v>
      </x:c>
      <x:c r="D315" t="inlineStr">
        <x:is>
          <x:t xml:space="preserve">Antacil Gel เล็ก</x:t>
        </x:is>
      </x:c>
      <x:c r="E315" t="inlineStr">
        <x:is>
          <x:t xml:space="preserve">ขวด 240 ml.</x:t>
        </x:is>
      </x:c>
      <x:c r="F315" t="inlineStr">
        <x:is>
          <x:t xml:space="preserve">Aluminium Hydroxide 960 mg. (Aluminium Hydroxide Compressed Gel)+Magnesium Hydroxide 330 mg.+Simethicone 60 mg./15 ml.</x:t>
        </x:is>
      </x:c>
      <x:c r="G315" t="inlineStr">
        <x:is>
          <x:t xml:space="preserve">BDS001048</x:t>
        </x:is>
      </x:c>
      <x:c r="H315" t="inlineStr">
        <x:is>
          <x:t xml:space="preserve">Antacil Gel เล็ก (240 ml.)</x:t>
        </x:is>
      </x:c>
      <x:c r="I315" t="inlineStr">
        <x:is>
          <x:t xml:space="preserve">รับประทานครั้งละ 1-2 ช้อนโต๊ะ วันละ 3-4 ครั้ง</x:t>
        </x:is>
      </x:c>
    </x:row>
    <x:row r="316">
      <x:c r="A316">
        <x:v>314</x:v>
      </x:c>
      <x:c r="B316" t="inlineStr">
        <x:is>
          <x:t xml:space="preserve">ยาลดกรด, เคลือบกระเพาะ ชนิดน้ำ</x:t>
        </x:is>
      </x:c>
      <x:c r="C316">
        <x:v>40608</x:v>
      </x:c>
      <x:c r="D316" t="inlineStr">
        <x:is>
          <x:t xml:space="preserve">Belcid Forte Suspension</x:t>
        </x:is>
      </x:c>
      <x:c r="E316" t="inlineStr">
        <x:is>
          <x:t xml:space="preserve">ขวด 240 ml.</x:t>
        </x:is>
      </x:c>
      <x:c r="F316" t="inlineStr">
        <x:is>
          <x:t xml:space="preserve">Aluminium Hydroxide Gel (eq. to Aluminium Hydroxide 306 mg.+Magnesium Hydroxide 110 mg.+ Simethicone 30 mg./5 ml.</x:t>
        </x:is>
      </x:c>
      <x:c r="G316" t="inlineStr">
        <x:is>
          <x:t xml:space="preserve">BDS040608</x:t>
        </x:is>
      </x:c>
      <x:c r="H316" t="inlineStr">
        <x:is>
          <x:t xml:space="preserve">Belcid Forte Suspension (240 ml.)</x:t>
        </x:is>
      </x:c>
      <x:c r="I316" t="inlineStr">
        <x:is>
          <x:t xml:space="preserve">รับประทานครั้งละ 1-4 ช้อนชา เมื่อมีอาการ </x:t>
        </x:is>
      </x:c>
    </x:row>
    <x:row r="317">
      <x:c r="A317">
        <x:v>315</x:v>
      </x:c>
      <x:c r="B317" t="inlineStr">
        <x:is>
          <x:t xml:space="preserve">ยาลดกรด, เคลือบกระเพาะ ชนิดน้ำ</x:t>
        </x:is>
      </x:c>
      <x:c r="C317">
        <x:v>7133</x:v>
      </x:c>
      <x:c r="D317" t="inlineStr">
        <x:is>
          <x:t xml:space="preserve">Gaspec-S</x:t>
        </x:is>
      </x:c>
      <x:c r="E317" t="inlineStr">
        <x:is>
          <x:t xml:space="preserve">ขวด 240 ml.</x:t>
        </x:is>
      </x:c>
      <x:c r="F317" t="inlineStr">
        <x:is>
          <x:t xml:space="preserve">Simethicone 60 mg+Dried Aluminium Hydroxide gel 600 mg+Magnesium Hydroxide 375 mg./15 ml.</x:t>
        </x:is>
      </x:c>
      <x:c r="G317" t="inlineStr">
        <x:is>
          <x:t xml:space="preserve">BDS007133</x:t>
        </x:is>
      </x:c>
      <x:c r="H317" t="inlineStr">
        <x:is>
          <x:t xml:space="preserve">Gaspec-S (240 ml.)</x:t>
        </x:is>
      </x:c>
      <x:c r="I317" t="inlineStr">
        <x:is>
          <x:t xml:space="preserve">รับประทานครั้งละ 1-2 ช้อนโต๊ะ วันละ 4-6 ครั้ง</x:t>
        </x:is>
      </x:c>
    </x:row>
    <x:row r="318">
      <x:c r="A318">
        <x:v>316</x:v>
      </x:c>
      <x:c r="B318" t="inlineStr">
        <x:is>
          <x:t xml:space="preserve">ยาลดกรด, เคลือบกระเพาะ ชนิดน้ำ</x:t>
        </x:is>
      </x:c>
      <x:c r="C318">
        <x:v>2010</x:v>
      </x:c>
      <x:c r="D318" t="inlineStr">
        <x:is>
          <x:t xml:space="preserve">Gastro Bismol</x:t>
        </x:is>
      </x:c>
      <x:c r="E318" t="inlineStr">
        <x:is>
          <x:t xml:space="preserve">ขวด 240 ml.</x:t>
        </x:is>
      </x:c>
      <x:c r="F318" t="inlineStr">
        <x:is>
          <x:t xml:space="preserve">Bismuth Subsalicylate 262 mg.</x:t>
        </x:is>
      </x:c>
      <x:c r="G318" t="inlineStr">
        <x:is>
          <x:t xml:space="preserve">BDS002010</x:t>
        </x:is>
      </x:c>
      <x:c r="H318" t="inlineStr">
        <x:is>
          <x:t xml:space="preserve">Gastro Bismol (240 ml.)</x:t>
        </x:is>
      </x:c>
      <x:c r="I318" t="inlineStr">
        <x:is>
          <x:t xml:space="preserve">ผู้ใหญ่รับประทานครั้งละ 2 ช้อนโต๊ะ วันละ 4 ครั้ง ก่อนอาหารและก่อนนอน</x:t>
        </x:is>
      </x:c>
      <x:c r="J318" t="inlineStr">
        <x:is>
          <x:t xml:space="preserve">Adults take 2 tablespoons at a time. 4 times a day before meals and before bedtime</x:t>
        </x:is>
      </x:c>
    </x:row>
    <x:row r="319">
      <x:c r="A319">
        <x:v>317</x:v>
      </x:c>
      <x:c r="B319" t="inlineStr">
        <x:is>
          <x:t xml:space="preserve">ยาลดกรด, เคลือบกระเพาะ ชนิดน้ำ</x:t>
        </x:is>
      </x:c>
      <x:c r="C319">
        <x:v>43614</x:v>
      </x:c>
      <x:c r="D319" t="inlineStr">
        <x:is>
          <x:t xml:space="preserve">Gaviscon Advance bottle 150 ml</x:t>
        </x:is>
      </x:c>
      <x:c r="E319" t="inlineStr">
        <x:is>
          <x:t xml:space="preserve">ขวด 150 ml.</x:t>
        </x:is>
      </x:c>
      <x:c r="F319" t="inlineStr">
        <x:is>
          <x:t xml:space="preserve">Sodium alginate Ph Eur 1000 mg.+Potassium bicarbonate 200 mg. +Calcium carbonate+Carbomer+Methyl (E218)+Propyl (E216)+อื่นๆ</x:t>
        </x:is>
      </x:c>
      <x:c r="G319" t="inlineStr">
        <x:is>
          <x:t xml:space="preserve">BDS043614</x:t>
        </x:is>
      </x:c>
      <x:c r="H319" t="inlineStr">
        <x:is>
          <x:t xml:space="preserve">Gaviscon Advance bottle 150 ml (150 ml.)</x:t>
        </x:is>
      </x:c>
      <x:c r="I319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19" t="inlineStr">
        <x:is>
          <x:t xml:space="preserve">Adults take 2-4 teaspoons at a time. 4 times a day, after meals and before bedtime</x:t>
        </x:is>
      </x:c>
    </x:row>
    <x:row r="320">
      <x:c r="A320">
        <x:v>318</x:v>
      </x:c>
      <x:c r="B320" t="inlineStr">
        <x:is>
          <x:t xml:space="preserve">ยาลดกรด, เคลือบกระเพาะ ชนิดน้ำ</x:t>
        </x:is>
      </x:c>
      <x:c r="C320">
        <x:v>43613</x:v>
      </x:c>
      <x:c r="D320" t="inlineStr">
        <x:is>
          <x:t xml:space="preserve">Gaviscon Advance sachet 10 ml</x:t>
        </x:is>
      </x:c>
      <x:c r="E320" t="inlineStr">
        <x:is>
          <x:t xml:space="preserve">ซอง 10 ml.</x:t>
        </x:is>
      </x:c>
      <x:c r="F320" t="inlineStr">
        <x:is>
          <x:t xml:space="preserve">Sodium alginate Ph Eur 1000 mg.+Potassium bicarbonate 200 mg.+Calcium carbonate+Carbomer+Methyl (E218)+Propyl (E216)+อื่นๆ</x:t>
        </x:is>
      </x:c>
      <x:c r="G320" t="inlineStr">
        <x:is>
          <x:t xml:space="preserve">BDS043613</x:t>
        </x:is>
      </x:c>
      <x:c r="H320" t="inlineStr">
        <x:is>
          <x:t xml:space="preserve">Gaviscon Advance sachet 10 ml (10 ml.)</x:t>
        </x:is>
      </x:c>
      <x:c r="I320" t="inlineStr">
        <x:is>
          <x:t xml:space="preserve">ผู้ใหญ่รับประทานครั้งละ 1-2 ซองวันละ 4 ครั้ง หลังอาหารและก่อนนอน</x:t>
        </x:is>
      </x:c>
      <x:c r="J320" t="inlineStr">
        <x:is>
          <x:t xml:space="preserve">Adults take 1-2 sachets 4 times a day after meals and before bedtime</x:t>
        </x:is>
      </x:c>
    </x:row>
    <x:row r="321">
      <x:c r="A321">
        <x:v>319</x:v>
      </x:c>
      <x:c r="B321" t="inlineStr">
        <x:is>
          <x:t xml:space="preserve">ยาลดกรด, เคลือบกระเพาะ ชนิดน้ำ</x:t>
        </x:is>
      </x:c>
      <x:c r="C321">
        <x:v>2012</x:v>
      </x:c>
      <x:c r="D321" t="inlineStr">
        <x:is>
          <x:t xml:space="preserve">Gaviscon Dual Action bottle 150 ml</x:t>
        </x:is>
      </x:c>
      <x:c r="E321" t="inlineStr">
        <x:is>
          <x:t xml:space="preserve">ขวด 150 ml.</x:t>
        </x:is>
      </x:c>
      <x:c r="F321" t="inlineStr">
        <x:is>
          <x:t xml:space="preserve">Sodium alginate 500 mg.+Sodium bicarbonate 213 mg.+Calcium carbonate 325 mg.</x:t>
        </x:is>
      </x:c>
      <x:c r="G321" t="inlineStr">
        <x:is>
          <x:t xml:space="preserve">BDS002012</x:t>
        </x:is>
      </x:c>
      <x:c r="H321" t="inlineStr">
        <x:is>
          <x:t xml:space="preserve">Gaviscon Dual Action bottle 150 ml (150 ml.)</x:t>
        </x:is>
      </x:c>
      <x:c r="I321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21" t="inlineStr">
        <x:is>
          <x:t xml:space="preserve">Adults take 2-4 teaspoons at a time. 4 times a day, after meals and before bedtime</x:t>
        </x:is>
      </x:c>
    </x:row>
    <x:row r="322">
      <x:c r="A322">
        <x:v>320</x:v>
      </x:c>
      <x:c r="B322" t="inlineStr">
        <x:is>
          <x:t xml:space="preserve">ยาลดกรด, เคลือบกระเพาะ ชนิดน้ำ</x:t>
        </x:is>
      </x:c>
      <x:c r="C322">
        <x:v>2033</x:v>
      </x:c>
      <x:c r="D322" t="inlineStr">
        <x:is>
          <x:t xml:space="preserve">Gaviscon Dual Action sachet 10 ml</x:t>
        </x:is>
      </x:c>
      <x:c r="E322" t="inlineStr">
        <x:is>
          <x:t xml:space="preserve">ซอง 10 ml.</x:t>
        </x:is>
      </x:c>
      <x:c r="F322" t="inlineStr">
        <x:is>
          <x:t xml:space="preserve">Sodium alginate 500 mg.+Sodium bicarbonate 213 mg.+Calcium carbonate 325 mg.</x:t>
        </x:is>
      </x:c>
      <x:c r="G322" t="inlineStr">
        <x:is>
          <x:t xml:space="preserve">BDS002033</x:t>
        </x:is>
      </x:c>
      <x:c r="H322" t="inlineStr">
        <x:is>
          <x:t xml:space="preserve">Gaviscon Dual Action sachet 10 ml (10 ml.)</x:t>
        </x:is>
      </x:c>
      <x:c r="I322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2" t="inlineStr">
        <x:is>
          <x:t xml:space="preserve">Adults take 1-2 sachets 4 times a day after meals and before bedtime</x:t>
        </x:is>
      </x:c>
    </x:row>
    <x:row r="323">
      <x:c r="A323">
        <x:v>321</x:v>
      </x:c>
      <x:c r="B323" t="inlineStr">
        <x:is>
          <x:t xml:space="preserve">ยาลดกรด, เคลือบกระเพาะ ชนิดน้ำ</x:t>
        </x:is>
      </x:c>
      <x:c r="C323">
        <x:v>2014</x:v>
      </x:c>
      <x:c r="D323" t="inlineStr">
        <x:is>
          <x:t xml:space="preserve">Gaviscon Suspension bottle 150 ml</x:t>
        </x:is>
      </x:c>
      <x:c r="E323" t="inlineStr">
        <x:is>
          <x:t xml:space="preserve">ขวด 150 ml.</x:t>
        </x:is>
      </x:c>
      <x:c r="F323" t="inlineStr">
        <x:is>
          <x:t xml:space="preserve">Sodium alginate 500 mg.+Sodium bicarbonate 267 mg./10 ml.</x:t>
        </x:is>
      </x:c>
      <x:c r="G323" t="inlineStr">
        <x:is>
          <x:t xml:space="preserve">BDS002014</x:t>
        </x:is>
      </x:c>
      <x:c r="H323" t="inlineStr">
        <x:is>
          <x:t xml:space="preserve">Gaviscon Suspension bottle 150 ml (150 ml.)</x:t>
        </x:is>
      </x:c>
      <x:c r="I323" t="inlineStr">
        <x:is>
          <x:t xml:space="preserve">ผู้ใหญ่รับประทานครั้งละ 2-4 ช้อนชา วันละ 4 ครั้ง หลังอาหารและก่อนนอน</x:t>
        </x:is>
      </x:c>
      <x:c r="J323" t="inlineStr">
        <x:is>
          <x:t xml:space="preserve">Adults take 2-4 teaspoons at a time. 4 times a day, after meals and before bedtime</x:t>
        </x:is>
      </x:c>
    </x:row>
    <x:row r="324">
      <x:c r="A324">
        <x:v>322</x:v>
      </x:c>
      <x:c r="B324" t="inlineStr">
        <x:is>
          <x:t xml:space="preserve">ยาลดกรด, เคลือบกระเพาะ ชนิดน้ำ</x:t>
        </x:is>
      </x:c>
      <x:c r="C324">
        <x:v>2013</x:v>
      </x:c>
      <x:c r="D324" t="inlineStr">
        <x:is>
          <x:t xml:space="preserve">Gaviscon Suspension sachet 10 ml</x:t>
        </x:is>
      </x:c>
      <x:c r="E324" t="inlineStr">
        <x:is>
          <x:t xml:space="preserve">ซอง 10 ml.</x:t>
        </x:is>
      </x:c>
      <x:c r="F324" t="inlineStr">
        <x:is>
          <x:t xml:space="preserve">Sodium alginate 500 mg.+Sodium bicarbonate 267 mg.+Calcium carbonate 160 mg./10 ml.</x:t>
        </x:is>
      </x:c>
      <x:c r="G324" t="inlineStr">
        <x:is>
          <x:t xml:space="preserve">BDS002013</x:t>
        </x:is>
      </x:c>
      <x:c r="H324" t="inlineStr">
        <x:is>
          <x:t xml:space="preserve">Gaviscon Suspension sachet 10 ml (10 ml.)</x:t>
        </x:is>
      </x:c>
      <x:c r="I324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4" t="inlineStr">
        <x:is>
          <x:t xml:space="preserve">Adults take 1-2 sachets 4 times a day after meals and before bedtime</x:t>
        </x:is>
      </x:c>
    </x:row>
    <x:row r="325">
      <x:c r="A325">
        <x:v>323</x:v>
      </x:c>
      <x:c r="B325" t="inlineStr">
        <x:is>
          <x:t xml:space="preserve">ยาลดกรด, เคลือบกระเพาะ ชนิดน้ำ</x:t>
        </x:is>
      </x:c>
      <x:c r="C325">
        <x:v>43606</x:v>
      </x:c>
      <x:c r="D325" t="inlineStr">
        <x:is>
          <x:t xml:space="preserve">Gaviscon Suspension กล่อง 4 ซอง</x:t>
        </x:is>
      </x:c>
      <x:c r="E325" t="inlineStr">
        <x:is>
          <x:t xml:space="preserve">กล่อง 4 ซอง</x:t>
        </x:is>
      </x:c>
      <x:c r="F325" t="inlineStr">
        <x:is>
          <x:t xml:space="preserve">Sodium alginate 500 mg.+Sodium bicarbonate 267 mg.+Calcium carbonate 160 mg./10 ml.</x:t>
        </x:is>
      </x:c>
      <x:c r="G325" t="inlineStr">
        <x:is>
          <x:t xml:space="preserve">BDS043606</x:t>
        </x:is>
      </x:c>
      <x:c r="H325" t="inlineStr">
        <x:is>
          <x:t xml:space="preserve">Gaviscon Suspension กล่อง 4 ซอง (4 sachets)</x:t>
        </x:is>
      </x:c>
      <x:c r="I325" t="inlineStr">
        <x:is>
          <x:t xml:space="preserve">ผู้ใหญ่รับประทานครั้งละ 1-2 ซอง วันละ 4 ครั้ง หลังอาหารและก่อนนอน</x:t>
        </x:is>
      </x:c>
      <x:c r="J325" t="inlineStr">
        <x:is>
          <x:t xml:space="preserve">Adults take 1-2 sachets 4 times a day after meals and before bedtime</x:t>
        </x:is>
      </x:c>
    </x:row>
    <x:row r="326">
      <x:c r="A326">
        <x:v>324</x:v>
      </x:c>
      <x:c r="B326" t="inlineStr">
        <x:is>
          <x:t xml:space="preserve">ยาลดกรด, เคลือบกระเพาะ ชนิดน้ำ</x:t>
        </x:is>
      </x:c>
      <x:c r="C326">
        <x:v>1029</x:v>
      </x:c>
      <x:c r="D326" t="inlineStr">
        <x:is>
          <x:t xml:space="preserve">Maalox Alum Milk</x:t>
        </x:is>
      </x:c>
      <x:c r="E326" t="inlineStr">
        <x:is>
          <x:t xml:space="preserve">ขวด 240 ml.</x:t>
        </x:is>
      </x:c>
      <x:c r="F326" t="inlineStr">
        <x:is>
          <x:t xml:space="preserve">Al(OH)3 4.4 g.+Mg(OH)2 2.4 g./100 ml.</x:t>
        </x:is>
      </x:c>
      <x:c r="G326" t="inlineStr">
        <x:is>
          <x:t xml:space="preserve">BDS001029</x:t>
        </x:is>
      </x:c>
      <x:c r="H326" t="inlineStr">
        <x:is>
          <x:t xml:space="preserve">Maalox Alum Milk (240 ml.)</x:t>
        </x:is>
      </x:c>
      <x:c r="I326" t="inlineStr">
        <x:is>
          <x:t xml:space="preserve">รับประทานครั้งละ 1-2 ช้อนโต๊ะ วันละ 3-4 ครั้ง</x:t>
        </x:is>
      </x:c>
    </x:row>
    <x:row r="327">
      <x:c r="A327">
        <x:v>325</x:v>
      </x:c>
      <x:c r="B327" t="inlineStr">
        <x:is>
          <x:t xml:space="preserve">ยาลดกรด, เคลือบกระเพาะ ชนิดน้ำ</x:t>
        </x:is>
      </x:c>
      <x:c r="C327">
        <x:v>3565</x:v>
      </x:c>
      <x:c r="D327" t="inlineStr">
        <x:is>
          <x:t xml:space="preserve">Sucrate Gel</x:t>
        </x:is>
      </x:c>
      <x:c r="E327" t="inlineStr">
        <x:is>
          <x:t xml:space="preserve">ซอง 5 ml.</x:t>
        </x:is>
      </x:c>
      <x:c r="F327" t="inlineStr">
        <x:is>
          <x:t xml:space="preserve">Sucralfate gel 1 g.</x:t>
        </x:is>
      </x:c>
      <x:c r="G327" t="inlineStr">
        <x:is>
          <x:t xml:space="preserve">BDS003565</x:t>
        </x:is>
      </x:c>
      <x:c r="H327" t="inlineStr">
        <x:is>
          <x:t xml:space="preserve">Sucrate Gel (5 ml.)</x:t>
        </x:is>
      </x:c>
      <x:c r="I327" t="inlineStr">
        <x:is>
          <x:t xml:space="preserve">รับประทานครั้งละ 1 ซอง วันละ 2 ครั้ง ก่อนอาหารเช้า 1 ชั่วโมง และก่อนนอน </x:t>
        </x:is>
      </x:c>
    </x:row>
    <x:row r="328">
      <x:c r="A328">
        <x:v>326</x:v>
      </x:c>
      <x:c r="B328" t="inlineStr">
        <x:is>
          <x:t xml:space="preserve">ยาลดกรด, เคลือบกระเพาะ ชนิดน้ำ</x:t>
        </x:is>
      </x:c>
      <x:c r="C328">
        <x:v>3918</x:v>
      </x:c>
      <x:c r="D328" t="inlineStr">
        <x:is>
          <x:t xml:space="preserve">Ulcefate Suspension bottle 240 ml</x:t>
        </x:is>
      </x:c>
      <x:c r="E328" t="inlineStr">
        <x:is>
          <x:t xml:space="preserve">ขวด 240 ml.</x:t>
        </x:is>
      </x:c>
      <x:c r="F328" t="inlineStr">
        <x:is>
          <x:t xml:space="preserve">Sucralfate 1 g./5 ml.</x:t>
        </x:is>
      </x:c>
      <x:c r="G328" t="inlineStr">
        <x:is>
          <x:t xml:space="preserve">BDS003918</x:t>
        </x:is>
      </x:c>
      <x:c r="H328" t="inlineStr">
        <x:is>
          <x:t xml:space="preserve">Ulcefate Suspension bottle 240 ml (240 ml.)</x:t>
        </x:is>
      </x:c>
      <x:c r="I328" t="inlineStr">
        <x:is>
          <x:t xml:space="preserve">รับประทานครั้งละ 1-2 ช้อนชา วันละ 2-4 ครั้ง ก่อนอาหารและก่อนนอน</x:t>
        </x:is>
      </x:c>
    </x:row>
    <x:row r="329">
      <x:c r="A329">
        <x:v>327</x:v>
      </x:c>
      <x:c r="B329" t="inlineStr">
        <x:is>
          <x:t xml:space="preserve">ยาลดกรด, เคลือบกระเพาะ ชนิดน้ำ</x:t>
        </x:is>
      </x:c>
      <x:c r="C329">
        <x:v>3917</x:v>
      </x:c>
      <x:c r="D329" t="inlineStr">
        <x:is>
          <x:t xml:space="preserve">Ulcefate Suspension bottle 60 ml</x:t>
        </x:is>
      </x:c>
      <x:c r="E329" t="inlineStr">
        <x:is>
          <x:t xml:space="preserve">ขวด 60 ml.</x:t>
        </x:is>
      </x:c>
      <x:c r="F329" t="inlineStr">
        <x:is>
          <x:t xml:space="preserve">Sucralfate 1 g./5 ml.</x:t>
        </x:is>
      </x:c>
      <x:c r="G329" t="inlineStr">
        <x:is>
          <x:t xml:space="preserve">BDS003917</x:t>
        </x:is>
      </x:c>
      <x:c r="H329" t="inlineStr">
        <x:is>
          <x:t xml:space="preserve">Ulcefate Suspension bottle 60 ml (60 ml.)</x:t>
        </x:is>
      </x:c>
      <x:c r="I329" t="inlineStr">
        <x:is>
          <x:t xml:space="preserve">รับประทานครั้งละ 1-2 ช้อนชา วันละ 3-4 ครั้ง ก่อนอาหารและก่อนนอน</x:t>
        </x:is>
      </x:c>
    </x:row>
    <x:row r="330">
      <x:c r="A330">
        <x:v>328</x:v>
      </x:c>
      <x:c r="B330" t="inlineStr">
        <x:is>
          <x:t xml:space="preserve">ยาลดกรด, เคลือบกระเพาะ ชนิดน้ำ</x:t>
        </x:is>
      </x:c>
      <x:c r="C330">
        <x:v>3915</x:v>
      </x:c>
      <x:c r="D330" t="inlineStr">
        <x:is>
          <x:t xml:space="preserve">Ulcefate Suspension sachet 5 ml</x:t>
        </x:is>
      </x:c>
      <x:c r="E330" t="inlineStr">
        <x:is>
          <x:t xml:space="preserve">ซอง 5 ml.</x:t>
        </x:is>
      </x:c>
      <x:c r="F330" t="inlineStr">
        <x:is>
          <x:t xml:space="preserve">Sucralfate 1 g.</x:t>
        </x:is>
      </x:c>
      <x:c r="G330" t="inlineStr">
        <x:is>
          <x:t xml:space="preserve">BDS003915</x:t>
        </x:is>
      </x:c>
      <x:c r="H330" t="inlineStr">
        <x:is>
          <x:t xml:space="preserve">Ulcefate Suspension sachet 5 ml (5 ml.)</x:t>
        </x:is>
      </x:c>
      <x:c r="I330" t="inlineStr">
        <x:is>
          <x:t xml:space="preserve">รับประทานครั้งละ 1-2 ซอง วันละ 2-4 ครั้ง ก่อนอาหารและก่อนนอน</x:t>
        </x:is>
      </x:c>
    </x:row>
    <x:row r="331">
      <x:c r="A331">
        <x:v>329</x:v>
      </x:c>
      <x:c r="B331" t="inlineStr">
        <x:is>
          <x:t xml:space="preserve">ยาลดกรด, เคลือบกระเพาะ ชนิดน้ำ</x:t>
        </x:is>
      </x:c>
      <x:c r="C331">
        <x:v>7951</x:v>
      </x:c>
      <x:c r="D331" t="inlineStr">
        <x:is>
          <x:t xml:space="preserve">Ziga Gel</x:t>
        </x:is>
      </x:c>
      <x:c r="E331" t="inlineStr">
        <x:is>
          <x:t xml:space="preserve">ขวด 240 ml.</x:t>
        </x:is>
      </x:c>
      <x:c r="F331" t="inlineStr">
        <x:is>
          <x:t xml:space="preserve">Al(OH)3 900 mg.+Mg(OH)2 400 mg.+Simethicone 70 mg./15 ml.</x:t>
        </x:is>
      </x:c>
      <x:c r="G331" t="inlineStr">
        <x:is>
          <x:t xml:space="preserve">BDS007951</x:t>
        </x:is>
      </x:c>
      <x:c r="H331" t="inlineStr">
        <x:is>
          <x:t xml:space="preserve">Ziga Gel (240 ml.)</x:t>
        </x:is>
      </x:c>
      <x:c r="I331" t="inlineStr">
        <x:is>
          <x:t xml:space="preserve">ผู้ใหญ่รับประทานครั้งละ 1 ช้อนโต๊ะ  วันละ 4 ครั้ง หลังอาหารและก่อนนอน</x:t>
        </x:is>
      </x:c>
    </x:row>
    <x:row r="332">
      <x:c r="A332">
        <x:v>330</x:v>
      </x:c>
      <x:c r="B332" t="inlineStr">
        <x:is>
          <x:t xml:space="preserve">ยาขับลม ชนิดน้ำ</x:t>
        </x:is>
      </x:c>
      <x:c r="C332">
        <x:v>1013</x:v>
      </x:c>
      <x:c r="D332" t="inlineStr">
        <x:is>
          <x:t xml:space="preserve">Air-X Drops</x:t>
        </x:is>
      </x:c>
      <x:c r="E332" t="inlineStr">
        <x:is>
          <x:t xml:space="preserve">ขวด 15 ml.</x:t>
        </x:is>
      </x:c>
      <x:c r="F332" t="inlineStr">
        <x:is>
          <x:t xml:space="preserve">Simethicone 40 mg./0.6 ml.</x:t>
        </x:is>
      </x:c>
      <x:c r="G332" t="inlineStr">
        <x:is>
          <x:t xml:space="preserve">BDS001013</x:t>
        </x:is>
      </x:c>
      <x:c r="H332" t="inlineStr">
        <x:is>
          <x:t xml:space="preserve">Air-X Drops (15 ml.)</x:t>
        </x:is>
      </x:c>
      <x:c r="I332" t="inlineStr">
        <x:is>
          <x:t xml:space="preserve">รับประทานครั้งละ 0.3 ml. วันละ 3 ครั้ง หลังอาหาร</x:t>
        </x:is>
      </x:c>
      <x:c r="P332" t="inlineStr">
        <x:is>
          <x:t xml:space="preserve">Carminatives (gas relief)</x:t>
        </x:is>
      </x:c>
    </x:row>
    <x:row r="333">
      <x:c r="A333">
        <x:v>331</x:v>
      </x:c>
      <x:c r="B333" t="inlineStr">
        <x:is>
          <x:t xml:space="preserve">ยาขับลม ชนิดน้ำ</x:t>
        </x:is>
      </x:c>
      <x:c r="C333">
        <x:v>2631</x:v>
      </x:c>
      <x:c r="D333" t="inlineStr">
        <x:is>
          <x:t xml:space="preserve">Mixt.Carminative (GPO) 180 ml</x:t>
        </x:is>
      </x:c>
      <x:c r="E333" t="inlineStr">
        <x:is>
          <x:t xml:space="preserve">ขวด 180 ml.</x:t>
        </x:is>
      </x:c>
      <x:c r="F333" t="inlineStr">
        <x:is>
          <x:t xml:space="preserve">Cardamon Tincture 1.80 ml.+Capsicum Tincture 0.06 ml.+Ginger Tincture 0.024 ml./15 ml.</x:t>
        </x:is>
      </x:c>
      <x:c r="G333" t="inlineStr">
        <x:is>
          <x:t xml:space="preserve">BDS002631</x:t>
        </x:is>
      </x:c>
      <x:c r="H333" t="inlineStr">
        <x:is>
          <x:t xml:space="preserve">Mixt.Carminative (GPO) 180 ml (180 ml.)</x:t>
        </x:is>
      </x:c>
      <x:c r="I333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333" t="inlineStr">
        <x:is>
          <x:t xml:space="preserve">Carminatives (gas relief)</x:t>
        </x:is>
      </x:c>
    </x:row>
    <x:row r="334">
      <x:c r="A334">
        <x:v>332</x:v>
      </x:c>
      <x:c r="B334" t="inlineStr">
        <x:is>
          <x:t xml:space="preserve">ยาขับลม ชนิดน้ำ</x:t>
        </x:is>
      </x:c>
      <x:c r="C334">
        <x:v>2632</x:v>
      </x:c>
      <x:c r="D334" t="inlineStr">
        <x:is>
          <x:t xml:space="preserve">Mixt.Carminative (GPO) 450 ml</x:t>
        </x:is>
      </x:c>
      <x:c r="E334" t="inlineStr">
        <x:is>
          <x:t xml:space="preserve">ขวด 450 ml.</x:t>
        </x:is>
      </x:c>
      <x:c r="F334" t="inlineStr">
        <x:is>
          <x:t xml:space="preserve">Cardamon Tincture 1.80 ml.+Capsicum Tincture 0.06 ml.+Ginger Tincture 0.024 ml./15 ml.</x:t>
        </x:is>
      </x:c>
      <x:c r="G334" t="inlineStr">
        <x:is>
          <x:t xml:space="preserve">BDS002632</x:t>
        </x:is>
      </x:c>
      <x:c r="H334" t="inlineStr">
        <x:is>
          <x:t xml:space="preserve">Mixt.Carminative (GPO) 450 ml (450 ml.)</x:t>
        </x:is>
      </x:c>
      <x:c r="I334" t="inlineStr">
        <x:is>
          <x:t xml:space="preserve">รับประทานครั้งละ 1 ช้อนโต๊ะ วันละ 3-4 ครั้ง หลังอาหาร หรือเมื่อมีอาการ</x:t>
        </x:is>
      </x:c>
      <x:c r="P334" t="inlineStr">
        <x:is>
          <x:t xml:space="preserve">Carminatives (gas relief)</x:t>
        </x:is>
      </x:c>
    </x:row>
    <x:row r="335">
      <x:c r="A335">
        <x:v>333</x:v>
      </x:c>
      <x:c r="B335" t="inlineStr">
        <x:is>
          <x:t xml:space="preserve">ยาขับลม ชนิดน้ำ</x:t>
        </x:is>
      </x:c>
      <x:c r="C335">
        <x:v>7967</x:v>
      </x:c>
      <x:c r="D335" t="inlineStr">
        <x:is>
          <x:t xml:space="preserve">Ziga Gas</x:t>
        </x:is>
      </x:c>
      <x:c r="E335" t="inlineStr">
        <x:is>
          <x:t xml:space="preserve">ขวด 240 ml.</x:t>
        </x:is>
      </x:c>
      <x:c r="F335" t="inlineStr">
        <x:is>
          <x:t xml:space="preserve">เปล้าน้อย+สมุลแว้ง+ขมิ้นชัน+กานพลู+ลูกกระวาน+เกล็ดสะระแหน่</x:t>
        </x:is>
      </x:c>
      <x:c r="G335" t="inlineStr">
        <x:is>
          <x:t xml:space="preserve">BDS007967</x:t>
        </x:is>
      </x:c>
      <x:c r="H335" t="inlineStr">
        <x:is>
          <x:t xml:space="preserve">Ziga Gas (240 ml.)</x:t>
        </x:is>
      </x:c>
      <x:c r="I335" t="inlineStr">
        <x:is>
          <x:t xml:space="preserve">รับประทานครั้งละ 1-2 ช้อนโต๊ะ วันละ 3-4 ครั้ง หลังอาหาร และก่อนนอน</x:t>
        </x:is>
      </x:c>
      <x:c r="P335" t="inlineStr">
        <x:is>
          <x:t xml:space="preserve">Carminatives (gas relief)</x:t>
        </x:is>
      </x:c>
    </x:row>
    <x:row r="336">
      <x:c r="A336">
        <x:v>334</x:v>
      </x:c>
      <x:c r="B336" t="inlineStr">
        <x:is>
          <x:t xml:space="preserve">ยาคลายกล้ามเนื้อ (D)</x:t>
        </x:is>
      </x:c>
      <x:c r="C336">
        <x:v>6664</x:v>
      </x:c>
      <x:c r="D336" t="inlineStr">
        <x:is>
          <x:t xml:space="preserve">Baclofen</x:t>
        </x:is>
      </x:c>
      <x:c r="E336" t="inlineStr">
        <x:is>
          <x:t xml:space="preserve">แผง 10 เม็ด</x:t>
        </x:is>
      </x:c>
      <x:c r="F336" t="inlineStr">
        <x:is>
          <x:t xml:space="preserve">Baclofen 10 mg.</x:t>
        </x:is>
      </x:c>
      <x:c r="G336" t="inlineStr">
        <x:is>
          <x:t xml:space="preserve">BDS006664</x:t>
        </x:is>
      </x:c>
      <x:c r="H336" t="inlineStr">
        <x:is>
          <x:t xml:space="preserve">Baclofen (10 tabs)</x:t>
        </x:is>
      </x:c>
      <x:c r="I336" t="inlineStr">
        <x:is>
          <x:t xml:space="preserve">รับประทาน ครั้งละ 1-2 เม็ด วันละ 2-3 ครั้ง</x:t>
        </x:is>
      </x:c>
      <x:c r="P336" t="inlineStr">
        <x:is>
          <x:t xml:space="preserve">Muscle relaxants</x:t>
        </x:is>
      </x:c>
    </x:row>
    <x:row r="337">
      <x:c r="A337">
        <x:v>335</x:v>
      </x:c>
      <x:c r="B337" t="inlineStr">
        <x:is>
          <x:t xml:space="preserve">ยาคลายกล้ามเนื้อ (D)</x:t>
        </x:is>
      </x:c>
      <x:c r="C337">
        <x:v>1271</x:v>
      </x:c>
      <x:c r="D337" t="inlineStr">
        <x:is>
          <x:t xml:space="preserve">Biocalm</x:t>
        </x:is>
      </x:c>
      <x:c r="E337" t="inlineStr">
        <x:is>
          <x:t xml:space="preserve">แผง 10 เม็ด</x:t>
        </x:is>
      </x:c>
      <x:c r="F337" t="inlineStr">
        <x:is>
          <x:t xml:space="preserve">Tolperisone 50 mg.</x:t>
        </x:is>
      </x:c>
      <x:c r="G337" t="inlineStr">
        <x:is>
          <x:t xml:space="preserve">BDS001271</x:t>
        </x:is>
      </x:c>
      <x:c r="H337" t="inlineStr">
        <x:is>
          <x:t xml:space="preserve">Biocalm (10 tabs)</x:t>
        </x:is>
      </x:c>
      <x:c r="I337" t="inlineStr">
        <x:is>
          <x:t xml:space="preserve">รับประทานครั้งละ 1 เม็ด วันละ 3 ครั้ง หรือตามแพทย์สั่ง</x:t>
        </x:is>
      </x:c>
      <x:c r="K337">
        <x:v>80</x:v>
      </x:c>
      <x:c r="L337">
        <x:v>8</x:v>
      </x:c>
      <x:c r="M337" t="inlineStr">
        <x:is>
          <x:t xml:space="preserve">USER</x:t>
        </x:is>
      </x:c>
      <x:c r="N337" t="inlineStr">
        <x:is>
          <x:t xml:space="preserve">2026-02-07</x:t>
        </x:is>
      </x:c>
      <x:c r="O337" t="inlineStr">
        <x:is>
          <x:t xml:space="preserve">User provided price (Biocalm 10 tabs).</x:t>
        </x:is>
      </x:c>
      <x:c r="P337" t="inlineStr">
        <x:is>
          <x:t xml:space="preserve">Muscle relaxants</x:t>
        </x:is>
      </x:c>
    </x:row>
    <x:row r="338">
      <x:c r="A338">
        <x:v>336</x:v>
      </x:c>
      <x:c r="B338" t="inlineStr">
        <x:is>
          <x:t xml:space="preserve">ยาคลายกล้ามเนื้อ (D)</x:t>
        </x:is>
      </x:c>
      <x:c r="C338">
        <x:v>7049</x:v>
      </x:c>
      <x:c r="D338" t="inlineStr">
        <x:is>
          <x:t xml:space="preserve">Cenasic</x:t>
        </x:is>
      </x:c>
      <x:c r="E338" t="inlineStr">
        <x:is>
          <x:t xml:space="preserve">แผง 10 เม็ด</x:t>
        </x:is>
      </x:c>
      <x:c r="F338" t="inlineStr">
        <x:is>
          <x:t xml:space="preserve">Paracetamol 450 mg.+Orphenadrine Citrate 35 mg.</x:t>
        </x:is>
      </x:c>
      <x:c r="G338" t="inlineStr">
        <x:is>
          <x:t xml:space="preserve">BDS007049</x:t>
        </x:is>
      </x:c>
      <x:c r="H338" t="inlineStr">
        <x:is>
          <x:t xml:space="preserve">Cenasic (10 tabs)</x:t>
        </x:is>
      </x:c>
      <x:c r="I338" t="inlineStr">
        <x:is>
          <x:t xml:space="preserve">รับประทานครั้งละ 1-2 เม็ด วันละ 3 ครั้ง หลังอาหาร</x:t>
        </x:is>
      </x:c>
      <x:c r="P338" t="inlineStr">
        <x:is>
          <x:t xml:space="preserve">Muscle relaxants</x:t>
        </x:is>
      </x:c>
    </x:row>
    <x:row r="339">
      <x:c r="A339">
        <x:v>337</x:v>
      </x:c>
      <x:c r="B339" t="inlineStr">
        <x:is>
          <x:t xml:space="preserve">ยาคลายกล้ามเนื้อ (D)</x:t>
        </x:is>
      </x:c>
      <x:c r="C339">
        <x:v>41455</x:v>
      </x:c>
      <x:c r="D339" t="inlineStr">
        <x:is>
          <x:t xml:space="preserve">Corilax tabslet</x:t>
        </x:is>
      </x:c>
      <x:c r="E339" t="inlineStr">
        <x:is>
          <x:t xml:space="preserve">แผง 10 เม็ด</x:t>
        </x:is>
      </x:c>
      <x:c r="F339" t="inlineStr">
        <x:is>
          <x:t xml:space="preserve">Paracetamol 450 mg.+Orphenadrine Citrate 35 mg.</x:t>
        </x:is>
      </x:c>
      <x:c r="G339" t="inlineStr">
        <x:is>
          <x:t xml:space="preserve">BDS041455</x:t>
        </x:is>
      </x:c>
      <x:c r="H339" t="inlineStr">
        <x:is>
          <x:t xml:space="preserve">Corilax tabslet (10 tabs)</x:t>
        </x:is>
      </x:c>
      <x:c r="I339" t="inlineStr">
        <x:is>
          <x:t xml:space="preserve">รับประทานครั้งละ 1-2 เม็ด วันละ 3 ครั้ง หรือตามแพทย์สั่ง</x:t>
        </x:is>
      </x:c>
      <x:c r="P339" t="inlineStr">
        <x:is>
          <x:t xml:space="preserve">Muscle relaxants</x:t>
        </x:is>
      </x:c>
    </x:row>
    <x:row r="340">
      <x:c r="A340">
        <x:v>338</x:v>
      </x:c>
      <x:c r="B340" t="inlineStr">
        <x:is>
          <x:t xml:space="preserve">ยาคลายกล้ามเนื้อ (D)</x:t>
        </x:is>
      </x:c>
      <x:c r="C340">
        <x:v>3410</x:v>
      </x:c>
      <x:c r="D340" t="inlineStr">
        <x:is>
          <x:t xml:space="preserve">M-Calm tabslet</x:t>
        </x:is>
      </x:c>
      <x:c r="E340" t="inlineStr">
        <x:is>
          <x:t xml:space="preserve">แผง 10 เม็ด</x:t>
        </x:is>
      </x:c>
      <x:c r="F340" t="inlineStr">
        <x:is>
          <x:t xml:space="preserve">Tolperisone Hydrochloride 50 mg.</x:t>
        </x:is>
      </x:c>
      <x:c r="G340" t="inlineStr">
        <x:is>
          <x:t xml:space="preserve">BDS003410</x:t>
        </x:is>
      </x:c>
      <x:c r="H340" t="inlineStr">
        <x:is>
          <x:t xml:space="preserve">M-Calm tabslet (10 tabs)</x:t>
        </x:is>
      </x:c>
      <x:c r="I340" t="inlineStr">
        <x:is>
          <x:t xml:space="preserve">รับประทานครั้งละ 1-2 เม็ด วันละ 3 ครั้ง</x:t>
        </x:is>
      </x:c>
      <x:c r="P340" t="inlineStr">
        <x:is>
          <x:t xml:space="preserve">Muscle relaxants</x:t>
        </x:is>
      </x:c>
    </x:row>
    <x:row r="341">
      <x:c r="A341">
        <x:v>339</x:v>
      </x:c>
      <x:c r="B341" t="inlineStr">
        <x:is>
          <x:t xml:space="preserve">ยาคลายกล้ามเนื้อ (D)</x:t>
        </x:is>
      </x:c>
      <x:c r="C341">
        <x:v>44932</x:v>
      </x:c>
      <x:c r="D341" t="inlineStr">
        <x:is>
          <x:t xml:space="preserve">Muslexac</x:t>
        </x:is>
      </x:c>
      <x:c r="E341" t="inlineStr">
        <x:is>
          <x:t xml:space="preserve">กล่อง 10 เม็ด</x:t>
        </x:is>
      </x:c>
      <x:c r="F341" t="inlineStr">
        <x:is>
          <x:t xml:space="preserve">Paracetamol 500 mg.+Orphenadrine Citrate 35 mg.</x:t>
        </x:is>
      </x:c>
      <x:c r="G341" t="inlineStr">
        <x:is>
          <x:t xml:space="preserve">BDS044932</x:t>
        </x:is>
      </x:c>
      <x:c r="H341" t="inlineStr">
        <x:is>
          <x:t xml:space="preserve">Muslexac (10 tabs)</x:t>
        </x:is>
      </x:c>
      <x:c r="I341" t="inlineStr">
        <x:is>
          <x:t xml:space="preserve">รับประทานครั้งละ 1-2 เม็ด วันละ 3 ครั้ง</x:t>
        </x:is>
      </x:c>
      <x:c r="P341" t="inlineStr">
        <x:is>
          <x:t xml:space="preserve">Muscle relaxants</x:t>
        </x:is>
      </x:c>
    </x:row>
    <x:row r="342">
      <x:c r="A342">
        <x:v>340</x:v>
      </x:c>
      <x:c r="B342" t="inlineStr">
        <x:is>
          <x:t xml:space="preserve">ยาคลายกล้ามเนื้อ (D)</x:t>
        </x:is>
      </x:c>
      <x:c r="C342">
        <x:v>7571</x:v>
      </x:c>
      <x:c r="D342" t="inlineStr">
        <x:is>
          <x:t xml:space="preserve">Musolax</x:t>
        </x:is>
      </x:c>
      <x:c r="E342" t="inlineStr">
        <x:is>
          <x:t xml:space="preserve">แผง 10 เม็ด</x:t>
        </x:is>
      </x:c>
      <x:c r="F342" t="inlineStr">
        <x:is>
          <x:t xml:space="preserve">Eperisone hydrochloride 50 mg.</x:t>
        </x:is>
      </x:c>
      <x:c r="G342" t="inlineStr">
        <x:is>
          <x:t xml:space="preserve">BDS007571</x:t>
        </x:is>
      </x:c>
      <x:c r="H342" t="inlineStr">
        <x:is>
          <x:t xml:space="preserve">Musolax (10 tabs)</x:t>
        </x:is>
      </x:c>
      <x:c r="I342" t="inlineStr">
        <x:is>
          <x:t xml:space="preserve">รับประทานครั้งละ 1 เม็ด วันละ 3 ครั้ง หลังอาหาร</x:t>
        </x:is>
      </x:c>
      <x:c r="P342" t="inlineStr">
        <x:is>
          <x:t xml:space="preserve">Muscle relaxants</x:t>
        </x:is>
      </x:c>
    </x:row>
    <x:row r="343">
      <x:c r="A343">
        <x:v>341</x:v>
      </x:c>
      <x:c r="B343" t="inlineStr">
        <x:is>
          <x:t xml:space="preserve">ยาคลายกล้ามเนื้อ (D)</x:t>
        </x:is>
      </x:c>
      <x:c r="C343">
        <x:v>2652</x:v>
      </x:c>
      <x:c r="D343" t="inlineStr">
        <x:is>
          <x:t xml:space="preserve">Mydocalm</x:t>
        </x:is>
      </x:c>
      <x:c r="E343" t="inlineStr">
        <x:is>
          <x:t xml:space="preserve">แผง 10 เม็ด</x:t>
        </x:is>
      </x:c>
      <x:c r="F343" t="inlineStr">
        <x:is>
          <x:t xml:space="preserve">Tolperisone 50 mg.</x:t>
        </x:is>
      </x:c>
      <x:c r="G343" t="inlineStr">
        <x:is>
          <x:t xml:space="preserve">BDS002652</x:t>
        </x:is>
      </x:c>
      <x:c r="H343" t="inlineStr">
        <x:is>
          <x:t xml:space="preserve">Mydocalm (10 tabs)</x:t>
        </x:is>
      </x:c>
      <x:c r="I343" t="inlineStr">
        <x:is>
          <x:t xml:space="preserve">รับประทานครั้งละ 1-2 เม็ด วันละ 3 ครั้ง </x:t>
        </x:is>
      </x:c>
      <x:c r="K343">
        <x:v>58</x:v>
      </x:c>
      <x:c r="L343">
        <x:v>5.8</x:v>
      </x:c>
      <x:c r="M343" t="inlineStr">
        <x:is>
          <x:t xml:space="preserve">https://bigya.co.th/product-detail/320</x:t>
        </x:is>
      </x:c>
      <x:c r="N343" t="inlineStr">
        <x:is>
          <x:t xml:space="preserve">2026-02-07</x:t>
        </x:is>
      </x:c>
      <x:c r="O343" t="inlineStr">
        <x:is>
          <x:t xml:space="preserve">Retail price at BIGYA (strip 10 tablets).</x:t>
        </x:is>
      </x:c>
      <x:c r="P343" t="inlineStr">
        <x:is>
          <x:t xml:space="preserve">Muscle relaxants</x:t>
        </x:is>
      </x:c>
    </x:row>
    <x:row r="344">
      <x:c r="A344">
        <x:v>342</x:v>
      </x:c>
      <x:c r="B344" t="inlineStr">
        <x:is>
          <x:t xml:space="preserve">ยาคลายกล้ามเนื้อ (D)</x:t>
        </x:is>
      </x:c>
      <x:c r="C344">
        <x:v>2701</x:v>
      </x:c>
      <x:c r="D344" t="inlineStr">
        <x:is>
          <x:t xml:space="preserve">Myonal 50 mg</x:t>
        </x:is>
      </x:c>
      <x:c r="E344" t="inlineStr">
        <x:is>
          <x:t xml:space="preserve">แผง 10 เม็ด</x:t>
        </x:is>
      </x:c>
      <x:c r="F344" t="inlineStr">
        <x:is>
          <x:t xml:space="preserve">Eperisone hydrochloride 50 mg.</x:t>
        </x:is>
      </x:c>
      <x:c r="G344" t="inlineStr">
        <x:is>
          <x:t xml:space="preserve">BDS002701</x:t>
        </x:is>
      </x:c>
      <x:c r="H344" t="inlineStr">
        <x:is>
          <x:t xml:space="preserve">Myonal 50 mg (10 tabs)</x:t>
        </x:is>
      </x:c>
      <x:c r="I344" t="inlineStr">
        <x:is>
          <x:t xml:space="preserve">รับประทานครั้งละ 1 เม็ด วันละ 3 ครั้ง หลังอาหาร</x:t>
        </x:is>
      </x:c>
      <x:c r="K344">
        <x:v>116.6666666666667</x:v>
      </x:c>
      <x:c r="L344">
        <x:v>11.66666666666667</x:v>
      </x:c>
      <x:c r="M344" t="inlineStr">
        <x:is>
          <x:t xml:space="preserve">https://medtide.com/meds/pain-and-inflammation/muscle-relaxants/eperisone-myonal-50-mg-30-tablets-box/</x:t>
        </x:is>
      </x:c>
      <x:c r="N344" t="inlineStr">
        <x:is>
          <x:t xml:space="preserve">2026-02-07</x:t>
        </x:is>
      </x:c>
      <x:c r="O344" t="inlineStr">
        <x:is>
          <x:t xml:space="preserve">Derived from Medtide price 350 THB per box (30 tablets = 3 strips). Entered per-strip estimate.</x:t>
        </x:is>
      </x:c>
      <x:c r="P344" t="inlineStr">
        <x:is>
          <x:t xml:space="preserve">Muscle relaxants</x:t>
        </x:is>
      </x:c>
    </x:row>
    <x:row r="345">
      <x:c r="A345">
        <x:v>343</x:v>
      </x:c>
      <x:c r="B345" t="inlineStr">
        <x:is>
          <x:t xml:space="preserve">ยาคลายกล้ามเนื้อ (D)</x:t>
        </x:is>
      </x:c>
      <x:c r="C345">
        <x:v>7752</x:v>
      </x:c>
      <x:c r="D345" t="inlineStr">
        <x:is>
          <x:t xml:space="preserve">Noraphen</x:t>
        </x:is>
      </x:c>
      <x:c r="E345" t="inlineStr">
        <x:is>
          <x:t xml:space="preserve">แผง 10 เม็ด</x:t>
        </x:is>
      </x:c>
      <x:c r="F345" t="inlineStr">
        <x:is>
          <x:t xml:space="preserve">Paracetamol 500 mg.+Orphenadrine Citrate 35 mg.</x:t>
        </x:is>
      </x:c>
      <x:c r="G345" t="inlineStr">
        <x:is>
          <x:t xml:space="preserve">BDS007752</x:t>
        </x:is>
      </x:c>
      <x:c r="H345" t="inlineStr">
        <x:is>
          <x:t xml:space="preserve">Noraphen (10 tabs)</x:t>
        </x:is>
      </x:c>
      <x:c r="I345" t="inlineStr">
        <x:is>
          <x:t xml:space="preserve">รับประทานครั้งละ 1-2 เม็ด วันละ 3 ครั้ง หลังอาหาร</x:t>
        </x:is>
      </x:c>
      <x:c r="P345" t="inlineStr">
        <x:is>
          <x:t xml:space="preserve">Muscle relaxants</x:t>
        </x:is>
      </x:c>
    </x:row>
    <x:row r="346">
      <x:c r="A346">
        <x:v>344</x:v>
      </x:c>
      <x:c r="B346" t="inlineStr">
        <x:is>
          <x:t xml:space="preserve">ยาคลายกล้ามเนื้อ (D)</x:t>
        </x:is>
      </x:c>
      <x:c r="C346">
        <x:v>2840</x:v>
      </x:c>
      <x:c r="D346" t="inlineStr">
        <x:is>
          <x:t xml:space="preserve">Norgesic</x:t>
        </x:is>
      </x:c>
      <x:c r="E346" t="inlineStr">
        <x:is>
          <x:t xml:space="preserve">แผง 10 เม็ด</x:t>
        </x:is>
      </x:c>
      <x:c r="F346" t="inlineStr">
        <x:is>
          <x:t xml:space="preserve">Paracetamol 450 mg.+Orphenadrine Citrate 35 mg.</x:t>
        </x:is>
      </x:c>
      <x:c r="G346" t="inlineStr">
        <x:is>
          <x:t xml:space="preserve">BDS002840</x:t>
        </x:is>
      </x:c>
      <x:c r="H346" t="inlineStr">
        <x:is>
          <x:t xml:space="preserve">Norgesic (10 tabs)</x:t>
        </x:is>
      </x:c>
      <x:c r="I346" t="inlineStr">
        <x:is>
          <x:t xml:space="preserve">รับประทานครั้งละ 1-2 เม็ด วันละ 3 ครั้ง</x:t>
        </x:is>
      </x:c>
      <x:c r="P346" t="inlineStr">
        <x:is>
          <x:t xml:space="preserve">Muscle relaxants</x:t>
        </x:is>
      </x:c>
    </x:row>
    <x:row r="347">
      <x:c r="A347">
        <x:v>345</x:v>
      </x:c>
      <x:c r="B347" t="inlineStr">
        <x:is>
          <x:t xml:space="preserve">ยาคลายกล้ามเนื้อ (D)</x:t>
        </x:is>
      </x:c>
      <x:c r="C347">
        <x:v>45616</x:v>
      </x:c>
      <x:c r="D347" t="inlineStr">
        <x:is>
          <x:t xml:space="preserve">Norpa tabslets</x:t>
        </x:is>
      </x:c>
      <x:c r="E347" t="inlineStr">
        <x:is>
          <x:t xml:space="preserve">แผง 10 เม็ด</x:t>
        </x:is>
      </x:c>
      <x:c r="F347" t="inlineStr">
        <x:is>
          <x:t xml:space="preserve">Paracetamol 450 mg.+Orphenadrine Citrate 35 mg.</x:t>
        </x:is>
      </x:c>
      <x:c r="G347" t="inlineStr">
        <x:is>
          <x:t xml:space="preserve">BDS045616</x:t>
        </x:is>
      </x:c>
      <x:c r="H347" t="inlineStr">
        <x:is>
          <x:t xml:space="preserve">Norpa tabslets (10 tabs)</x:t>
        </x:is>
      </x:c>
      <x:c r="I347" t="inlineStr">
        <x:is>
          <x:t xml:space="preserve">รับประทานครั้งละ 1-2 เม็ด วันละ 2-3 ครั้ง หลังอาหาร หรือตามแพทย์สั่ง</x:t>
        </x:is>
      </x:c>
      <x:c r="P347" t="inlineStr">
        <x:is>
          <x:t xml:space="preserve">Muscle relaxants</x:t>
        </x:is>
      </x:c>
    </x:row>
    <x:row r="348">
      <x:c r="A348">
        <x:v>346</x:v>
      </x:c>
      <x:c r="B348" t="inlineStr">
        <x:is>
          <x:t xml:space="preserve">ยาคลายกล้ามเนื้อ (D)</x:t>
        </x:is>
      </x:c>
      <x:c r="C348">
        <x:v>3571</x:v>
      </x:c>
      <x:c r="D348" t="inlineStr">
        <x:is>
          <x:t xml:space="preserve">Soneriper M</x:t>
        </x:is>
      </x:c>
      <x:c r="E348" t="inlineStr">
        <x:is>
          <x:t xml:space="preserve">แผง 10 เม็ด</x:t>
        </x:is>
      </x:c>
      <x:c r="F348" t="inlineStr">
        <x:is>
          <x:t xml:space="preserve">Tolperisone Hydrochloride 50 mg.</x:t>
        </x:is>
      </x:c>
      <x:c r="G348" t="inlineStr">
        <x:is>
          <x:t xml:space="preserve">BDS003571</x:t>
        </x:is>
      </x:c>
      <x:c r="H348" t="inlineStr">
        <x:is>
          <x:t xml:space="preserve">Soneriper M (10 tabs)</x:t>
        </x:is>
      </x:c>
      <x:c r="I348" t="inlineStr">
        <x:is>
          <x:t xml:space="preserve">รับประทานครั้งละ 1-2 เม็ด วันละ 3 ครั้ง</x:t>
        </x:is>
      </x:c>
      <x:c r="P348" t="inlineStr">
        <x:is>
          <x:t xml:space="preserve">Muscle relaxants</x:t>
        </x:is>
      </x:c>
    </x:row>
    <x:row r="349">
      <x:c r="A349">
        <x:v>347</x:v>
      </x:c>
      <x:c r="B349" t="inlineStr">
        <x:is>
          <x:t xml:space="preserve">ยาคลายกล้ามเนื้อ (D)</x:t>
        </x:is>
      </x:c>
      <x:c r="C349">
        <x:v>48632</x:v>
      </x:c>
      <x:c r="D349" t="inlineStr">
        <x:is>
          <x:t xml:space="preserve">Torrent</x:t>
        </x:is>
      </x:c>
      <x:c r="E349" t="inlineStr">
        <x:is>
          <x:t xml:space="preserve">กล่อง 10 เม็ด</x:t>
        </x:is>
      </x:c>
      <x:c r="F349" t="inlineStr">
        <x:is>
          <x:t xml:space="preserve">Paracetamol 450 mg.+Orphenadrine Citrate 35 mg.</x:t>
        </x:is>
      </x:c>
      <x:c r="G349" t="inlineStr">
        <x:is>
          <x:t xml:space="preserve">BDS048632</x:t>
        </x:is>
      </x:c>
      <x:c r="H349" t="inlineStr">
        <x:is>
          <x:t xml:space="preserve">Torrent (10 tabs)</x:t>
        </x:is>
      </x:c>
      <x:c r="I349" t="inlineStr">
        <x:is>
          <x:t xml:space="preserve">รับประทานครั้งละ 1-2 เม็ด วันละ 3 ครั้ง</x:t>
        </x:is>
      </x:c>
      <x:c r="P349" t="inlineStr">
        <x:is>
          <x:t xml:space="preserve">Muscle relaxants</x:t>
        </x:is>
      </x:c>
    </x:row>
    <x:row r="350">
      <x:c r="A350">
        <x:v>348</x:v>
      </x:c>
      <x:c r="B350" t="inlineStr">
        <x:is>
          <x:t xml:space="preserve">ยาแก้อาเจียน ชนิดน้ำ (D)</x:t>
        </x:is>
      </x:c>
      <x:c r="C350">
        <x:v>2637</x:v>
      </x:c>
      <x:c r="D350" t="inlineStr">
        <x:is>
          <x:t xml:space="preserve">Motilium Oral Suspension</x:t>
        </x:is>
      </x:c>
      <x:c r="E350" t="inlineStr">
        <x:is>
          <x:t xml:space="preserve">ขวด 30 ml.</x:t>
        </x:is>
      </x:c>
      <x:c r="F350" t="inlineStr">
        <x:is>
          <x:t xml:space="preserve">Domperidone 1 mg./1 ml.</x:t>
        </x:is>
      </x:c>
      <x:c r="G350" t="inlineStr">
        <x:is>
          <x:t xml:space="preserve">BDS002637</x:t>
        </x:is>
      </x:c>
      <x:c r="H350" t="inlineStr">
        <x:is>
          <x:t xml:space="preserve">Motilium Oral Suspension (30 ml.)</x:t>
        </x:is>
      </x:c>
      <x:c r="I350" t="inlineStr">
        <x:is>
          <x:t xml:space="preserve">ผู้ใหญ่รับประทานครั้งละ 2 ช้อนชา วันละ 3 ครั้ง ก่อนอาหาร 15-30 นาที  </x:t>
        </x:is>
      </x:c>
    </x:row>
    <x:row r="351">
      <x:c r="A351">
        <x:v>349</x:v>
      </x:c>
      <x:c r="B351" t="inlineStr">
        <x:is>
          <x:t xml:space="preserve">ยาแก้อาเจียน ชนิดน้ำ (D)</x:t>
        </x:is>
      </x:c>
      <x:c r="C351">
        <x:v>46503</x:v>
      </x:c>
      <x:c r="D351" t="inlineStr">
        <x:is>
          <x:t xml:space="preserve">Patilum Oral Suspension</x:t>
        </x:is>
      </x:c>
      <x:c r="E351" t="inlineStr">
        <x:is>
          <x:t xml:space="preserve">ขวด 30 ml.</x:t>
        </x:is>
      </x:c>
      <x:c r="F351" t="inlineStr">
        <x:is>
          <x:t xml:space="preserve">Domperidone 1 mg./1 ml.</x:t>
        </x:is>
      </x:c>
      <x:c r="G351" t="inlineStr">
        <x:is>
          <x:t xml:space="preserve">BDS046503</x:t>
        </x:is>
      </x:c>
      <x:c r="H351" t="inlineStr">
        <x:is>
          <x:t xml:space="preserve">Patilum Oral Suspension (30 ml.)</x:t>
        </x:is>
      </x:c>
      <x:c r="I351" t="inlineStr">
        <x:is>
          <x:t xml:space="preserve">N/A</x:t>
        </x:is>
      </x:c>
    </x:row>
    <x:row r="352">
      <x:c r="A352">
        <x:v>350</x:v>
      </x:c>
      <x:c r="B352" t="inlineStr">
        <x:is>
          <x:t xml:space="preserve">ยาฆ่าเชื้อแบคทีเรียทางเดินปัสสาวะ (D)</x:t>
        </x:is>
      </x:c>
      <x:c r="C352">
        <x:v>8001</x:v>
      </x:c>
      <x:c r="D352" t="inlineStr">
        <x:is>
          <x:t xml:space="preserve">Actrim</x:t>
        </x:is>
      </x:c>
      <x:c r="E352" t="inlineStr">
        <x:is>
          <x:t xml:space="preserve">แผง 10 เม็ด</x:t>
        </x:is>
      </x:c>
      <x:c r="F352" t="inlineStr">
        <x:is>
          <x:t xml:space="preserve">Trimethoprim 80 mg.+Sulfamethoxazole 400 mg.</x:t>
        </x:is>
      </x:c>
      <x:c r="G352" t="inlineStr">
        <x:is>
          <x:t xml:space="preserve">BDS008001</x:t>
        </x:is>
      </x:c>
      <x:c r="H352" t="inlineStr">
        <x:is>
          <x:t xml:space="preserve">Actrim (10 tabs)</x:t>
        </x:is>
      </x:c>
      <x:c r="I352" t="inlineStr">
        <x:is>
          <x:t xml:space="preserve">ผู้ใหญ่รับประทานครั้งละ 2 เม็ด วันละ 2 ครั้ง หลังอาหาร</x:t>
        </x:is>
      </x:c>
      <x:c r="P352" t="inlineStr">
        <x:is>
          <x:t xml:space="preserve">UTI antibiotics</x:t>
        </x:is>
      </x:c>
    </x:row>
    <x:row r="353">
      <x:c r="A353">
        <x:v>351</x:v>
      </x:c>
      <x:c r="B353" t="inlineStr">
        <x:is>
          <x:t xml:space="preserve">ยาฆ่าเชื้อแบคทีเรียทางเดินปัสสาวะ (D)</x:t>
        </x:is>
      </x:c>
      <x:c r="C353">
        <x:v>1072</x:v>
      </x:c>
      <x:c r="D353" t="inlineStr">
        <x:is>
          <x:t xml:space="preserve">Avelox tabslet</x:t>
        </x:is>
      </x:c>
      <x:c r="E353" t="inlineStr">
        <x:is>
          <x:t xml:space="preserve">กล่อง 5 เม็ด</x:t>
        </x:is>
      </x:c>
      <x:c r="F353" t="inlineStr">
        <x:is>
          <x:t xml:space="preserve">Moxifloxacin Hydrochloride 400 mg.</x:t>
        </x:is>
      </x:c>
      <x:c r="G353" t="inlineStr">
        <x:is>
          <x:t xml:space="preserve">BDS001072</x:t>
        </x:is>
      </x:c>
      <x:c r="H353" t="inlineStr">
        <x:is>
          <x:t xml:space="preserve">Avelox tabslet (5 tabs)</x:t>
        </x:is>
      </x:c>
      <x:c r="I353" t="inlineStr">
        <x:is>
          <x:t xml:space="preserve">รับประทานครั้งละ 1 เม็ด วันละ 1 ครั้ง หรือตามแพทย์สั่ง</x:t>
        </x:is>
      </x:c>
      <x:c r="P353" t="inlineStr">
        <x:is>
          <x:t xml:space="preserve">UTI antibiotics</x:t>
        </x:is>
      </x:c>
    </x:row>
    <x:row r="354">
      <x:c r="A354">
        <x:v>352</x:v>
      </x:c>
      <x:c r="B354" t="inlineStr">
        <x:is>
          <x:t xml:space="preserve">ยาฆ่าเชื้อแบคทีเรียทางเดินปัสสาวะ (D)</x:t>
        </x:is>
      </x:c>
      <x:c r="C354">
        <x:v>1496</x:v>
      </x:c>
      <x:c r="D354" t="inlineStr">
        <x:is>
          <x:t xml:space="preserve">Cifloxin 500 mg</x:t>
        </x:is>
      </x:c>
      <x:c r="E354" t="inlineStr">
        <x:is>
          <x:t xml:space="preserve">กล่อง 10 เม็ด</x:t>
        </x:is>
      </x:c>
      <x:c r="F354" t="inlineStr">
        <x:is>
          <x:t xml:space="preserve">Ciprofloxacin 500 mg.</x:t>
        </x:is>
      </x:c>
      <x:c r="G354" t="inlineStr">
        <x:is>
          <x:t xml:space="preserve">BDS001496</x:t>
        </x:is>
      </x:c>
      <x:c r="H354" t="inlineStr">
        <x:is>
          <x:t xml:space="preserve">Cifloxin 500 mg (10 tabs)</x:t>
        </x:is>
      </x:c>
      <x:c r="I354" t="inlineStr">
        <x:is>
          <x:t xml:space="preserve">รับประทานครั้งละ 1 เม็ดวันละ 2  ครั้ง เช้า-เย็น</x:t>
        </x:is>
      </x:c>
      <x:c r="P354" t="inlineStr">
        <x:is>
          <x:t xml:space="preserve">UTI antibiotics</x:t>
        </x:is>
      </x:c>
    </x:row>
    <x:row r="355">
      <x:c r="A355">
        <x:v>353</x:v>
      </x:c>
      <x:c r="B355" t="inlineStr">
        <x:is>
          <x:t xml:space="preserve">ยาฆ่าเชื้อแบคทีเรียทางเดินปัสสาวะ (D)</x:t>
        </x:is>
      </x:c>
      <x:c r="C355">
        <x:v>41409</x:v>
      </x:c>
      <x:c r="D355" t="inlineStr">
        <x:is>
          <x:t xml:space="preserve">Cipflocin 500 mg</x:t>
        </x:is>
      </x:c>
      <x:c r="E355" t="inlineStr">
        <x:is>
          <x:t xml:space="preserve">แผง 10 เม็ด</x:t>
        </x:is>
      </x:c>
      <x:c r="F355" t="inlineStr">
        <x:is>
          <x:t xml:space="preserve">Ciprofloxacin 500 mg.</x:t>
        </x:is>
      </x:c>
      <x:c r="G355" t="inlineStr">
        <x:is>
          <x:t xml:space="preserve">BDS041409</x:t>
        </x:is>
      </x:c>
      <x:c r="H355" t="inlineStr">
        <x:is>
          <x:t xml:space="preserve">Cipflocin 500 mg (10 tabs)</x:t>
        </x:is>
      </x:c>
      <x:c r="I355" t="inlineStr">
        <x:is>
          <x:t xml:space="preserve">รับประทานครั้งละ 1 เม็ด วันละ 2  ครั้ง เช้า-เย็น หรือตามแพทย์สั่ง</x:t>
        </x:is>
      </x:c>
      <x:c r="P355" t="inlineStr">
        <x:is>
          <x:t xml:space="preserve">UTI antibiotics</x:t>
        </x:is>
      </x:c>
    </x:row>
    <x:row r="356">
      <x:c r="A356">
        <x:v>354</x:v>
      </x:c>
      <x:c r="B356" t="inlineStr">
        <x:is>
          <x:t xml:space="preserve">ยาฆ่าเชื้อแบคทีเรียทางเดินปัสสาวะ (D)</x:t>
        </x:is>
      </x:c>
      <x:c r="C356">
        <x:v>8114</x:v>
      </x:c>
      <x:c r="D356" t="inlineStr">
        <x:is>
          <x:t xml:space="preserve">Ciproxin-500</x:t>
        </x:is>
      </x:c>
      <x:c r="E356" t="inlineStr">
        <x:is>
          <x:t xml:space="preserve">แผง 10 เม็ด</x:t>
        </x:is>
      </x:c>
      <x:c r="F356" t="inlineStr">
        <x:is>
          <x:t xml:space="preserve">Ciprofloxacin 500 mg.</x:t>
        </x:is>
      </x:c>
      <x:c r="G356" t="inlineStr">
        <x:is>
          <x:t xml:space="preserve">BDS008114</x:t>
        </x:is>
      </x:c>
      <x:c r="H356" t="inlineStr">
        <x:is>
          <x:t xml:space="preserve">Ciproxin-500 (10 tabs)</x:t>
        </x:is>
      </x:c>
      <x:c r="I356" t="inlineStr">
        <x:is>
          <x:t xml:space="preserve">รับประทานครั้งละ 1 เม็ด วันละ 2  ครั้ง เช้า-เย็น</x:t>
        </x:is>
      </x:c>
      <x:c r="P356" t="inlineStr">
        <x:is>
          <x:t xml:space="preserve">UTI antibiotics</x:t>
        </x:is>
      </x:c>
    </x:row>
    <x:row r="357">
      <x:c r="A357">
        <x:v>355</x:v>
      </x:c>
      <x:c r="B357" t="inlineStr">
        <x:is>
          <x:t xml:space="preserve">ยาฆ่าเชื้อแบคทีเรียทางเดินปัสสาวะ (D)</x:t>
        </x:is>
      </x:c>
      <x:c r="C357">
        <x:v>1548</x:v>
      </x:c>
      <x:c r="D357" t="inlineStr">
        <x:is>
          <x:t xml:space="preserve">Cravit 500 mg</x:t>
        </x:is>
      </x:c>
      <x:c r="E357" t="inlineStr">
        <x:is>
          <x:t xml:space="preserve">กล่อง 5 เม็ด</x:t>
        </x:is>
      </x:c>
      <x:c r="F357" t="inlineStr">
        <x:is>
          <x:t xml:space="preserve">Levofloxacin 500 mg.</x:t>
        </x:is>
      </x:c>
      <x:c r="G357" t="inlineStr">
        <x:is>
          <x:t xml:space="preserve">BDS001548</x:t>
        </x:is>
      </x:c>
      <x:c r="H357" t="inlineStr">
        <x:is>
          <x:t xml:space="preserve">Cravit 500 mg (5 tabs)</x:t>
        </x:is>
      </x:c>
      <x:c r="I357" t="inlineStr">
        <x:is>
          <x:t xml:space="preserve">รับประทานครั้งละ 1 เม็ด วันละ 1 ครั้ง</x:t>
        </x:is>
      </x:c>
      <x:c r="P357" t="inlineStr">
        <x:is>
          <x:t xml:space="preserve">UTI antibiotics</x:t>
        </x:is>
      </x:c>
    </x:row>
    <x:row r="358">
      <x:c r="A358">
        <x:v>356</x:v>
      </x:c>
      <x:c r="B358" t="inlineStr">
        <x:is>
          <x:t xml:space="preserve">ยาฆ่าเชื้อแบคทีเรียทางเดินปัสสาวะ (D)</x:t>
        </x:is>
      </x:c>
      <x:c r="C358">
        <x:v>8681</x:v>
      </x:c>
      <x:c r="D358" t="inlineStr">
        <x:is>
          <x:t xml:space="preserve">Levomac 500</x:t>
        </x:is>
      </x:c>
      <x:c r="E358" t="inlineStr">
        <x:is>
          <x:t xml:space="preserve">กล่อง 5 เม็ด</x:t>
        </x:is>
      </x:c>
      <x:c r="F358" t="inlineStr">
        <x:is>
          <x:t xml:space="preserve">Levofloxacin 500 mg.</x:t>
        </x:is>
      </x:c>
      <x:c r="G358" t="inlineStr">
        <x:is>
          <x:t xml:space="preserve">BDS008681</x:t>
        </x:is>
      </x:c>
      <x:c r="H358" t="inlineStr">
        <x:is>
          <x:t xml:space="preserve">Levomac 500 (5 tabs)</x:t>
        </x:is>
      </x:c>
      <x:c r="I358" t="inlineStr">
        <x:is>
          <x:t xml:space="preserve">รับประทานครั้งละ 1 เม็ด วันละ 1 ครั้ง</x:t>
        </x:is>
      </x:c>
      <x:c r="P358" t="inlineStr">
        <x:is>
          <x:t xml:space="preserve">UTI antibiotics</x:t>
        </x:is>
      </x:c>
    </x:row>
    <x:row r="359">
      <x:c r="A359">
        <x:v>357</x:v>
      </x:c>
      <x:c r="B359" t="inlineStr">
        <x:is>
          <x:t xml:space="preserve">ยาฆ่าเชื้อแบคทีเรียทางเดินปัสสาวะ (D)</x:t>
        </x:is>
      </x:c>
      <x:c r="C359">
        <x:v>7591</x:v>
      </x:c>
      <x:c r="D359" t="inlineStr">
        <x:is>
          <x:t xml:space="preserve">Noflox-400</x:t>
        </x:is>
      </x:c>
      <x:c r="E359" t="inlineStr">
        <x:is>
          <x:t xml:space="preserve">แผง 10 เม็ด</x:t>
        </x:is>
      </x:c>
      <x:c r="F359" t="inlineStr">
        <x:is>
          <x:t xml:space="preserve">Norfloxacin 400 mg.</x:t>
        </x:is>
      </x:c>
      <x:c r="G359" t="inlineStr">
        <x:is>
          <x:t xml:space="preserve">BDS007591</x:t>
        </x:is>
      </x:c>
      <x:c r="H359" t="inlineStr">
        <x:is>
          <x:t xml:space="preserve">Noflox-400 (10 tabs)</x:t>
        </x:is>
      </x:c>
      <x:c r="I359" t="inlineStr">
        <x:is>
          <x:t xml:space="preserve">รับประทานครั้งละ 1 เม็ด วันละ 2 ครั้ง เช้า-เย็น</x:t>
        </x:is>
      </x:c>
      <x:c r="P359" t="inlineStr">
        <x:is>
          <x:t xml:space="preserve">UTI antibiotics</x:t>
        </x:is>
      </x:c>
    </x:row>
    <x:row r="360">
      <x:c r="A360">
        <x:v>358</x:v>
      </x:c>
      <x:c r="B360" t="inlineStr">
        <x:is>
          <x:t xml:space="preserve">ยาฆ่าเชื้อแบคทีเรียทางเดินปัสสาวะ (D)</x:t>
        </x:is>
      </x:c>
      <x:c r="C360">
        <x:v>7751</x:v>
      </x:c>
      <x:c r="D360" t="inlineStr">
        <x:is>
          <x:t xml:space="preserve">Norfloxyl-400</x:t>
        </x:is>
      </x:c>
      <x:c r="E360" t="inlineStr">
        <x:is>
          <x:t xml:space="preserve">แผง 10 เม็ด</x:t>
        </x:is>
      </x:c>
      <x:c r="F360" t="inlineStr">
        <x:is>
          <x:t xml:space="preserve">Norfloxacin 400 mg.</x:t>
        </x:is>
      </x:c>
      <x:c r="G360" t="inlineStr">
        <x:is>
          <x:t xml:space="preserve">BDS007751</x:t>
        </x:is>
      </x:c>
      <x:c r="H360" t="inlineStr">
        <x:is>
          <x:t xml:space="preserve">Norfloxyl-400 (10 tabs)</x:t>
        </x:is>
      </x:c>
      <x:c r="I360" t="inlineStr">
        <x:is>
          <x:t xml:space="preserve">รับประทานครั้งละ 1 เม็ด วันละ 2 ครั้ง เช้า-เย็น</x:t>
        </x:is>
      </x:c>
      <x:c r="P360" t="inlineStr">
        <x:is>
          <x:t xml:space="preserve">UTI antibiotics</x:t>
        </x:is>
      </x:c>
    </x:row>
    <x:row r="361">
      <x:c r="A361">
        <x:v>359</x:v>
      </x:c>
      <x:c r="B361" t="inlineStr">
        <x:is>
          <x:t xml:space="preserve">ยาฆ่าเชื้อแบคทีเรียทางเดินปัสสาวะ (D)</x:t>
        </x:is>
      </x:c>
      <x:c r="C361">
        <x:v>9086</x:v>
      </x:c>
      <x:c r="D361" t="inlineStr">
        <x:is>
          <x:t xml:space="preserve">Norxacin 400 mg</x:t>
        </x:is>
      </x:c>
      <x:c r="E361" t="inlineStr">
        <x:is>
          <x:t xml:space="preserve">กล่อง 8 เม็ด</x:t>
        </x:is>
      </x:c>
      <x:c r="F361" t="inlineStr">
        <x:is>
          <x:t xml:space="preserve">Norfloxacin 400 mg.</x:t>
        </x:is>
      </x:c>
      <x:c r="G361" t="inlineStr">
        <x:is>
          <x:t xml:space="preserve">BDS009086</x:t>
        </x:is>
      </x:c>
      <x:c r="H361" t="inlineStr">
        <x:is>
          <x:t xml:space="preserve">Norxacin 400 mg (8 tabs)</x:t>
        </x:is>
      </x:c>
      <x:c r="I361" t="inlineStr">
        <x:is>
          <x:t xml:space="preserve">รับประทานครั้งละ 1 เม็ด วันละ 2 ครั้ง เช้า-เย็น</x:t>
        </x:is>
      </x:c>
      <x:c r="P361" t="inlineStr">
        <x:is>
          <x:t xml:space="preserve">UTI antibiotics</x:t>
        </x:is>
      </x:c>
    </x:row>
    <x:row r="362">
      <x:c r="A362">
        <x:v>360</x:v>
      </x:c>
      <x:c r="B362" t="inlineStr">
        <x:is>
          <x:t xml:space="preserve">ยาฆ่าเชื้อแบคทีเรียทางเดินปัสสาวะ (D)</x:t>
        </x:is>
      </x:c>
      <x:c r="C362">
        <x:v>7971</x:v>
      </x:c>
      <x:c r="D362" t="inlineStr">
        <x:is>
          <x:t xml:space="preserve">Oflomac-200</x:t>
        </x:is>
      </x:c>
      <x:c r="E362" t="inlineStr">
        <x:is>
          <x:t xml:space="preserve">แผง 10 เม็ด</x:t>
        </x:is>
      </x:c>
      <x:c r="F362" t="inlineStr">
        <x:is>
          <x:t xml:space="preserve">Ofloxacin 200 mg.</x:t>
        </x:is>
      </x:c>
      <x:c r="G362" t="inlineStr">
        <x:is>
          <x:t xml:space="preserve">BDS007971</x:t>
        </x:is>
      </x:c>
      <x:c r="H362" t="inlineStr">
        <x:is>
          <x:t xml:space="preserve">Oflomac-200 (10 tabs)</x:t>
        </x:is>
      </x:c>
      <x:c r="I362" t="inlineStr">
        <x:is>
          <x:t xml:space="preserve">รับประทานครั้งละ 1 เม็ดวันละ 2 ครั้ง เช้า-เย็น</x:t>
        </x:is>
      </x:c>
      <x:c r="P362" t="inlineStr">
        <x:is>
          <x:t xml:space="preserve">UTI antibiotics</x:t>
        </x:is>
      </x:c>
    </x:row>
    <x:row r="363">
      <x:c r="A363">
        <x:v>361</x:v>
      </x:c>
      <x:c r="B363" t="inlineStr">
        <x:is>
          <x:t xml:space="preserve">ยาฆ่าเชื้อแบคทีเรียทางเดินปัสสาวะ (D)</x:t>
        </x:is>
      </x:c>
      <x:c r="C363">
        <x:v>7238</x:v>
      </x:c>
      <x:c r="D363" t="inlineStr">
        <x:is>
          <x:t xml:space="preserve">Proflox 500 mg</x:t>
        </x:is>
      </x:c>
      <x:c r="E363" t="inlineStr">
        <x:is>
          <x:t xml:space="preserve">แผง 10 เม็ด</x:t>
        </x:is>
      </x:c>
      <x:c r="F363" t="inlineStr">
        <x:is>
          <x:t xml:space="preserve">Ciprofloxacin 500 mg.</x:t>
        </x:is>
      </x:c>
      <x:c r="G363" t="inlineStr">
        <x:is>
          <x:t xml:space="preserve">BDS007238</x:t>
        </x:is>
      </x:c>
      <x:c r="H363" t="inlineStr">
        <x:is>
          <x:t xml:space="preserve">Proflox 500 mg (10 tabs)</x:t>
        </x:is>
      </x:c>
      <x:c r="I363" t="inlineStr">
        <x:is>
          <x:t xml:space="preserve">รับประทานครั้งละ 1 เม็ด วันละ 2 ครั้ง เช้า - เย็น</x:t>
        </x:is>
      </x:c>
      <x:c r="P363" t="inlineStr">
        <x:is>
          <x:t xml:space="preserve">UTI antibiotics</x:t>
        </x:is>
      </x:c>
    </x:row>
    <x:row r="364">
      <x:c r="A364">
        <x:v>362</x:v>
      </x:c>
      <x:c r="B364" t="inlineStr">
        <x:is>
          <x:t xml:space="preserve">ยาฆ่าเชื้อแบคทีเรียทางเดินปัสสาวะ (D)</x:t>
        </x:is>
      </x:c>
      <x:c r="C364">
        <x:v>47662</x:v>
      </x:c>
      <x:c r="D364" t="inlineStr">
        <x:is>
          <x:t xml:space="preserve">Sixime</x:t>
        </x:is>
      </x:c>
      <x:c r="E364" t="inlineStr">
        <x:is>
          <x:t xml:space="preserve">แผง 10 แคปซูล</x:t>
        </x:is>
      </x:c>
      <x:c r="F364" t="inlineStr">
        <x:is>
          <x:t xml:space="preserve">Cefixime 100 mg.</x:t>
        </x:is>
      </x:c>
      <x:c r="G364" t="inlineStr">
        <x:is>
          <x:t xml:space="preserve">BDS047662</x:t>
        </x:is>
      </x:c>
      <x:c r="H364" t="inlineStr">
        <x:is>
          <x:t xml:space="preserve">Sixime (10 cap)</x:t>
        </x:is>
      </x:c>
      <x:c r="I364" t="inlineStr">
        <x:is>
          <x:t xml:space="preserve">รับประทานครั้งละ 1 แคปซูล วันละ 2 ครั้ง หรือตามแพทย์สั่ง</x:t>
        </x:is>
      </x:c>
      <x:c r="P364" t="inlineStr">
        <x:is>
          <x:t xml:space="preserve">UTI antibiotics</x:t>
        </x:is>
      </x:c>
    </x:row>
    <x:row r="365">
      <x:c r="A365">
        <x:v>363</x:v>
      </x:c>
      <x:c r="B365" t="inlineStr">
        <x:is>
          <x:t xml:space="preserve">ยาฆ่าเชื้อแบคทีเรียทางเดินปัสสาวะ (D)</x:t>
        </x:is>
      </x:c>
      <x:c r="C365">
        <x:v>7311</x:v>
      </x:c>
      <x:c r="D365" t="inlineStr">
        <x:is>
          <x:t xml:space="preserve">Xacin</x:t>
        </x:is>
      </x:c>
      <x:c r="E365" t="inlineStr">
        <x:is>
          <x:t xml:space="preserve">แผง 10 เม็ด</x:t>
        </x:is>
      </x:c>
      <x:c r="F365" t="inlineStr">
        <x:is>
          <x:t xml:space="preserve">Norfloxacin 400 mg.</x:t>
        </x:is>
      </x:c>
      <x:c r="G365" t="inlineStr">
        <x:is>
          <x:t xml:space="preserve">BDS007311</x:t>
        </x:is>
      </x:c>
      <x:c r="H365" t="inlineStr">
        <x:is>
          <x:t xml:space="preserve">Xacin (10 tabs)</x:t>
        </x:is>
      </x:c>
      <x:c r="I365" t="inlineStr">
        <x:is>
          <x:t xml:space="preserve">รับประทานครั้งละ 1 เม็ด วันละ 2 ครั้ง เช้า-เย็น</x:t>
        </x:is>
      </x:c>
      <x:c r="P365" t="inlineStr">
        <x:is>
          <x:t xml:space="preserve">UTI antibiotics</x:t>
        </x:is>
      </x:c>
    </x:row>
    <x:row r="366">
      <x:c r="A366">
        <x:v>364</x:v>
      </x:c>
      <x:c r="B366" t="inlineStr">
        <x:is>
          <x:t xml:space="preserve">ยาอมแก้เจ็บคอ</x:t>
        </x:is>
      </x:c>
      <x:c r="C366">
        <x:v>42357</x:v>
      </x:c>
      <x:c r="D366" t="inlineStr">
        <x:is>
          <x:t xml:space="preserve">Difflam รสน้ำผึ้งมะนาวผสมโพรโพลิส</x:t>
        </x:is>
      </x:c>
      <x:c r="E366" t="inlineStr">
        <x:is>
          <x:t xml:space="preserve">ซอง 8 เม็ด</x:t>
        </x:is>
      </x:c>
      <x:c r="F366" t="inlineStr">
        <x:is>
          <x:t xml:space="preserve">2,4-Dichlorobenzyl alcohol 1.2 mg.+Amylmetacresol 0.6 mg.</x:t>
        </x:is>
      </x:c>
      <x:c r="G366" t="inlineStr">
        <x:is>
          <x:t xml:space="preserve">BDS042357</x:t>
        </x:is>
      </x:c>
      <x:c r="H366" t="inlineStr">
        <x:is>
          <x:t xml:space="preserve">Difflam รสน้ำผึ้งมะนาวผสมโพรโพลิส (8 tabs)</x:t>
        </x:is>
      </x:c>
      <x:c r="I366" t="inlineStr">
        <x:is>
          <x:t xml:space="preserve">รับประทาน (อม) ครั้งละ 1 เม็ดให้ละลายช้าๆในปากทุก 2-3 ชม. </x:t>
        </x:is>
      </x:c>
    </x:row>
    <x:row r="367">
      <x:c r="A367">
        <x:v>365</x:v>
      </x:c>
      <x:c r="B367" t="inlineStr">
        <x:is>
          <x:t xml:space="preserve">ยาอมแก้เจ็บคอ</x:t>
        </x:is>
      </x:c>
      <x:c r="C367">
        <x:v>42358</x:v>
      </x:c>
      <x:c r="D367" t="inlineStr">
        <x:is>
          <x:t xml:space="preserve">Difflam รสส้มผสมวิตามินซี</x:t>
        </x:is>
      </x:c>
      <x:c r="E367" t="inlineStr">
        <x:is>
          <x:t xml:space="preserve">ซอง 8 เม็ด</x:t>
        </x:is>
      </x:c>
      <x:c r="F367" t="inlineStr">
        <x:is>
          <x:t xml:space="preserve">2,4-Dichlorobenzyl alcohol 1.2 mg.+Amylmetacresol 0.6 mg.+Vit.C 100 mg.</x:t>
        </x:is>
      </x:c>
      <x:c r="G367" t="inlineStr">
        <x:is>
          <x:t xml:space="preserve">BDS042358</x:t>
        </x:is>
      </x:c>
      <x:c r="H367" t="inlineStr">
        <x:is>
          <x:t xml:space="preserve">Difflam รสส้มผสมวิตามินซี (8 tabs)</x:t>
        </x:is>
      </x:c>
      <x:c r="I367" t="inlineStr">
        <x:is>
          <x:t xml:space="preserve">รับประทาน (อม) ครั้งละ 1 เม็ดให้ละลายช้าๆในปากทุก 2-3 ชม.  </x:t>
        </x:is>
      </x:c>
    </x:row>
    <x:row r="368">
      <x:c r="A368">
        <x:v>366</x:v>
      </x:c>
      <x:c r="B368" t="inlineStr">
        <x:is>
          <x:t xml:space="preserve">ยาอมแก้เจ็บคอ</x:t>
        </x:is>
      </x:c>
      <x:c r="C368">
        <x:v>44922</x:v>
      </x:c>
      <x:c r="D368" t="inlineStr">
        <x:is>
          <x:t xml:space="preserve">Mybacin OTC Mint</x:t>
        </x:is>
      </x:c>
      <x:c r="E368" t="inlineStr">
        <x:is>
          <x:t xml:space="preserve">ซอง 8 เม็ด</x:t>
        </x:is>
      </x:c>
      <x:c r="F368" t="inlineStr">
        <x:is>
          <x:t xml:space="preserve">2,4-ไดคลอโรเบนซิล แอลกอฮอล์ 1.2 มก.+เอมิลเมเทครีซอล 0.6 มก.</x:t>
        </x:is>
      </x:c>
      <x:c r="G368" t="inlineStr">
        <x:is>
          <x:t xml:space="preserve">BDS044922</x:t>
        </x:is>
      </x:c>
      <x:c r="H368" t="inlineStr">
        <x:is>
          <x:t xml:space="preserve">Mybacin OTC Mint (8 tabs)</x:t>
        </x:is>
      </x:c>
      <x:c r="I368" t="inlineStr">
        <x:is>
          <x:t xml:space="preserve">อมให้ละลายช้าๆ ครั้งละ 1 เม็ด ทุกๆ 2-3  ชั่วโมง </x:t>
        </x:is>
      </x:c>
    </x:row>
    <x:row r="369">
      <x:c r="A369">
        <x:v>367</x:v>
      </x:c>
      <x:c r="B369" t="inlineStr">
        <x:is>
          <x:t xml:space="preserve">ยาอมแก้เจ็บคอ</x:t>
        </x:is>
      </x:c>
      <x:c r="C369">
        <x:v>3574</x:v>
      </x:c>
      <x:c r="D369" t="inlineStr">
        <x:is>
          <x:t xml:space="preserve">Strepsils Citrus Lemon SF HHR ซอง 6s</x:t>
        </x:is>
      </x:c>
      <x:c r="E369" t="inlineStr">
        <x:is>
          <x:t xml:space="preserve">ซอง 6 เม็ด</x:t>
        </x:is>
      </x:c>
      <x:c r="F369" t="inlineStr">
        <x:is>
          <x:t xml:space="preserve">2,4-Dichlorobenzyl Alcohol 1.2 mg.+Amylmetacresol 0.6 mg.</x:t>
        </x:is>
      </x:c>
      <x:c r="G369" t="inlineStr">
        <x:is>
          <x:t xml:space="preserve">BDS003574</x:t>
        </x:is>
      </x:c>
      <x:c r="H369" t="inlineStr">
        <x:is>
          <x:t xml:space="preserve">Strepsils Citrus Lemon SF HHR ซอง 6s (6 tabs)</x:t>
        </x:is>
      </x:c>
      <x:c r="I369" t="inlineStr">
        <x:is>
          <x:t xml:space="preserve">รับประทาน (อม) ครั้งละ1-2 เม็ด วันละ 3-5 ครั้ง หรือเมื่อมีอาการ</x:t>
        </x:is>
      </x:c>
      <x:c r="J369" t="inlineStr">
        <x:is>
          <x:t xml:space="preserve">Take 1-2 lozenges 3-5 times a day or when symptoms appear.</x:t>
        </x:is>
      </x:c>
    </x:row>
    <x:row r="370">
      <x:c r="A370">
        <x:v>368</x:v>
      </x:c>
      <x:c r="B370" t="inlineStr">
        <x:is>
          <x:t xml:space="preserve">ยาอมแก้เจ็บคอ</x:t>
        </x:is>
      </x:c>
      <x:c r="C370">
        <x:v>3578</x:v>
      </x:c>
      <x:c r="D370" t="inlineStr">
        <x:is>
          <x:t xml:space="preserve">Strepsils Citrus Lemon Sugar Free กล่อง 16s</x:t>
        </x:is>
      </x:c>
      <x:c r="E370" t="inlineStr">
        <x:is>
          <x:t xml:space="preserve">กล่อง 16 เม็ด</x:t>
        </x:is>
      </x:c>
      <x:c r="F370" t="inlineStr">
        <x:is>
          <x:t xml:space="preserve">2,4-Dichlorobenzyl Alcohol 1.2 mg.+Amylmetacresol 0.6 mg.</x:t>
        </x:is>
      </x:c>
      <x:c r="G370" t="inlineStr">
        <x:is>
          <x:t xml:space="preserve">BDS003578</x:t>
        </x:is>
      </x:c>
      <x:c r="H370" t="inlineStr">
        <x:is>
          <x:t xml:space="preserve">Strepsils Citrus Lemon Sugar Free กล่อง 16s (16 tabs)</x:t>
        </x:is>
      </x:c>
      <x:c r="I370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0" t="inlineStr">
        <x:is>
          <x:t xml:space="preserve">Take 1-2 lozenges 3-5 times a day or when symptoms appear.</x:t>
        </x:is>
      </x:c>
    </x:row>
    <x:row r="371">
      <x:c r="A371">
        <x:v>369</x:v>
      </x:c>
      <x:c r="B371" t="inlineStr">
        <x:is>
          <x:t xml:space="preserve">ยาอมแก้เจ็บคอ</x:t>
        </x:is>
      </x:c>
      <x:c r="C371">
        <x:v>3661</x:v>
      </x:c>
      <x:c r="D371" t="inlineStr">
        <x:is>
          <x:t xml:space="preserve">Strepsils Cool กล่อง 24s</x:t>
        </x:is>
      </x:c>
      <x:c r="E371" t="inlineStr">
        <x:is>
          <x:t xml:space="preserve">กล่อง 24 เม็ด</x:t>
        </x:is>
      </x:c>
      <x:c r="F371" t="inlineStr">
        <x:is>
          <x:t xml:space="preserve">2,4-Dichlorobenzyl Alcohol 1.2 mg.+Amylmetacresol 0.6 mg.+Menthol 7.0 mg.</x:t>
        </x:is>
      </x:c>
      <x:c r="G371" t="inlineStr">
        <x:is>
          <x:t xml:space="preserve">BDS003661</x:t>
        </x:is>
      </x:c>
      <x:c r="H371" t="inlineStr">
        <x:is>
          <x:t xml:space="preserve">Strepsils Cool กล่อง 24s (24 tabs)</x:t>
        </x:is>
      </x:c>
      <x:c r="I371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1" t="inlineStr">
        <x:is>
          <x:t xml:space="preserve">Take 1-2 lozenges 3-5 times a day or when symptoms appear.</x:t>
        </x:is>
      </x:c>
    </x:row>
    <x:row r="372">
      <x:c r="A372">
        <x:v>370</x:v>
      </x:c>
      <x:c r="B372" t="inlineStr">
        <x:is>
          <x:t xml:space="preserve">ยาอมแก้เจ็บคอ</x:t>
        </x:is>
      </x:c>
      <x:c r="C372">
        <x:v>3554</x:v>
      </x:c>
      <x:c r="D372" t="inlineStr">
        <x:is>
          <x:t xml:space="preserve">Strepsils Cool ซอง 8s</x:t>
        </x:is>
      </x:c>
      <x:c r="E372" t="inlineStr">
        <x:is>
          <x:t xml:space="preserve">ซอง 8 เม็ด</x:t>
        </x:is>
      </x:c>
      <x:c r="F372" t="inlineStr">
        <x:is>
          <x:t xml:space="preserve">2,4-Dichlorobenzyl alcohol 1.2 mg.+Amylmetacresol 0.6 mg.+Menthol 7.0 mg.</x:t>
        </x:is>
      </x:c>
      <x:c r="G372" t="inlineStr">
        <x:is>
          <x:t xml:space="preserve">BDS003554</x:t>
        </x:is>
      </x:c>
      <x:c r="H372" t="inlineStr">
        <x:is>
          <x:t xml:space="preserve">Strepsils Cool ซอง 8s (8 tabs)</x:t>
        </x:is>
      </x:c>
      <x:c r="I372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2" t="inlineStr">
        <x:is>
          <x:t xml:space="preserve">Take 1-2 lozenges 3-5 times a day or when symptoms appear.</x:t>
        </x:is>
      </x:c>
    </x:row>
    <x:row r="373">
      <x:c r="A373">
        <x:v>371</x:v>
      </x:c>
      <x:c r="B373" t="inlineStr">
        <x:is>
          <x:t xml:space="preserve">ยาอมแก้เจ็บคอ</x:t>
        </x:is>
      </x:c>
      <x:c r="C373">
        <x:v>3590</x:v>
      </x:c>
      <x:c r="D373" t="inlineStr">
        <x:is>
          <x:t xml:space="preserve">Strepsils Honey &amp; Lemon HHR ซอง 8s</x:t>
        </x:is>
      </x:c>
      <x:c r="E373" t="inlineStr">
        <x:is>
          <x:t xml:space="preserve">ซอง 8 เม็ด</x:t>
        </x:is>
      </x:c>
      <x:c r="F373" t="inlineStr">
        <x:is>
          <x:t xml:space="preserve">2,4-Dichlorobenzyl Alcohol 1.2 mg.+Amylmetacresol 0.6 mg.</x:t>
        </x:is>
      </x:c>
      <x:c r="G373" t="inlineStr">
        <x:is>
          <x:t xml:space="preserve">BDS003590</x:t>
        </x:is>
      </x:c>
      <x:c r="H373" t="inlineStr">
        <x:is>
          <x:t xml:space="preserve">Strepsils Honey &amp; Lemon HHR ซอง 8s (8 tabs)</x:t>
        </x:is>
      </x:c>
      <x:c r="I373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3" t="inlineStr">
        <x:is>
          <x:t xml:space="preserve">Take 1-2 lozenges 3-5 times a day or when symptoms appear.</x:t>
        </x:is>
      </x:c>
      <x:c r="K373">
        <x:v>120</x:v>
      </x:c>
      <x:c r="L373">
        <x:v>15</x:v>
      </x:c>
      <x:c r="M373" t="inlineStr">
        <x:is>
          <x:t xml:space="preserve">USER</x:t>
        </x:is>
      </x:c>
      <x:c r="N373" t="inlineStr">
        <x:is>
          <x:t xml:space="preserve">2026-02-07</x:t>
        </x:is>
      </x:c>
      <x:c r="O373" t="inlineStr">
        <x:is>
          <x:t xml:space="preserve">User provided price (online). Unit price per lozenge (8 tabs pack).</x:t>
        </x:is>
      </x:c>
    </x:row>
    <x:row r="374">
      <x:c r="A374">
        <x:v>372</x:v>
      </x:c>
      <x:c r="B374" t="inlineStr">
        <x:is>
          <x:t xml:space="preserve">ยาอมแก้เจ็บคอ</x:t>
        </x:is>
      </x:c>
      <x:c r="C374">
        <x:v>3582</x:v>
      </x:c>
      <x:c r="D374" t="inlineStr">
        <x:is>
          <x:t xml:space="preserve">Strepsils Honey &amp; Lemon กล่อง 24s</x:t>
        </x:is>
      </x:c>
      <x:c r="E374" t="inlineStr">
        <x:is>
          <x:t xml:space="preserve">กล่อง 24 เม็ด</x:t>
        </x:is>
      </x:c>
      <x:c r="F374" t="inlineStr">
        <x:is>
          <x:t xml:space="preserve">2,4-Dichlorobenzyl Alcohol 1.2 mg.+Amylmetacresol 0.6 mg.</x:t>
        </x:is>
      </x:c>
      <x:c r="G374" t="inlineStr">
        <x:is>
          <x:t xml:space="preserve">BDS003582</x:t>
        </x:is>
      </x:c>
      <x:c r="H374" t="inlineStr">
        <x:is>
          <x:t xml:space="preserve">Strepsils Honey &amp; Lemon กล่อง 24s (24 tabs)</x:t>
        </x:is>
      </x:c>
      <x:c r="I374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4" t="inlineStr">
        <x:is>
          <x:t xml:space="preserve">Take 1-2 lozenges 3-5 times a day or when symptoms appear.</x:t>
        </x:is>
      </x:c>
    </x:row>
    <x:row r="375">
      <x:c r="A375">
        <x:v>373</x:v>
      </x:c>
      <x:c r="B375" t="inlineStr">
        <x:is>
          <x:t xml:space="preserve">ยาอมแก้เจ็บคอ</x:t>
        </x:is>
      </x:c>
      <x:c r="C375">
        <x:v>3555</x:v>
      </x:c>
      <x:c r="D375" t="inlineStr">
        <x:is>
          <x:t xml:space="preserve">Strepsils Orange+Vitamin C HHR ซอง 8s</x:t>
        </x:is>
      </x:c>
      <x:c r="E375" t="inlineStr">
        <x:is>
          <x:t xml:space="preserve">ซอง 8 เม็ด</x:t>
        </x:is>
      </x:c>
      <x:c r="F375" t="inlineStr">
        <x:is>
          <x:t xml:space="preserve">2,4-Dichlorobenzyl Alcohol 1.2 mg.+Amylmetacresol 0.6 mg.+Vitamin C 100 mg.</x:t>
        </x:is>
      </x:c>
      <x:c r="G375" t="inlineStr">
        <x:is>
          <x:t xml:space="preserve">BDS003555</x:t>
        </x:is>
      </x:c>
      <x:c r="H375" t="inlineStr">
        <x:is>
          <x:t xml:space="preserve">Strepsils Orange+Vitamin C HHR ซอง 8s (8 tabs)</x:t>
        </x:is>
      </x:c>
      <x:c r="I375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5" t="inlineStr">
        <x:is>
          <x:t xml:space="preserve">Take 1-2 lozenges 3-5 times a day or when symptoms appear.</x:t>
        </x:is>
      </x:c>
    </x:row>
    <x:row r="376">
      <x:c r="A376">
        <x:v>374</x:v>
      </x:c>
      <x:c r="B376" t="inlineStr">
        <x:is>
          <x:t xml:space="preserve">ยาอมแก้เจ็บคอ</x:t>
        </x:is>
      </x:c>
      <x:c r="C376">
        <x:v>3556</x:v>
      </x:c>
      <x:c r="D376" t="inlineStr">
        <x:is>
          <x:t xml:space="preserve">Strepsils Orange+Vitamin C กล่อง 24s</x:t>
        </x:is>
      </x:c>
      <x:c r="E376" t="inlineStr">
        <x:is>
          <x:t xml:space="preserve">กล่อง 24 เม็ด</x:t>
        </x:is>
      </x:c>
      <x:c r="F376" t="inlineStr">
        <x:is>
          <x:t xml:space="preserve">2,4-Dichlorobenzyl Alcohol 1.2 mg.+Amylmetacresol 0.6 mg.+Vitamin C 100 mg.</x:t>
        </x:is>
      </x:c>
      <x:c r="G376" t="inlineStr">
        <x:is>
          <x:t xml:space="preserve">BDS003556</x:t>
        </x:is>
      </x:c>
      <x:c r="H376" t="inlineStr">
        <x:is>
          <x:t xml:space="preserve">Strepsils Orange+Vitamin C กล่อง 24s (24 tabs)</x:t>
        </x:is>
      </x:c>
      <x:c r="I376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6" t="inlineStr">
        <x:is>
          <x:t xml:space="preserve">Take 1-2 lozenges 3-5 times a day or when symptoms appear.</x:t>
        </x:is>
      </x:c>
    </x:row>
    <x:row r="377">
      <x:c r="A377">
        <x:v>375</x:v>
      </x:c>
      <x:c r="B377" t="inlineStr">
        <x:is>
          <x:t xml:space="preserve">ยาอมแก้เจ็บคอ</x:t>
        </x:is>
      </x:c>
      <x:c r="C377">
        <x:v>3583</x:v>
      </x:c>
      <x:c r="D377" t="inlineStr">
        <x:is>
          <x:t xml:space="preserve">Strepsils Original HHR (เม็ดแดง) กล่อง 24s</x:t>
        </x:is>
      </x:c>
      <x:c r="E377" t="inlineStr">
        <x:is>
          <x:t xml:space="preserve">กล่อง 24 เม็ด</x:t>
        </x:is>
      </x:c>
      <x:c r="F377" t="inlineStr">
        <x:is>
          <x:t xml:space="preserve">2,4-Dichlorobenzyl Alcohol 1.2 mg.+Amylmetacresol 0.6 mg.</x:t>
        </x:is>
      </x:c>
      <x:c r="G377" t="inlineStr">
        <x:is>
          <x:t xml:space="preserve">BDS003583</x:t>
        </x:is>
      </x:c>
      <x:c r="H377" t="inlineStr">
        <x:is>
          <x:t xml:space="preserve">Strepsils Original HHR (เม็ดแดง) กล่อง 24s (24 tabs)</x:t>
        </x:is>
      </x:c>
      <x:c r="I377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7" t="inlineStr">
        <x:is>
          <x:t xml:space="preserve">Take 1-2 lozenges 3-5 times a day or when symptoms appear.</x:t>
        </x:is>
      </x:c>
    </x:row>
    <x:row r="378">
      <x:c r="A378">
        <x:v>376</x:v>
      </x:c>
      <x:c r="B378" t="inlineStr">
        <x:is>
          <x:t xml:space="preserve">ยาอมแก้เจ็บคอ</x:t>
        </x:is>
      </x:c>
      <x:c r="C378">
        <x:v>3551</x:v>
      </x:c>
      <x:c r="D378" t="inlineStr">
        <x:is>
          <x:t xml:space="preserve">Strepsils Original HHR (เม็ดแดง) ซอง 8s</x:t>
        </x:is>
      </x:c>
      <x:c r="E378" t="inlineStr">
        <x:is>
          <x:t xml:space="preserve">ซอง 8 เม็ด</x:t>
        </x:is>
      </x:c>
      <x:c r="F378" t="inlineStr">
        <x:is>
          <x:t xml:space="preserve">2,4-Dichlorobenzyl Alcohol 1.2 mg.+Amylmetacresol 0.6 mg.</x:t>
        </x:is>
      </x:c>
      <x:c r="G378" t="inlineStr">
        <x:is>
          <x:t xml:space="preserve">BDS003551</x:t>
        </x:is>
      </x:c>
      <x:c r="H378" t="inlineStr">
        <x:is>
          <x:t xml:space="preserve">Strepsils Original HHR (เม็ดแดง) ซอง 8s (8 tabs)</x:t>
        </x:is>
      </x:c>
      <x:c r="I378" t="inlineStr">
        <x:is>
          <x:t xml:space="preserve">รับประทาน (อม) ครั้งละ1-2 เม็ด วันละ 3-5 ครั้ง หรือเมื่อมีอาการ</x:t>
        </x:is>
      </x:c>
      <x:c r="J378" t="inlineStr">
        <x:is>
          <x:t xml:space="preserve">Take 1-2 lozenges 3-5 times a day or when symptoms appear.</x:t>
        </x:is>
      </x:c>
    </x:row>
    <x:row r="379">
      <x:c r="A379">
        <x:v>377</x:v>
      </x:c>
      <x:c r="B379" t="inlineStr">
        <x:is>
          <x:t xml:space="preserve">ยาอมแก้เจ็บคอ</x:t>
        </x:is>
      </x:c>
      <x:c r="C379">
        <x:v>3777</x:v>
      </x:c>
      <x:c r="D379" t="inlineStr">
        <x:is>
          <x:t xml:space="preserve">Throatsil รสน้ำผึ้งมะนาว ซอง 8s</x:t>
        </x:is>
      </x:c>
      <x:c r="E379" t="inlineStr">
        <x:is>
          <x:t xml:space="preserve">ซอง 8 เม็ด</x:t>
        </x:is>
      </x:c>
      <x:c r="F379" t="inlineStr">
        <x:is>
          <x:t xml:space="preserve">Dichlorobenzyl alcohol 1.2 mg.+Amylmetacresol 0.6 mg.</x:t>
        </x:is>
      </x:c>
      <x:c r="G379" t="inlineStr">
        <x:is>
          <x:t xml:space="preserve">BDS003777</x:t>
        </x:is>
      </x:c>
      <x:c r="H379" t="inlineStr">
        <x:is>
          <x:t xml:space="preserve">Throatsil รสน้ำผึ้งมะนาว ซอง 8s (8 tabs)</x:t>
        </x:is>
      </x:c>
      <x:c r="I379" t="inlineStr">
        <x:is>
          <x:t xml:space="preserve">รับประทาน (อม) ครั้งละ 1 เม็ด วันละ 3-5 ครั้ง หรือเมื่อมีอาการ</x:t>
        </x:is>
      </x:c>
      <x:c r="J379" t="inlineStr">
        <x:is>
          <x:t xml:space="preserve">Take 1 lozenge 3-5 times a day or when symptoms appear.</x:t>
        </x:is>
      </x:c>
    </x:row>
    <x:row r="380">
      <x:c r="A380">
        <x:v>378</x:v>
      </x:c>
      <x:c r="B380" t="inlineStr">
        <x:is>
          <x:t xml:space="preserve">ยาอมแก้เจ็บคอ</x:t>
        </x:is>
      </x:c>
      <x:c r="C380">
        <x:v>3790</x:v>
      </x:c>
      <x:c r="D380" t="inlineStr">
        <x:is>
          <x:t xml:space="preserve">Throatsil รสเมนทอล ซอง 8s</x:t>
        </x:is>
      </x:c>
      <x:c r="E380" t="inlineStr">
        <x:is>
          <x:t xml:space="preserve">ซอง 8 เม็ด</x:t>
        </x:is>
      </x:c>
      <x:c r="F380" t="inlineStr">
        <x:is>
          <x:t xml:space="preserve">Dichlorobenzyl alcohol 1.2 mg.+Amylmetacresol 0.6 mg.</x:t>
        </x:is>
      </x:c>
      <x:c r="G380" t="inlineStr">
        <x:is>
          <x:t xml:space="preserve">BDS003790</x:t>
        </x:is>
      </x:c>
      <x:c r="H380" t="inlineStr">
        <x:is>
          <x:t xml:space="preserve">Throatsil รสเมนทอล ซอง 8s (8 tabs)</x:t>
        </x:is>
      </x:c>
      <x:c r="I380" t="inlineStr">
        <x:is>
          <x:t xml:space="preserve">รับประทาน (อม) ครั้งละ 1 เม็ด วันละ 3-5 ครั้ง หรือเมื่อมีอาการ</x:t>
        </x:is>
      </x:c>
      <x:c r="J380" t="inlineStr">
        <x:is>
          <x:t xml:space="preserve">Take 1 lozenge 3-5 times a day or when symptoms appear.</x:t>
        </x:is>
      </x:c>
    </x:row>
    <x:row r="381">
      <x:c r="A381">
        <x:v>379</x:v>
      </x:c>
      <x:c r="B381" t="inlineStr">
        <x:is>
          <x:t xml:space="preserve">ยาอมแก้เจ็บคอ</x:t>
        </x:is>
      </x:c>
      <x:c r="C381">
        <x:v>3802</x:v>
      </x:c>
      <x:c r="D381" t="inlineStr">
        <x:is>
          <x:t xml:space="preserve">Throatsil รสส้ม กล่อง 24s</x:t>
        </x:is>
      </x:c>
      <x:c r="E381" t="inlineStr">
        <x:is>
          <x:t xml:space="preserve">กล่อง 24 เม็ด</x:t>
        </x:is>
      </x:c>
      <x:c r="F381" t="inlineStr">
        <x:is>
          <x:t xml:space="preserve">Dichlorobenzyl alcohol 1.2 mg.+Amylmetacresol 0.6 mg.+Vitamin C 100 mg.</x:t>
        </x:is>
      </x:c>
      <x:c r="G381" t="inlineStr">
        <x:is>
          <x:t xml:space="preserve">BDS003802</x:t>
        </x:is>
      </x:c>
      <x:c r="H381" t="inlineStr">
        <x:is>
          <x:t xml:space="preserve">Throatsil รสส้ม กล่อง 24s (24 tabs)</x:t>
        </x:is>
      </x:c>
      <x:c r="I381" t="inlineStr">
        <x:is>
          <x:t xml:space="preserve">รับประทาน (อม) ครั้งละ 1 เม็ด วันละ 3-5 ครั้ง หรือเมื่อมีอาการ</x:t>
        </x:is>
      </x:c>
      <x:c r="J381" t="inlineStr">
        <x:is>
          <x:t xml:space="preserve">Take 1 lozenge 3-5 times a day or when symptoms appear.</x:t>
        </x:is>
      </x:c>
    </x:row>
    <x:row r="382">
      <x:c r="A382">
        <x:v>380</x:v>
      </x:c>
      <x:c r="B382" t="inlineStr">
        <x:is>
          <x:t xml:space="preserve">ยาอมแก้เจ็บคอ</x:t>
        </x:is>
      </x:c>
      <x:c r="C382">
        <x:v>3775</x:v>
      </x:c>
      <x:c r="D382" t="inlineStr">
        <x:is>
          <x:t xml:space="preserve">Throatsil รสส้ม ซอง 8s</x:t>
        </x:is>
      </x:c>
      <x:c r="E382" t="inlineStr">
        <x:is>
          <x:t xml:space="preserve">ซอง 8 เม็ด</x:t>
        </x:is>
      </x:c>
      <x:c r="F382" t="inlineStr">
        <x:is>
          <x:t xml:space="preserve">Dichlorobenzyl alcolhol 1.2 mg.+Amylmetacresol 0.6 mg.+Vitamin C 100 mg.</x:t>
        </x:is>
      </x:c>
      <x:c r="G382" t="inlineStr">
        <x:is>
          <x:t xml:space="preserve">BDS003775</x:t>
        </x:is>
      </x:c>
      <x:c r="H382" t="inlineStr">
        <x:is>
          <x:t xml:space="preserve">Throatsil รสส้ม ซอง 8s (8 tabs)</x:t>
        </x:is>
      </x:c>
      <x:c r="I382" t="inlineStr">
        <x:is>
          <x:t xml:space="preserve">รับประทาน (อม) ครั้งละ 1 เม็ด วันละ 3-5 ครั้ง หรือเมื่อมีอาการ</x:t>
        </x:is>
      </x:c>
      <x:c r="J382" t="inlineStr">
        <x:is>
          <x:t xml:space="preserve">Take 1 lozenge 3-5 times a day or when symptoms appear.</x:t>
        </x:is>
      </x:c>
    </x:row>
    <x:row r="383">
      <x:c r="A383">
        <x:v>381</x:v>
      </x:c>
      <x:c r="B383" t="inlineStr">
        <x:is>
          <x:t xml:space="preserve">ยาแก้ปวด, ลดไข้ (D)</x:t>
        </x:is>
      </x:c>
      <x:c r="C383">
        <x:v>40016</x:v>
      </x:c>
      <x:c r="D383" t="inlineStr">
        <x:is>
          <x:t xml:space="preserve">Adavil F/C tabslets </x:t>
        </x:is>
      </x:c>
      <x:c r="E383" t="inlineStr">
        <x:is>
          <x:t xml:space="preserve">แผง 10 เม็ด</x:t>
        </x:is>
      </x:c>
      <x:c r="F383" t="inlineStr">
        <x:is>
          <x:t xml:space="preserve">Ibuprofen 400 mg.</x:t>
        </x:is>
      </x:c>
      <x:c r="G383" t="inlineStr">
        <x:is>
          <x:t xml:space="preserve">BDS040016</x:t>
        </x:is>
      </x:c>
      <x:c r="H383" t="inlineStr">
        <x:is>
          <x:t xml:space="preserve">Adavil F/C tabslets  (10 tabs)</x:t>
        </x:is>
      </x:c>
      <x:c r="I383" t="inlineStr">
        <x:is>
          <x:t xml:space="preserve">รับประทานครั้งละ 1 เม็ด วันละ 3-4 ครั้ง หลังอาหารทันที </x:t>
        </x:is>
      </x:c>
      <x:c r="P383" t="inlineStr">
        <x:is>
          <x:t xml:space="preserve">General analgesics/antipyretics</x:t>
        </x:is>
      </x:c>
    </x:row>
    <x:row r="384">
      <x:c r="A384">
        <x:v>382</x:v>
      </x:c>
      <x:c r="B384" t="inlineStr">
        <x:is>
          <x:t xml:space="preserve">ยาแก้ปวด, ลดไข้ (D)</x:t>
        </x:is>
      </x:c>
      <x:c r="C384">
        <x:v>40623</x:v>
      </x:c>
      <x:c r="D384" t="inlineStr">
        <x:is>
          <x:t xml:space="preserve">Brusoft 400</x:t>
        </x:is>
      </x:c>
      <x:c r="E384" t="inlineStr">
        <x:is>
          <x:t xml:space="preserve">กล่อง 10 แคปซูล</x:t>
        </x:is>
      </x:c>
      <x:c r="F384" t="inlineStr">
        <x:is>
          <x:t xml:space="preserve">Ibuprofen 400 mg.</x:t>
        </x:is>
      </x:c>
      <x:c r="G384" t="inlineStr">
        <x:is>
          <x:t xml:space="preserve">BDS040623</x:t>
        </x:is>
      </x:c>
      <x:c r="H384" t="inlineStr">
        <x:is>
          <x:t xml:space="preserve">Brusoft 400 (10 cap)</x:t>
        </x:is>
      </x:c>
      <x:c r="I384" t="inlineStr">
        <x:is>
          <x:t xml:space="preserve">รับประทานครั้งละ 1 แคปซูล ทุก 4-6 ชั่วโมง </x:t>
        </x:is>
      </x:c>
      <x:c r="P384" t="inlineStr">
        <x:is>
          <x:t xml:space="preserve">General analgesics/antipyretics</x:t>
        </x:is>
      </x:c>
    </x:row>
    <x:row r="385">
      <x:c r="A385">
        <x:v>383</x:v>
      </x:c>
      <x:c r="B385" t="inlineStr">
        <x:is>
          <x:t xml:space="preserve">ยาแก้ปวด, ลดไข้ (D)</x:t>
        </x:is>
      </x:c>
      <x:c r="C385">
        <x:v>40629</x:v>
      </x:c>
      <x:c r="D385" t="inlineStr">
        <x:is>
          <x:t xml:space="preserve">Brustan</x:t>
        </x:is>
      </x:c>
      <x:c r="E385" t="inlineStr">
        <x:is>
          <x:t xml:space="preserve">กล่อง 10 เม็ด</x:t>
        </x:is>
      </x:c>
      <x:c r="F385" t="inlineStr">
        <x:is>
          <x:t xml:space="preserve">Ibuprofen 400 mg.+Paracetamol 325 mg.</x:t>
        </x:is>
      </x:c>
      <x:c r="G385" t="inlineStr">
        <x:is>
          <x:t xml:space="preserve">BDS040629</x:t>
        </x:is>
      </x:c>
      <x:c r="H385" t="inlineStr">
        <x:is>
          <x:t xml:space="preserve">Brustan (10 tabs)</x:t>
        </x:is>
      </x:c>
      <x:c r="I385" t="inlineStr">
        <x:is>
          <x:t xml:space="preserve">รับประทานครั้งละ 1 เม็ด วันละ 3  ครั้ง หลังอาหารทันที</x:t>
        </x:is>
      </x:c>
      <x:c r="P385" t="inlineStr">
        <x:is>
          <x:t xml:space="preserve">General analgesics/antipyretics</x:t>
        </x:is>
      </x:c>
    </x:row>
    <x:row r="386">
      <x:c r="A386">
        <x:v>384</x:v>
      </x:c>
      <x:c r="B386" t="inlineStr">
        <x:is>
          <x:t xml:space="preserve">ยาแก้ปวด, ลดไข้ (D)</x:t>
        </x:is>
      </x:c>
      <x:c r="C386">
        <x:v>7040</x:v>
      </x:c>
      <x:c r="D386" t="inlineStr">
        <x:is>
          <x:t xml:space="preserve">Cefen 400P</x:t>
        </x:is>
      </x:c>
      <x:c r="E386" t="inlineStr">
        <x:is>
          <x:t xml:space="preserve">แผง 10 เม็ด</x:t>
        </x:is>
      </x:c>
      <x:c r="F386" t="inlineStr">
        <x:is>
          <x:t xml:space="preserve">Ibuprofen 400 mg.</x:t>
        </x:is>
      </x:c>
      <x:c r="G386" t="inlineStr">
        <x:is>
          <x:t xml:space="preserve">BDS007040</x:t>
        </x:is>
      </x:c>
      <x:c r="H386" t="inlineStr">
        <x:is>
          <x:t xml:space="preserve">Cefen 400P (10 tabs)</x:t>
        </x:is>
      </x:c>
      <x:c r="I386" t="inlineStr">
        <x:is>
          <x:t xml:space="preserve">รับประทานครั้งละ 1 เม็ด วันละ 3 ครั้ง หลังอาหารทันที</x:t>
        </x:is>
      </x:c>
      <x:c r="P386" t="inlineStr">
        <x:is>
          <x:t xml:space="preserve">General analgesics/antipyretics</x:t>
        </x:is>
      </x:c>
    </x:row>
    <x:row r="387">
      <x:c r="A387">
        <x:v>385</x:v>
      </x:c>
      <x:c r="B387" t="inlineStr">
        <x:is>
          <x:t xml:space="preserve">ยาแก้ปวด, ลดไข้ (D)</x:t>
        </x:is>
      </x:c>
      <x:c r="C387">
        <x:v>1618</x:v>
      </x:c>
      <x:c r="D387" t="inlineStr">
        <x:is>
          <x:t xml:space="preserve">Duran</x:t>
        </x:is>
      </x:c>
      <x:c r="E387" t="inlineStr">
        <x:is>
          <x:t xml:space="preserve">กล่อง 10 เม็ด</x:t>
        </x:is>
      </x:c>
      <x:c r="F387" t="inlineStr">
        <x:is>
          <x:t xml:space="preserve">Ibuprofen 400 mg.</x:t>
        </x:is>
      </x:c>
      <x:c r="G387" t="inlineStr">
        <x:is>
          <x:t xml:space="preserve">BDS001618</x:t>
        </x:is>
      </x:c>
      <x:c r="H387" t="inlineStr">
        <x:is>
          <x:t xml:space="preserve">Duran (10 tabs)</x:t>
        </x:is>
      </x:c>
      <x:c r="I387" t="inlineStr">
        <x:is>
          <x:t xml:space="preserve">รับประทานครั้งละ 1 เม็ด วันละ 3-4 ครั้ง หลังอาหารทันที</x:t>
        </x:is>
      </x:c>
      <x:c r="K387">
        <x:v>30</x:v>
      </x:c>
      <x:c r="L387">
        <x:v>3</x:v>
      </x:c>
      <x:c r="M387" t="inlineStr">
        <x:is>
          <x:t xml:space="preserve">https://www.migrainethailand.com/ibuprofen-migraine/</x:t>
        </x:is>
      </x:c>
      <x:c r="N387" t="inlineStr">
        <x:is>
          <x:t xml:space="preserve">2026-02-07</x:t>
        </x:is>
      </x:c>
      <x:c r="O387" t="inlineStr">
        <x:is>
          <x:t xml:space="preserve">Estimated midpoint from Thai retail range 25–34 THB per 10 tablets (generic ibuprofen 400 mg).</x:t>
        </x:is>
      </x:c>
      <x:c r="P387" t="inlineStr">
        <x:is>
          <x:t xml:space="preserve">General analgesics/antipyretics</x:t>
        </x:is>
      </x:c>
    </x:row>
    <x:row r="388">
      <x:c r="A388">
        <x:v>386</x:v>
      </x:c>
      <x:c r="B388" t="inlineStr">
        <x:is>
          <x:t xml:space="preserve">ยาแก้ปวด, ลดไข้ (D)</x:t>
        </x:is>
      </x:c>
      <x:c r="C388">
        <x:v>2042</x:v>
      </x:c>
      <x:c r="D388" t="inlineStr">
        <x:is>
          <x:t xml:space="preserve">Gofen 400</x:t>
        </x:is>
      </x:c>
      <x:c r="E388" t="inlineStr">
        <x:is>
          <x:t xml:space="preserve">กล่อง 10 แคปซูล</x:t>
        </x:is>
      </x:c>
      <x:c r="F388" t="inlineStr">
        <x:is>
          <x:t xml:space="preserve">Ibuprofen 400 mg.+Polyethylene 400+Porpylene Glycol</x:t>
        </x:is>
      </x:c>
      <x:c r="G388" t="inlineStr">
        <x:is>
          <x:t xml:space="preserve">BDS002042</x:t>
        </x:is>
      </x:c>
      <x:c r="H388" t="inlineStr">
        <x:is>
          <x:t xml:space="preserve">Gofen 400 (10 cap)</x:t>
        </x:is>
      </x:c>
      <x:c r="I388" t="inlineStr">
        <x:is>
          <x:t xml:space="preserve">รับประทานครั้งละ 1 แคปซูล ทุก 4-6 ชั่วโมง </x:t>
        </x:is>
      </x:c>
      <x:c r="K388">
        <x:v>177</x:v>
      </x:c>
      <x:c r="L388">
        <x:v>17.7</x:v>
      </x:c>
      <x:c r="M388" t="inlineStr">
        <x:is>
          <x:t xml:space="preserve">USER</x:t>
        </x:is>
      </x:c>
      <x:c r="N388" t="inlineStr">
        <x:is>
          <x:t xml:space="preserve">2026-02-07</x:t>
        </x:is>
      </x:c>
      <x:c r="O388" t="inlineStr">
        <x:is>
          <x:t xml:space="preserve">User provided price (Gofen 400 10 caps).</x:t>
        </x:is>
      </x:c>
      <x:c r="P388" t="inlineStr">
        <x:is>
          <x:t xml:space="preserve">General analgesics/antipyretics</x:t>
        </x:is>
      </x:c>
    </x:row>
    <x:row r="389">
      <x:c r="A389">
        <x:v>387</x:v>
      </x:c>
      <x:c r="B389" t="inlineStr">
        <x:is>
          <x:t xml:space="preserve">ยาแก้ปวด, ลดไข้ (D)</x:t>
        </x:is>
      </x:c>
      <x:c r="C389">
        <x:v>2036</x:v>
      </x:c>
      <x:c r="D389" t="inlineStr">
        <x:is>
          <x:t xml:space="preserve">Greatofen-400 mg</x:t>
        </x:is>
      </x:c>
      <x:c r="E389" t="inlineStr">
        <x:is>
          <x:t xml:space="preserve">แผง 10 เม็ด</x:t>
        </x:is>
      </x:c>
      <x:c r="F389" t="inlineStr">
        <x:is>
          <x:t xml:space="preserve">Ibuprofen 400 mg.</x:t>
        </x:is>
      </x:c>
      <x:c r="G389" t="inlineStr">
        <x:is>
          <x:t xml:space="preserve">BDS002036</x:t>
        </x:is>
      </x:c>
      <x:c r="H389" t="inlineStr">
        <x:is>
          <x:t xml:space="preserve">Greatofen-400 mg (10 tabs)</x:t>
        </x:is>
      </x:c>
      <x:c r="I389" t="inlineStr">
        <x:is>
          <x:t xml:space="preserve">รับประทานครั้งละ 1-2 เม็ด วันละ 3 ครั้ง หลังอาหารทันที</x:t>
        </x:is>
      </x:c>
      <x:c r="P389" t="inlineStr">
        <x:is>
          <x:t xml:space="preserve">General analgesics/antipyretics</x:t>
        </x:is>
      </x:c>
    </x:row>
    <x:row r="390">
      <x:c r="A390">
        <x:v>388</x:v>
      </x:c>
      <x:c r="B390" t="inlineStr">
        <x:is>
          <x:t xml:space="preserve">ยาแก้ปวด, ลดไข้ (D)</x:t>
        </x:is>
      </x:c>
      <x:c r="C390">
        <x:v>7161</x:v>
      </x:c>
      <x:c r="D390" t="inlineStr">
        <x:is>
          <x:t xml:space="preserve">Ibuman-Plus</x:t>
        </x:is>
      </x:c>
      <x:c r="E390" t="inlineStr">
        <x:is>
          <x:t xml:space="preserve">แผง 10 เม็ด</x:t>
        </x:is>
      </x:c>
      <x:c r="F390" t="inlineStr">
        <x:is>
          <x:t xml:space="preserve">Ibuprofen 400 mg.+Paracetamol 325 mg.</x:t>
        </x:is>
      </x:c>
      <x:c r="G390" t="inlineStr">
        <x:is>
          <x:t xml:space="preserve">BDS007161</x:t>
        </x:is>
      </x:c>
      <x:c r="H390" t="inlineStr">
        <x:is>
          <x:t xml:space="preserve">Ibuman-Plus (10 tabs)</x:t>
        </x:is>
      </x:c>
      <x:c r="I390" t="inlineStr">
        <x:is>
          <x:t xml:space="preserve">รับประทานครั้งละ 1 เม็ด วันละ 3  ครั้ง หลังอาหารทันที</x:t>
        </x:is>
      </x:c>
      <x:c r="P390" t="inlineStr">
        <x:is>
          <x:t xml:space="preserve">General analgesics/antipyretics</x:t>
        </x:is>
      </x:c>
    </x:row>
    <x:row r="391">
      <x:c r="A391">
        <x:v>389</x:v>
      </x:c>
      <x:c r="B391" t="inlineStr">
        <x:is>
          <x:t xml:space="preserve">ยาแก้ปวด, ลดไข้ (D)</x:t>
        </x:is>
      </x:c>
      <x:c r="C391">
        <x:v>7165</x:v>
      </x:c>
      <x:c r="D391" t="inlineStr">
        <x:is>
          <x:t xml:space="preserve">Kintal B</x:t>
        </x:is>
      </x:c>
      <x:c r="E391" t="inlineStr">
        <x:is>
          <x:t xml:space="preserve">แผง 10 เม็ด</x:t>
        </x:is>
      </x:c>
      <x:c r="F391" t="inlineStr">
        <x:is>
          <x:t xml:space="preserve">Ibuprofen 400 mg.+Paracetamol 325 mg.</x:t>
        </x:is>
      </x:c>
      <x:c r="G391" t="inlineStr">
        <x:is>
          <x:t xml:space="preserve">BDS007165</x:t>
        </x:is>
      </x:c>
      <x:c r="H391" t="inlineStr">
        <x:is>
          <x:t xml:space="preserve">Kintal B (10 tabs)</x:t>
        </x:is>
      </x:c>
      <x:c r="I391" t="inlineStr">
        <x:is>
          <x:t xml:space="preserve">รับประทานครั้งละ 1 เม็ด วันละ 3 ครั้ง หลังอาหารทันที</x:t>
        </x:is>
      </x:c>
      <x:c r="P391" t="inlineStr">
        <x:is>
          <x:t xml:space="preserve">General analgesics/antipyretics</x:t>
        </x:is>
      </x:c>
    </x:row>
    <x:row r="392">
      <x:c r="A392">
        <x:v>390</x:v>
      </x:c>
      <x:c r="B392" t="inlineStr">
        <x:is>
          <x:t xml:space="preserve">ยาแก้ปวด, ลดไข้ (D)</x:t>
        </x:is>
      </x:c>
      <x:c r="C392">
        <x:v>45600</x:v>
      </x:c>
      <x:c r="D392" t="inlineStr">
        <x:is>
          <x:t xml:space="preserve">Nurofen Zavance</x:t>
        </x:is>
      </x:c>
      <x:c r="E392" t="inlineStr">
        <x:is>
          <x:t xml:space="preserve">กล่อง 10 แคปซูล</x:t>
        </x:is>
      </x:c>
      <x:c r="F392" t="inlineStr">
        <x:is>
          <x:t xml:space="preserve">Ibuprofen 400 mg</x:t>
        </x:is>
      </x:c>
      <x:c r="G392" t="inlineStr">
        <x:is>
          <x:t xml:space="preserve">BDS045600</x:t>
        </x:is>
      </x:c>
      <x:c r="H392" t="inlineStr">
        <x:is>
          <x:t xml:space="preserve">Nurofen Zavance (10 cap)</x:t>
        </x:is>
      </x:c>
      <x:c r="I392" t="inlineStr">
        <x:is>
          <x:t xml:space="preserve">รับประทานครั้งละ 1 แคปซูล ทุก 6 ชั่วโมงเมื่อมีอาการ  </x:t>
        </x:is>
      </x:c>
      <x:c r="K392">
        <x:v>178</x:v>
      </x:c>
      <x:c r="L392">
        <x:v>17.8</x:v>
      </x:c>
      <x:c r="M392" t="inlineStr">
        <x:is>
          <x:t xml:space="preserve">https://bigya.co.th/product-detail/343</x:t>
        </x:is>
      </x:c>
      <x:c r="N392" t="inlineStr">
        <x:is>
          <x:t xml:space="preserve">2026-02-07</x:t>
        </x:is>
      </x:c>
      <x:c r="O392" t="inlineStr">
        <x:is>
          <x:t xml:space="preserve">Retail price at BIGYA (strip 10 softgel capsules).</x:t>
        </x:is>
      </x:c>
      <x:c r="P392" t="inlineStr">
        <x:is>
          <x:t xml:space="preserve">General analgesics/antipyretics</x:t>
        </x:is>
      </x:c>
    </x:row>
    <x:row r="393">
      <x:c r="A393">
        <x:v>391</x:v>
      </x:c>
      <x:c r="B393" t="inlineStr">
        <x:is>
          <x:t xml:space="preserve">ยาแก้ปวด, ลดไข้ (D)</x:t>
        </x:is>
      </x:c>
      <x:c r="C393">
        <x:v>2846</x:v>
      </x:c>
      <x:c r="D393" t="inlineStr">
        <x:is>
          <x:t xml:space="preserve">Nurofen-400</x:t>
        </x:is>
      </x:c>
      <x:c r="E393" t="inlineStr">
        <x:is>
          <x:t xml:space="preserve">แผง 6 เม็ด</x:t>
        </x:is>
      </x:c>
      <x:c r="F393" t="inlineStr">
        <x:is>
          <x:t xml:space="preserve">Ibuprofen 400 mg.</x:t>
        </x:is>
      </x:c>
      <x:c r="G393" t="inlineStr">
        <x:is>
          <x:t xml:space="preserve">BDS002846</x:t>
        </x:is>
      </x:c>
      <x:c r="H393" t="inlineStr">
        <x:is>
          <x:t xml:space="preserve">Nurofen-400 (6 tabs)</x:t>
        </x:is>
      </x:c>
      <x:c r="I393" t="inlineStr">
        <x:is>
          <x:t xml:space="preserve">รับประทานครั้งละ 1 เม็ด วันละ 3 ครั้ง หลังอาหารทันที</x:t>
        </x:is>
      </x:c>
      <x:c r="P393" t="inlineStr">
        <x:is>
          <x:t xml:space="preserve">General analgesics/antipyretics</x:t>
        </x:is>
      </x:c>
    </x:row>
    <x:row r="394">
      <x:c r="A394">
        <x:v>392</x:v>
      </x:c>
      <x:c r="B394" t="inlineStr">
        <x:is>
          <x:t xml:space="preserve">ยาแก้ปวด, ลดไข้ (D)</x:t>
        </x:is>
      </x:c>
      <x:c r="C394">
        <x:v>47673</x:v>
      </x:c>
      <x:c r="D394" t="inlineStr">
        <x:is>
          <x:t xml:space="preserve">Solufen 400</x:t>
        </x:is>
      </x:c>
      <x:c r="E394" t="inlineStr">
        <x:is>
          <x:t xml:space="preserve">กล่อง 10 แคปซูล</x:t>
        </x:is>
      </x:c>
      <x:c r="F394" t="inlineStr">
        <x:is>
          <x:t xml:space="preserve">Ibuprofen 400 mg.</x:t>
        </x:is>
      </x:c>
      <x:c r="G394" t="inlineStr">
        <x:is>
          <x:t xml:space="preserve">BDS047673</x:t>
        </x:is>
      </x:c>
      <x:c r="H394" t="inlineStr">
        <x:is>
          <x:t xml:space="preserve">Solufen 400 (10 cap)</x:t>
        </x:is>
      </x:c>
      <x:c r="I394" t="inlineStr">
        <x:is>
          <x:t xml:space="preserve">รับประทานครั้งละ 1 แคปซูล ทุก 4-6 ชั่วโมง </x:t>
        </x:is>
      </x:c>
      <x:c r="P394" t="inlineStr">
        <x:is>
          <x:t xml:space="preserve">General analgesics/antipyretics</x:t>
        </x:is>
      </x:c>
    </x:row>
    <x:row r="395">
      <x:c r="A395">
        <x:v>393</x:v>
      </x:c>
      <x:c r="B395" t="inlineStr">
        <x:is>
          <x:t xml:space="preserve">ยาอมแก้เจ็บคอ (D)</x:t>
        </x:is>
      </x:c>
      <x:c r="C395">
        <x:v>46200</x:v>
      </x:c>
      <x:c r="D395" t="inlineStr">
        <x:is>
          <x:t xml:space="preserve">Oral-VP tabslet</x:t>
        </x:is>
      </x:c>
      <x:c r="E395" t="inlineStr">
        <x:is>
          <x:t xml:space="preserve">ซอง 10 เม็ด</x:t>
        </x:is>
      </x:c>
      <x:c r="F395" t="inlineStr">
        <x:is>
          <x:t xml:space="preserve">Cetylpyridinium chloride 1.5 mg.</x:t>
        </x:is>
      </x:c>
      <x:c r="G395" t="inlineStr">
        <x:is>
          <x:t xml:space="preserve">BDS046200</x:t>
        </x:is>
      </x:c>
      <x:c r="H395" t="inlineStr">
        <x:is>
          <x:t xml:space="preserve">Oral-VP tabslet (10 tabs)</x:t>
        </x:is>
      </x:c>
      <x:c r="I395" t="inlineStr">
        <x:is>
          <x:t xml:space="preserve">อมให้ละลายช้าๆ ในปากเท่าที่ต้องการ </x:t>
        </x:is>
      </x:c>
    </x:row>
    <x:row r="396">
      <x:c r="A396">
        <x:v>394</x:v>
      </x:c>
      <x:c r="B396" t="inlineStr">
        <x:is>
          <x:t xml:space="preserve">ยาอมแก้เจ็บคอ (D)</x:t>
        </x:is>
      </x:c>
      <x:c r="C396">
        <x:v>3662</x:v>
      </x:c>
      <x:c r="D396" t="inlineStr">
        <x:is>
          <x:t xml:space="preserve">Strepsils Maxi Pluzz กล่อง 16s</x:t>
        </x:is>
      </x:c>
      <x:c r="E396" t="inlineStr">
        <x:is>
          <x:t xml:space="preserve">กล่อง 16 เม็ด</x:t>
        </x:is>
      </x:c>
      <x:c r="F396" t="inlineStr">
        <x:is>
          <x:t xml:space="preserve">2,4-ไดคลอโรเบนซิล แอลกอฮอล์ 1.2 มก.+ เอมิลเมแทครีซอล 0.6 มก. + ลิกโนเคน ไฮโดรคลอไรด์ 10.0 มก.</x:t>
        </x:is>
      </x:c>
      <x:c r="G396" t="inlineStr">
        <x:is>
          <x:t xml:space="preserve">BDS003662</x:t>
        </x:is>
      </x:c>
      <x:c r="H396" t="inlineStr">
        <x:is>
          <x:t xml:space="preserve">Strepsils Maxi Pluzz กล่อง 16s (16 tabs)</x:t>
        </x:is>
      </x:c>
      <x:c r="I396" t="inlineStr">
        <x:is>
          <x:t xml:space="preserve">รับประทาน (อม) ครั้งละ 1 เม็ด วันละ 3-5 ครั้ง หรือเมื่อมีอาการ</x:t>
        </x:is>
      </x:c>
    </x:row>
    <x:row r="397">
      <x:c r="A397">
        <x:v>395</x:v>
      </x:c>
      <x:c r="B397" t="inlineStr">
        <x:is>
          <x:t xml:space="preserve">ยาอมแก้เจ็บคอ (D)</x:t>
        </x:is>
      </x:c>
      <x:c r="C397">
        <x:v>3580</x:v>
      </x:c>
      <x:c r="D397" t="inlineStr">
        <x:is>
          <x:t xml:space="preserve">Strepsils Maxi Pluzz ซอง 6s</x:t>
        </x:is>
      </x:c>
      <x:c r="E397" t="inlineStr">
        <x:is>
          <x:t xml:space="preserve">ซอง 6 เม็ด</x:t>
        </x:is>
      </x:c>
      <x:c r="F397" t="inlineStr">
        <x:is>
          <x:t xml:space="preserve">2,4-Dichlorobenzyl alcohol 1.2 mg.+Amylmetacresol 0.6 mg.+Lidocain 10 mg.</x:t>
        </x:is>
      </x:c>
      <x:c r="G397" t="inlineStr">
        <x:is>
          <x:t xml:space="preserve">BDS003580</x:t>
        </x:is>
      </x:c>
      <x:c r="H397" t="inlineStr">
        <x:is>
          <x:t xml:space="preserve">Strepsils Maxi Pluzz ซอง 6s (6 tabs)</x:t>
        </x:is>
      </x:c>
      <x:c r="I397" t="inlineStr">
        <x:is>
          <x:t xml:space="preserve">รับประทาน (อม) ครั้งละ1-2 เม็ด วันละ 3-5 ครั้ง หรือเมื่อมีอาการ</x:t>
        </x:is>
      </x:c>
    </x:row>
    <x:row r="398">
      <x:c r="A398">
        <x:v>396</x:v>
      </x:c>
      <x:c r="B398" t="inlineStr">
        <x:is>
          <x:t xml:space="preserve">ยาอมแก้เจ็บคอ (D)</x:t>
        </x:is>
      </x:c>
      <x:c r="C398">
        <x:v>3772</x:v>
      </x:c>
      <x:c r="D398" t="inlineStr">
        <x:is>
          <x:t xml:space="preserve">Throatsil Plus ซอง 8s</x:t>
        </x:is>
      </x:c>
      <x:c r="E398" t="inlineStr">
        <x:is>
          <x:t xml:space="preserve">ซอง 8 เม็ด</x:t>
        </x:is>
      </x:c>
      <x:c r="F398" t="inlineStr">
        <x:is>
          <x:t xml:space="preserve">2,4-Dichlorobenzyl Alcohol 1.2 mg.+Amylmetacresol 0.6 mg.+Lignocaine HCl 10.0 mg.</x:t>
        </x:is>
      </x:c>
      <x:c r="G398" t="inlineStr">
        <x:is>
          <x:t xml:space="preserve">BDS003772</x:t>
        </x:is>
      </x:c>
      <x:c r="H398" t="inlineStr">
        <x:is>
          <x:t xml:space="preserve">Throatsil Plus ซอง 8s (8 tabs)</x:t>
        </x:is>
      </x:c>
      <x:c r="I398" t="inlineStr">
        <x:is>
          <x:t xml:space="preserve">รับประทาน (อม) ครั้งละ1-2 เม็ด วันละ 3-5 ครั้ง หรือเมื่อมีอาการ</x:t>
        </x:is>
      </x:c>
    </x:row>
    <x:row r="399">
      <x:c r="A399">
        <x:v>397</x:v>
      </x:c>
      <x:c r="B399" t="inlineStr">
        <x:is>
          <x:t xml:space="preserve">ผงเกลือแร่</x:t>
        </x:is>
      </x:c>
      <x:c r="C399">
        <x:v>8282</x:v>
      </x:c>
      <x:c r="D399" t="inlineStr">
        <x:is>
          <x:t xml:space="preserve">Cera ORS รสส้ม</x:t>
        </x:is>
      </x:c>
      <x:c r="E399" t="inlineStr">
        <x:is>
          <x:t xml:space="preserve">กล่อง 5 ซอง</x:t>
        </x:is>
      </x:c>
      <x:c r="F399" t="inlineStr">
        <x:is>
          <x:t xml:space="preserve">Glucose Anhydrous 3 g.+Sodium Chloride 0.53 g.+Potassium Chloride 0.23 g.+Sodium Citrate Dihydrate 0.44 g.</x:t>
        </x:is>
      </x:c>
      <x:c r="G399" t="inlineStr">
        <x:is>
          <x:t xml:space="preserve">BDS008282</x:t>
        </x:is>
      </x:c>
      <x:c r="H399" t="inlineStr">
        <x:is>
          <x:t xml:space="preserve">Cera ORS รสส้ม (5 sachets)</x:t>
        </x:is>
      </x:c>
      <x:c r="I399" t="inlineStr">
        <x:is>
          <x:t xml:space="preserve">ละลายครั้งละ 1 ซอง ต่อน้ำ 1 แก้ว (150 ml.) </x:t>
        </x:is>
      </x:c>
      <x:c r="P399" t="inlineStr">
        <x:is>
          <x:t xml:space="preserve">ORS / electrolytes</x:t>
        </x:is>
      </x:c>
    </x:row>
    <x:row r="400">
      <x:c r="A400">
        <x:v>398</x:v>
      </x:c>
      <x:c r="B400" t="inlineStr">
        <x:is>
          <x:t xml:space="preserve">ยาแก้เมารถ, เมาเรือ (D)</x:t>
        </x:is>
      </x:c>
      <x:c r="C400">
        <x:v>7141</x:v>
      </x:c>
      <x:c r="D400" t="inlineStr">
        <x:is>
          <x:t xml:space="preserve">Dimenhydrinate</x:t>
        </x:is>
      </x:c>
      <x:c r="E400" t="inlineStr">
        <x:is>
          <x:t xml:space="preserve">แผง 10 เม็ด</x:t>
        </x:is>
      </x:c>
      <x:c r="F400" t="inlineStr">
        <x:is>
          <x:t xml:space="preserve">Dimenhydrinate 50 mg.</x:t>
        </x:is>
      </x:c>
      <x:c r="G400" t="inlineStr">
        <x:is>
          <x:t xml:space="preserve">BDS007141</x:t>
        </x:is>
      </x:c>
      <x:c r="H400" t="inlineStr">
        <x:is>
          <x:t xml:space="preserve">Dimenhydrinate (10 tabs)</x:t>
        </x:is>
      </x:c>
      <x:c r="I400" t="inlineStr">
        <x:is>
          <x:t xml:space="preserve">รับประทานครั้งละ 1 เม็ด วันละ 3 ครั้งหรือก่อนเดินทาง 30 นาที</x:t>
        </x:is>
      </x:c>
    </x:row>
    <x:row r="401">
      <x:c r="A401">
        <x:v>399</x:v>
      </x:c>
      <x:c r="B401" t="inlineStr">
        <x:is>
          <x:t xml:space="preserve">ยาแก้เมารถ, เมาเรือ (D)</x:t>
        </x:is>
      </x:c>
      <x:c r="C401">
        <x:v>1663</x:v>
      </x:c>
      <x:c r="D401" t="inlineStr">
        <x:is>
          <x:t xml:space="preserve">Dramamine</x:t>
        </x:is>
      </x:c>
      <x:c r="E401" t="inlineStr">
        <x:is>
          <x:t xml:space="preserve">แผง 10 เม็ด</x:t>
        </x:is>
      </x:c>
      <x:c r="F401" t="inlineStr">
        <x:is>
          <x:t xml:space="preserve">Dimenhydrinate 50 mg.</x:t>
        </x:is>
      </x:c>
      <x:c r="G401" t="inlineStr">
        <x:is>
          <x:t xml:space="preserve">BDS001663</x:t>
        </x:is>
      </x:c>
      <x:c r="H401" t="inlineStr">
        <x:is>
          <x:t xml:space="preserve">Dramamine (10 tabs)</x:t>
        </x:is>
      </x:c>
      <x:c r="I401" t="inlineStr">
        <x:is>
          <x:t xml:space="preserve">รับประทานครั้งละ 1 เม็ด วันละ 3 ครั้ง ก่อนอาหาร 15-30 นาที หรือตามแพทย์สั่ง</x:t>
        </x:is>
      </x:c>
    </x:row>
    <x:row r="402">
      <x:c r="A402">
        <x:v>400</x:v>
      </x:c>
      <x:c r="B402" t="inlineStr">
        <x:is>
          <x:t xml:space="preserve">วิตามินบำรุงปลายประสาท</x:t>
        </x:is>
      </x:c>
      <x:c r="C402">
        <x:v>8272</x:v>
      </x:c>
      <x:c r="D402" t="inlineStr">
        <x:is>
          <x:t xml:space="preserve">Biotaplex-BC</x:t>
        </x:is>
      </x:c>
      <x:c r="E402" t="inlineStr">
        <x:is>
          <x:t xml:space="preserve">แผง 10 เม็ด</x:t>
        </x:is>
      </x:c>
      <x:c r="F402" t="inlineStr">
        <x:is>
          <x:t xml:space="preserve">Benfotiamine (Vit.B1) 69.15 mg+Riboflavin (Vit.B2) 5 mg+Pyridoxine HCl (Vit.B6) 5 mg+Cyanocobalamin (Vit.B12) 5 mcg+Vit.C 50 mg</x:t>
        </x:is>
      </x:c>
      <x:c r="G402" t="inlineStr">
        <x:is>
          <x:t xml:space="preserve">BDS008272</x:t>
        </x:is>
      </x:c>
      <x:c r="H402" t="inlineStr">
        <x:is>
          <x:t xml:space="preserve">Biotaplex-BC (10 tabs)</x:t>
        </x:is>
      </x:c>
      <x:c r="I402" t="inlineStr">
        <x:is>
          <x:t xml:space="preserve">รับประทานครั้งละ 1 เม็ด วันละ 1-2 ครั้ง หลังอาหาร</x:t>
        </x:is>
      </x:c>
    </x:row>
    <x:row r="403">
      <x:c r="A403">
        <x:v>401</x:v>
      </x:c>
      <x:c r="B403" t="inlineStr">
        <x:is>
          <x:t xml:space="preserve">วิตามินบำรุงปลายประสาท</x:t>
        </x:is>
      </x:c>
      <x:c r="C403">
        <x:v>2687</x:v>
      </x:c>
      <x:c r="D403" t="inlineStr">
        <x:is>
          <x:t xml:space="preserve">Mecze</x:t>
        </x:is>
      </x:c>
      <x:c r="E403" t="inlineStr">
        <x:is>
          <x:t xml:space="preserve">แผง 10 เม็ด</x:t>
        </x:is>
      </x:c>
      <x:c r="F403" t="inlineStr">
        <x:is>
          <x:t xml:space="preserve">Mecobalamin (Vit. B12) 500 mcg.</x:t>
        </x:is>
      </x:c>
      <x:c r="G403" t="inlineStr">
        <x:is>
          <x:t xml:space="preserve">BDS002687</x:t>
        </x:is>
      </x:c>
      <x:c r="H403" t="inlineStr">
        <x:is>
          <x:t xml:space="preserve">Mecze (10 tabs)</x:t>
        </x:is>
      </x:c>
      <x:c r="I403" t="inlineStr">
        <x:is>
          <x:t xml:space="preserve">รับประทานครั้งละ 1 เม็ด วันละ 3 ครั้ง หลังอาหาร </x:t>
        </x:is>
      </x:c>
    </x:row>
    <x:row r="404">
      <x:c r="A404">
        <x:v>402</x:v>
      </x:c>
      <x:c r="B404" t="inlineStr">
        <x:is>
          <x:t xml:space="preserve">วิตามินบำรุงปลายประสาท</x:t>
        </x:is>
      </x:c>
      <x:c r="C404">
        <x:v>44925</x:v>
      </x:c>
      <x:c r="D404" t="inlineStr">
        <x:is>
          <x:t xml:space="preserve">Mega Diavit</x:t>
        </x:is>
      </x:c>
      <x:c r="E404" t="inlineStr">
        <x:is>
          <x:t xml:space="preserve">กล่อง 10 แคปซูล</x:t>
        </x:is>
      </x:c>
      <x:c r="F404" t="inlineStr">
        <x:is>
          <x:t xml:space="preserve">Vit.B1 100 mg+ Vit.B6 200 mg+Methylcobalamin 500 mg+ Folic Acid 0.2 mg+Natural Vit.E 200 IU+ Natural Mixed Carotenoids 4 mg+Equivlent to Vit.A 5000 IU+ Vit.D3 400 IU+Copper 1 mg+Chromium 0.2 mg+Zinc 15 mg.</x:t>
        </x:is>
      </x:c>
      <x:c r="G404" t="inlineStr">
        <x:is>
          <x:t xml:space="preserve">BDS044925</x:t>
        </x:is>
      </x:c>
      <x:c r="H404" t="inlineStr">
        <x:is>
          <x:t xml:space="preserve">Mega Diavit (10 cap)</x:t>
        </x:is>
      </x:c>
      <x:c r="I404" t="inlineStr">
        <x:is>
          <x:t xml:space="preserve">รับประทานครั้งละ 1 แคปซูล วันละ 1-3 ครั้ง หลังอาหาร หรือตามแพทย์สั่ง</x:t>
        </x:is>
      </x:c>
    </x:row>
    <x:row r="405">
      <x:c r="A405">
        <x:v>403</x:v>
      </x:c>
      <x:c r="B405" t="inlineStr">
        <x:is>
          <x:t xml:space="preserve">วิตามินบำรุงปลายประสาท</x:t>
        </x:is>
      </x:c>
      <x:c r="C405">
        <x:v>2625</x:v>
      </x:c>
      <x:c r="D405" t="inlineStr">
        <x:is>
          <x:t xml:space="preserve">Methycobal 500</x:t>
        </x:is>
      </x:c>
      <x:c r="E405" t="inlineStr">
        <x:is>
          <x:t xml:space="preserve">แผง 10 เม็ด</x:t>
        </x:is>
      </x:c>
      <x:c r="F405" t="inlineStr">
        <x:is>
          <x:t xml:space="preserve">Mecobalamin (Vit. B12) 500 mcg.</x:t>
        </x:is>
      </x:c>
      <x:c r="G405" t="inlineStr">
        <x:is>
          <x:t xml:space="preserve">BDS002625</x:t>
        </x:is>
      </x:c>
      <x:c r="H405" t="inlineStr">
        <x:is>
          <x:t xml:space="preserve">Methycobal 500 (10 tabs)</x:t>
        </x:is>
      </x:c>
      <x:c r="I405" t="inlineStr">
        <x:is>
          <x:t xml:space="preserve">รับประทานครั้งละ 1 เม็ด วันละ 3 ครั้ง หลังอาหาร</x:t>
        </x:is>
      </x:c>
    </x:row>
    <x:row r="406">
      <x:c r="A406">
        <x:v>404</x:v>
      </x:c>
      <x:c r="B406" t="inlineStr">
        <x:is>
          <x:t xml:space="preserve">วิตามินบำรุงปลายประสาท</x:t>
        </x:is>
      </x:c>
      <x:c r="C406">
        <x:v>2822</x:v>
      </x:c>
      <x:c r="D406" t="inlineStr">
        <x:is>
          <x:t xml:space="preserve">Neurobion</x:t>
        </x:is>
      </x:c>
      <x:c r="E406" t="inlineStr">
        <x:is>
          <x:t xml:space="preserve">แผง 10 เม็ด</x:t>
        </x:is>
      </x:c>
      <x:c r="F406" t="inlineStr">
        <x:is>
          <x:t xml:space="preserve">Thiamine Disulfide (Vit.B1) 100 mg+Pyridoxine HCl (Vit.B6) 200 mg+Cyanocobalamin (Vit.B12) 200 mcg</x:t>
        </x:is>
      </x:c>
      <x:c r="G406" t="inlineStr">
        <x:is>
          <x:t xml:space="preserve">BDS002822</x:t>
        </x:is>
      </x:c>
      <x:c r="H406" t="inlineStr">
        <x:is>
          <x:t xml:space="preserve">Neurobion (10 tabs)</x:t>
        </x:is>
      </x:c>
      <x:c r="I406" t="inlineStr">
        <x:is>
          <x:t xml:space="preserve">รับประทานครั้งละ 1 เม็ด วันละ 1-3 ครั้ง หลังอาหาร หรือตามแพทย์สั่ง </x:t>
        </x:is>
      </x:c>
    </x:row>
    <x:row r="407">
      <x:c r="A407">
        <x:v>405</x:v>
      </x:c>
      <x:c r="B407" t="inlineStr">
        <x:is>
          <x:t xml:space="preserve">วิตามินบำรุงปลายประสาท</x:t>
        </x:is>
      </x:c>
      <x:c r="C407">
        <x:v>3007</x:v>
      </x:c>
      <x:c r="D407" t="inlineStr">
        <x:is>
          <x:t xml:space="preserve">One-Six-Twelve</x:t>
        </x:is>
      </x:c>
      <x:c r="E407" t="inlineStr">
        <x:is>
          <x:t xml:space="preserve">แผง 10 เม็ด</x:t>
        </x:is>
      </x:c>
      <x:c r="F407" t="inlineStr">
        <x:is>
          <x:t xml:space="preserve">Thiamine Mononitrate (Vit.B1) 100 mg+Pyridoxine HCl (Vit.B6) 5  mg+Cyanocobalamin (Vit.B12) 50 mcg</x:t>
        </x:is>
      </x:c>
      <x:c r="G407" t="inlineStr">
        <x:is>
          <x:t xml:space="preserve">BDS003007</x:t>
        </x:is>
      </x:c>
      <x:c r="H407" t="inlineStr">
        <x:is>
          <x:t xml:space="preserve">One-Six-Twelve (10 tabs)</x:t>
        </x:is>
      </x:c>
      <x:c r="I407" t="inlineStr">
        <x:is>
          <x:t xml:space="preserve">รับประทานครั้งละ 1 เม็ด วันละ 1 ครั้ง หลังอาหาร หรือตามแพทย์สั่ง </x:t>
        </x:is>
      </x:c>
    </x:row>
    <x:row r="408">
      <x:c r="A408">
        <x:v>406</x:v>
      </x:c>
      <x:c r="B408" t="inlineStr">
        <x:is>
          <x:t xml:space="preserve">วิตามินบำรุงปลายประสาท</x:t>
        </x:is>
      </x:c>
      <x:c r="C408">
        <x:v>8151</x:v>
      </x:c>
      <x:c r="D408" t="inlineStr">
        <x:is>
          <x:t xml:space="preserve">Sambee</x:t>
        </x:is>
      </x:c>
      <x:c r="E408" t="inlineStr">
        <x:is>
          <x:t xml:space="preserve">แผง 10 เม็ด</x:t>
        </x:is>
      </x:c>
      <x:c r="F408" t="inlineStr">
        <x:is>
          <x:t xml:space="preserve">Thiamine Mononitrate (Vit.B1) 100 mg+Pyridoxine HCl (Vit.B6) 5  mg+Cyanocobalamin (Vit.B12) 65 mcg</x:t>
        </x:is>
      </x:c>
      <x:c r="G408" t="inlineStr">
        <x:is>
          <x:t xml:space="preserve">BDS008151</x:t>
        </x:is>
      </x:c>
      <x:c r="H408" t="inlineStr">
        <x:is>
          <x:t xml:space="preserve">Sambee (10 tabs)</x:t>
        </x:is>
      </x:c>
      <x:c r="I408" t="inlineStr">
        <x:is>
          <x:t xml:space="preserve">รับประทานครั้งละ 1-2 เม็ด วันละ 2-3 ครั้ง หลังอาหาร หรือตามแพทย์สั่ง </x:t>
        </x:is>
      </x:c>
    </x:row>
    <x:row r="409">
      <x:c r="A409">
        <x:v>407</x:v>
      </x:c>
      <x:c r="B409" t="inlineStr">
        <x:is>
          <x:t xml:space="preserve">วิตามินบำรุงปลายประสาท</x:t>
        </x:is>
      </x:c>
      <x:c r="C409">
        <x:v>8708</x:v>
      </x:c>
      <x:c r="D409" t="inlineStr">
        <x:is>
          <x:t xml:space="preserve">Tri-Be-Sian</x:t>
        </x:is>
      </x:c>
      <x:c r="E409" t="inlineStr">
        <x:is>
          <x:t xml:space="preserve">แผง 10 เม็ด</x:t>
        </x:is>
      </x:c>
      <x:c r="F409" t="inlineStr">
        <x:is>
          <x:t xml:space="preserve">Thiamine Mononitrate (Vit.B1) 100 mg+Pyridoxine HCl (Vit.B6) 5  mg+Cyanocobalamin (Vit.B12) 50 mcg</x:t>
        </x:is>
      </x:c>
      <x:c r="G409" t="inlineStr">
        <x:is>
          <x:t xml:space="preserve">BDS008708</x:t>
        </x:is>
      </x:c>
      <x:c r="H409" t="inlineStr">
        <x:is>
          <x:t xml:space="preserve">Tri-Be-Sian (10 tabs)</x:t>
        </x:is>
      </x:c>
      <x:c r="I409" t="inlineStr">
        <x:is>
          <x:t xml:space="preserve">รับประทานครั้งละ 1 เม็ด วันละ 1-3 ครั้ง หลังอาหาร</x:t>
        </x:is>
      </x:c>
    </x:row>
    <x:row r="410">
      <x:c r="A410">
        <x:v>408</x:v>
      </x:c>
      <x:c r="B410" t="inlineStr">
        <x:is>
          <x:t xml:space="preserve">วิตามินบำรุงปลายประสาท</x:t>
        </x:is>
      </x:c>
      <x:c r="C410">
        <x:v>7809</x:v>
      </x:c>
      <x:c r="D410" t="inlineStr">
        <x:is>
          <x:t xml:space="preserve">Viboral</x:t>
        </x:is>
      </x:c>
      <x:c r="E410" t="inlineStr">
        <x:is>
          <x:t xml:space="preserve">แผง 10 เม็ด</x:t>
        </x:is>
      </x:c>
      <x:c r="F410" t="inlineStr">
        <x:is>
          <x:t xml:space="preserve">Thiamine Mononitrate (Vit.B1) 100 mg+Pyridoxine HCl (Vit.B6) 20  mg+Cyanocobalamin (Vit.B12) 100 mcg</x:t>
        </x:is>
      </x:c>
      <x:c r="G410" t="inlineStr">
        <x:is>
          <x:t xml:space="preserve">BDS007809</x:t>
        </x:is>
      </x:c>
      <x:c r="H410" t="inlineStr">
        <x:is>
          <x:t xml:space="preserve">Viboral (10 tabs)</x:t>
        </x:is>
      </x:c>
      <x:c r="I410" t="inlineStr">
        <x:is>
          <x:t xml:space="preserve">รับประทานครั้งละ 1 เม็ด วันละ 1-3 ครั้ง หลังอาหาร</x:t>
        </x:is>
      </x:c>
    </x:row>
    <x:row r="411">
      <x:c r="A411">
        <x:v>409</x:v>
      </x:c>
      <x:c r="B411" t="inlineStr">
        <x:is>
          <x:t xml:space="preserve">วิตามินบำรุงปลายประสาท</x:t>
        </x:is>
      </x:c>
      <x:c r="C411">
        <x:v>4007</x:v>
      </x:c>
      <x:c r="D411" t="inlineStr">
        <x:is>
          <x:t xml:space="preserve">Vitamin B1-B6-B12 (GPO)</x:t>
        </x:is>
      </x:c>
      <x:c r="E411" t="inlineStr">
        <x:is>
          <x:t xml:space="preserve">ขวด 100 เม็ด</x:t>
        </x:is>
      </x:c>
      <x:c r="F411" t="inlineStr">
        <x:is>
          <x:t xml:space="preserve">Vit.B1 100 mg+Vit.B6 7.5 mg+Vit.B12 75 mcg</x:t>
        </x:is>
      </x:c>
      <x:c r="G411" t="inlineStr">
        <x:is>
          <x:t xml:space="preserve">BDS004007</x:t>
        </x:is>
      </x:c>
      <x:c r="H411" t="inlineStr">
        <x:is>
          <x:t xml:space="preserve">Vitamin B1-B6-B12 (GPO) (100 tabs)</x:t>
        </x:is>
      </x:c>
      <x:c r="I411" t="inlineStr">
        <x:is>
          <x:t xml:space="preserve">รับประทานครั้งละ 1 เม็ด วันละ 1 ครั้ง หลังอาหาร หรือตามแพทย์สั่ง</x:t>
        </x:is>
      </x:c>
    </x:row>
    <x:row r="412">
      <x:c r="A412">
        <x:v>410</x:v>
      </x:c>
      <x:c r="B412" t="inlineStr">
        <x:is>
          <x:t xml:space="preserve">ยาลดกรด, เคลือบกระเพาะ (D)</x:t>
        </x:is>
      </x:c>
      <x:c r="C412">
        <x:v>2449</x:v>
      </x:c>
      <x:c r="D412" t="inlineStr">
        <x:is>
          <x:t xml:space="preserve">Kremil-S tabslet</x:t>
        </x:is>
      </x:c>
      <x:c r="E412" t="inlineStr">
        <x:is>
          <x:t xml:space="preserve">แผง 10 เม็ด</x:t>
        </x:is>
      </x:c>
      <x:c r="F412" t="inlineStr">
        <x:is>
          <x:t xml:space="preserve">AHMC(Aluminum Hydroxide 188.8 mg.+Magnesium Carbonate 136.2 mg.) 325 mg.+Simethicone 10 mg.+Dicyclomine HCl 2.5 mg.</x:t>
        </x:is>
      </x:c>
      <x:c r="G412" t="inlineStr">
        <x:is>
          <x:t xml:space="preserve">BDS002449</x:t>
        </x:is>
      </x:c>
      <x:c r="H412" t="inlineStr">
        <x:is>
          <x:t xml:space="preserve">Kremil-S tabslet (10 tabs)</x:t>
        </x:is>
      </x:c>
      <x:c r="I412" t="inlineStr">
        <x:is>
          <x:t xml:space="preserve">รับประทานครั้งละ 2-4 เม็ด ทุก 4 ชั่วโมง หรือตามแพทย์สั่ง</x:t>
        </x:is>
      </x:c>
    </x:row>
    <x:row r="413">
      <x:c r="A413">
        <x:v>411</x:v>
      </x:c>
      <x:c r="B413" t="inlineStr">
        <x:is>
          <x:t xml:space="preserve">ยาลดกรด, เคลือบกระเพาะ (D)</x:t>
        </x:is>
      </x:c>
      <x:c r="C413">
        <x:v>8766</x:v>
      </x:c>
      <x:c r="D413" t="inlineStr">
        <x:is>
          <x:t xml:space="preserve">Sulcain</x:t>
        </x:is>
      </x:c>
      <x:c r="E413" t="inlineStr">
        <x:is>
          <x:t xml:space="preserve">แผง 10 เม็ด</x:t>
        </x:is>
      </x:c>
      <x:c r="F413" t="inlineStr">
        <x:is>
          <x:t xml:space="preserve">Sulcain (Ethyl p-piperidylacetylaminobenzoate) 100 mg+Magcerin (Magnesia-alumina hydrate) 100 mg</x:t>
        </x:is>
      </x:c>
      <x:c r="G413" t="inlineStr">
        <x:is>
          <x:t xml:space="preserve">BDS008766</x:t>
        </x:is>
      </x:c>
      <x:c r="H413" t="inlineStr">
        <x:is>
          <x:t xml:space="preserve">Sulcain (10 tabs)</x:t>
        </x:is>
      </x:c>
      <x:c r="I413" t="inlineStr">
        <x:is>
          <x:t xml:space="preserve">รับประทานครั้งละ 2 เม็ด วันละ 3-4 ครั้ง</x:t>
        </x:is>
      </x:c>
    </x:row>
    <x:row r="414">
      <x:c r="A414">
        <x:v>412</x:v>
      </x:c>
      <x:c r="B414" t="inlineStr">
        <x:is>
          <x:t xml:space="preserve">ยาขับลม (D)</x:t>
        </x:is>
      </x:c>
      <x:c r="C414">
        <x:v>1038</x:v>
      </x:c>
      <x:c r="D414" t="inlineStr">
        <x:is>
          <x:t xml:space="preserve">Avarin</x:t>
        </x:is>
      </x:c>
      <x:c r="E414" t="inlineStr">
        <x:is>
          <x:t xml:space="preserve">กล่อง 10 แคปซูล</x:t>
        </x:is>
      </x:c>
      <x:c r="F414" t="inlineStr">
        <x:is>
          <x:t xml:space="preserve">Simethicone 300 mg.+Alverine Citrate 60 mg.</x:t>
        </x:is>
      </x:c>
      <x:c r="G414" t="inlineStr">
        <x:is>
          <x:t xml:space="preserve">BDS001038</x:t>
        </x:is>
      </x:c>
      <x:c r="H414" t="inlineStr">
        <x:is>
          <x:t xml:space="preserve">Avarin (10 cap)</x:t>
        </x:is>
      </x:c>
      <x:c r="I414" t="inlineStr">
        <x:is>
          <x:t xml:space="preserve">รับประทานครั้งละ 1 แคปซูล วันละ 3  ครั้ง หลังอาหาร</x:t>
        </x:is>
      </x:c>
      <x:c r="P414" t="inlineStr">
        <x:is>
          <x:t xml:space="preserve">Carminatives (gas relief)</x:t>
        </x:is>
      </x:c>
    </x:row>
    <x:row r="415">
      <x:c r="A415">
        <x:v>413</x:v>
      </x:c>
      <x:c r="B415" t="inlineStr">
        <x:is>
          <x:t xml:space="preserve">ยาขับลม (D)</x:t>
        </x:is>
      </x:c>
      <x:c r="C415">
        <x:v>1234</x:v>
      </x:c>
      <x:c r="D415" t="inlineStr">
        <x:is>
          <x:t xml:space="preserve">Berclomin tabs</x:t>
        </x:is>
      </x:c>
      <x:c r="E415" t="inlineStr">
        <x:is>
          <x:t xml:space="preserve">แผง 10 เม็ด</x:t>
        </x:is>
      </x:c>
      <x:c r="F415" t="inlineStr">
        <x:is>
          <x:t xml:space="preserve">Dicyclomine 10 mg.+Simethicone 100 mg.</x:t>
        </x:is>
      </x:c>
      <x:c r="G415" t="inlineStr">
        <x:is>
          <x:t xml:space="preserve">BDS001234</x:t>
        </x:is>
      </x:c>
      <x:c r="H415" t="inlineStr">
        <x:is>
          <x:t xml:space="preserve">Berclomin tabs (10 tabs)</x:t>
        </x:is>
      </x:c>
      <x:c r="I415" t="inlineStr">
        <x:is>
          <x:t xml:space="preserve">รับประทานครั้งละ 1-2 เม็ด วันละ 3-4 ครั้ง ก่อนอาหาร</x:t>
        </x:is>
      </x:c>
      <x:c r="P415" t="inlineStr">
        <x:is>
          <x:t xml:space="preserve">Carminatives (gas relief)</x:t>
        </x:is>
      </x:c>
    </x:row>
    <x:row r="416">
      <x:c r="A416">
        <x:v>414</x:v>
      </x:c>
      <x:c r="B416" t="inlineStr">
        <x:is>
          <x:t xml:space="preserve">ยาขับลม (D)</x:t>
        </x:is>
      </x:c>
      <x:c r="C416">
        <x:v>44943</x:v>
      </x:c>
      <x:c r="D416" t="inlineStr">
        <x:is>
          <x:t xml:space="preserve">Meteospasmyl </x:t>
        </x:is>
      </x:c>
      <x:c r="E416" t="inlineStr">
        <x:is>
          <x:t xml:space="preserve">แผง 10 เม็ด</x:t>
        </x:is>
      </x:c>
      <x:c r="F416" t="inlineStr">
        <x:is>
          <x:t xml:space="preserve">Alverine Citrate 60 mg +Simethicone 300 mg</x:t>
        </x:is>
      </x:c>
      <x:c r="G416" t="inlineStr">
        <x:is>
          <x:t xml:space="preserve">BDS044943</x:t>
        </x:is>
      </x:c>
      <x:c r="H416" t="inlineStr">
        <x:is>
          <x:t xml:space="preserve">Meteospasmyl  (10 tabs)</x:t>
        </x:is>
      </x:c>
      <x:c r="I416" t="inlineStr">
        <x:is>
          <x:t xml:space="preserve">รับประทานครั้งละ 1 แคปซูล วันละ 3  ครั้ง หลังอาหาร</x:t>
        </x:is>
      </x:c>
      <x:c r="P416" t="inlineStr">
        <x:is>
          <x:t xml:space="preserve">Carminatives (gas relief)</x:t>
        </x:is>
      </x:c>
    </x:row>
    <x:row r="417">
      <x:c r="A417">
        <x:v>415</x:v>
      </x:c>
      <x:c r="B417" t="inlineStr">
        <x:is>
          <x:t xml:space="preserve">ยาฆ่าพยาธิ (D)</x:t>
        </x:is>
      </x:c>
      <x:c r="C417">
        <x:v>8455</x:v>
      </x:c>
      <x:c r="D417" t="inlineStr">
        <x:is>
          <x:t xml:space="preserve">CB-400</x:t>
        </x:is>
      </x:c>
      <x:c r="E417" t="inlineStr">
        <x:is>
          <x:t xml:space="preserve">กล่อง 1 เม็ด</x:t>
        </x:is>
      </x:c>
      <x:c r="F417" t="inlineStr">
        <x:is>
          <x:t xml:space="preserve">Albendazole 400 mg.</x:t>
        </x:is>
      </x:c>
      <x:c r="G417" t="inlineStr">
        <x:is>
          <x:t xml:space="preserve">BDS008455</x:t>
        </x:is>
      </x:c>
      <x:c r="H417" t="inlineStr">
        <x:is>
          <x:t xml:space="preserve">CB-400 (1 tab)</x:t>
        </x:is>
      </x:c>
      <x:c r="I417" t="inlineStr">
        <x:is>
          <x:t xml:space="preserve">สำหรับพยาธิตัวกลม รับประทานครั้งละ 1 เม็ด วันละ 1 ครั้ง</x:t>
        </x:is>
      </x:c>
      <x:c r="P417" t="inlineStr">
        <x:is>
          <x:t xml:space="preserve">Antiparasitics / deworming</x:t>
        </x:is>
      </x:c>
    </x:row>
    <x:row r="418">
      <x:c r="A418">
        <x:v>416</x:v>
      </x:c>
      <x:c r="B418" t="inlineStr">
        <x:is>
          <x:t xml:space="preserve">ยาฆ่าพยาธิ (D)</x:t>
        </x:is>
      </x:c>
      <x:c r="C418">
        <x:v>2104</x:v>
      </x:c>
      <x:c r="D418" t="inlineStr">
        <x:is>
          <x:t xml:space="preserve">Hexin ฆ่าพยาธิ</x:t>
        </x:is>
      </x:c>
      <x:c r="E418" t="inlineStr">
        <x:is>
          <x:t xml:space="preserve">แผง 4 เม็ด</x:t>
        </x:is>
      </x:c>
      <x:c r="F418" t="inlineStr">
        <x:is>
          <x:t xml:space="preserve">Niclosamide 500 mg.+Phenolphthalein 75 mg.</x:t>
        </x:is>
      </x:c>
      <x:c r="G418" t="inlineStr">
        <x:is>
          <x:t xml:space="preserve">BDS002104</x:t>
        </x:is>
      </x:c>
      <x:c r="H418" t="inlineStr">
        <x:is>
          <x:t xml:space="preserve">Hexin ฆ่าพยาธิ (4 tabs)</x:t>
        </x:is>
      </x:c>
      <x:c r="I418" t="inlineStr">
        <x:is>
          <x:t xml:space="preserve">ผู้ใหญ่รับประทาน (เคี้ยว) ครั้งละ 4 เม็ด วันละ 1 ครั้ง ก่อนนอน </x:t>
        </x:is>
      </x:c>
      <x:c r="P418" t="inlineStr">
        <x:is>
          <x:t xml:space="preserve">Antiparasitics / deworming</x:t>
        </x:is>
      </x:c>
    </x:row>
    <x:row r="419">
      <x:c r="A419">
        <x:v>417</x:v>
      </x:c>
      <x:c r="B419" t="inlineStr">
        <x:is>
          <x:t xml:space="preserve">ยาฆ่าพยาธิ (D)</x:t>
        </x:is>
      </x:c>
      <x:c r="C419">
        <x:v>4217</x:v>
      </x:c>
      <x:c r="D419" t="inlineStr">
        <x:is>
          <x:t xml:space="preserve">Zentel 400 mg</x:t>
        </x:is>
      </x:c>
      <x:c r="E419" t="inlineStr">
        <x:is>
          <x:t xml:space="preserve">กล่อง 1 เม็ด</x:t>
        </x:is>
      </x:c>
      <x:c r="F419" t="inlineStr">
        <x:is>
          <x:t xml:space="preserve">Albendazole 400 mg.</x:t>
        </x:is>
      </x:c>
      <x:c r="G419" t="inlineStr">
        <x:is>
          <x:t xml:space="preserve">BDS004217</x:t>
        </x:is>
      </x:c>
      <x:c r="H419" t="inlineStr">
        <x:is>
          <x:t xml:space="preserve">Zentel 400 mg (1 tab)</x:t>
        </x:is>
      </x:c>
      <x:c r="I419" t="inlineStr">
        <x:is>
          <x:t xml:space="preserve">สำหรับพยาธิตัวกลม รับประทานครั้งละ 1 เม็ด วันละ 1 ครั้ง</x:t>
        </x:is>
      </x:c>
      <x:c r="P419" t="inlineStr">
        <x:is>
          <x:t xml:space="preserve">Antiparasitics / deworming</x:t>
        </x:is>
      </x:c>
    </x:row>
    <x:row r="420">
      <x:c r="A420">
        <x:v>418</x:v>
      </x:c>
      <x:c r="B420" t="inlineStr">
        <x:is>
          <x:t xml:space="preserve">ยาช่วยย่อยอาหาร</x:t>
        </x:is>
      </x:c>
      <x:c r="C420">
        <x:v>1465</x:v>
      </x:c>
      <x:c r="D420" t="inlineStr">
        <x:is>
          <x:t xml:space="preserve">Combizym</x:t>
        </x:is>
      </x:c>
      <x:c r="E420" t="inlineStr">
        <x:is>
          <x:t xml:space="preserve">แผง 10 เม็ด</x:t>
        </x:is>
      </x:c>
      <x:c r="F420" t="inlineStr">
        <x:is>
          <x:t xml:space="preserve">(Cellulase+Protease+Amylase) 24 mg.+(Lipase+Protease+Amylase) 220 mg.</x:t>
        </x:is>
      </x:c>
      <x:c r="G420" t="inlineStr">
        <x:is>
          <x:t xml:space="preserve">BDS001465</x:t>
        </x:is>
      </x:c>
      <x:c r="H420" t="inlineStr">
        <x:is>
          <x:t xml:space="preserve">Combizym (10 tabs)</x:t>
        </x:is>
      </x:c>
      <x:c r="I420" t="inlineStr">
        <x:is>
          <x:t xml:space="preserve">รับประทานครั้งละ 1-2 เม็ด วันละ 3 ครั้ง หลังอาหาร</x:t>
        </x:is>
      </x:c>
      <x:c r="P420" t="inlineStr">
        <x:is>
          <x:t xml:space="preserve">Digestive aids</x:t>
        </x:is>
      </x:c>
    </x:row>
    <x:row r="421">
      <x:c r="A421">
        <x:v>419</x:v>
      </x:c>
      <x:c r="B421" t="inlineStr">
        <x:is>
          <x:t xml:space="preserve">ยาช่วยย่อยอาหาร</x:t>
        </x:is>
      </x:c>
      <x:c r="C421">
        <x:v>1636</x:v>
      </x:c>
      <x:c r="D421" t="inlineStr">
        <x:is>
          <x:t xml:space="preserve">Diasgest</x:t>
        </x:is>
      </x:c>
      <x:c r="E421" t="inlineStr">
        <x:is>
          <x:t xml:space="preserve">แผง 10 เม็ด</x:t>
        </x:is>
      </x:c>
      <x:c r="F421" t="inlineStr">
        <x:is>
          <x:t xml:space="preserve">diastase 50 mg+Aluminium magnesium silicate 100 mg+Sodium bicarbonate 60 mg+Calcium carbonate </x:t>
        </x:is>
      </x:c>
      <x:c r="G421" t="inlineStr">
        <x:is>
          <x:t xml:space="preserve">BDS001636</x:t>
        </x:is>
      </x:c>
      <x:c r="H421" t="inlineStr">
        <x:is>
          <x:t xml:space="preserve">Diasgest (10 tabs)</x:t>
        </x:is>
      </x:c>
      <x:c r="I421" t="inlineStr">
        <x:is>
          <x:t xml:space="preserve">รับประทานครั้งละ 1-2 เม็ด วันละ 3 ครั้ง หลังอาหาร หรือเมื่อมีอาการ</x:t>
        </x:is>
      </x:c>
      <x:c r="P421" t="inlineStr">
        <x:is>
          <x:t xml:space="preserve">Digestive aids</x:t>
        </x:is>
      </x:c>
    </x:row>
    <x:row r="422">
      <x:c r="A422">
        <x:v>420</x:v>
      </x:c>
      <x:c r="B422" t="inlineStr">
        <x:is>
          <x:t xml:space="preserve">ยาช่วยย่อยอาหาร</x:t>
        </x:is>
      </x:c>
      <x:c r="C422">
        <x:v>2043</x:v>
      </x:c>
      <x:c r="D422" t="inlineStr">
        <x:is>
          <x:t xml:space="preserve">Gaszym</x:t>
        </x:is>
      </x:c>
      <x:c r="E422" t="inlineStr">
        <x:is>
          <x:t xml:space="preserve">แผง 10 เม็ด</x:t>
        </x:is>
      </x:c>
      <x:c r="F422" t="inlineStr">
        <x:is>
          <x:t xml:space="preserve">Simethicone 60 mg.+Pancreatin 4NF 200 mg.</x:t>
        </x:is>
      </x:c>
      <x:c r="G422" t="inlineStr">
        <x:is>
          <x:t xml:space="preserve">BDS002043</x:t>
        </x:is>
      </x:c>
      <x:c r="H422" t="inlineStr">
        <x:is>
          <x:t xml:space="preserve">Gaszym (10 tabs)</x:t>
        </x:is>
      </x:c>
      <x:c r="I422" t="inlineStr">
        <x:is>
          <x:t xml:space="preserve">รับประทานครั้งละ 1-2 เม็ด วันละ 3 ครั้ง หลังอาหารทันที หรือเมื่อมีอาการ</x:t>
        </x:is>
      </x:c>
      <x:c r="P422" t="inlineStr">
        <x:is>
          <x:t xml:space="preserve">Digestive aids</x:t>
        </x:is>
      </x:c>
    </x:row>
    <x:row r="423">
      <x:c r="A423">
        <x:v>421</x:v>
      </x:c>
      <x:c r="B423" t="inlineStr">
        <x:is>
          <x:t xml:space="preserve">ยาช่วยย่อยอาหาร</x:t>
        </x:is>
      </x:c>
      <x:c r="C423">
        <x:v>2681</x:v>
      </x:c>
      <x:c r="D423" t="inlineStr">
        <x:is>
          <x:t xml:space="preserve">Magesto-F bottle 100s</x:t>
        </x:is>
      </x:c>
      <x:c r="E423" t="inlineStr">
        <x:is>
          <x:t xml:space="preserve">ขวด 100 เม็ด</x:t>
        </x:is>
      </x:c>
      <x:c r="F423" t="inlineStr">
        <x:is>
          <x:t xml:space="preserve">Mamylase+Thiamine mononitrate+Diastase+Scopolia extract+Calcium carbonate</x:t>
        </x:is>
      </x:c>
      <x:c r="G423" t="inlineStr">
        <x:is>
          <x:t xml:space="preserve">BDS002681</x:t>
        </x:is>
      </x:c>
      <x:c r="H423" t="inlineStr">
        <x:is>
          <x:t xml:space="preserve">Magesto-F bottle 100s (100 tabs)</x:t>
        </x:is>
      </x:c>
      <x:c r="I423" t="inlineStr">
        <x:is>
          <x:t xml:space="preserve">รับประทานครั้งละ 2-4 เม็ด วันละ 3 ครั้ง หลังอาหาร</x:t>
        </x:is>
      </x:c>
      <x:c r="P423" t="inlineStr">
        <x:is>
          <x:t xml:space="preserve">Digestive aids</x:t>
        </x:is>
      </x:c>
    </x:row>
    <x:row r="424">
      <x:c r="A424">
        <x:v>422</x:v>
      </x:c>
      <x:c r="B424" t="inlineStr">
        <x:is>
          <x:t xml:space="preserve">ยาช่วยย่อยอาหาร</x:t>
        </x:is>
      </x:c>
      <x:c r="C424">
        <x:v>2224</x:v>
      </x:c>
      <x:c r="D424" t="inlineStr">
        <x:is>
          <x:t xml:space="preserve">Magesto-F sachet 10s</x:t>
        </x:is>
      </x:c>
      <x:c r="E424" t="inlineStr">
        <x:is>
          <x:t xml:space="preserve">ซอง 10 เม็ด</x:t>
        </x:is>
      </x:c>
      <x:c r="F424" t="inlineStr">
        <x:is>
          <x:t xml:space="preserve">Mamylase+Thiamine mononitrate+Diastase+Scopolia extract+Calcium carbonate</x:t>
        </x:is>
      </x:c>
      <x:c r="G424" t="inlineStr">
        <x:is>
          <x:t xml:space="preserve">BDS002224</x:t>
        </x:is>
      </x:c>
      <x:c r="H424" t="inlineStr">
        <x:is>
          <x:t xml:space="preserve">Magesto-F sachet 10s (10 tabs)</x:t>
        </x:is>
      </x:c>
      <x:c r="I424" t="inlineStr">
        <x:is>
          <x:t xml:space="preserve">รับประทานครั้งละ 2-4 เม็ด วันละ 3 ครั้ง หลังอาหาร</x:t>
        </x:is>
      </x:c>
      <x:c r="P424" t="inlineStr">
        <x:is>
          <x:t xml:space="preserve">Digestive aids</x:t>
        </x:is>
      </x:c>
    </x:row>
    <x:row r="425">
      <x:c r="A425">
        <x:v>423</x:v>
      </x:c>
      <x:c r="B425" t="inlineStr">
        <x:is>
          <x:t xml:space="preserve">ยาอมละลายเสมหะ</x:t>
        </x:is>
      </x:c>
      <x:c r="C425">
        <x:v>3591</x:v>
      </x:c>
      <x:c r="D425" t="inlineStr">
        <x:is>
          <x:t xml:space="preserve">Strepsils Chesty Cough ซอง 8s</x:t>
        </x:is>
      </x:c>
      <x:c r="E425" t="inlineStr">
        <x:is>
          <x:t xml:space="preserve">ซอง 8 เม็ด</x:t>
        </x:is>
      </x:c>
      <x:c r="F425" t="inlineStr">
        <x:is>
          <x:t xml:space="preserve">Ambroxol HCl 15 mg.</x:t>
        </x:is>
      </x:c>
      <x:c r="G425" t="inlineStr">
        <x:is>
          <x:t xml:space="preserve">BDS003591</x:t>
        </x:is>
      </x:c>
      <x:c r="H425" t="inlineStr">
        <x:is>
          <x:t xml:space="preserve">Strepsils Chesty Cough ซอง 8s (8 tabs)</x:t>
        </x:is>
      </x:c>
      <x:c r="I425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6">
      <x:c r="A426">
        <x:v>424</x:v>
      </x:c>
      <x:c r="B426" t="inlineStr">
        <x:is>
          <x:t xml:space="preserve">ยาอมละลายเสมหะ</x:t>
        </x:is>
      </x:c>
      <x:c r="C426">
        <x:v>3642</x:v>
      </x:c>
      <x:c r="D426" t="inlineStr">
        <x:is>
          <x:t xml:space="preserve">Strepsils Throat Irritation &amp; Cough กล่อง 24s</x:t>
        </x:is>
      </x:c>
      <x:c r="E426" t="inlineStr">
        <x:is>
          <x:t xml:space="preserve">กล่อง 24 เม็ด</x:t>
        </x:is>
      </x:c>
      <x:c r="F426" t="inlineStr">
        <x:is>
          <x:t xml:space="preserve">Ambroxol HCl 15 mg.</x:t>
        </x:is>
      </x:c>
      <x:c r="G426" t="inlineStr">
        <x:is>
          <x:t xml:space="preserve">BDS003642</x:t>
        </x:is>
      </x:c>
      <x:c r="H426" t="inlineStr">
        <x:is>
          <x:t xml:space="preserve">Strepsils Throat Irritation &amp; Cough กล่อง 24s (24 tabs)</x:t>
        </x:is>
      </x:c>
      <x:c r="I426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7">
      <x:c r="A427">
        <x:v>425</x:v>
      </x:c>
      <x:c r="B427" t="inlineStr">
        <x:is>
          <x:t xml:space="preserve">ยาอมละลายเสมหะ</x:t>
        </x:is>
      </x:c>
      <x:c r="C427">
        <x:v>3641</x:v>
      </x:c>
      <x:c r="D427" t="inlineStr">
        <x:is>
          <x:t xml:space="preserve">Strepsils Throat Irritation &amp; Cough ซอง 8s</x:t>
        </x:is>
      </x:c>
      <x:c r="E427" t="inlineStr">
        <x:is>
          <x:t xml:space="preserve">ซอง 8 เม็ด</x:t>
        </x:is>
      </x:c>
      <x:c r="F427" t="inlineStr">
        <x:is>
          <x:t xml:space="preserve">Ambroxol HCl 15 mg.</x:t>
        </x:is>
      </x:c>
      <x:c r="G427" t="inlineStr">
        <x:is>
          <x:t xml:space="preserve">BDS003641</x:t>
        </x:is>
      </x:c>
      <x:c r="H427" t="inlineStr">
        <x:is>
          <x:t xml:space="preserve">Strepsils Throat Irritation &amp; Cough ซอง 8s (8 tabs)</x:t>
        </x:is>
      </x:c>
      <x:c r="I427" t="inlineStr">
        <x:is>
          <x:t xml:space="preserve">รับประทาน (อม) ครั้งละ 1 เม็ด ติดต่อกัน 2 เม็ด วันละ 3 ครั้ง</x:t>
        </x:is>
      </x:c>
    </x:row>
    <x:row r="428">
      <x:c r="A428">
        <x:v>426</x:v>
      </x:c>
      <x:c r="B428" t="inlineStr">
        <x:is>
          <x:t xml:space="preserve">ยาแก้ปวด, ลดไข้ ชนิดน้ำ (D)</x:t>
        </x:is>
      </x:c>
      <x:c r="C428">
        <x:v>1665</x:v>
      </x:c>
      <x:c r="D428" t="inlineStr">
        <x:is>
          <x:t xml:space="preserve">Duran Suspension</x:t>
        </x:is>
      </x:c>
      <x:c r="E428" t="inlineStr">
        <x:is>
          <x:t xml:space="preserve">ขวด 60 ml.</x:t>
        </x:is>
      </x:c>
      <x:c r="F428" t="inlineStr">
        <x:is>
          <x:t xml:space="preserve">Ibuprofen 100 mg./5 ml.</x:t>
        </x:is>
      </x:c>
      <x:c r="G428" t="inlineStr">
        <x:is>
          <x:t xml:space="preserve">BDS001665</x:t>
        </x:is>
      </x:c>
      <x:c r="H428" t="inlineStr">
        <x:is>
          <x:t xml:space="preserve">Duran Suspension (60 ml.)</x:t>
        </x:is>
      </x:c>
      <x:c r="I428" t="inlineStr">
        <x:is>
          <x:t xml:space="preserve">รับประทานครั้งละ 1-2 ช้อนชา วันละ 4 ครั้ง หลังอาหาร หรือตามแพทย์สั่ง</x:t>
        </x:is>
      </x:c>
      <x:c r="P428" t="inlineStr">
        <x:is>
          <x:t xml:space="preserve">General analgesics/antipyretics</x:t>
        </x:is>
      </x:c>
    </x:row>
    <x:row r="429">
      <x:c r="A429">
        <x:v>427</x:v>
      </x:c>
      <x:c r="B429" t="inlineStr">
        <x:is>
          <x:t xml:space="preserve">ยาแก้ปวด, ลดไข้ ชนิดน้ำ (D)</x:t>
        </x:is>
      </x:c>
      <x:c r="C429">
        <x:v>7151</x:v>
      </x:c>
      <x:c r="D429" t="inlineStr">
        <x:is>
          <x:t xml:space="preserve">Ibukids Suspension</x:t>
        </x:is>
      </x:c>
      <x:c r="E429" t="inlineStr">
        <x:is>
          <x:t xml:space="preserve">ขวด 60 ml.</x:t>
        </x:is>
      </x:c>
      <x:c r="F429" t="inlineStr">
        <x:is>
          <x:t xml:space="preserve">Ibuprofen 100 mg./5 ml.</x:t>
        </x:is>
      </x:c>
      <x:c r="G429" t="inlineStr">
        <x:is>
          <x:t xml:space="preserve">BDS007151</x:t>
        </x:is>
      </x:c>
      <x:c r="H429" t="inlineStr">
        <x:is>
          <x:t xml:space="preserve">Ibukids Suspension (60 ml.)</x:t>
        </x:is>
      </x:c>
      <x:c r="I429" t="inlineStr">
        <x:is>
          <x:t xml:space="preserve">เด็กโตรับประทานครั้งละ 2 ช้อนชา วันละ 3 ครั้ง หลังอาหาร</x:t>
        </x:is>
      </x:c>
      <x:c r="P429" t="inlineStr">
        <x:is>
          <x:t xml:space="preserve">General analgesics/antipyretics</x:t>
        </x:is>
      </x:c>
    </x:row>
    <x:row r="430">
      <x:c r="A430">
        <x:v>428</x:v>
      </x:c>
      <x:c r="B430" t="inlineStr">
        <x:is>
          <x:t xml:space="preserve">ยาแก้ปวด, ลดไข้ ชนิดน้ำ (D)</x:t>
        </x:is>
      </x:c>
      <x:c r="C430">
        <x:v>2845</x:v>
      </x:c>
      <x:c r="D430" t="inlineStr">
        <x:is>
          <x:t xml:space="preserve">Nurofen Suspension</x:t>
        </x:is>
      </x:c>
      <x:c r="E430" t="inlineStr">
        <x:is>
          <x:t xml:space="preserve">ขวด 60 ml.</x:t>
        </x:is>
      </x:c>
      <x:c r="F430" t="inlineStr">
        <x:is>
          <x:t xml:space="preserve">Ibuprofen 100 mg./5 ml.</x:t>
        </x:is>
      </x:c>
      <x:c r="G430" t="inlineStr">
        <x:is>
          <x:t xml:space="preserve">BDS002845</x:t>
        </x:is>
      </x:c>
      <x:c r="H430" t="inlineStr">
        <x:is>
          <x:t xml:space="preserve">Nurofen Suspension (60 ml.)</x:t>
        </x:is>
      </x:c>
      <x:c r="I430" t="inlineStr">
        <x:is>
          <x:t xml:space="preserve">รับประทานครั้งละ 1-2 ช้อนชา วันละ 3-4 ครั้ง หลังอาหาร</x:t>
        </x:is>
      </x:c>
      <x:c r="P430" t="inlineStr">
        <x:is>
          <x:t xml:space="preserve">General analgesics/antipyretics</x:t>
        </x:is>
      </x:c>
    </x:row>
    <x:row r="431">
      <x:c r="A431">
        <x:v>429</x:v>
      </x:c>
      <x:c r="B431" t="inlineStr">
        <x:is>
          <x:t xml:space="preserve">ยาละลายเสมหะ ชนิดน้ำ (D)</x:t>
        </x:is>
      </x:c>
      <x:c r="C431">
        <x:v>7031</x:v>
      </x:c>
      <x:c r="D431" t="inlineStr">
        <x:is>
          <x:t xml:space="preserve">Bromhexine Syrup</x:t>
        </x:is>
      </x:c>
      <x:c r="E431" t="inlineStr">
        <x:is>
          <x:t xml:space="preserve">ขวด 60 ml.</x:t>
        </x:is>
      </x:c>
      <x:c r="F431" t="inlineStr">
        <x:is>
          <x:t xml:space="preserve">Bromhexine HCl 4 mg./5 ml.</x:t>
        </x:is>
      </x:c>
      <x:c r="G431" t="inlineStr">
        <x:is>
          <x:t xml:space="preserve">BDS007031</x:t>
        </x:is>
      </x:c>
      <x:c r="H431" t="inlineStr">
        <x:is>
          <x:t xml:space="preserve">Bromhexine Syrup (60 ml.)</x:t>
        </x:is>
      </x:c>
      <x:c r="I431" t="inlineStr">
        <x:is>
          <x:t xml:space="preserve">เด็กอายุ 5-10 ปี รับประทานครั้งละ 1 ช้อนชา วันละ 3 ครั้ง</x:t>
        </x:is>
      </x:c>
      <x:c r="P431" t="inlineStr">
        <x:is>
          <x:t xml:space="preserve">Cough medicines / mucolytics / expectorants</x:t>
        </x:is>
      </x:c>
    </x:row>
    <x:row r="432">
      <x:c r="A432">
        <x:v>430</x:v>
      </x:c>
      <x:c r="B432" t="inlineStr">
        <x:is>
          <x:t xml:space="preserve">ยาแก้ปวดเกร็งท้อง ชนิดน้ำ (D)</x:t>
        </x:is>
      </x:c>
      <x:c r="C432">
        <x:v>8325</x:v>
      </x:c>
      <x:c r="D432" t="inlineStr">
        <x:is>
          <x:t xml:space="preserve">Oscin Syrup</x:t>
        </x:is>
      </x:c>
      <x:c r="E432" t="inlineStr">
        <x:is>
          <x:t xml:space="preserve">ขวด 30 ml.</x:t>
        </x:is>
      </x:c>
      <x:c r="F432" t="inlineStr">
        <x:is>
          <x:t xml:space="preserve">Hyoscine-N-butylbromide 5 mg./5 ml.</x:t>
        </x:is>
      </x:c>
      <x:c r="G432" t="inlineStr">
        <x:is>
          <x:t xml:space="preserve">BDS008325</x:t>
        </x:is>
      </x:c>
      <x:c r="H432" t="inlineStr">
        <x:is>
          <x:t xml:space="preserve">Oscin Syrup (30 ml.)</x:t>
        </x:is>
      </x:c>
      <x:c r="I432" t="inlineStr">
        <x:is>
          <x:t xml:space="preserve">เด็กเล็กรับประทานครั้งละ 1-2 ช้อนชา วันละ 3 ครั้งหรือเมื่อมีอาการ</x:t>
        </x:is>
      </x:c>
      <x:c r="P432" t="inlineStr">
        <x:is>
          <x:t xml:space="preserve">Antispasmodics (smooth muscle cramps / abdominal colic)</x:t>
        </x:is>
      </x:c>
    </x:row>
    <x:row r="433">
      <x:c r="A433">
        <x:v>431</x:v>
      </x:c>
      <x:c r="B433" t="inlineStr">
        <x:is>
          <x:t xml:space="preserve">ยาคุมกำเนิด (D)</x:t>
        </x:is>
      </x:c>
      <x:c r="C433">
        <x:v>1097</x:v>
      </x:c>
      <x:c r="D433" t="inlineStr">
        <x:is>
          <x:t xml:space="preserve">Annylyn 21</x:t>
        </x:is>
      </x:c>
      <x:c r="E433" t="inlineStr">
        <x:is>
          <x:t xml:space="preserve">แผง 21 เม็ด</x:t>
        </x:is>
      </x:c>
      <x:c r="F433" t="inlineStr">
        <x:is>
          <x:t xml:space="preserve">Gestodene 0.075 mg.+Ethinylestradiol 0.02 mg.</x:t>
        </x:is>
      </x:c>
      <x:c r="G433" t="inlineStr">
        <x:is>
          <x:t xml:space="preserve">BDS001097</x:t>
        </x:is>
      </x:c>
      <x:c r="H433" t="inlineStr">
        <x:is>
          <x:t xml:space="preserve">Annylyn 21 (21 tabs)</x:t>
        </x:is>
      </x:c>
      <x:c r="I433" t="inlineStr">
        <x:is>
          <x:t xml:space="preserve">รับประทานครั้งละ 1 เม็ด วันละ 1 ครั้ง</x:t>
        </x:is>
      </x:c>
    </x:row>
    <x:row r="434">
      <x:c r="A434">
        <x:v>432</x:v>
      </x:c>
      <x:c r="B434" t="inlineStr">
        <x:is>
          <x:t xml:space="preserve">ยาคุมกำเนิด (D)</x:t>
        </x:is>
      </x:c>
      <x:c r="C434">
        <x:v>1098</x:v>
      </x:c>
      <x:c r="D434" t="inlineStr">
        <x:is>
          <x:t xml:space="preserve">Annylyn 28</x:t>
        </x:is>
      </x:c>
      <x:c r="E434" t="inlineStr">
        <x:is>
          <x:t xml:space="preserve">แผง 28 เม็ด</x:t>
        </x:is>
      </x:c>
      <x:c r="F434" t="inlineStr">
        <x:is>
          <x:t xml:space="preserve">Gestodene 0.075 mg.+Ethinylestradiol 0.02 mg.</x:t>
        </x:is>
      </x:c>
      <x:c r="G434" t="inlineStr">
        <x:is>
          <x:t xml:space="preserve">BDS001098</x:t>
        </x:is>
      </x:c>
      <x:c r="H434" t="inlineStr">
        <x:is>
          <x:t xml:space="preserve">Annylyn 28 (28 tabs)</x:t>
        </x:is>
      </x:c>
      <x:c r="I434" t="inlineStr">
        <x:is>
          <x:t xml:space="preserve">รับประทานครั้งละ 1 เม็ด วันละ 1 ครั้ง</x:t>
        </x:is>
      </x:c>
    </x:row>
    <x:row r="435">
      <x:c r="A435">
        <x:v>433</x:v>
      </x:c>
      <x:c r="B435" t="inlineStr">
        <x:is>
          <x:t xml:space="preserve">ยาคุมกำเนิด (D)</x:t>
        </x:is>
      </x:c>
      <x:c r="C435">
        <x:v>1232</x:v>
      </x:c>
      <x:c r="D435" t="inlineStr">
        <x:is>
          <x:t xml:space="preserve">Belara</x:t>
        </x:is>
      </x:c>
      <x:c r="E435" t="inlineStr">
        <x:is>
          <x:t xml:space="preserve">แผง 21 เม็ด</x:t>
        </x:is>
      </x:c>
      <x:c r="F435" t="inlineStr">
        <x:is>
          <x:t xml:space="preserve">Chlormadinone acetate 2 mg.+ Ethinylestradiol 0.03 mg.</x:t>
        </x:is>
      </x:c>
      <x:c r="G435" t="inlineStr">
        <x:is>
          <x:t xml:space="preserve">BDS001232</x:t>
        </x:is>
      </x:c>
      <x:c r="H435" t="inlineStr">
        <x:is>
          <x:t xml:space="preserve">Belara (21 tabs)</x:t>
        </x:is>
      </x:c>
      <x:c r="I435" t="inlineStr">
        <x:is>
          <x:t xml:space="preserve">รับประทานครั้งละ 1 เม็ด วันละ 1 ครั้ง</x:t>
        </x:is>
      </x:c>
    </x:row>
    <x:row r="436">
      <x:c r="A436">
        <x:v>434</x:v>
      </x:c>
      <x:c r="B436" t="inlineStr">
        <x:is>
          <x:t xml:space="preserve">ยาคุมกำเนิด (D)</x:t>
        </x:is>
      </x:c>
      <x:c r="C436">
        <x:v>40601</x:v>
      </x:c>
      <x:c r="D436" t="inlineStr">
        <x:is>
          <x:t xml:space="preserve">Beriz</x:t>
        </x:is>
      </x:c>
      <x:c r="E436" t="inlineStr">
        <x:is>
          <x:t xml:space="preserve">กล่อง 21 เม็ด</x:t>
        </x:is>
      </x:c>
      <x:c r="F436" t="inlineStr">
        <x:is>
          <x:t xml:space="preserve">Cyproterone acetate 2 mg.+Ethinylestradiol 0.035 mg.</x:t>
        </x:is>
      </x:c>
      <x:c r="G436" t="inlineStr">
        <x:is>
          <x:t xml:space="preserve">BDS040601</x:t>
        </x:is>
      </x:c>
      <x:c r="H436" t="inlineStr">
        <x:is>
          <x:t xml:space="preserve">Beriz (21 tabs)</x:t>
        </x:is>
      </x:c>
      <x:c r="I436" t="inlineStr">
        <x:is>
          <x:t xml:space="preserve">รับประทานครั้งละ 1 เม็ด วันละ 1 ครั้ง</x:t>
        </x:is>
      </x:c>
    </x:row>
    <x:row r="437">
      <x:c r="A437">
        <x:v>435</x:v>
      </x:c>
      <x:c r="B437" t="inlineStr">
        <x:is>
          <x:t xml:space="preserve">ยาคุมกำเนิด (D)</x:t>
        </x:is>
      </x:c>
      <x:c r="C437">
        <x:v>41443</x:v>
      </x:c>
      <x:c r="D437" t="inlineStr">
        <x:is>
          <x:t xml:space="preserve">Camella 28</x:t>
        </x:is>
      </x:c>
      <x:c r="E437" t="inlineStr">
        <x:is>
          <x:t xml:space="preserve">แผง 28 เม็ด</x:t>
        </x:is>
      </x:c>
      <x:c r="F437" t="inlineStr">
        <x:is>
          <x:t xml:space="preserve">Gestodene 0.075 mg.+Ethinylestradiol 0.03 mg.</x:t>
        </x:is>
      </x:c>
      <x:c r="G437" t="inlineStr">
        <x:is>
          <x:t xml:space="preserve">BDS041443</x:t>
        </x:is>
      </x:c>
      <x:c r="H437" t="inlineStr">
        <x:is>
          <x:t xml:space="preserve">Camella 28 (28 tabs)</x:t>
        </x:is>
      </x:c>
      <x:c r="I437" t="inlineStr">
        <x:is>
          <x:t xml:space="preserve">รับประทานครั้งละ 1 เม็ด วันละ 1 ครั้ง</x:t>
        </x:is>
      </x:c>
    </x:row>
    <x:row r="438">
      <x:c r="A438">
        <x:v>436</x:v>
      </x:c>
      <x:c r="B438" t="inlineStr">
        <x:is>
          <x:t xml:space="preserve">ยาคุมกำเนิด (D)</x:t>
        </x:is>
      </x:c>
      <x:c r="C438">
        <x:v>1526</x:v>
      </x:c>
      <x:c r="D438" t="inlineStr">
        <x:is>
          <x:t xml:space="preserve">Cerazette 28</x:t>
        </x:is>
      </x:c>
      <x:c r="E438" t="inlineStr">
        <x:is>
          <x:t xml:space="preserve">แผง 28 เม็ด</x:t>
        </x:is>
      </x:c>
      <x:c r="F438" t="inlineStr">
        <x:is>
          <x:t xml:space="preserve">Desogestrel 0.075 mg.</x:t>
        </x:is>
      </x:c>
      <x:c r="G438" t="inlineStr">
        <x:is>
          <x:t xml:space="preserve">BDS001526</x:t>
        </x:is>
      </x:c>
      <x:c r="H438" t="inlineStr">
        <x:is>
          <x:t xml:space="preserve">Cerazette 28 (28 tabs)</x:t>
        </x:is>
      </x:c>
      <x:c r="I438" t="inlineStr">
        <x:is>
          <x:t xml:space="preserve">รับประทานครั้งละ 1 เม็ด วันละ 1 ครั้ง</x:t>
        </x:is>
      </x:c>
    </x:row>
    <x:row r="439">
      <x:c r="A439">
        <x:v>437</x:v>
      </x:c>
      <x:c r="B439" t="inlineStr">
        <x:is>
          <x:t xml:space="preserve">ยาคุมกำเนิด (D)</x:t>
        </x:is>
      </x:c>
      <x:c r="C439">
        <x:v>41401</x:v>
      </x:c>
      <x:c r="D439" t="inlineStr">
        <x:is>
          <x:t xml:space="preserve">Ciclomex-20</x:t>
        </x:is>
      </x:c>
      <x:c r="E439" t="inlineStr">
        <x:is>
          <x:t xml:space="preserve">แผง 21 เม็ด</x:t>
        </x:is>
      </x:c>
      <x:c r="F439" t="inlineStr">
        <x:is>
          <x:t xml:space="preserve">Gestodene 0.075 mg.+Ethinylestradiol 0.02 mg.</x:t>
        </x:is>
      </x:c>
      <x:c r="G439" t="inlineStr">
        <x:is>
          <x:t xml:space="preserve">BDS041401</x:t>
        </x:is>
      </x:c>
      <x:c r="H439" t="inlineStr">
        <x:is>
          <x:t xml:space="preserve">Ciclomex-20 (21 tabs)</x:t>
        </x:is>
      </x:c>
      <x:c r="I439" t="inlineStr">
        <x:is>
          <x:t xml:space="preserve">N/A</x:t>
        </x:is>
      </x:c>
    </x:row>
    <x:row r="440">
      <x:c r="A440">
        <x:v>438</x:v>
      </x:c>
      <x:c r="B440" t="inlineStr">
        <x:is>
          <x:t xml:space="preserve">ยาคุมกำเนิด (D)</x:t>
        </x:is>
      </x:c>
      <x:c r="C440">
        <x:v>8781</x:v>
      </x:c>
      <x:c r="D440" t="inlineStr">
        <x:is>
          <x:t xml:space="preserve">Dafne 35</x:t>
        </x:is>
      </x:c>
      <x:c r="E440" t="inlineStr">
        <x:is>
          <x:t xml:space="preserve">แผง 21 เม็ด</x:t>
        </x:is>
      </x:c>
      <x:c r="F440" t="inlineStr">
        <x:is>
          <x:t xml:space="preserve">Cyproterone acetate 2.0 mg.+Ethinylestradiol 0.035 mg.</x:t>
        </x:is>
      </x:c>
      <x:c r="G440" t="inlineStr">
        <x:is>
          <x:t xml:space="preserve">BDS008781</x:t>
        </x:is>
      </x:c>
      <x:c r="H440" t="inlineStr">
        <x:is>
          <x:t xml:space="preserve">Dafne 35 (21 tabs)</x:t>
        </x:is>
      </x:c>
      <x:c r="I440" t="inlineStr">
        <x:is>
          <x:t xml:space="preserve">รับประทานครั้งละ 1 เม็ด วันละ 1 ครั้ง</x:t>
        </x:is>
      </x:c>
    </x:row>
    <x:row r="441">
      <x:c r="A441">
        <x:v>439</x:v>
      </x:c>
      <x:c r="B441" t="inlineStr">
        <x:is>
          <x:t xml:space="preserve">ยาคุมกำเนิด (D)</x:t>
        </x:is>
      </x:c>
      <x:c r="C441">
        <x:v>1640</x:v>
      </x:c>
      <x:c r="D441" t="inlineStr">
        <x:is>
          <x:t xml:space="preserve">Diane-35</x:t>
        </x:is>
      </x:c>
      <x:c r="E441" t="inlineStr">
        <x:is>
          <x:t xml:space="preserve">แผง 21 เม็ด</x:t>
        </x:is>
      </x:c>
      <x:c r="F441" t="inlineStr">
        <x:is>
          <x:t xml:space="preserve">Cyproterone acetate 2 mg.+Ethinylestradiol 0.035 mg.</x:t>
        </x:is>
      </x:c>
      <x:c r="G441" t="inlineStr">
        <x:is>
          <x:t xml:space="preserve">BDS001640</x:t>
        </x:is>
      </x:c>
      <x:c r="H441" t="inlineStr">
        <x:is>
          <x:t xml:space="preserve">Diane-35 (21 tabs)</x:t>
        </x:is>
      </x:c>
      <x:c r="I441" t="inlineStr">
        <x:is>
          <x:t xml:space="preserve">รับประทานครั้งละ 1 เม็ด วันละ 1 ครั้ง</x:t>
        </x:is>
      </x:c>
    </x:row>
    <x:row r="442">
      <x:c r="A442">
        <x:v>440</x:v>
      </x:c>
      <x:c r="B442" t="inlineStr">
        <x:is>
          <x:t xml:space="preserve">ยาคุมกำเนิด (D)</x:t>
        </x:is>
      </x:c>
      <x:c r="C442">
        <x:v>1643</x:v>
      </x:c>
      <x:c r="D442" t="inlineStr">
        <x:is>
          <x:t xml:space="preserve">Diora-21</x:t>
        </x:is>
      </x:c>
      <x:c r="E442" t="inlineStr">
        <x:is>
          <x:t xml:space="preserve">แผง 21 เม็ด</x:t>
        </x:is>
      </x:c>
      <x:c r="F442" t="inlineStr">
        <x:is>
          <x:t xml:space="preserve">D-Norgestrel 0.15 mg.+Ethinylestradiol 0.03 mg.</x:t>
        </x:is>
      </x:c>
      <x:c r="G442" t="inlineStr">
        <x:is>
          <x:t xml:space="preserve">BDS001643</x:t>
        </x:is>
      </x:c>
      <x:c r="H442" t="inlineStr">
        <x:is>
          <x:t xml:space="preserve">Diora-21 (21 tabs)</x:t>
        </x:is>
      </x:c>
      <x:c r="I442" t="inlineStr">
        <x:is>
          <x:t xml:space="preserve">รับประทานครั้งละ 1 เม็ด วันละ 1 ครั้ง</x:t>
        </x:is>
      </x:c>
    </x:row>
    <x:row r="443">
      <x:c r="A443">
        <x:v>441</x:v>
      </x:c>
      <x:c r="B443" t="inlineStr">
        <x:is>
          <x:t xml:space="preserve">ยาคุมกำเนิด (D)</x:t>
        </x:is>
      </x:c>
      <x:c r="C443">
        <x:v>1644</x:v>
      </x:c>
      <x:c r="D443" t="inlineStr">
        <x:is>
          <x:t xml:space="preserve">Diora-28</x:t>
        </x:is>
      </x:c>
      <x:c r="E443" t="inlineStr">
        <x:is>
          <x:t xml:space="preserve">แผง 28 เม็ด</x:t>
        </x:is>
      </x:c>
      <x:c r="F443" t="inlineStr">
        <x:is>
          <x:t xml:space="preserve">D-Norgestrel 0.15 mg.+Ethinylestradiol 0.03 mg.</x:t>
        </x:is>
      </x:c>
      <x:c r="G443" t="inlineStr">
        <x:is>
          <x:t xml:space="preserve">BDS001644</x:t>
        </x:is>
      </x:c>
      <x:c r="H443" t="inlineStr">
        <x:is>
          <x:t xml:space="preserve">Diora-28 (28 tabs)</x:t>
        </x:is>
      </x:c>
      <x:c r="I443" t="inlineStr">
        <x:is>
          <x:t xml:space="preserve">รับประทานครั้งละ 1 เม็ด วันละ 1 ครั้ง</x:t>
        </x:is>
      </x:c>
    </x:row>
    <x:row r="444">
      <x:c r="A444">
        <x:v>442</x:v>
      </x:c>
      <x:c r="B444" t="inlineStr">
        <x:is>
          <x:t xml:space="preserve">ยาคุมกำเนิด (D)</x:t>
        </x:is>
      </x:c>
      <x:c r="C444">
        <x:v>1858</x:v>
      </x:c>
      <x:c r="D444" t="inlineStr">
        <x:is>
          <x:t xml:space="preserve">Evra</x:t>
        </x:is>
      </x:c>
      <x:c r="E444" t="inlineStr">
        <x:is>
          <x:t xml:space="preserve">กล่อง 3 แผ่น</x:t>
        </x:is>
      </x:c>
      <x:c r="F444" t="inlineStr">
        <x:is>
          <x:t xml:space="preserve">Norelgestromin 6 mg.+Ethinylestradiol 600 mcg./1 patch</x:t>
        </x:is>
      </x:c>
      <x:c r="G444" t="inlineStr">
        <x:is>
          <x:t xml:space="preserve">BDS001858</x:t>
        </x:is>
      </x:c>
      <x:c r="H444" t="inlineStr">
        <x:is>
          <x:t xml:space="preserve">Evra (3 sheet)</x:t>
        </x:is>
      </x:c>
      <x:c r="I444" t="inlineStr">
        <x:is>
          <x:t xml:space="preserve">แปะที่ต้นแขนด้านนอก สะโพก หน้าท้องหรือแผ่นหลังช่วงบน นาน 1 สัปดาห์ และใช้ต่อเนื่องกัน 3 สัปดาห์</x:t>
        </x:is>
      </x:c>
    </x:row>
    <x:row r="445">
      <x:c r="A445">
        <x:v>443</x:v>
      </x:c>
      <x:c r="B445" t="inlineStr">
        <x:is>
          <x:t xml:space="preserve">ยาคุมกำเนิด (D)</x:t>
        </x:is>
      </x:c>
      <x:c r="C445">
        <x:v>1830</x:v>
      </x:c>
      <x:c r="D445" t="inlineStr">
        <x:is>
          <x:t xml:space="preserve">Exluton</x:t>
        </x:is>
      </x:c>
      <x:c r="E445" t="inlineStr">
        <x:is>
          <x:t xml:space="preserve">แผง 28 เม็ด</x:t>
        </x:is>
      </x:c>
      <x:c r="F445" t="inlineStr">
        <x:is>
          <x:t xml:space="preserve">Lynestrenol 0.5 mg.</x:t>
        </x:is>
      </x:c>
      <x:c r="G445" t="inlineStr">
        <x:is>
          <x:t xml:space="preserve">BDS001830</x:t>
        </x:is>
      </x:c>
      <x:c r="H445" t="inlineStr">
        <x:is>
          <x:t xml:space="preserve">Exluton (28 tabs)</x:t>
        </x:is>
      </x:c>
      <x:c r="I445" t="inlineStr">
        <x:is>
          <x:t xml:space="preserve">รับประทานครั้งละ 1 เม็ด วันละ 1 ครั้ง </x:t>
        </x:is>
      </x:c>
    </x:row>
    <x:row r="446">
      <x:c r="A446">
        <x:v>444</x:v>
      </x:c>
      <x:c r="B446" t="inlineStr">
        <x:is>
          <x:t xml:space="preserve">ยาคุมกำเนิด (D)</x:t>
        </x:is>
      </x:c>
      <x:c r="C446">
        <x:v>43846</x:v>
      </x:c>
      <x:c r="D446" t="inlineStr">
        <x:is>
          <x:t xml:space="preserve">Herz</x:t>
        </x:is>
      </x:c>
      <x:c r="E446" t="inlineStr">
        <x:is>
          <x:t xml:space="preserve">แผง 28 เม็ด</x:t>
        </x:is>
      </x:c>
      <x:c r="F446" t="inlineStr">
        <x:is>
          <x:t xml:space="preserve">Drospirenone 3 mg.+Ethinylestradiol 0.02 mg.+Placebo 4 tabs</x:t>
        </x:is>
      </x:c>
      <x:c r="G446" t="inlineStr">
        <x:is>
          <x:t xml:space="preserve">BDS043846</x:t>
        </x:is>
      </x:c>
      <x:c r="H446" t="inlineStr">
        <x:is>
          <x:t xml:space="preserve">Herz (28 tabs)</x:t>
        </x:is>
      </x:c>
      <x:c r="I446" t="inlineStr">
        <x:is>
          <x:t xml:space="preserve">รับประทานครั้งละ 1 เม็ด วันละ 1 ครั้ง</x:t>
        </x:is>
      </x:c>
    </x:row>
    <x:row r="447">
      <x:c r="A447">
        <x:v>445</x:v>
      </x:c>
      <x:c r="B447" t="inlineStr">
        <x:is>
          <x:t xml:space="preserve">ยาคุมกำเนิด (D)</x:t>
        </x:is>
      </x:c>
      <x:c r="C447">
        <x:v>3715</x:v>
      </x:c>
      <x:c r="D447" t="inlineStr">
        <x:is>
          <x:t xml:space="preserve">Laura-35</x:t>
        </x:is>
      </x:c>
      <x:c r="E447" t="inlineStr">
        <x:is>
          <x:t xml:space="preserve">แผง 21 เม็ด</x:t>
        </x:is>
      </x:c>
      <x:c r="F447" t="inlineStr">
        <x:is>
          <x:t xml:space="preserve">Cyproterone acetate 2 mg.+Ethinylestradiol 0.035 mg.</x:t>
        </x:is>
      </x:c>
      <x:c r="G447" t="inlineStr">
        <x:is>
          <x:t xml:space="preserve">BDS003715</x:t>
        </x:is>
      </x:c>
      <x:c r="H447" t="inlineStr">
        <x:is>
          <x:t xml:space="preserve">Laura-35 (21 tabs)</x:t>
        </x:is>
      </x:c>
      <x:c r="I447" t="inlineStr">
        <x:is>
          <x:t xml:space="preserve">รับประทานครั้งละ 1 เม็ด วันละ 1 ครั้ง</x:t>
        </x:is>
      </x:c>
    </x:row>
    <x:row r="448">
      <x:c r="A448">
        <x:v>446</x:v>
      </x:c>
      <x:c r="B448" t="inlineStr">
        <x:is>
          <x:t xml:space="preserve">ยาคุมกำเนิด (D)</x:t>
        </x:is>
      </x:c>
      <x:c r="C448">
        <x:v>2607</x:v>
      </x:c>
      <x:c r="D448" t="inlineStr">
        <x:is>
          <x:t xml:space="preserve">Marvelon 21</x:t>
        </x:is>
      </x:c>
      <x:c r="E448" t="inlineStr">
        <x:is>
          <x:t xml:space="preserve">แผง 21 เม็ด</x:t>
        </x:is>
      </x:c>
      <x:c r="F448" t="inlineStr">
        <x:is>
          <x:t xml:space="preserve">Desogestrel 0.15 mg.+Ethinylestradiol 0.03 mg.</x:t>
        </x:is>
      </x:c>
      <x:c r="G448" t="inlineStr">
        <x:is>
          <x:t xml:space="preserve">BDS002607</x:t>
        </x:is>
      </x:c>
      <x:c r="H448" t="inlineStr">
        <x:is>
          <x:t xml:space="preserve">Marvelon 21 (21 tabs)</x:t>
        </x:is>
      </x:c>
      <x:c r="I448" t="inlineStr">
        <x:is>
          <x:t xml:space="preserve">รับประทานครั้งละ 1 เม็ด วันละ 1 ครั้ง</x:t>
        </x:is>
      </x:c>
    </x:row>
    <x:row r="449">
      <x:c r="A449">
        <x:v>447</x:v>
      </x:c>
      <x:c r="B449" t="inlineStr">
        <x:is>
          <x:t xml:space="preserve">ยาคุมกำเนิด (D)</x:t>
        </x:is>
      </x:c>
      <x:c r="C449">
        <x:v>2608</x:v>
      </x:c>
      <x:c r="D449" t="inlineStr">
        <x:is>
          <x:t xml:space="preserve">Marvelon 28</x:t>
        </x:is>
      </x:c>
      <x:c r="E449" t="inlineStr">
        <x:is>
          <x:t xml:space="preserve">แผง 28 เม็ด</x:t>
        </x:is>
      </x:c>
      <x:c r="F449" t="inlineStr">
        <x:is>
          <x:t xml:space="preserve">Desogestrel 0.15 mg.+Ethinylestradiol 0.03 mg.</x:t>
        </x:is>
      </x:c>
      <x:c r="G449" t="inlineStr">
        <x:is>
          <x:t xml:space="preserve">BDS002608</x:t>
        </x:is>
      </x:c>
      <x:c r="H449" t="inlineStr">
        <x:is>
          <x:t xml:space="preserve">Marvelon 28 (28 tabs)</x:t>
        </x:is>
      </x:c>
      <x:c r="I449" t="inlineStr">
        <x:is>
          <x:t xml:space="preserve">รับประทานครั้งละ 1 เม็ด วันละ 1 ครั้ง</x:t>
        </x:is>
      </x:c>
    </x:row>
    <x:row r="450">
      <x:c r="A450">
        <x:v>448</x:v>
      </x:c>
      <x:c r="B450" t="inlineStr">
        <x:is>
          <x:t xml:space="preserve">ยาคุมกำเนิด (D)</x:t>
        </x:is>
      </x:c>
      <x:c r="C450">
        <x:v>2613</x:v>
      </x:c>
      <x:c r="D450" t="inlineStr">
        <x:is>
          <x:t xml:space="preserve">Meliane 21</x:t>
        </x:is>
      </x:c>
      <x:c r="E450" t="inlineStr">
        <x:is>
          <x:t xml:space="preserve">แผง 21 เม็ด</x:t>
        </x:is>
      </x:c>
      <x:c r="F450" t="inlineStr">
        <x:is>
          <x:t xml:space="preserve">Gestodene 0.075 mg.+Ethinylestradiol 0.02 mg.</x:t>
        </x:is>
      </x:c>
      <x:c r="G450" t="inlineStr">
        <x:is>
          <x:t xml:space="preserve">BDS002613</x:t>
        </x:is>
      </x:c>
      <x:c r="H450" t="inlineStr">
        <x:is>
          <x:t xml:space="preserve">Meliane 21 (21 tabs)</x:t>
        </x:is>
      </x:c>
      <x:c r="I450" t="inlineStr">
        <x:is>
          <x:t xml:space="preserve">N/A</x:t>
        </x:is>
      </x:c>
    </x:row>
    <x:row r="451">
      <x:c r="A451">
        <x:v>449</x:v>
      </x:c>
      <x:c r="B451" t="inlineStr">
        <x:is>
          <x:t xml:space="preserve">ยาคุมกำเนิด (D)</x:t>
        </x:is>
      </x:c>
      <x:c r="C451">
        <x:v>2614</x:v>
      </x:c>
      <x:c r="D451" t="inlineStr">
        <x:is>
          <x:t xml:space="preserve">Meliane ED 28</x:t>
        </x:is>
      </x:c>
      <x:c r="E451" t="inlineStr">
        <x:is>
          <x:t xml:space="preserve">แผง 28 เม็ด</x:t>
        </x:is>
      </x:c>
      <x:c r="F451" t="inlineStr">
        <x:is>
          <x:t xml:space="preserve">Gestodene 0.075 mg.+Ethinylestradiol 0.02 mg.</x:t>
        </x:is>
      </x:c>
      <x:c r="G451" t="inlineStr">
        <x:is>
          <x:t xml:space="preserve">BDS002614</x:t>
        </x:is>
      </x:c>
      <x:c r="H451" t="inlineStr">
        <x:is>
          <x:t xml:space="preserve">Meliane ED 28 (28 tabs)</x:t>
        </x:is>
      </x:c>
      <x:c r="I451" t="inlineStr">
        <x:is>
          <x:t xml:space="preserve">N/A</x:t>
        </x:is>
      </x:c>
    </x:row>
    <x:row r="452">
      <x:c r="A452">
        <x:v>450</x:v>
      </x:c>
      <x:c r="B452" t="inlineStr">
        <x:is>
          <x:t xml:space="preserve">ยาคุมกำเนิด (D)</x:t>
        </x:is>
      </x:c>
      <x:c r="C452">
        <x:v>2630</x:v>
      </x:c>
      <x:c r="D452" t="inlineStr">
        <x:is>
          <x:t xml:space="preserve">Melodia</x:t>
        </x:is>
      </x:c>
      <x:c r="E452" t="inlineStr">
        <x:is>
          <x:t xml:space="preserve">แผง 21 เม็ด</x:t>
        </x:is>
      </x:c>
      <x:c r="F452" t="inlineStr">
        <x:is>
          <x:t xml:space="preserve">Drospirenone 3 mg.+Ethinylestradiol 0.030 mg.</x:t>
        </x:is>
      </x:c>
      <x:c r="G452" t="inlineStr">
        <x:is>
          <x:t xml:space="preserve">BDS002630</x:t>
        </x:is>
      </x:c>
      <x:c r="H452" t="inlineStr">
        <x:is>
          <x:t xml:space="preserve">Melodia (21 tabs)</x:t>
        </x:is>
      </x:c>
      <x:c r="I452" t="inlineStr">
        <x:is>
          <x:t xml:space="preserve">รับประทานครั้งละ 1 เม็ด วันละ 1 ครั้ง</x:t>
        </x:is>
      </x:c>
    </x:row>
    <x:row r="453">
      <x:c r="A453">
        <x:v>451</x:v>
      </x:c>
      <x:c r="B453" t="inlineStr">
        <x:is>
          <x:t xml:space="preserve">ยาคุมกำเนิด (D)</x:t>
        </x:is>
      </x:c>
      <x:c r="C453">
        <x:v>2619</x:v>
      </x:c>
      <x:c r="D453" t="inlineStr">
        <x:is>
          <x:t xml:space="preserve">Mercilon-21</x:t>
        </x:is>
      </x:c>
      <x:c r="E453" t="inlineStr">
        <x:is>
          <x:t xml:space="preserve">แผง 21 เม็ด</x:t>
        </x:is>
      </x:c>
      <x:c r="F453" t="inlineStr">
        <x:is>
          <x:t xml:space="preserve">Desogestrel 0.15 mg.+Ethinylestradiol 0.02 mg.</x:t>
        </x:is>
      </x:c>
      <x:c r="G453" t="inlineStr">
        <x:is>
          <x:t xml:space="preserve">BDS002619</x:t>
        </x:is>
      </x:c>
      <x:c r="H453" t="inlineStr">
        <x:is>
          <x:t xml:space="preserve">Mercilon-21 (21 tabs)</x:t>
        </x:is>
      </x:c>
      <x:c r="I453" t="inlineStr">
        <x:is>
          <x:t xml:space="preserve">รับประทานครั้งละ 1 เม็ด วันละ 1 ครั้ง</x:t>
        </x:is>
      </x:c>
    </x:row>
    <x:row r="454">
      <x:c r="A454">
        <x:v>452</x:v>
      </x:c>
      <x:c r="B454" t="inlineStr">
        <x:is>
          <x:t xml:space="preserve">ยาคุมกำเนิด (D)</x:t>
        </x:is>
      </x:c>
      <x:c r="C454">
        <x:v>2620</x:v>
      </x:c>
      <x:c r="D454" t="inlineStr">
        <x:is>
          <x:t xml:space="preserve">Mercilon-28</x:t>
        </x:is>
      </x:c>
      <x:c r="E454" t="inlineStr">
        <x:is>
          <x:t xml:space="preserve">แผง 28 เม็ด</x:t>
        </x:is>
      </x:c>
      <x:c r="F454" t="inlineStr">
        <x:is>
          <x:t xml:space="preserve">Desogestrel 0.15 mg.+Ethinylestradiol 0.02 mg.</x:t>
        </x:is>
      </x:c>
      <x:c r="G454" t="inlineStr">
        <x:is>
          <x:t xml:space="preserve">BDS002620</x:t>
        </x:is>
      </x:c>
      <x:c r="H454" t="inlineStr">
        <x:is>
          <x:t xml:space="preserve">Mercilon-28 (28 tabs)</x:t>
        </x:is>
      </x:c>
      <x:c r="I454" t="inlineStr">
        <x:is>
          <x:t xml:space="preserve">รับประทานครั้งละ 1 เม็ด วันละ 1 ครั้ง</x:t>
        </x:is>
      </x:c>
    </x:row>
    <x:row r="455">
      <x:c r="A455">
        <x:v>453</x:v>
      </x:c>
      <x:c r="B455" t="inlineStr">
        <x:is>
          <x:t xml:space="preserve">ยาคุมกำเนิด (D)</x:t>
        </x:is>
      </x:c>
      <x:c r="C455">
        <x:v>2695</x:v>
      </x:c>
      <x:c r="D455" t="inlineStr">
        <x:is>
          <x:t xml:space="preserve">Minidoz 28</x:t>
        </x:is>
      </x:c>
      <x:c r="E455" t="inlineStr">
        <x:is>
          <x:t xml:space="preserve">แผง 28 เม็ด</x:t>
        </x:is>
      </x:c>
      <x:c r="F455" t="inlineStr">
        <x:is>
          <x:t xml:space="preserve">Gestodene 0.060 mg.+Ethinylestradiol 0.015 mg.</x:t>
        </x:is>
      </x:c>
      <x:c r="G455" t="inlineStr">
        <x:is>
          <x:t xml:space="preserve">BDS002695</x:t>
        </x:is>
      </x:c>
      <x:c r="H455" t="inlineStr">
        <x:is>
          <x:t xml:space="preserve">Minidoz 28 (28 tabs)</x:t>
        </x:is>
      </x:c>
      <x:c r="I455" t="inlineStr">
        <x:is>
          <x:t xml:space="preserve">รับประทานครั้งละ 1 เม็ด วันละ 1 ครั้ง</x:t>
        </x:is>
      </x:c>
    </x:row>
    <x:row r="456">
      <x:c r="A456">
        <x:v>454</x:v>
      </x:c>
      <x:c r="B456" t="inlineStr">
        <x:is>
          <x:t xml:space="preserve">ยาคุมกำเนิด (D)</x:t>
        </x:is>
      </x:c>
      <x:c r="C456">
        <x:v>2670</x:v>
      </x:c>
      <x:c r="D456" t="inlineStr">
        <x:is>
          <x:t xml:space="preserve">Minny-21</x:t>
        </x:is>
      </x:c>
      <x:c r="E456" t="inlineStr">
        <x:is>
          <x:t xml:space="preserve">แผง 21 เม็ด</x:t>
        </x:is>
      </x:c>
      <x:c r="F456" t="inlineStr">
        <x:is>
          <x:t xml:space="preserve">Desogestrel 0.15 mg.+Ethinylestradiol 0.02 mg.</x:t>
        </x:is>
      </x:c>
      <x:c r="G456" t="inlineStr">
        <x:is>
          <x:t xml:space="preserve">BDS002670</x:t>
        </x:is>
      </x:c>
      <x:c r="H456" t="inlineStr">
        <x:is>
          <x:t xml:space="preserve">Minny-21 (21 tabs)</x:t>
        </x:is>
      </x:c>
      <x:c r="I456" t="inlineStr">
        <x:is>
          <x:t xml:space="preserve">รับประทานครั้งละ 1 เม็ด วันละ 1 ครั้ง</x:t>
        </x:is>
      </x:c>
    </x:row>
    <x:row r="457">
      <x:c r="A457">
        <x:v>455</x:v>
      </x:c>
      <x:c r="B457" t="inlineStr">
        <x:is>
          <x:t xml:space="preserve">ยาคุมกำเนิด (D)</x:t>
        </x:is>
      </x:c>
      <x:c r="C457">
        <x:v>2671</x:v>
      </x:c>
      <x:c r="D457" t="inlineStr">
        <x:is>
          <x:t xml:space="preserve">Minny-28</x:t>
        </x:is>
      </x:c>
      <x:c r="E457" t="inlineStr">
        <x:is>
          <x:t xml:space="preserve">แผง 28 เม็ด</x:t>
        </x:is>
      </x:c>
      <x:c r="F457" t="inlineStr">
        <x:is>
          <x:t xml:space="preserve">Desogestrel 0.15 mg.+Ethinylestradiol 0.02 mg.</x:t>
        </x:is>
      </x:c>
      <x:c r="G457" t="inlineStr">
        <x:is>
          <x:t xml:space="preserve">BDS002671</x:t>
        </x:is>
      </x:c>
      <x:c r="H457" t="inlineStr">
        <x:is>
          <x:t xml:space="preserve">Minny-28 (28 tabs)</x:t>
        </x:is>
      </x:c>
      <x:c r="I457" t="inlineStr">
        <x:is>
          <x:t xml:space="preserve">รับประทานครั้งละ 1 เม็ด วันละ 1 ครั้ง</x:t>
        </x:is>
      </x:c>
    </x:row>
    <x:row r="458">
      <x:c r="A458">
        <x:v>456</x:v>
      </x:c>
      <x:c r="B458" t="inlineStr">
        <x:is>
          <x:t xml:space="preserve">ยาคุมกำเนิด (D)</x:t>
        </x:is>
      </x:c>
      <x:c r="C458">
        <x:v>44910</x:v>
      </x:c>
      <x:c r="D458" t="inlineStr">
        <x:is>
          <x:t xml:space="preserve">Minoz 28</x:t>
        </x:is>
      </x:c>
      <x:c r="E458" t="inlineStr">
        <x:is>
          <x:t xml:space="preserve">แผง 28 เม็ด</x:t>
        </x:is>
      </x:c>
      <x:c r="F458" t="inlineStr">
        <x:is>
          <x:t xml:space="preserve">Gestodene 0.060 mg.+Ethinylestradiol 0.015 mg.</x:t>
        </x:is>
      </x:c>
      <x:c r="G458" t="inlineStr">
        <x:is>
          <x:t xml:space="preserve">BDS044910</x:t>
        </x:is>
      </x:c>
      <x:c r="H458" t="inlineStr">
        <x:is>
          <x:t xml:space="preserve">Minoz 28 (28 tabs)</x:t>
        </x:is>
      </x:c>
      <x:c r="I458" t="inlineStr">
        <x:is>
          <x:t xml:space="preserve">รับประทานครั้งละ 1 เม็ด วันละ 1 ครั้ง</x:t>
        </x:is>
      </x:c>
    </x:row>
    <x:row r="459">
      <x:c r="A459">
        <x:v>457</x:v>
      </x:c>
      <x:c r="B459" t="inlineStr">
        <x:is>
          <x:t xml:space="preserve">ยาคุมกำเนิด (D)</x:t>
        </x:is>
      </x:c>
      <x:c r="C459">
        <x:v>3032</x:v>
      </x:c>
      <x:c r="D459" t="inlineStr">
        <x:is>
          <x:t xml:space="preserve">OC-35</x:t>
        </x:is>
      </x:c>
      <x:c r="E459" t="inlineStr">
        <x:is>
          <x:t xml:space="preserve">แผง 21 เม็ด</x:t>
        </x:is>
      </x:c>
      <x:c r="F459" t="inlineStr">
        <x:is>
          <x:t xml:space="preserve">Cyproterone acetate 2 mg.+Ethinylestradiol 0.035 mg.</x:t>
        </x:is>
      </x:c>
      <x:c r="G459" t="inlineStr">
        <x:is>
          <x:t xml:space="preserve">BDS003032</x:t>
        </x:is>
      </x:c>
      <x:c r="H459" t="inlineStr">
        <x:is>
          <x:t xml:space="preserve">OC-35 (21 tabs)</x:t>
        </x:is>
      </x:c>
      <x:c r="I459" t="inlineStr">
        <x:is>
          <x:t xml:space="preserve">รับประทานครั้งละ 1 เม็ด วันละ 1 ครั้ง</x:t>
        </x:is>
      </x:c>
    </x:row>
    <x:row r="460">
      <x:c r="A460">
        <x:v>458</x:v>
      </x:c>
      <x:c r="B460" t="inlineStr">
        <x:is>
          <x:t xml:space="preserve">ยาคุมกำเนิด (D)</x:t>
        </x:is>
      </x:c>
      <x:c r="C460">
        <x:v>3143</x:v>
      </x:c>
      <x:c r="D460" t="inlineStr">
        <x:is>
          <x:t xml:space="preserve">Preme </x:t>
        </x:is>
      </x:c>
      <x:c r="E460" t="inlineStr">
        <x:is>
          <x:t xml:space="preserve">แผง 21 เม็ด</x:t>
        </x:is>
      </x:c>
      <x:c r="F460" t="inlineStr">
        <x:is>
          <x:t xml:space="preserve">Cyproterone Acetate 2 mg.+Ethinylestradiol 0.035 mg.</x:t>
        </x:is>
      </x:c>
      <x:c r="G460" t="inlineStr">
        <x:is>
          <x:t xml:space="preserve">BDS003143</x:t>
        </x:is>
      </x:c>
      <x:c r="H460" t="inlineStr">
        <x:is>
          <x:t xml:space="preserve">Preme  (21 tabs)</x:t>
        </x:is>
      </x:c>
      <x:c r="I460" t="inlineStr">
        <x:is>
          <x:t xml:space="preserve">รับประทานครั้งละ 1 เม็ด วันละ 1 ครั้ง</x:t>
        </x:is>
      </x:c>
    </x:row>
    <x:row r="461">
      <x:c r="A461">
        <x:v>459</x:v>
      </x:c>
      <x:c r="B461" t="inlineStr">
        <x:is>
          <x:t xml:space="preserve">ยาคุมกำเนิด (D)</x:t>
        </x:is>
      </x:c>
      <x:c r="C461">
        <x:v>46511</x:v>
      </x:c>
      <x:c r="D461" t="inlineStr">
        <x:is>
          <x:t xml:space="preserve">Preme 28</x:t>
        </x:is>
      </x:c>
      <x:c r="E461" t="inlineStr">
        <x:is>
          <x:t xml:space="preserve">แผง 28 เม็ด</x:t>
        </x:is>
      </x:c>
      <x:c r="F461" t="inlineStr">
        <x:is>
          <x:t xml:space="preserve">Cyproterone Acetate 2 mg.+Ethinylestradiol 0.035 mg.</x:t>
        </x:is>
      </x:c>
      <x:c r="G461" t="inlineStr">
        <x:is>
          <x:t xml:space="preserve">BDS046511</x:t>
        </x:is>
      </x:c>
      <x:c r="H461" t="inlineStr">
        <x:is>
          <x:t xml:space="preserve">Preme 28 (28 tabs)</x:t>
        </x:is>
      </x:c>
      <x:c r="I461" t="inlineStr">
        <x:is>
          <x:t xml:space="preserve">รับประทานครั้งละ 1 เม็ด วันละ 1 ครั้ง</x:t>
        </x:is>
      </x:c>
    </x:row>
    <x:row r="462">
      <x:c r="A462">
        <x:v>460</x:v>
      </x:c>
      <x:c r="B462" t="inlineStr">
        <x:is>
          <x:t xml:space="preserve">ยาคุมกำเนิด (D)</x:t>
        </x:is>
      </x:c>
      <x:c r="C462">
        <x:v>47721</x:v>
      </x:c>
      <x:c r="D462" t="inlineStr">
        <x:is>
          <x:t xml:space="preserve">Slinda</x:t>
        </x:is>
      </x:c>
      <x:c r="E462" t="inlineStr">
        <x:is>
          <x:t xml:space="preserve">แผง 28 เม็ด</x:t>
        </x:is>
      </x:c>
      <x:c r="F462" t="inlineStr">
        <x:is>
          <x:t xml:space="preserve">Drospirenone 4 mg</x:t>
        </x:is>
      </x:c>
      <x:c r="G462" t="inlineStr">
        <x:is>
          <x:t xml:space="preserve">BDS047721</x:t>
        </x:is>
      </x:c>
      <x:c r="H462" t="inlineStr">
        <x:is>
          <x:t xml:space="preserve">Slinda (28 tabs)</x:t>
        </x:is>
      </x:c>
      <x:c r="I462" t="inlineStr">
        <x:is>
          <x:t xml:space="preserve">รับประทานครั้งละ 1 เม็ด วันละ 1 ครั้ง</x:t>
        </x:is>
      </x:c>
    </x:row>
    <x:row r="463">
      <x:c r="A463">
        <x:v>461</x:v>
      </x:c>
      <x:c r="B463" t="inlineStr">
        <x:is>
          <x:t xml:space="preserve">ยาคุมกำเนิด (D)</x:t>
        </x:is>
      </x:c>
      <x:c r="C463">
        <x:v>3731</x:v>
      </x:c>
      <x:c r="D463" t="inlineStr">
        <x:is>
          <x:t xml:space="preserve">Sucee</x:t>
        </x:is>
      </x:c>
      <x:c r="E463" t="inlineStr">
        <x:is>
          <x:t xml:space="preserve">แผง 21 เม็ด</x:t>
        </x:is>
      </x:c>
      <x:c r="F463" t="inlineStr">
        <x:is>
          <x:t xml:space="preserve">Cyproterone Acetate 2 mg.+Ethinylestradiol 0.035 mg.</x:t>
        </x:is>
      </x:c>
      <x:c r="G463" t="inlineStr">
        <x:is>
          <x:t xml:space="preserve">BDS003731</x:t>
        </x:is>
      </x:c>
      <x:c r="H463" t="inlineStr">
        <x:is>
          <x:t xml:space="preserve">Sucee (21 tabs)</x:t>
        </x:is>
      </x:c>
      <x:c r="I463" t="inlineStr">
        <x:is>
          <x:t xml:space="preserve">รับประทานครั้งละ 1 เม็ด วันละ 1 ครั้ง</x:t>
        </x:is>
      </x:c>
    </x:row>
    <x:row r="464">
      <x:c r="A464">
        <x:v>462</x:v>
      </x:c>
      <x:c r="B464" t="inlineStr">
        <x:is>
          <x:t xml:space="preserve">ยาคุมกำเนิด (D)</x:t>
        </x:is>
      </x:c>
      <x:c r="C464">
        <x:v>3699</x:v>
      </x:c>
      <x:c r="D464" t="inlineStr">
        <x:is>
          <x:t xml:space="preserve">Sucee 28</x:t>
        </x:is>
      </x:c>
      <x:c r="E464" t="inlineStr">
        <x:is>
          <x:t xml:space="preserve">แผง 28 เม็ด</x:t>
        </x:is>
      </x:c>
      <x:c r="F464" t="inlineStr">
        <x:is>
          <x:t xml:space="preserve">Cyproterone Acetate 2 mg.+Ethinylestradiol 0.035 mg.</x:t>
        </x:is>
      </x:c>
      <x:c r="G464" t="inlineStr">
        <x:is>
          <x:t xml:space="preserve">BDS003699</x:t>
        </x:is>
      </x:c>
      <x:c r="H464" t="inlineStr">
        <x:is>
          <x:t xml:space="preserve">Sucee 28 (28 tabs)</x:t>
        </x:is>
      </x:c>
      <x:c r="I464" t="inlineStr">
        <x:is>
          <x:t xml:space="preserve">รับประทานครั้งละ 1 เม็ด วันละ 1 ครั้ง</x:t>
        </x:is>
      </x:c>
    </x:row>
    <x:row r="465">
      <x:c r="A465">
        <x:v>463</x:v>
      </x:c>
      <x:c r="B465" t="inlineStr">
        <x:is>
          <x:t xml:space="preserve">ยาคุมกำเนิด (D)</x:t>
        </x:is>
      </x:c>
      <x:c r="C465">
        <x:v>3655</x:v>
      </x:c>
      <x:c r="D465" t="inlineStr">
        <x:is>
          <x:t xml:space="preserve">Synfonia</x:t>
        </x:is>
      </x:c>
      <x:c r="E465" t="inlineStr">
        <x:is>
          <x:t xml:space="preserve">แผง 28 เม็ด</x:t>
        </x:is>
      </x:c>
      <x:c r="F465" t="inlineStr">
        <x:is>
          <x:t xml:space="preserve">Drospirenone 3 mg.+Ethinylestradiol 0.02 mg.</x:t>
        </x:is>
      </x:c>
      <x:c r="G465" t="inlineStr">
        <x:is>
          <x:t xml:space="preserve">BDS003655</x:t>
        </x:is>
      </x:c>
      <x:c r="H465" t="inlineStr">
        <x:is>
          <x:t xml:space="preserve">Synfonia (28 tabs)</x:t>
        </x:is>
      </x:c>
      <x:c r="I465" t="inlineStr">
        <x:is>
          <x:t xml:space="preserve">รับประทานครั้งละ 1 เม็ด วันละ 1 ครั้ง</x:t>
        </x:is>
      </x:c>
    </x:row>
    <x:row r="466">
      <x:c r="A466">
        <x:v>464</x:v>
      </x:c>
      <x:c r="B466" t="inlineStr">
        <x:is>
          <x:t xml:space="preserve">ยาคุมกำเนิด (D)</x:t>
        </x:is>
      </x:c>
      <x:c r="C466">
        <x:v>4153</x:v>
      </x:c>
      <x:c r="D466" t="inlineStr">
        <x:is>
          <x:t xml:space="preserve">Yasmin-21</x:t>
        </x:is>
      </x:c>
      <x:c r="E466" t="inlineStr">
        <x:is>
          <x:t xml:space="preserve">แผง 21 เม็ด</x:t>
        </x:is>
      </x:c>
      <x:c r="F466" t="inlineStr">
        <x:is>
          <x:t xml:space="preserve">Drospirenone 3 mg.+Ethinylestradiol 0.030 mg.</x:t>
        </x:is>
      </x:c>
      <x:c r="G466" t="inlineStr">
        <x:is>
          <x:t xml:space="preserve">BDS004153</x:t>
        </x:is>
      </x:c>
      <x:c r="H466" t="inlineStr">
        <x:is>
          <x:t xml:space="preserve">Yasmin-21 (21 tabs)</x:t>
        </x:is>
      </x:c>
      <x:c r="I466" t="inlineStr">
        <x:is>
          <x:t xml:space="preserve">รับประทานครั้งละ 1 เม็ด วันละ 1 ครั้ง</x:t>
        </x:is>
      </x:c>
    </x:row>
    <x:row r="467">
      <x:c r="A467">
        <x:v>465</x:v>
      </x:c>
      <x:c r="B467" t="inlineStr">
        <x:is>
          <x:t xml:space="preserve">ยาคุมกำเนิด (D)</x:t>
        </x:is>
      </x:c>
      <x:c r="C467">
        <x:v>4154</x:v>
      </x:c>
      <x:c r="D467" t="inlineStr">
        <x:is>
          <x:t xml:space="preserve">Yaz</x:t>
        </x:is>
      </x:c>
      <x:c r="E467" t="inlineStr">
        <x:is>
          <x:t xml:space="preserve">แผง 28 เม็ด</x:t>
        </x:is>
      </x:c>
      <x:c r="F467" t="inlineStr">
        <x:is>
          <x:t xml:space="preserve">Drospirenone 3 mg.+Ethinylestradiol 0.02 mg.</x:t>
        </x:is>
      </x:c>
      <x:c r="G467" t="inlineStr">
        <x:is>
          <x:t xml:space="preserve">BDS004154</x:t>
        </x:is>
      </x:c>
      <x:c r="H467" t="inlineStr">
        <x:is>
          <x:t xml:space="preserve">Yaz (28 tabs)</x:t>
        </x:is>
      </x:c>
      <x:c r="I467" t="inlineStr">
        <x:is>
          <x:t xml:space="preserve">รับประทานครั้งละ 1 เม็ด วันละ 1 ครั้ง</x:t>
        </x:is>
      </x:c>
    </x:row>
    <x:row r="468">
      <x:c r="A468">
        <x:v>466</x:v>
      </x:c>
      <x:c r="B468" t="inlineStr">
        <x:is>
          <x:t xml:space="preserve">ยาป้องกันและรักษาข้อเสื่อม (D)</x:t>
        </x:is>
      </x:c>
      <x:c r="C468">
        <x:v>40024</x:v>
      </x:c>
      <x:c r="D468" t="inlineStr">
        <x:is>
          <x:t xml:space="preserve">Arthro-K Orange 1500</x:t>
        </x:is>
      </x:c>
      <x:c r="E468" t="inlineStr">
        <x:is>
          <x:t xml:space="preserve">ซอง 3.95 g.</x:t>
        </x:is>
      </x:c>
      <x:c r="F468" t="inlineStr">
        <x:is>
          <x:t xml:space="preserve">Crystalline Glucosamine Sulfate Potassium Chloride (เทียบเท่ากับ Glucosamine sulfate 1500 mg.)</x:t>
        </x:is>
      </x:c>
      <x:c r="G468" t="inlineStr">
        <x:is>
          <x:t xml:space="preserve">BDS040024</x:t>
        </x:is>
      </x:c>
      <x:c r="H468" t="inlineStr">
        <x:is>
          <x:t xml:space="preserve">Arthro-K Orange 1500 (3.95 g.)</x:t>
        </x:is>
      </x:c>
      <x:c r="I468" t="inlineStr">
        <x:is>
          <x:t xml:space="preserve">รับประทาน (ละลาย) ครั้งละ 1 ซองต่อน้ำครึ่งแก้ว (125 ml.) วันละ 1 ครั้ง</x:t>
        </x:is>
      </x:c>
    </x:row>
    <x:row r="469">
      <x:c r="A469">
        <x:v>467</x:v>
      </x:c>
      <x:c r="B469" t="inlineStr">
        <x:is>
          <x:t xml:space="preserve">ยาป้องกันและรักษาข้อเสื่อม (D)</x:t>
        </x:is>
      </x:c>
      <x:c r="C469">
        <x:v>40032</x:v>
      </x:c>
      <x:c r="D469" t="inlineStr">
        <x:is>
          <x:t xml:space="preserve">Artrofort Complex</x:t>
        </x:is>
      </x:c>
      <x:c r="E469" t="inlineStr">
        <x:is>
          <x:t xml:space="preserve">กล่อง 30 ซอง</x:t>
        </x:is>
      </x:c>
      <x:c r="F469" t="inlineStr">
        <x:is>
          <x:t xml:space="preserve">Crystalline Glucosamine Sulphate 942 mg.(เทียบเท่ากับ Glucosamine 750 mg.+Sodium Chloride 192 mg.)+Chondroitin Sulphate Sodium 600 mg.</x:t>
        </x:is>
      </x:c>
      <x:c r="G469" t="inlineStr">
        <x:is>
          <x:t xml:space="preserve">BDS040032</x:t>
        </x:is>
      </x:c>
      <x:c r="H469" t="inlineStr">
        <x:is>
          <x:t xml:space="preserve">Artrofort Complex (30 sachets)</x:t>
        </x:is>
      </x:c>
      <x:c r="I469" t="inlineStr">
        <x:is>
          <x:t xml:space="preserve">รับประทาน (ละลาย) ครั้งละ 1 ซองต่อน้ำ 1 แก้ว (125 ml.) วันละ 2 ครั้ง ก่อนอาหาร</x:t>
        </x:is>
      </x:c>
    </x:row>
    <x:row r="470">
      <x:c r="A470">
        <x:v>468</x:v>
      </x:c>
      <x:c r="B470" t="inlineStr">
        <x:is>
          <x:t xml:space="preserve">ยาป้องกันและรักษาข้อเสื่อม (D)</x:t>
        </x:is>
      </x:c>
      <x:c r="C470">
        <x:v>1521</x:v>
      </x:c>
      <x:c r="D470" t="inlineStr">
        <x:is>
          <x:t xml:space="preserve">Coxium</x:t>
        </x:is>
      </x:c>
      <x:c r="E470" t="inlineStr">
        <x:is>
          <x:t xml:space="preserve">กล่อง 30 ซอง</x:t>
        </x:is>
      </x:c>
      <x:c r="F470" t="inlineStr">
        <x:is>
          <x:t xml:space="preserve">Glucosamine Sulfate NaCl 1500 mg.</x:t>
        </x:is>
      </x:c>
      <x:c r="G470" t="inlineStr">
        <x:is>
          <x:t xml:space="preserve">BDS001521</x:t>
        </x:is>
      </x:c>
      <x:c r="H470" t="inlineStr">
        <x:is>
          <x:t xml:space="preserve">Coxium (30 sachets)</x:t>
        </x:is>
      </x:c>
      <x:c r="I470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1">
      <x:c r="A471">
        <x:v>469</x:v>
      </x:c>
      <x:c r="B471" t="inlineStr">
        <x:is>
          <x:t xml:space="preserve">ยาป้องกันและรักษาข้อเสื่อม (D)</x:t>
        </x:is>
      </x:c>
      <x:c r="C471">
        <x:v>7743</x:v>
      </x:c>
      <x:c r="D471" t="inlineStr">
        <x:is>
          <x:t xml:space="preserve">Glucosa 1500 ชนิดผง</x:t>
        </x:is>
      </x:c>
      <x:c r="E471" t="inlineStr">
        <x:is>
          <x:t xml:space="preserve">กล่อง 10 ซอง </x:t>
        </x:is>
      </x:c>
      <x:c r="F471" t="inlineStr">
        <x:is>
          <x:t xml:space="preserve">Glucosamine sulfate sodium 1500 mg.</x:t>
        </x:is>
      </x:c>
      <x:c r="G471" t="inlineStr">
        <x:is>
          <x:t xml:space="preserve">BDS007743</x:t>
        </x:is>
      </x:c>
      <x:c r="H471" t="inlineStr">
        <x:is>
          <x:t xml:space="preserve">Glucosa 1500 ชนิดผง (10 sachets)</x:t>
        </x:is>
      </x:c>
      <x:c r="I471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2">
      <x:c r="A472">
        <x:v>470</x:v>
      </x:c>
      <x:c r="B472" t="inlineStr">
        <x:is>
          <x:t xml:space="preserve">ยาป้องกันและรักษาข้อเสื่อม (D)</x:t>
        </x:is>
      </x:c>
      <x:c r="C472">
        <x:v>43605</x:v>
      </x:c>
      <x:c r="D472" t="inlineStr">
        <x:is>
          <x:t xml:space="preserve">Glucosa 1500 ชนิดผง (รสมะนาว)</x:t>
        </x:is>
      </x:c>
      <x:c r="E472" t="inlineStr">
        <x:is>
          <x:t xml:space="preserve">กล่อง 10 ซอง </x:t>
        </x:is>
      </x:c>
      <x:c r="F472" t="inlineStr">
        <x:is>
          <x:t xml:space="preserve">Glucosamine sulfate sodium 1500 mg.</x:t>
        </x:is>
      </x:c>
      <x:c r="G472" t="inlineStr">
        <x:is>
          <x:t xml:space="preserve">BDS043605</x:t>
        </x:is>
      </x:c>
      <x:c r="H472" t="inlineStr">
        <x:is>
          <x:t xml:space="preserve">Glucosa 1500 ชนิดผง (รสมะนาว) (10 sachets)</x:t>
        </x:is>
      </x:c>
      <x:c r="I472" t="inlineStr">
        <x:is>
          <x:t xml:space="preserve">รับประทาน (ละลาย) ครั้งละ 1 ซองต่อน้ำ 1 แก้ว (250 ml.) วันละ 1 ครั้ง</x:t>
        </x:is>
      </x:c>
    </x:row>
    <x:row r="473">
      <x:c r="A473">
        <x:v>471</x:v>
      </x:c>
      <x:c r="B473" t="inlineStr">
        <x:is>
          <x:t xml:space="preserve">ยาป้องกันและรักษาข้อเสื่อม (D)</x:t>
        </x:is>
      </x:c>
      <x:c r="C473">
        <x:v>7739</x:v>
      </x:c>
      <x:c r="D473" t="inlineStr">
        <x:is>
          <x:t xml:space="preserve">Glucosa 500</x:t>
        </x:is>
      </x:c>
      <x:c r="E473" t="inlineStr">
        <x:is>
          <x:t xml:space="preserve">แผง 10 แคปซูล</x:t>
        </x:is>
      </x:c>
      <x:c r="F473" t="inlineStr">
        <x:is>
          <x:t xml:space="preserve">Glucosamine sulfate sodium 500 mg.</x:t>
        </x:is>
      </x:c>
      <x:c r="G473" t="inlineStr">
        <x:is>
          <x:t xml:space="preserve">BDS007739</x:t>
        </x:is>
      </x:c>
      <x:c r="H473" t="inlineStr">
        <x:is>
          <x:t xml:space="preserve">Glucosa 500 (10 cap)</x:t>
        </x:is>
      </x:c>
      <x:c r="I473" t="inlineStr">
        <x:is>
          <x:t xml:space="preserve">รับประทานครั้งละ 1 แคปซูล วันละ 3 ครั้ง</x:t>
        </x:is>
      </x:c>
    </x:row>
    <x:row r="474">
      <x:c r="A474">
        <x:v>472</x:v>
      </x:c>
      <x:c r="B474" t="inlineStr">
        <x:is>
          <x:t xml:space="preserve">ยาป้องกันและรักษาข้อเสื่อม (D)</x:t>
        </x:is>
      </x:c>
      <x:c r="C474">
        <x:v>7225</x:v>
      </x:c>
      <x:c r="D474" t="inlineStr">
        <x:is>
          <x:t xml:space="preserve">Osteotin 500</x:t>
        </x:is>
      </x:c>
      <x:c r="E474" t="inlineStr">
        <x:is>
          <x:t xml:space="preserve">แผง 10 แคปซูล</x:t>
        </x:is>
      </x:c>
      <x:c r="F474" t="inlineStr">
        <x:is>
          <x:t xml:space="preserve">Glucosamine sulfate sodium 500 mg.</x:t>
        </x:is>
      </x:c>
      <x:c r="G474" t="inlineStr">
        <x:is>
          <x:t xml:space="preserve">BDS007225</x:t>
        </x:is>
      </x:c>
      <x:c r="H474" t="inlineStr">
        <x:is>
          <x:t xml:space="preserve">Osteotin 500 (10 cap)</x:t>
        </x:is>
      </x:c>
      <x:c r="I474" t="inlineStr">
        <x:is>
          <x:t xml:space="preserve">รับประทานครั้งละ 1 แคปซูล วันละ 3 ครั้ง</x:t>
        </x:is>
      </x:c>
    </x:row>
    <x:row r="475">
      <x:c r="A475">
        <x:v>473</x:v>
      </x:c>
      <x:c r="B475" t="inlineStr">
        <x:is>
          <x:t xml:space="preserve">ยาป้องกันและรักษาข้อเสื่อม (D)</x:t>
        </x:is>
      </x:c>
      <x:c r="C475">
        <x:v>1003</x:v>
      </x:c>
      <x:c r="D475" t="inlineStr">
        <x:is>
          <x:t xml:space="preserve">Viaflex 1500</x:t>
        </x:is>
      </x:c>
      <x:c r="E475" t="inlineStr">
        <x:is>
          <x:t xml:space="preserve">กล่อง 30 ซอง</x:t>
        </x:is>
      </x:c>
      <x:c r="F475" t="inlineStr">
        <x:is>
          <x:t xml:space="preserve">Glucosamine Sulfate Sodium Chloride  1884 mg. (Glucosamine Sulfate 1500 mg./1 ซอง)</x:t>
        </x:is>
      </x:c>
      <x:c r="G475" t="inlineStr">
        <x:is>
          <x:t xml:space="preserve">BDS001003</x:t>
        </x:is>
      </x:c>
      <x:c r="H475" t="inlineStr">
        <x:is>
          <x:t xml:space="preserve">Viaflex 1500 (30 sachets)</x:t>
        </x:is>
      </x:c>
      <x:c r="I475" t="inlineStr">
        <x:is>
          <x:t xml:space="preserve">รับประทาน (ละลาย) 1 ซอง ต่อน้ำ (150-200 ml.) วันละ 1 ครั้ง </x:t>
        </x:is>
      </x:c>
    </x:row>
    <x:row r="476">
      <x:c r="A476">
        <x:v>474</x:v>
      </x:c>
      <x:c r="B476" t="inlineStr">
        <x:is>
          <x:t xml:space="preserve">ยาป้องกันและรักษาข้อเสื่อม (D)</x:t>
        </x:is>
      </x:c>
      <x:c r="C476">
        <x:v>1705</x:v>
      </x:c>
      <x:c r="D476" t="inlineStr">
        <x:is>
          <x:t xml:space="preserve">Viartril-S</x:t>
        </x:is>
      </x:c>
      <x:c r="E476" t="inlineStr">
        <x:is>
          <x:t xml:space="preserve">กล่อง 30 ซอง</x:t>
        </x:is>
      </x:c>
      <x:c r="F476" t="inlineStr">
        <x:is>
          <x:t xml:space="preserve">Glucosamine Sulphate 1500 mg.</x:t>
        </x:is>
      </x:c>
      <x:c r="G476" t="inlineStr">
        <x:is>
          <x:t xml:space="preserve">BDS001705</x:t>
        </x:is>
      </x:c>
      <x:c r="H476" t="inlineStr">
        <x:is>
          <x:t xml:space="preserve">Viartril-S (30 sachets)</x:t>
        </x:is>
      </x:c>
      <x:c r="I476" t="inlineStr">
        <x:is>
          <x:t xml:space="preserve">รับประทาน (ละลาย) ครั้งละ 1 ซองต่อน้ำ 1 แก้ว (250 ml.) วันละ 1 ครั้ง ก่อนอาหาร 15 นาที</x:t>
        </x:is>
      </x:c>
    </x:row>
    <x:row r="477">
      <x:c r="A477">
        <x:v>475</x:v>
      </x:c>
      <x:c r="B477" t="inlineStr">
        <x:is>
          <x:t xml:space="preserve">ยาละลายเสมหะ (D)</x:t>
        </x:is>
      </x:c>
      <x:c r="C477">
        <x:v>40631</x:v>
      </x:c>
      <x:c r="D477" t="inlineStr">
        <x:is>
          <x:t xml:space="preserve">Bromcolex</x:t>
        </x:is>
      </x:c>
      <x:c r="E477" t="inlineStr">
        <x:is>
          <x:t xml:space="preserve">แผง 10 เม็ด</x:t>
        </x:is>
      </x:c>
      <x:c r="F477" t="inlineStr">
        <x:is>
          <x:t xml:space="preserve">Bromhexine HCl 8 mg.</x:t>
        </x:is>
      </x:c>
      <x:c r="G477" t="inlineStr">
        <x:is>
          <x:t xml:space="preserve">BDS040631</x:t>
        </x:is>
      </x:c>
      <x:c r="H477" t="inlineStr">
        <x:is>
          <x:t xml:space="preserve">Bromcolex (10 tabs)</x:t>
        </x:is>
      </x:c>
      <x:c r="I477" t="inlineStr">
        <x:is>
          <x:t xml:space="preserve">รับประทานครั้งละ 1 เม็ด วันละ 3 ครั้ง</x:t>
        </x:is>
      </x:c>
      <x:c r="P477" t="inlineStr">
        <x:is>
          <x:t xml:space="preserve">Cough medicines / mucolytics / expectorants</x:t>
        </x:is>
      </x:c>
    </x:row>
    <x:row r="478">
      <x:c r="A478">
        <x:v>476</x:v>
      </x:c>
      <x:c r="B478" t="inlineStr">
        <x:is>
          <x:t xml:space="preserve">ยาละลายเสมหะ (D)</x:t>
        </x:is>
      </x:c>
      <x:c r="C478">
        <x:v>8046</x:v>
      </x:c>
      <x:c r="D478" t="inlineStr">
        <x:is>
          <x:t xml:space="preserve">Extorant</x:t>
        </x:is>
      </x:c>
      <x:c r="E478" t="inlineStr">
        <x:is>
          <x:t xml:space="preserve">แผง 10 เม็ด</x:t>
        </x:is>
      </x:c>
      <x:c r="F478" t="inlineStr">
        <x:is>
          <x:t xml:space="preserve">Bromhexine HCl 4 mg+Guaifenesin 100 mg</x:t>
        </x:is>
      </x:c>
      <x:c r="G478" t="inlineStr">
        <x:is>
          <x:t xml:space="preserve">BDS008046</x:t>
        </x:is>
      </x:c>
      <x:c r="H478" t="inlineStr">
        <x:is>
          <x:t xml:space="preserve">Extorant (10 tabs)</x:t>
        </x:is>
      </x:c>
      <x:c r="I478" t="inlineStr">
        <x:is>
          <x:t xml:space="preserve">รับประทานครั้งละ 1-2 เม็ด วันละ 3-4 ครั้ง </x:t>
        </x:is>
      </x:c>
      <x:c r="P478" t="inlineStr">
        <x:is>
          <x:t xml:space="preserve">Cough medicines / mucolytics / expectorants</x:t>
        </x:is>
      </x:c>
    </x:row>
    <x:row r="479">
      <x:c r="A479">
        <x:v>477</x:v>
      </x:c>
      <x:c r="B479" t="inlineStr">
        <x:is>
          <x:t xml:space="preserve">ยาละลายเสมหะ (D)</x:t>
        </x:is>
      </x:c>
      <x:c r="C479">
        <x:v>7196</x:v>
      </x:c>
      <x:c r="D479" t="inlineStr">
        <x:is>
          <x:t xml:space="preserve">Mucoxine-F</x:t>
        </x:is>
      </x:c>
      <x:c r="E479" t="inlineStr">
        <x:is>
          <x:t xml:space="preserve">แผง 10 เม็ด</x:t>
        </x:is>
      </x:c>
      <x:c r="F479" t="inlineStr">
        <x:is>
          <x:t xml:space="preserve">Ambroxol HCl 30 mg.</x:t>
        </x:is>
      </x:c>
      <x:c r="G479" t="inlineStr">
        <x:is>
          <x:t xml:space="preserve">BDS007196</x:t>
        </x:is>
      </x:c>
      <x:c r="H479" t="inlineStr">
        <x:is>
          <x:t xml:space="preserve">Mucoxine-F (10 tabs)</x:t>
        </x:is>
      </x:c>
      <x:c r="I479" t="inlineStr">
        <x:is>
          <x:t xml:space="preserve">รับประทานครั้งละ 1-2 เม็ด วันละ 3 ครั้ง</x:t>
        </x:is>
      </x:c>
      <x:c r="P479" t="inlineStr">
        <x:is>
          <x:t xml:space="preserve">Cough medicines / mucolytics / expectorants</x:t>
        </x:is>
      </x:c>
    </x:row>
    <x:row r="480">
      <x:c r="A480">
        <x:v>478</x:v>
      </x:c>
      <x:c r="B480" t="inlineStr">
        <x:is>
          <x:t xml:space="preserve">ยาละลายเสมหะ (D)</x:t>
        </x:is>
      </x:c>
      <x:c r="C480">
        <x:v>7601</x:v>
      </x:c>
      <x:c r="D480" t="inlineStr">
        <x:is>
          <x:t xml:space="preserve">Polibroxol</x:t>
        </x:is>
      </x:c>
      <x:c r="E480" t="inlineStr">
        <x:is>
          <x:t xml:space="preserve">แผง 10 เม็ด</x:t>
        </x:is>
      </x:c>
      <x:c r="F480" t="inlineStr">
        <x:is>
          <x:t xml:space="preserve">Ambroxol HCl 30 mg.</x:t>
        </x:is>
      </x:c>
      <x:c r="G480" t="inlineStr">
        <x:is>
          <x:t xml:space="preserve">BDS007601</x:t>
        </x:is>
      </x:c>
      <x:c r="H480" t="inlineStr">
        <x:is>
          <x:t xml:space="preserve">Polibroxol (10 tabs)</x:t>
        </x:is>
      </x:c>
      <x:c r="I480" t="inlineStr">
        <x:is>
          <x:t xml:space="preserve">รับประทานครั้งละ 1-2 เม็ด วันละ 3 ครั้ง</x:t>
        </x:is>
      </x:c>
      <x:c r="P480" t="inlineStr">
        <x:is>
          <x:t xml:space="preserve">Cough medicines / mucolytics / expectorants</x:t>
        </x:is>
      </x:c>
    </x:row>
    <x:row r="481">
      <x:c r="A481">
        <x:v>479</x:v>
      </x:c>
      <x:c r="B481" t="inlineStr">
        <x:is>
          <x:t xml:space="preserve">ยาระบาย (D)</x:t>
        </x:is>
      </x:c>
      <x:c r="C481">
        <x:v>8201</x:v>
      </x:c>
      <x:c r="D481" t="inlineStr">
        <x:is>
          <x:t xml:space="preserve">Bisacod</x:t>
        </x:is>
      </x:c>
      <x:c r="E481" t="inlineStr">
        <x:is>
          <x:t xml:space="preserve">แผง 10 เม็ด</x:t>
        </x:is>
      </x:c>
      <x:c r="F481" t="inlineStr">
        <x:is>
          <x:t xml:space="preserve">Bisacodyl 5 mg.</x:t>
        </x:is>
      </x:c>
      <x:c r="G481" t="inlineStr">
        <x:is>
          <x:t xml:space="preserve">BDS008201</x:t>
        </x:is>
      </x:c>
      <x:c r="H481" t="inlineStr">
        <x:is>
          <x:t xml:space="preserve">Bisacod (10 tabs)</x:t>
        </x:is>
      </x:c>
      <x:c r="I481" t="inlineStr">
        <x:is>
          <x:t xml:space="preserve">รับประทานครั้งละ 2-4 เม็ด วันละ 1 ครั้ง ก่อนนอน</x:t>
        </x:is>
      </x:c>
    </x:row>
    <x:row r="482">
      <x:c r="A482">
        <x:v>480</x:v>
      </x:c>
      <x:c r="B482" t="inlineStr">
        <x:is>
          <x:t xml:space="preserve">ยาระบาย (D)</x:t>
        </x:is>
      </x:c>
      <x:c r="C482">
        <x:v>7554</x:v>
      </x:c>
      <x:c r="D482" t="inlineStr">
        <x:is>
          <x:t xml:space="preserve">Losalac Syrup</x:t>
        </x:is>
      </x:c>
      <x:c r="E482" t="inlineStr">
        <x:is>
          <x:t xml:space="preserve">ขวด 100 ml.</x:t>
        </x:is>
      </x:c>
      <x:c r="F482" t="inlineStr">
        <x:is>
          <x:t xml:space="preserve">Lactulose 66.7 g./100 ml.</x:t>
        </x:is>
      </x:c>
      <x:c r="G482" t="inlineStr">
        <x:is>
          <x:t xml:space="preserve">BDS007554</x:t>
        </x:is>
      </x:c>
      <x:c r="H482" t="inlineStr">
        <x:is>
          <x:t xml:space="preserve">Losalac Syrup (100 ml.)</x:t>
        </x:is>
      </x:c>
      <x:c r="I482" t="inlineStr">
        <x:is>
          <x:t xml:space="preserve">เด็กเล็กรับประทานครั้งละ 1-2 ช้อนชา วันละ 1 ครั้ง</x:t>
        </x:is>
      </x:c>
    </x:row>
    <x:row r="483">
      <x:c r="A483">
        <x:v>481</x:v>
      </x:c>
      <x:c r="B483" t="inlineStr">
        <x:is>
          <x:t xml:space="preserve">ยาระบาย (D)</x:t>
        </x:is>
      </x:c>
      <x:c r="C483">
        <x:v>8768</x:v>
      </x:c>
      <x:c r="D483" t="inlineStr">
        <x:is>
          <x:t xml:space="preserve">T.Man-Lax</x:t>
        </x:is>
      </x:c>
      <x:c r="E483" t="inlineStr">
        <x:is>
          <x:t xml:space="preserve">แผง 10 เม็ด</x:t>
        </x:is>
      </x:c>
      <x:c r="F483" t="inlineStr">
        <x:is>
          <x:t xml:space="preserve">Bisacodyl 5 mg.+Dioctyl sodium sulfosuccinate 15 mg.</x:t>
        </x:is>
      </x:c>
      <x:c r="G483" t="inlineStr">
        <x:is>
          <x:t xml:space="preserve">BDS008768</x:t>
        </x:is>
      </x:c>
      <x:c r="H483" t="inlineStr">
        <x:is>
          <x:t xml:space="preserve">T.Man-Lax (10 tabs)</x:t>
        </x:is>
      </x:c>
      <x:c r="I483" t="inlineStr">
        <x:is>
          <x:t xml:space="preserve">รับประทานครั้งละ 2-4 เม็ด วันละ 1 ครั้ง ก่อนนอน</x:t>
        </x:is>
      </x:c>
    </x:row>
    <x:row r="484">
      <x:c r="A484">
        <x:v>482</x:v>
      </x:c>
      <x:c r="B484" t="inlineStr">
        <x:is>
          <x:t xml:space="preserve">ยารักษาอาการผมร่วง (D)</x:t>
        </x:is>
      </x:c>
      <x:c r="C484">
        <x:v>1975</x:v>
      </x:c>
      <x:c r="D484" t="inlineStr">
        <x:is>
          <x:t xml:space="preserve">Firide 1 mg</x:t>
        </x:is>
      </x:c>
      <x:c r="E484" t="inlineStr">
        <x:is>
          <x:t xml:space="preserve">แผง 10 เม็ด</x:t>
        </x:is>
      </x:c>
      <x:c r="F484" t="inlineStr">
        <x:is>
          <x:t xml:space="preserve">Finasteride 1 mg.</x:t>
        </x:is>
      </x:c>
      <x:c r="G484" t="inlineStr">
        <x:is>
          <x:t xml:space="preserve">BDS001975</x:t>
        </x:is>
      </x:c>
      <x:c r="H484" t="inlineStr">
        <x:is>
          <x:t xml:space="preserve">Firide 1 mg (10 tabs)</x:t>
        </x:is>
      </x:c>
      <x:c r="I484" t="inlineStr">
        <x:is>
          <x:t xml:space="preserve">รับประทานครั้งละ 1 เม็ด วันละ 1 ครั้ง</x:t>
        </x:is>
      </x:c>
    </x:row>
    <x:row r="485">
      <x:c r="A485">
        <x:v>483</x:v>
      </x:c>
      <x:c r="B485" t="inlineStr">
        <x:is>
          <x:t xml:space="preserve">ยาฆ่าเชื้อพยาธิในช่องคลอด (D)</x:t>
        </x:is>
      </x:c>
      <x:c r="C485">
        <x:v>40003</x:v>
      </x:c>
      <x:c r="D485" t="inlineStr">
        <x:is>
          <x:t xml:space="preserve">Asiazole-T.N. tabslets</x:t>
        </x:is>
      </x:c>
      <x:c r="E485" t="inlineStr">
        <x:is>
          <x:t xml:space="preserve">กล่อง 4 เม็ด</x:t>
        </x:is>
      </x:c>
      <x:c r="F485" t="inlineStr">
        <x:is>
          <x:t xml:space="preserve">Tinidazole 500 mg.</x:t>
        </x:is>
      </x:c>
      <x:c r="G485" t="inlineStr">
        <x:is>
          <x:t xml:space="preserve">BDS040003</x:t>
        </x:is>
      </x:c>
      <x:c r="H485" t="inlineStr">
        <x:is>
          <x:t xml:space="preserve">Asiazole-T.N. tabslets (4 tabs)</x:t>
        </x:is>
      </x:c>
      <x:c r="I485" t="inlineStr">
        <x:is>
          <x:t xml:space="preserve">รับประทานครั้งละ 4 เม็ด  วันละ 1 ครั้ง ก่อนนอน</x:t>
        </x:is>
      </x:c>
      <x:c r="P485" t="inlineStr">
        <x:is>
          <x:t xml:space="preserve">Vaginal antiparasitic/anti-infective</x:t>
        </x:is>
      </x:c>
    </x:row>
    <x:row r="486">
      <x:c r="A486">
        <x:v>484</x:v>
      </x:c>
      <x:c r="B486" t="inlineStr">
        <x:is>
          <x:t xml:space="preserve">ยาฆ่าเชื้อพยาธิในช่องคลอด (D)</x:t>
        </x:is>
      </x:c>
      <x:c r="C486">
        <x:v>7954</x:v>
      </x:c>
      <x:c r="D486" t="inlineStr">
        <x:is>
          <x:t xml:space="preserve">Gyno Gena-500</x:t>
        </x:is>
      </x:c>
      <x:c r="E486" t="inlineStr">
        <x:is>
          <x:t xml:space="preserve">กล่อง 4 เม็ด</x:t>
        </x:is>
      </x:c>
      <x:c r="F486" t="inlineStr">
        <x:is>
          <x:t xml:space="preserve">Tinidazole 500 mg.</x:t>
        </x:is>
      </x:c>
      <x:c r="G486" t="inlineStr">
        <x:is>
          <x:t xml:space="preserve">BDS007954</x:t>
        </x:is>
      </x:c>
      <x:c r="H486" t="inlineStr">
        <x:is>
          <x:t xml:space="preserve">Gyno Gena-500 (4 tabs)</x:t>
        </x:is>
      </x:c>
      <x:c r="I486" t="inlineStr">
        <x:is>
          <x:t xml:space="preserve">รับประทานครั้งละ 4 เม็ด วันละ 1 ครั้ง ก่อนนอน</x:t>
        </x:is>
      </x:c>
      <x:c r="P486" t="inlineStr">
        <x:is>
          <x:t xml:space="preserve">Vaginal antiparasitic/anti-infective</x:t>
        </x:is>
      </x:c>
    </x:row>
    <x:row r="487">
      <x:c r="A487">
        <x:v>485</x:v>
      </x:c>
      <x:c r="B487" t="inlineStr">
        <x:is>
          <x:t xml:space="preserve">ยาแก้เมารถ, เมาเรือ</x:t>
        </x:is>
      </x:c>
      <x:c r="C487">
        <x:v>45662</x:v>
      </x:c>
      <x:c r="D487" t="inlineStr">
        <x:is>
          <x:t xml:space="preserve">Navamed</x:t>
        </x:is>
      </x:c>
      <x:c r="E487" t="inlineStr">
        <x:is>
          <x:t xml:space="preserve">แผง 2 เม็ด</x:t>
        </x:is>
      </x:c>
      <x:c r="F487" t="inlineStr">
        <x:is>
          <x:t xml:space="preserve">Dimenhydrinate 50 mg</x:t>
        </x:is>
      </x:c>
      <x:c r="G487" t="inlineStr">
        <x:is>
          <x:t xml:space="preserve">BDS045662</x:t>
        </x:is>
      </x:c>
      <x:c r="H487" t="inlineStr">
        <x:is>
          <x:t xml:space="preserve">Navamed (2 tabs)</x:t>
        </x:is>
      </x:c>
      <x:c r="I487" t="inlineStr">
        <x:is>
          <x:t xml:space="preserve">รับประทานครั้งละ 1 เม็ด วันละ 3 ครั้ง หรือก่อนเดินทาง 30 นาที </x:t>
        </x:is>
      </x:c>
    </x:row>
    <x:row r="488">
      <x:c r="A488">
        <x:v>486</x:v>
      </x:c>
      <x:c r="B488" t="inlineStr">
        <x:is>
          <x:t xml:space="preserve">ยาขับเสมหะ</x:t>
        </x:is>
      </x:c>
      <x:c r="C488">
        <x:v>48649</x:v>
      </x:c>
      <x:c r="D488" t="inlineStr">
        <x:is>
          <x:t xml:space="preserve">Tavipec cap</x:t>
        </x:is>
      </x:c>
      <x:c r="E488" t="inlineStr">
        <x:is>
          <x:t xml:space="preserve">แผง 10 แคปซูล</x:t>
        </x:is>
      </x:c>
      <x:c r="F488" t="inlineStr">
        <x:is>
          <x:t xml:space="preserve">Spike Lavender Oil 150 mg.</x:t>
        </x:is>
      </x:c>
      <x:c r="G488" t="inlineStr">
        <x:is>
          <x:t xml:space="preserve">BDS048649</x:t>
        </x:is>
      </x:c>
      <x:c r="H488" t="inlineStr">
        <x:is>
          <x:t xml:space="preserve">Tavipec cap (10 cap)</x:t>
        </x:is>
      </x:c>
      <x:c r="I488" t="inlineStr">
        <x:is>
          <x:t xml:space="preserve">รับประทานครั้งละ 1-2 แคปซูล วันละ 3 ครั้ง ก่อนอาหาร</x:t>
        </x:is>
      </x:c>
      <x:c r="P488" t="inlineStr">
        <x:is>
          <x:t xml:space="preserve">Cough medicines / mucolytics / expectorants</x:t>
        </x:is>
      </x:c>
    </x:row>
    <x:row r="489">
      <x:c r="A489">
        <x:v>487</x:v>
      </x:c>
      <x:c r="B489" t="inlineStr">
        <x:is>
          <x:t xml:space="preserve">ยาแก้ปวด, ลดไข้ (OTC)</x:t>
        </x:is>
      </x:c>
      <x:c r="C489">
        <x:v>40613</x:v>
      </x:c>
      <x:c r="D489" t="inlineStr">
        <x:is>
          <x:t xml:space="preserve">Bakamol 500 mg strip 10s</x:t>
        </x:is>
      </x:c>
      <x:c r="E489" t="inlineStr">
        <x:is>
          <x:t xml:space="preserve">แผง 10 เม็ด</x:t>
        </x:is>
      </x:c>
      <x:c r="F489" t="inlineStr">
        <x:is>
          <x:t xml:space="preserve">Paracetamol 500 mg.</x:t>
        </x:is>
      </x:c>
      <x:c r="G489" t="inlineStr">
        <x:is>
          <x:t xml:space="preserve">BDS040613</x:t>
        </x:is>
      </x:c>
      <x:c r="H489" t="inlineStr">
        <x:is>
          <x:t xml:space="preserve">Bakamol 500 mg strip 10s (10 tabs)</x:t>
        </x:is>
      </x:c>
      <x:c r="I489" t="inlineStr">
        <x:is>
          <x:t xml:space="preserve">รับประทานครั้งละ 1-2 เม็ด ทุก 4-6 ชั่วโมง</x:t>
        </x:is>
      </x:c>
      <x:c r="J489" t="inlineStr">
        <x:is>
          <x:t xml:space="preserve">Take 1-2 tablets every 4-6 hours</x:t>
        </x:is>
      </x:c>
      <x:c r="P489" t="inlineStr">
        <x:is>
          <x:t xml:space="preserve">General analgesics/antipyretics</x:t>
        </x:is>
      </x:c>
    </x:row>
    <x:row r="490">
      <x:c r="A490">
        <x:v>488</x:v>
      </x:c>
      <x:c r="B490" t="inlineStr">
        <x:is>
          <x:t xml:space="preserve">ยาแก้ปวด, ลดไข้ (OTC)</x:t>
        </x:is>
      </x:c>
      <x:c r="C490">
        <x:v>7044</x:v>
      </x:c>
      <x:c r="D490" t="inlineStr">
        <x:is>
          <x:t xml:space="preserve">Cemol 500 mg strip 10s เม็ดรี</x:t>
        </x:is>
      </x:c>
      <x:c r="E490" t="inlineStr">
        <x:is>
          <x:t xml:space="preserve">แผง 10 เม็ด</x:t>
        </x:is>
      </x:c>
      <x:c r="F490" t="inlineStr">
        <x:is>
          <x:t xml:space="preserve">Paracetamol 500 mg.</x:t>
        </x:is>
      </x:c>
      <x:c r="G490" t="inlineStr">
        <x:is>
          <x:t xml:space="preserve">BDS007044</x:t>
        </x:is>
      </x:c>
      <x:c r="H490" t="inlineStr">
        <x:is>
          <x:t xml:space="preserve">Cemol 500 mg strip 10s เม็ดรี (10 tabs)</x:t>
        </x:is>
      </x:c>
      <x:c r="I490" t="inlineStr">
        <x:is>
          <x:t xml:space="preserve">รับประทานครั้งละ 1-2 เม็ด ทุก 4 ชั่วโมง หรือเมื่อมีอาการ</x:t>
        </x:is>
      </x:c>
      <x:c r="J490" t="inlineStr">
        <x:is>
          <x:t xml:space="preserve">Take 1-2 tablets every 4 hours or if symptoms occur</x:t>
        </x:is>
      </x:c>
      <x:c r="P490" t="inlineStr">
        <x:is>
          <x:t xml:space="preserve">General analgesics/antipyretics</x:t>
        </x:is>
      </x:c>
    </x:row>
    <x:row r="491">
      <x:c r="A491">
        <x:v>489</x:v>
      </x:c>
      <x:c r="B491" t="inlineStr">
        <x:is>
          <x:t xml:space="preserve">ยาแก้ปวด, ลดไข้ (OTC)</x:t>
        </x:is>
      </x:c>
      <x:c r="C491">
        <x:v>3108</x:v>
      </x:c>
      <x:c r="D491" t="inlineStr">
        <x:is>
          <x:t xml:space="preserve">Para Cap strip 10s</x:t>
        </x:is>
      </x:c>
      <x:c r="E491" t="inlineStr">
        <x:is>
          <x:t xml:space="preserve">แผง 10 เม็ด</x:t>
        </x:is>
      </x:c>
      <x:c r="F491" t="inlineStr">
        <x:is>
          <x:t xml:space="preserve">Paracetamol 500 mg.</x:t>
        </x:is>
      </x:c>
      <x:c r="G491" t="inlineStr">
        <x:is>
          <x:t xml:space="preserve">BDS003108</x:t>
        </x:is>
      </x:c>
      <x:c r="H491" t="inlineStr">
        <x:is>
          <x:t xml:space="preserve">Para Cap strip 10s (10 tabs)</x:t>
        </x:is>
      </x:c>
      <x:c r="I491" t="inlineStr">
        <x:is>
          <x:t xml:space="preserve">รับประทานครั้งละ 1-2 เม็ด ทุก 4-6 ชั่วโมง</x:t>
        </x:is>
      </x:c>
      <x:c r="J491" t="inlineStr">
        <x:is>
          <x:t xml:space="preserve">Take 1-2 tablets every 4-6 hours</x:t>
        </x:is>
      </x:c>
      <x:c r="P491" t="inlineStr">
        <x:is>
          <x:t xml:space="preserve">General analgesics/antipyretics</x:t>
        </x:is>
      </x:c>
    </x:row>
    <x:row r="492">
      <x:c r="A492">
        <x:v>490</x:v>
      </x:c>
      <x:c r="B492" t="inlineStr">
        <x:is>
          <x:t xml:space="preserve">ยาแก้ปวด, ลดไข้ (OTC)</x:t>
        </x:is>
      </x:c>
      <x:c r="C492">
        <x:v>3503</x:v>
      </x:c>
      <x:c r="D492" t="inlineStr">
        <x:is>
          <x:t xml:space="preserve">Sara เม็ดกลม แผง 10s</x:t>
        </x:is>
      </x:c>
      <x:c r="E492" t="inlineStr">
        <x:is>
          <x:t xml:space="preserve">แผง 10 เม็ด</x:t>
        </x:is>
      </x:c>
      <x:c r="F492" t="inlineStr">
        <x:is>
          <x:t xml:space="preserve">Paracetamol 500 mg.</x:t>
        </x:is>
      </x:c>
      <x:c r="G492" t="inlineStr">
        <x:is>
          <x:t xml:space="preserve">BDS003503</x:t>
        </x:is>
      </x:c>
      <x:c r="H492" t="inlineStr">
        <x:is>
          <x:t xml:space="preserve">Sara เม็ดกลม แผง 10s (10 tabs)</x:t>
        </x:is>
      </x:c>
      <x:c r="I492" t="inlineStr">
        <x:is>
          <x:t xml:space="preserve">รับประทานครั้งละ 1-2 เม็ด ทุก 4-6 ชั่วโมง</x:t>
        </x:is>
      </x:c>
      <x:c r="J492" t="inlineStr">
        <x:is>
          <x:t xml:space="preserve">Take 1-2 tablets every 4-6 hours</x:t>
        </x:is>
      </x:c>
      <x:c r="P492" t="inlineStr">
        <x:is>
          <x:t xml:space="preserve">General analgesics/antipyretics</x:t>
        </x:is>
      </x:c>
    </x:row>
    <x:row r="493">
      <x:c r="A493">
        <x:v>491</x:v>
      </x:c>
      <x:c r="B493" t="inlineStr">
        <x:is>
          <x:t xml:space="preserve">ยาแก้ปวด, ลดไข้ (OTC)</x:t>
        </x:is>
      </x:c>
      <x:c r="C493">
        <x:v>3654</x:v>
      </x:c>
      <x:c r="D493" t="inlineStr">
        <x:is>
          <x:t xml:space="preserve">Sara เม็ดรี แผง 10s</x:t>
        </x:is>
      </x:c>
      <x:c r="E493" t="inlineStr">
        <x:is>
          <x:t xml:space="preserve">แผง 10 เม็ด</x:t>
        </x:is>
      </x:c>
      <x:c r="F493" t="inlineStr">
        <x:is>
          <x:t xml:space="preserve">Paracetamol 500 mg.</x:t>
        </x:is>
      </x:c>
      <x:c r="G493" t="inlineStr">
        <x:is>
          <x:t xml:space="preserve">BDS003654</x:t>
        </x:is>
      </x:c>
      <x:c r="H493" t="inlineStr">
        <x:is>
          <x:t xml:space="preserve">Sara เม็ดรี แผง 10s (10 tabs)</x:t>
        </x:is>
      </x:c>
      <x:c r="I493" t="inlineStr">
        <x:is>
          <x:t xml:space="preserve">รับประทานครั้งละ1-2 เม็ด  ทุก 4-6 ชั่วโมง</x:t>
        </x:is>
      </x:c>
      <x:c r="J493" t="inlineStr">
        <x:is>
          <x:t xml:space="preserve">Take 1-2 tablets every 4-6 hours</x:t>
        </x:is>
      </x:c>
      <x:c r="P493" t="inlineStr">
        <x:is>
          <x:t xml:space="preserve">General analgesics/antipyretics</x:t>
        </x:is>
      </x:c>
    </x:row>
    <x:row r="494">
      <x:c r="A494">
        <x:v>492</x:v>
      </x:c>
      <x:c r="B494" t="inlineStr">
        <x:is>
          <x:t xml:space="preserve">ยาแก้ปวด, ลดไข้ (OTC)</x:t>
        </x:is>
      </x:c>
      <x:c r="C494">
        <x:v>3762</x:v>
      </x:c>
      <x:c r="D494" t="inlineStr">
        <x:is>
          <x:t xml:space="preserve">Tylenol 500 mg strip 10s</x:t>
        </x:is>
      </x:c>
      <x:c r="E494" t="inlineStr">
        <x:is>
          <x:t xml:space="preserve">แผง 10 เม็ด</x:t>
        </x:is>
      </x:c>
      <x:c r="F494" t="inlineStr">
        <x:is>
          <x:t xml:space="preserve">Paracetamol 500 mg.</x:t>
        </x:is>
      </x:c>
      <x:c r="G494" t="inlineStr">
        <x:is>
          <x:t xml:space="preserve">BDS003762</x:t>
        </x:is>
      </x:c>
      <x:c r="H494" t="inlineStr">
        <x:is>
          <x:t xml:space="preserve">Tylenol 500 mg strip 10s (10 tabs)</x:t>
        </x:is>
      </x:c>
      <x:c r="I494" t="inlineStr">
        <x:is>
          <x:t xml:space="preserve">รับประทานครั้งละ 1-2  เม็ด ทุก 4-6 ชั่วโมง</x:t>
        </x:is>
      </x:c>
      <x:c r="J494" t="inlineStr">
        <x:is>
          <x:t xml:space="preserve">Take 1-2 tablets every 4-6 hours</x:t>
        </x:is>
      </x:c>
      <x:c r="K494">
        <x:v>36</x:v>
      </x:c>
      <x:c r="L494">
        <x:v>3.6</x:v>
      </x:c>
      <x:c r="M494" t="inlineStr">
        <x:is>
          <x:t xml:space="preserve">USER</x:t>
        </x:is>
      </x:c>
      <x:c r="N494" t="inlineStr">
        <x:is>
          <x:t xml:space="preserve">2026-02-07</x:t>
        </x:is>
      </x:c>
      <x:c r="O494" t="inlineStr">
        <x:is>
          <x:t xml:space="preserve">User provided price (online). Unit price per tablet (10 tabs strip).</x:t>
        </x:is>
      </x:c>
      <x:c r="P494" t="inlineStr">
        <x:is>
          <x:t xml:space="preserve">General analgesics/antipyretics</x:t>
        </x:is>
      </x:c>
    </x:row>
    <x:row r="495">
      <x:c r="A495">
        <x:v>493</x:v>
      </x:c>
      <x:c r="B495" t="inlineStr">
        <x:is>
          <x:t xml:space="preserve">ยาขับลม (OTC)</x:t>
        </x:is>
      </x:c>
      <x:c r="C495">
        <x:v>1014</x:v>
      </x:c>
      <x:c r="D495" t="inlineStr">
        <x:is>
          <x:t xml:space="preserve">Air-X</x:t>
        </x:is>
      </x:c>
      <x:c r="E495" t="inlineStr">
        <x:is>
          <x:t xml:space="preserve">แผง 10 เม็ด</x:t>
        </x:is>
      </x:c>
      <x:c r="F495" t="inlineStr">
        <x:is>
          <x:t xml:space="preserve">Simethicone 80 mg.</x:t>
        </x:is>
      </x:c>
      <x:c r="G495" t="inlineStr">
        <x:is>
          <x:t xml:space="preserve">BDS001014</x:t>
        </x:is>
      </x:c>
      <x:c r="H495" t="inlineStr">
        <x:is>
          <x:t xml:space="preserve">Air-X (10 tabs)</x:t>
        </x:is>
      </x:c>
      <x:c r="I495" t="inlineStr">
        <x:is>
          <x:t xml:space="preserve">รับประทาน (เคี้ยว) ครั้งละ 1-2 เม็ด วันละ 3-4 ครั้ง หลังอาหาร</x:t>
        </x:is>
      </x:c>
      <x:c r="P495" t="inlineStr">
        <x:is>
          <x:t xml:space="preserve">Carminatives (gas relief)</x:t>
        </x:is>
      </x:c>
    </x:row>
    <x:row r="496">
      <x:c r="A496">
        <x:v>494</x:v>
      </x:c>
      <x:c r="B496" t="inlineStr">
        <x:is>
          <x:t xml:space="preserve">ยาขับลม (OTC)</x:t>
        </x:is>
      </x:c>
      <x:c r="C496">
        <x:v>1089</x:v>
      </x:c>
      <x:c r="D496" t="inlineStr">
        <x:is>
          <x:t xml:space="preserve">Air-X Lemon</x:t>
        </x:is>
      </x:c>
      <x:c r="E496" t="inlineStr">
        <x:is>
          <x:t xml:space="preserve">แผง 10 เม็ด</x:t>
        </x:is>
      </x:c>
      <x:c r="F496" t="inlineStr">
        <x:is>
          <x:t xml:space="preserve">Simethicone 80 mg.</x:t>
        </x:is>
      </x:c>
      <x:c r="G496" t="inlineStr">
        <x:is>
          <x:t xml:space="preserve">BDS001089</x:t>
        </x:is>
      </x:c>
      <x:c r="H496" t="inlineStr">
        <x:is>
          <x:t xml:space="preserve">Air-X Lemon (10 tabs)</x:t>
        </x:is>
      </x:c>
      <x:c r="I496" t="inlineStr">
        <x:is>
          <x:t xml:space="preserve">รับประทาน (เคี้ยว) ครั้งละ 1-2 เม็ด วันละ 3-4 ครั้ง</x:t>
        </x:is>
      </x:c>
      <x:c r="P496" t="inlineStr">
        <x:is>
          <x:t xml:space="preserve">Carminatives (gas relief)</x:t>
        </x:is>
      </x:c>
    </x:row>
    <x:row r="497">
      <x:c r="A497">
        <x:v>495</x:v>
      </x:c>
      <x:c r="B497" t="inlineStr">
        <x:is>
          <x:t xml:space="preserve">ยาขับลม (OTC)</x:t>
        </x:is>
      </x:c>
      <x:c r="C497">
        <x:v>1085</x:v>
      </x:c>
      <x:c r="D497" t="inlineStr">
        <x:is>
          <x:t xml:space="preserve">Air-X Orange</x:t>
        </x:is>
      </x:c>
      <x:c r="E497" t="inlineStr">
        <x:is>
          <x:t xml:space="preserve">แผง 10 เม็ด</x:t>
        </x:is>
      </x:c>
      <x:c r="F497" t="inlineStr">
        <x:is>
          <x:t xml:space="preserve">Simethicone 80 mg.</x:t>
        </x:is>
      </x:c>
      <x:c r="G497" t="inlineStr">
        <x:is>
          <x:t xml:space="preserve">BDS001085</x:t>
        </x:is>
      </x:c>
      <x:c r="H497" t="inlineStr">
        <x:is>
          <x:t xml:space="preserve">Air-X Orange (10 tabs)</x:t>
        </x:is>
      </x:c>
      <x:c r="I497" t="inlineStr">
        <x:is>
          <x:t xml:space="preserve">รับประทาน (เคี้ยว) ครั้งละ 2 เม็ด วันละ 3-4 ครั้ง</x:t>
        </x:is>
      </x:c>
      <x:c r="P497" t="inlineStr">
        <x:is>
          <x:t xml:space="preserve">Carminatives (gas relief)</x:t>
        </x:is>
      </x:c>
    </x:row>
    <x:row r="498">
      <x:c r="A498">
        <x:v>496</x:v>
      </x:c>
      <x:c r="B498" t="inlineStr">
        <x:is>
          <x:t xml:space="preserve">ยาขับลม (OTC)</x:t>
        </x:is>
      </x:c>
      <x:c r="C498">
        <x:v>1088</x:v>
      </x:c>
      <x:c r="D498" t="inlineStr">
        <x:is>
          <x:t xml:space="preserve">Air-X Sugar Free</x:t>
        </x:is>
      </x:c>
      <x:c r="E498" t="inlineStr">
        <x:is>
          <x:t xml:space="preserve">แผง 10 เม็ด</x:t>
        </x:is>
      </x:c>
      <x:c r="F498" t="inlineStr">
        <x:is>
          <x:t xml:space="preserve">Simethicone 40 mg.</x:t>
        </x:is>
      </x:c>
      <x:c r="G498" t="inlineStr">
        <x:is>
          <x:t xml:space="preserve">BDS001088</x:t>
        </x:is>
      </x:c>
      <x:c r="H498" t="inlineStr">
        <x:is>
          <x:t xml:space="preserve">Air-X Sugar Free (10 tabs)</x:t>
        </x:is>
      </x:c>
      <x:c r="I498" t="inlineStr">
        <x:is>
          <x:t xml:space="preserve">รับประทาน (เคี้ยว) ครั้งละ 1-2 เม็ด วันละ 3-4 ครั้ง หลังอาหาร</x:t>
        </x:is>
      </x:c>
      <x:c r="P498" t="inlineStr">
        <x:is>
          <x:t xml:space="preserve">Carminatives (gas relief)</x:t>
        </x:is>
      </x:c>
    </x:row>
    <x:row r="499">
      <x:c r="A499">
        <x:v>497</x:v>
      </x:c>
      <x:c r="B499" t="inlineStr">
        <x:is>
          <x:t xml:space="preserve">ยาขับลม (OTC)</x:t>
        </x:is>
      </x:c>
      <x:c r="C499">
        <x:v>1641</x:v>
      </x:c>
      <x:c r="D499" t="inlineStr">
        <x:is>
          <x:t xml:space="preserve">Dioxzye</x:t>
        </x:is>
      </x:c>
      <x:c r="E499" t="inlineStr">
        <x:is>
          <x:t xml:space="preserve">แผง 10 เม็ด</x:t>
        </x:is>
      </x:c>
      <x:c r="F499" t="inlineStr">
        <x:is>
          <x:t xml:space="preserve">Simethicone 80 mg.</x:t>
        </x:is>
      </x:c>
      <x:c r="G499" t="inlineStr">
        <x:is>
          <x:t xml:space="preserve">BDS001641</x:t>
        </x:is>
      </x:c>
      <x:c r="H499" t="inlineStr">
        <x:is>
          <x:t xml:space="preserve">Dioxzye (10 tabs)</x:t>
        </x:is>
      </x:c>
      <x:c r="I499" t="inlineStr">
        <x:is>
          <x:t xml:space="preserve">รับประทาน (เคี้ยว) ครั้งละ 2 เม็ด วันละ3-4 ครั้ง หลังอาหาร</x:t>
        </x:is>
      </x:c>
      <x:c r="P499" t="inlineStr">
        <x:is>
          <x:t xml:space="preserve">Carminatives (gas relief)</x:t>
        </x:is>
      </x:c>
    </x:row>
    <x:row r="500">
      <x:c r="A500">
        <x:v>498</x:v>
      </x:c>
      <x:c r="B500" t="inlineStr">
        <x:is>
          <x:t xml:space="preserve">ยาทั่วไปอื่นๆ (D)</x:t>
        </x:is>
      </x:c>
      <x:c r="C500">
        <x:v>40030</x:v>
      </x:c>
      <x:c r="D500" t="inlineStr">
        <x:is>
          <x:t xml:space="preserve">Amitriptyline 10 mg</x:t>
        </x:is>
      </x:c>
      <x:c r="E500" t="inlineStr">
        <x:is>
          <x:t xml:space="preserve">แผง 10 เม็ด</x:t>
        </x:is>
      </x:c>
      <x:c r="F500" t="inlineStr">
        <x:is>
          <x:t xml:space="preserve">Amitriptyline Hydrochloride 10 mg.</x:t>
        </x:is>
      </x:c>
      <x:c r="G500" t="inlineStr">
        <x:is>
          <x:t xml:space="preserve">BDS040030</x:t>
        </x:is>
      </x:c>
      <x:c r="H500" t="inlineStr">
        <x:is>
          <x:t xml:space="preserve">Amitriptyline 10 mg (10 tabs)</x:t>
        </x:is>
      </x:c>
      <x:c r="I500" t="inlineStr">
        <x:is>
          <x:t xml:space="preserve">รับประทานครั้ง 1 เม็ด วันละ 1 ครั้ง ก่อนนอน หรือตามแพทย์สั่ง</x:t>
        </x:is>
      </x:c>
    </x:row>
    <x:row r="501">
      <x:c r="A501">
        <x:v>499</x:v>
      </x:c>
      <x:c r="B501" t="inlineStr">
        <x:is>
          <x:t xml:space="preserve">ยาทั่วไปอื่นๆ (D)</x:t>
        </x:is>
      </x:c>
      <x:c r="C501">
        <x:v>4039</x:v>
      </x:c>
      <x:c r="D501" t="inlineStr">
        <x:is>
          <x:t xml:space="preserve">Rowatinex</x:t>
        </x:is>
      </x:c>
      <x:c r="E501" t="inlineStr">
        <x:is>
          <x:t xml:space="preserve">แผง 10 แคปซูล</x:t>
        </x:is>
      </x:c>
      <x:c r="F501" t="inlineStr">
        <x:is>
          <x:t xml:space="preserve">Pinene (Alpha+Beta) 31 mg.+Camphene 15 mg.+Cineol 3 mg.+Fenchone 4 mg.+Borneol 10 mg.+Anethol 4 mg.+Olive Oil 33 mg.</x:t>
        </x:is>
      </x:c>
      <x:c r="G501" t="inlineStr">
        <x:is>
          <x:t xml:space="preserve">BDS004039</x:t>
        </x:is>
      </x:c>
      <x:c r="H501" t="inlineStr">
        <x:is>
          <x:t xml:space="preserve">Rowatinex (10 cap)</x:t>
        </x:is>
      </x:c>
      <x:c r="I501" t="inlineStr">
        <x:is>
          <x:t xml:space="preserve">รับประทานครั้งละ 1-2 แคปซูล วันละ 3 ครั้ง ก่อนอาหาร หรือตามแพทย์สั่ง</x:t>
        </x:is>
      </x:c>
    </x:row>
    <x:row r="502">
      <x:c r="A502">
        <x:v>500</x:v>
      </x:c>
      <x:c r="B502" t="inlineStr">
        <x:is>
          <x:t xml:space="preserve">ยาทั่วไปอื่นๆ (D)</x:t>
        </x:is>
      </x:c>
      <x:c r="C502">
        <x:v>7960</x:v>
      </x:c>
      <x:c r="D502" t="inlineStr">
        <x:is>
          <x:t xml:space="preserve">Tranxic</x:t>
        </x:is>
      </x:c>
      <x:c r="E502" t="inlineStr">
        <x:is>
          <x:t xml:space="preserve">แผง 10 แคปซูล</x:t>
        </x:is>
      </x:c>
      <x:c r="F502" t="inlineStr">
        <x:is>
          <x:t xml:space="preserve">Tranexamic Acid 250 mg.</x:t>
        </x:is>
      </x:c>
      <x:c r="G502" t="inlineStr">
        <x:is>
          <x:t xml:space="preserve">BDS007960</x:t>
        </x:is>
      </x:c>
      <x:c r="H502" t="inlineStr">
        <x:is>
          <x:t xml:space="preserve">Tranxic (10 cap)</x:t>
        </x:is>
      </x:c>
      <x:c r="I502" t="inlineStr">
        <x:is>
          <x:t xml:space="preserve">N/A</x:t>
        </x:is>
      </x:c>
    </x:row>
    <x:row r="503">
      <x:c r="A503">
        <x:v>501</x:v>
      </x:c>
      <x:c r="B503" t="inlineStr">
        <x:is>
          <x:t xml:space="preserve">ยาลดความดันโลหิต (D)</x:t>
        </x:is>
      </x:c>
      <x:c r="C503">
        <x:v>6069</x:v>
      </x:c>
      <x:c r="D503" t="inlineStr">
        <x:is>
          <x:t xml:space="preserve">Ambes 10 mg (GPO)</x:t>
        </x:is>
      </x:c>
      <x:c r="E503" t="inlineStr">
        <x:is>
          <x:t xml:space="preserve">แผง 10 เม็ด</x:t>
        </x:is>
      </x:c>
      <x:c r="F503" t="inlineStr">
        <x:is>
          <x:t xml:space="preserve">Amlodipine besylate 10 mg.</x:t>
        </x:is>
      </x:c>
      <x:c r="G503" t="inlineStr">
        <x:is>
          <x:t xml:space="preserve">BDS006069</x:t>
        </x:is>
      </x:c>
      <x:c r="H503" t="inlineStr">
        <x:is>
          <x:t xml:space="preserve">Ambes 10 mg (GPO) (10 tabs)</x:t>
        </x:is>
      </x:c>
      <x:c r="I503" t="inlineStr">
        <x:is>
          <x:t xml:space="preserve">รับประทานครั้งละ 1 เม็ด วันละ 1 ครั้ง หรือตามแพทย์สั่ง</x:t>
        </x:is>
      </x:c>
    </x:row>
    <x:row r="504">
      <x:c r="A504">
        <x:v>502</x:v>
      </x:c>
      <x:c r="B504" t="inlineStr">
        <x:is>
          <x:t xml:space="preserve">ยาลดความดันโลหิต (D)</x:t>
        </x:is>
      </x:c>
      <x:c r="C504">
        <x:v>6070</x:v>
      </x:c>
      <x:c r="D504" t="inlineStr">
        <x:is>
          <x:t xml:space="preserve">Ambes 5 mg (GPO)</x:t>
        </x:is>
      </x:c>
      <x:c r="E504" t="inlineStr">
        <x:is>
          <x:t xml:space="preserve">แผง 10 เม็ด</x:t>
        </x:is>
      </x:c>
      <x:c r="F504" t="inlineStr">
        <x:is>
          <x:t xml:space="preserve">Amlodipine besylate 5 mg.</x:t>
        </x:is>
      </x:c>
      <x:c r="G504" t="inlineStr">
        <x:is>
          <x:t xml:space="preserve">BDS006070</x:t>
        </x:is>
      </x:c>
      <x:c r="H504" t="inlineStr">
        <x:is>
          <x:t xml:space="preserve">Ambes 5 mg (GPO) (10 tabs)</x:t>
        </x:is>
      </x:c>
      <x:c r="I504" t="inlineStr">
        <x:is>
          <x:t xml:space="preserve">รับประทานครั้งละ 1 เม็ด วันละ 1 ครั้ง หรือตามแพทย์สั่ง</x:t>
        </x:is>
      </x:c>
    </x:row>
    <x:row r="505">
      <x:c r="A505">
        <x:v>503</x:v>
      </x:c>
      <x:c r="B505" t="inlineStr">
        <x:is>
          <x:t xml:space="preserve">ยาลดความดันโลหิต (D)</x:t>
        </x:is>
      </x:c>
      <x:c r="C505">
        <x:v>40008</x:v>
      </x:c>
      <x:c r="D505" t="inlineStr">
        <x:is>
          <x:t xml:space="preserve">Amlodac 10</x:t>
        </x:is>
      </x:c>
      <x:c r="E505" t="inlineStr">
        <x:is>
          <x:t xml:space="preserve">แผง 10 เม็ด</x:t>
        </x:is>
      </x:c>
      <x:c r="F505" t="inlineStr">
        <x:is>
          <x:t xml:space="preserve">Amlodipine besilate 10 mg. (eq. to Amlodipine 10 mg.)</x:t>
        </x:is>
      </x:c>
      <x:c r="G505" t="inlineStr">
        <x:is>
          <x:t xml:space="preserve">BDS040008</x:t>
        </x:is>
      </x:c>
      <x:c r="H505" t="inlineStr">
        <x:is>
          <x:t xml:space="preserve">Amlodac 10 (10 tabs)</x:t>
        </x:is>
      </x:c>
      <x:c r="I505" t="inlineStr">
        <x:is>
          <x:t xml:space="preserve">รับประทานครั้งละ 1 เม็ด วันละ 1 ครั้ง หรือตามแพทย์สั่ง</x:t>
        </x:is>
      </x:c>
    </x:row>
    <x:row r="506">
      <x:c r="A506">
        <x:v>504</x:v>
      </x:c>
      <x:c r="B506" t="inlineStr">
        <x:is>
          <x:t xml:space="preserve">ยาลดความดันโลหิต (D)</x:t>
        </x:is>
      </x:c>
      <x:c r="C506">
        <x:v>40007</x:v>
      </x:c>
      <x:c r="D506" t="inlineStr">
        <x:is>
          <x:t xml:space="preserve">Amlodac 5</x:t>
        </x:is>
      </x:c>
      <x:c r="E506" t="inlineStr">
        <x:is>
          <x:t xml:space="preserve">แผง 10 เม็ด</x:t>
        </x:is>
      </x:c>
      <x:c r="F506" t="inlineStr">
        <x:is>
          <x:t xml:space="preserve">Amlodipine besilate 5 mg. (eq. to Amlodipine 5 mg.)</x:t>
        </x:is>
      </x:c>
      <x:c r="G506" t="inlineStr">
        <x:is>
          <x:t xml:space="preserve">BDS040007</x:t>
        </x:is>
      </x:c>
      <x:c r="H506" t="inlineStr">
        <x:is>
          <x:t xml:space="preserve">Amlodac 5 (10 tabs)</x:t>
        </x:is>
      </x:c>
      <x:c r="I506" t="inlineStr">
        <x:is>
          <x:t xml:space="preserve">รับประทานครั้งละ 1 เม็ด วันละ 1 ครั้ง หรือตามแพทย์สั่ง</x:t>
        </x:is>
      </x:c>
    </x:row>
    <x:row r="507">
      <x:c r="A507">
        <x:v>505</x:v>
      </x:c>
      <x:c r="B507" t="inlineStr">
        <x:is>
          <x:t xml:space="preserve">ยาลดความดันโลหิต (D)</x:t>
        </x:is>
      </x:c>
      <x:c r="C507">
        <x:v>1106</x:v>
      </x:c>
      <x:c r="D507" t="inlineStr">
        <x:is>
          <x:t xml:space="preserve">Amlopine 10 mg</x:t>
        </x:is>
      </x:c>
      <x:c r="E507" t="inlineStr">
        <x:is>
          <x:t xml:space="preserve">แผง 10 เม็ด</x:t>
        </x:is>
      </x:c>
      <x:c r="F507" t="inlineStr">
        <x:is>
          <x:t xml:space="preserve">Amlodipine besylate 10 mg.</x:t>
        </x:is>
      </x:c>
      <x:c r="G507" t="inlineStr">
        <x:is>
          <x:t xml:space="preserve">BDS001106</x:t>
        </x:is>
      </x:c>
      <x:c r="H507" t="inlineStr">
        <x:is>
          <x:t xml:space="preserve">Amlopine 10 mg (10 tabs)</x:t>
        </x:is>
      </x:c>
      <x:c r="I507" t="inlineStr">
        <x:is>
          <x:t xml:space="preserve">รับประทานครั้งละ 1 เม็ด วันละ 1 ครั้ง หรือตามแพทย์สั่ง</x:t>
        </x:is>
      </x:c>
    </x:row>
    <x:row r="508">
      <x:c r="A508">
        <x:v>506</x:v>
      </x:c>
      <x:c r="B508" t="inlineStr">
        <x:is>
          <x:t xml:space="preserve">ยาลดความดันโลหิต (D)</x:t>
        </x:is>
      </x:c>
      <x:c r="C508">
        <x:v>1096</x:v>
      </x:c>
      <x:c r="D508" t="inlineStr">
        <x:is>
          <x:t xml:space="preserve">Amlopine 5 mg</x:t>
        </x:is>
      </x:c>
      <x:c r="E508" t="inlineStr">
        <x:is>
          <x:t xml:space="preserve">แผง 10 เม็ด</x:t>
        </x:is>
      </x:c>
      <x:c r="F508" t="inlineStr">
        <x:is>
          <x:t xml:space="preserve">Amlodipine besylate 5 mg.</x:t>
        </x:is>
      </x:c>
      <x:c r="G508" t="inlineStr">
        <x:is>
          <x:t xml:space="preserve">BDS001096</x:t>
        </x:is>
      </x:c>
      <x:c r="H508" t="inlineStr">
        <x:is>
          <x:t xml:space="preserve">Amlopine 5 mg (10 tabs)</x:t>
        </x:is>
      </x:c>
      <x:c r="I508" t="inlineStr">
        <x:is>
          <x:t xml:space="preserve">รับประทานครั้งละ 1 เม็ด วันละ 1 ครั้ง หรือตามแพทย์สั่ง</x:t>
        </x:is>
      </x:c>
    </x:row>
    <x:row r="509">
      <x:c r="A509">
        <x:v>507</x:v>
      </x:c>
      <x:c r="B509" t="inlineStr">
        <x:is>
          <x:t xml:space="preserve">ยาลดความดันโลหิต (D)</x:t>
        </x:is>
      </x:c>
      <x:c r="C509">
        <x:v>1114</x:v>
      </x:c>
      <x:c r="D509" t="inlineStr">
        <x:is>
          <x:t xml:space="preserve">Anapril 20 mg</x:t>
        </x:is>
      </x:c>
      <x:c r="E509" t="inlineStr">
        <x:is>
          <x:t xml:space="preserve">แผง 10 เม็ด</x:t>
        </x:is>
      </x:c>
      <x:c r="F509" t="inlineStr">
        <x:is>
          <x:t xml:space="preserve">Enalapril Maleate 20 mg.</x:t>
        </x:is>
      </x:c>
      <x:c r="G509" t="inlineStr">
        <x:is>
          <x:t xml:space="preserve">BDS001114</x:t>
        </x:is>
      </x:c>
      <x:c r="H509" t="inlineStr">
        <x:is>
          <x:t xml:space="preserve">Anapril 20 mg (10 tabs)</x:t>
        </x:is>
      </x:c>
      <x:c r="I509" t="inlineStr">
        <x:is>
          <x:t xml:space="preserve">รับประทานครั้งละ 1 เม็ด วันละ 1-2 ครั้ง หรือตามแพทย์สั่ง</x:t>
        </x:is>
      </x:c>
    </x:row>
    <x:row r="510">
      <x:c r="A510">
        <x:v>508</x:v>
      </x:c>
      <x:c r="B510" t="inlineStr">
        <x:is>
          <x:t xml:space="preserve">ยาลดความดันโลหิต (D)</x:t>
        </x:is>
      </x:c>
      <x:c r="C510">
        <x:v>1113</x:v>
      </x:c>
      <x:c r="D510" t="inlineStr">
        <x:is>
          <x:t xml:space="preserve">Anapril 5 mg</x:t>
        </x:is>
      </x:c>
      <x:c r="E510" t="inlineStr">
        <x:is>
          <x:t xml:space="preserve">แผง 10 เม็ด</x:t>
        </x:is>
      </x:c>
      <x:c r="F510" t="inlineStr">
        <x:is>
          <x:t xml:space="preserve">Enalapril Maleate 5 mg.</x:t>
        </x:is>
      </x:c>
      <x:c r="G510" t="inlineStr">
        <x:is>
          <x:t xml:space="preserve">BDS001113</x:t>
        </x:is>
      </x:c>
      <x:c r="H510" t="inlineStr">
        <x:is>
          <x:t xml:space="preserve">Anapril 5 mg (10 tabs)</x:t>
        </x:is>
      </x:c>
      <x:c r="I510" t="inlineStr">
        <x:is>
          <x:t xml:space="preserve">รับประทานครั้งละ 1-2 เม็ด วันละ 1 ครั้ง หรือตามแพทย์สั่ง</x:t>
        </x:is>
      </x:c>
    </x:row>
    <x:row r="511">
      <x:c r="A511">
        <x:v>509</x:v>
      </x:c>
      <x:c r="B511" t="inlineStr">
        <x:is>
          <x:t xml:space="preserve">ยาลดความดันโลหิต (D)</x:t>
        </x:is>
      </x:c>
      <x:c r="C511">
        <x:v>7484</x:v>
      </x:c>
      <x:c r="D511" t="inlineStr">
        <x:is>
          <x:t xml:space="preserve">Annalol-10</x:t>
        </x:is>
      </x:c>
      <x:c r="E511" t="inlineStr">
        <x:is>
          <x:t xml:space="preserve">แผง 10 เม็ด</x:t>
        </x:is>
      </x:c>
      <x:c r="F511" t="inlineStr">
        <x:is>
          <x:t xml:space="preserve">Propranolol HCl 10 mg.</x:t>
        </x:is>
      </x:c>
      <x:c r="G511" t="inlineStr">
        <x:is>
          <x:t xml:space="preserve">BDS007484</x:t>
        </x:is>
      </x:c>
      <x:c r="H511" t="inlineStr">
        <x:is>
          <x:t xml:space="preserve">Annalol-10 (10 tabs)</x:t>
        </x:is>
      </x:c>
      <x:c r="I511" t="inlineStr">
        <x:is>
          <x:t xml:space="preserve">รับประทานครั้งละ 1 เม็ด วันละ 2 ครั้ง</x:t>
        </x:is>
      </x:c>
    </x:row>
    <x:row r="512">
      <x:c r="A512">
        <x:v>510</x:v>
      </x:c>
      <x:c r="B512" t="inlineStr">
        <x:is>
          <x:t xml:space="preserve">ยาลดความดันโลหิต (D)</x:t>
        </x:is>
      </x:c>
      <x:c r="C512">
        <x:v>1237</x:v>
      </x:c>
      <x:c r="D512" t="inlineStr">
        <x:is>
          <x:t xml:space="preserve">Betalol 10 mg</x:t>
        </x:is>
      </x:c>
      <x:c r="E512" t="inlineStr">
        <x:is>
          <x:t xml:space="preserve">แผง 10 เม็ด</x:t>
        </x:is>
      </x:c>
      <x:c r="F512" t="inlineStr">
        <x:is>
          <x:t xml:space="preserve">Propranolol 10 mg.</x:t>
        </x:is>
      </x:c>
      <x:c r="G512" t="inlineStr">
        <x:is>
          <x:t xml:space="preserve">BDS001237</x:t>
        </x:is>
      </x:c>
      <x:c r="H512" t="inlineStr">
        <x:is>
          <x:t xml:space="preserve">Betalol 10 mg (10 tabs)</x:t>
        </x:is>
      </x:c>
      <x:c r="I512" t="inlineStr">
        <x:is>
          <x:t xml:space="preserve">รับประทานตามแพทย์สั่ง </x:t>
        </x:is>
      </x:c>
    </x:row>
    <x:row r="513">
      <x:c r="A513">
        <x:v>511</x:v>
      </x:c>
      <x:c r="B513" t="inlineStr">
        <x:is>
          <x:t xml:space="preserve">ยาลดความดันโลหิต (D)</x:t>
        </x:is>
      </x:c>
      <x:c r="C513">
        <x:v>1281</x:v>
      </x:c>
      <x:c r="D513" t="inlineStr">
        <x:is>
          <x:t xml:space="preserve">Betalol 40 mg</x:t>
        </x:is>
      </x:c>
      <x:c r="E513" t="inlineStr">
        <x:is>
          <x:t xml:space="preserve">แผง 10 เม็ด</x:t>
        </x:is>
      </x:c>
      <x:c r="F513" t="inlineStr">
        <x:is>
          <x:t xml:space="preserve">Propranolol HCl 40 mg.</x:t>
        </x:is>
      </x:c>
      <x:c r="G513" t="inlineStr">
        <x:is>
          <x:t xml:space="preserve">BDS001281</x:t>
        </x:is>
      </x:c>
      <x:c r="H513" t="inlineStr">
        <x:is>
          <x:t xml:space="preserve">Betalol 40 mg (10 tabs)</x:t>
        </x:is>
      </x:c>
      <x:c r="I513" t="inlineStr">
        <x:is>
          <x:t xml:space="preserve">รับประทานตามแพทย์สั่ง </x:t>
        </x:is>
      </x:c>
    </x:row>
    <x:row r="514">
      <x:c r="A514">
        <x:v>512</x:v>
      </x:c>
      <x:c r="B514" t="inlineStr">
        <x:is>
          <x:t xml:space="preserve">ยาลดความดันโลหิต (D)</x:t>
        </x:is>
      </x:c>
      <x:c r="C514">
        <x:v>40634</x:v>
      </x:c>
      <x:c r="D514" t="inlineStr">
        <x:is>
          <x:t xml:space="preserve">Blopress 16 mg</x:t>
        </x:is>
      </x:c>
      <x:c r="E514" t="inlineStr">
        <x:is>
          <x:t xml:space="preserve">กล่อง 28 เม็ด</x:t>
        </x:is>
      </x:c>
      <x:c r="F514" t="inlineStr">
        <x:is>
          <x:t xml:space="preserve">Candesartan Cilexetil 16 mg.</x:t>
        </x:is>
      </x:c>
      <x:c r="G514" t="inlineStr">
        <x:is>
          <x:t xml:space="preserve">BDS040634</x:t>
        </x:is>
      </x:c>
      <x:c r="H514" t="inlineStr">
        <x:is>
          <x:t xml:space="preserve">Blopress 16 mg (28 tabs)</x:t>
        </x:is>
      </x:c>
      <x:c r="I514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15">
      <x:c r="A515">
        <x:v>513</x:v>
      </x:c>
      <x:c r="B515" t="inlineStr">
        <x:is>
          <x:t xml:space="preserve">ยาลดความดันโลหิต (D)</x:t>
        </x:is>
      </x:c>
      <x:c r="C515">
        <x:v>1275</x:v>
      </x:c>
      <x:c r="D515" t="inlineStr">
        <x:is>
          <x:t xml:space="preserve">Blopress 8 mg</x:t>
        </x:is>
      </x:c>
      <x:c r="E515" t="inlineStr">
        <x:is>
          <x:t xml:space="preserve">แผง 7 เม็ด</x:t>
        </x:is>
      </x:c>
      <x:c r="F515" t="inlineStr">
        <x:is>
          <x:t xml:space="preserve">Candesartan cilexetil 8 mg.</x:t>
        </x:is>
      </x:c>
      <x:c r="G515" t="inlineStr">
        <x:is>
          <x:t xml:space="preserve">BDS001275</x:t>
        </x:is>
      </x:c>
      <x:c r="H515" t="inlineStr">
        <x:is>
          <x:t xml:space="preserve">Blopress 8 mg (7 tabs)</x:t>
        </x:is>
      </x:c>
      <x:c r="I515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16">
      <x:c r="A516">
        <x:v>514</x:v>
      </x:c>
      <x:c r="B516" t="inlineStr">
        <x:is>
          <x:t xml:space="preserve">ยาลดความดันโลหิต (D)</x:t>
        </x:is>
      </x:c>
      <x:c r="C516">
        <x:v>41442</x:v>
      </x:c>
      <x:c r="D516" t="inlineStr">
        <x:is>
          <x:t xml:space="preserve">Caraten 6.25 </x:t>
        </x:is>
      </x:c>
      <x:c r="E516" t="inlineStr">
        <x:is>
          <x:t xml:space="preserve">แผง 10 เม็ด</x:t>
        </x:is>
      </x:c>
      <x:c r="F516" t="inlineStr">
        <x:is>
          <x:t xml:space="preserve">Carvedilol 6.25 mg.</x:t>
        </x:is>
      </x:c>
      <x:c r="G516" t="inlineStr">
        <x:is>
          <x:t xml:space="preserve">BDS041442</x:t>
        </x:is>
      </x:c>
      <x:c r="H516" t="inlineStr">
        <x:is>
          <x:t xml:space="preserve">Caraten 6.25  (10 tabs)</x:t>
        </x:is>
      </x:c>
      <x:c r="I516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17">
      <x:c r="A517">
        <x:v>515</x:v>
      </x:c>
      <x:c r="B517" t="inlineStr">
        <x:is>
          <x:t xml:space="preserve">ยาลดความดันโลหิต (D)</x:t>
        </x:is>
      </x:c>
      <x:c r="C517">
        <x:v>1415</x:v>
      </x:c>
      <x:c r="D517" t="inlineStr">
        <x:is>
          <x:t xml:space="preserve">Cardeloc</x:t>
        </x:is>
      </x:c>
      <x:c r="E517" t="inlineStr">
        <x:is>
          <x:t xml:space="preserve">แผง 10 เม็ด</x:t>
        </x:is>
      </x:c>
      <x:c r="F517" t="inlineStr">
        <x:is>
          <x:t xml:space="preserve">Metoprolol Tartrate 100 mg.</x:t>
        </x:is>
      </x:c>
      <x:c r="G517" t="inlineStr">
        <x:is>
          <x:t xml:space="preserve">BDS001415</x:t>
        </x:is>
      </x:c>
      <x:c r="H517" t="inlineStr">
        <x:is>
          <x:t xml:space="preserve">Cardeloc (10 tabs)</x:t>
        </x:is>
      </x:c>
      <x:c r="I517" t="inlineStr">
        <x:is>
          <x:t xml:space="preserve">รับประทานตามแพทย์สั่ง </x:t>
        </x:is>
      </x:c>
    </x:row>
    <x:row r="518">
      <x:c r="A518">
        <x:v>516</x:v>
      </x:c>
      <x:c r="B518" t="inlineStr">
        <x:is>
          <x:t xml:space="preserve">ยาลดความดันโลหิต (D)</x:t>
        </x:is>
      </x:c>
      <x:c r="C518">
        <x:v>6702</x:v>
      </x:c>
      <x:c r="D518" t="inlineStr">
        <x:is>
          <x:t xml:space="preserve">Catenol 50 mg</x:t>
        </x:is>
      </x:c>
      <x:c r="E518" t="inlineStr">
        <x:is>
          <x:t xml:space="preserve">แผง 10 เม็ด</x:t>
        </x:is>
      </x:c>
      <x:c r="F518" t="inlineStr">
        <x:is>
          <x:t xml:space="preserve">Atenolol 50 mg.</x:t>
        </x:is>
      </x:c>
      <x:c r="G518" t="inlineStr">
        <x:is>
          <x:t xml:space="preserve">BDS006702</x:t>
        </x:is>
      </x:c>
      <x:c r="H518" t="inlineStr">
        <x:is>
          <x:t xml:space="preserve">Catenol 50 mg (10 tabs)</x:t>
        </x:is>
      </x:c>
      <x:c r="I518" t="inlineStr">
        <x:is>
          <x:t xml:space="preserve">รับประทานตามแพทย์สั่ง </x:t>
        </x:is>
      </x:c>
    </x:row>
    <x:row r="519">
      <x:c r="A519">
        <x:v>517</x:v>
      </x:c>
      <x:c r="B519" t="inlineStr">
        <x:is>
          <x:t xml:space="preserve">ยาลดความดันโลหิต (D)</x:t>
        </x:is>
      </x:c>
      <x:c r="C519">
        <x:v>1443</x:v>
      </x:c>
      <x:c r="D519" t="inlineStr">
        <x:is>
          <x:t xml:space="preserve">Cesoline W</x:t>
        </x:is>
      </x:c>
      <x:c r="E519" t="inlineStr">
        <x:is>
          <x:t xml:space="preserve">แผง 10 เม็ด</x:t>
        </x:is>
      </x:c>
      <x:c r="F519" t="inlineStr">
        <x:is>
          <x:t xml:space="preserve">Hydralazine HCl 25 mg.</x:t>
        </x:is>
      </x:c>
      <x:c r="G519" t="inlineStr">
        <x:is>
          <x:t xml:space="preserve">BDS001443</x:t>
        </x:is>
      </x:c>
      <x:c r="H519" t="inlineStr">
        <x:is>
          <x:t xml:space="preserve">Cesoline W (10 tabs)</x:t>
        </x:is>
      </x:c>
      <x:c r="I519" t="inlineStr">
        <x:is>
          <x:t xml:space="preserve">รับประทานครั้งละ 1 เม็ด วันละ 2 ครั้ง หรือตามแพทย์สั่ง</x:t>
        </x:is>
      </x:c>
    </x:row>
    <x:row r="520">
      <x:c r="A520">
        <x:v>518</x:v>
      </x:c>
      <x:c r="B520" t="inlineStr">
        <x:is>
          <x:t xml:space="preserve">ยาลดความดันโลหิต (D)</x:t>
        </x:is>
      </x:c>
      <x:c r="C520">
        <x:v>1453</x:v>
      </x:c>
      <x:c r="D520" t="inlineStr">
        <x:is>
          <x:t xml:space="preserve">Concor 2.5 mg</x:t>
        </x:is>
      </x:c>
      <x:c r="E520" t="inlineStr">
        <x:is>
          <x:t xml:space="preserve">แผง 10 เม็ด</x:t>
        </x:is>
      </x:c>
      <x:c r="F520" t="inlineStr">
        <x:is>
          <x:t xml:space="preserve">Bisoprolol fumarate 2.5 mg.</x:t>
        </x:is>
      </x:c>
      <x:c r="G520" t="inlineStr">
        <x:is>
          <x:t xml:space="preserve">BDS001453</x:t>
        </x:is>
      </x:c>
      <x:c r="H520" t="inlineStr">
        <x:is>
          <x:t xml:space="preserve">Concor 2.5 mg (10 tabs)</x:t>
        </x:is>
      </x:c>
      <x:c r="I520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1">
      <x:c r="A521">
        <x:v>519</x:v>
      </x:c>
      <x:c r="B521" t="inlineStr">
        <x:is>
          <x:t xml:space="preserve">ยาลดความดันโลหิต (D)</x:t>
        </x:is>
      </x:c>
      <x:c r="C521">
        <x:v>1454</x:v>
      </x:c>
      <x:c r="D521" t="inlineStr">
        <x:is>
          <x:t xml:space="preserve">Concor 5 mg</x:t>
        </x:is>
      </x:c>
      <x:c r="E521" t="inlineStr">
        <x:is>
          <x:t xml:space="preserve">แผง 10 เม็ด</x:t>
        </x:is>
      </x:c>
      <x:c r="F521" t="inlineStr">
        <x:is>
          <x:t xml:space="preserve">Bisoprolol fumarate 5 mg.</x:t>
        </x:is>
      </x:c>
      <x:c r="G521" t="inlineStr">
        <x:is>
          <x:t xml:space="preserve">BDS001454</x:t>
        </x:is>
      </x:c>
      <x:c r="H521" t="inlineStr">
        <x:is>
          <x:t xml:space="preserve">Concor 5 mg (10 tabs)</x:t>
        </x:is>
      </x:c>
      <x:c r="I521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2">
      <x:c r="A522">
        <x:v>520</x:v>
      </x:c>
      <x:c r="B522" t="inlineStr">
        <x:is>
          <x:t xml:space="preserve">ยาลดความดันโลหิต (D)</x:t>
        </x:is>
      </x:c>
      <x:c r="C522">
        <x:v>42320</x:v>
      </x:c>
      <x:c r="D522" t="inlineStr">
        <x:is>
          <x:t xml:space="preserve">Diovan 160 mg</x:t>
        </x:is>
      </x:c>
      <x:c r="E522" t="inlineStr">
        <x:is>
          <x:t xml:space="preserve">กล่อง 28 เม็ด</x:t>
        </x:is>
      </x:c>
      <x:c r="F522" t="inlineStr">
        <x:is>
          <x:t xml:space="preserve">Valsartan 160 mg.</x:t>
        </x:is>
      </x:c>
      <x:c r="G522" t="inlineStr">
        <x:is>
          <x:t xml:space="preserve">BDS042320</x:t>
        </x:is>
      </x:c>
      <x:c r="H522" t="inlineStr">
        <x:is>
          <x:t xml:space="preserve">Diovan 160 mg (28 tabs)</x:t>
        </x:is>
      </x:c>
      <x:c r="I522" t="inlineStr">
        <x:is>
          <x:t xml:space="preserve">รับประทานครั้งละ 1 เม็ด วันละ 1 ครั้ง หรือตามแพทย์สั่ง</x:t>
        </x:is>
      </x:c>
    </x:row>
    <x:row r="523">
      <x:c r="A523">
        <x:v>521</x:v>
      </x:c>
      <x:c r="B523" t="inlineStr">
        <x:is>
          <x:t xml:space="preserve">ยาลดความดันโลหิต (D)</x:t>
        </x:is>
      </x:c>
      <x:c r="C523">
        <x:v>42319</x:v>
      </x:c>
      <x:c r="D523" t="inlineStr">
        <x:is>
          <x:t xml:space="preserve">Diovan 80 mg</x:t>
        </x:is>
      </x:c>
      <x:c r="E523" t="inlineStr">
        <x:is>
          <x:t xml:space="preserve">กล่อง 28 เม็ด</x:t>
        </x:is>
      </x:c>
      <x:c r="F523" t="inlineStr">
        <x:is>
          <x:t xml:space="preserve">Valsartan 80 mg.</x:t>
        </x:is>
      </x:c>
      <x:c r="G523" t="inlineStr">
        <x:is>
          <x:t xml:space="preserve">BDS042319</x:t>
        </x:is>
      </x:c>
      <x:c r="H523" t="inlineStr">
        <x:is>
          <x:t xml:space="preserve">Diovan 80 mg (28 tabs)</x:t>
        </x:is>
      </x:c>
      <x:c r="I523" t="inlineStr">
        <x:is>
          <x:t xml:space="preserve">รับประทานครั้งละ 1 เม็ด วันละ 1 ครั้ง หรือตามแพทย์สั่ง</x:t>
        </x:is>
      </x:c>
    </x:row>
    <x:row r="524">
      <x:c r="A524">
        <x:v>522</x:v>
      </x:c>
      <x:c r="B524" t="inlineStr">
        <x:is>
          <x:t xml:space="preserve">ยาลดความดันโลหิต (D)</x:t>
        </x:is>
      </x:c>
      <x:c r="C524">
        <x:v>1845</x:v>
      </x:c>
      <x:c r="D524" t="inlineStr">
        <x:is>
          <x:t xml:space="preserve">Enaril 20 mg</x:t>
        </x:is>
      </x:c>
      <x:c r="E524" t="inlineStr">
        <x:is>
          <x:t xml:space="preserve">แผง 10 เม็ด</x:t>
        </x:is>
      </x:c>
      <x:c r="F524" t="inlineStr">
        <x:is>
          <x:t xml:space="preserve">Enalapril Maleate 20 mg.</x:t>
        </x:is>
      </x:c>
      <x:c r="G524" t="inlineStr">
        <x:is>
          <x:t xml:space="preserve">BDS001845</x:t>
        </x:is>
      </x:c>
      <x:c r="H524" t="inlineStr">
        <x:is>
          <x:t xml:space="preserve">Enaril 20 mg (10 tabs)</x:t>
        </x:is>
      </x:c>
      <x:c r="I524" t="inlineStr">
        <x:is>
          <x:t xml:space="preserve">รับประทานครั้งละ 1 เม็ด วันละ 1-2 ครั้ง หรือตามแพทย์สั่ง</x:t>
        </x:is>
      </x:c>
    </x:row>
    <x:row r="525">
      <x:c r="A525">
        <x:v>523</x:v>
      </x:c>
      <x:c r="B525" t="inlineStr">
        <x:is>
          <x:t xml:space="preserve">ยาลดความดันโลหิต (D)</x:t>
        </x:is>
      </x:c>
      <x:c r="C525">
        <x:v>1812</x:v>
      </x:c>
      <x:c r="D525" t="inlineStr">
        <x:is>
          <x:t xml:space="preserve">Enaril 5 mg</x:t>
        </x:is>
      </x:c>
      <x:c r="E525" t="inlineStr">
        <x:is>
          <x:t xml:space="preserve">แผง 10 เม็ด</x:t>
        </x:is>
      </x:c>
      <x:c r="F525" t="inlineStr">
        <x:is>
          <x:t xml:space="preserve">Enalapril Maleate 5 mg.</x:t>
        </x:is>
      </x:c>
      <x:c r="G525" t="inlineStr">
        <x:is>
          <x:t xml:space="preserve">BDS001812</x:t>
        </x:is>
      </x:c>
      <x:c r="H525" t="inlineStr">
        <x:is>
          <x:t xml:space="preserve">Enaril 5 mg (10 tabs)</x:t>
        </x:is>
      </x:c>
      <x:c r="I525" t="inlineStr">
        <x:is>
          <x:t xml:space="preserve">รับประทานครั้งละ 1-2 เม็ด  วันละ 1 ครั้ง หรือตามแพทย์สั่ง</x:t>
        </x:is>
      </x:c>
    </x:row>
    <x:row r="526">
      <x:c r="A526">
        <x:v>524</x:v>
      </x:c>
      <x:c r="B526" t="inlineStr">
        <x:is>
          <x:t xml:space="preserve">ยาลดความดันโลหิต (D)</x:t>
        </x:is>
      </x:c>
      <x:c r="C526">
        <x:v>42814</x:v>
      </x:c>
      <x:c r="D526" t="inlineStr">
        <x:is>
          <x:t xml:space="preserve">Exforge 5 mg/160 mg</x:t>
        </x:is>
      </x:c>
      <x:c r="E526" t="inlineStr">
        <x:is>
          <x:t xml:space="preserve">กล่อง 28 เม็ด</x:t>
        </x:is>
      </x:c>
      <x:c r="F526" t="inlineStr">
        <x:is>
          <x:t xml:space="preserve">Amlodipine 5 mg.+Valsartan 160 mg.</x:t>
        </x:is>
      </x:c>
      <x:c r="G526" t="inlineStr">
        <x:is>
          <x:t xml:space="preserve">BDS042814</x:t>
        </x:is>
      </x:c>
      <x:c r="H526" t="inlineStr">
        <x:is>
          <x:t xml:space="preserve">Exforge 5 mg/160 mg (28 tabs)</x:t>
        </x:is>
      </x:c>
      <x:c r="I526" t="inlineStr">
        <x:is>
          <x:t xml:space="preserve">รับประทานครั้งละ 1 เม็ด วันละ 1 ครั้ง หรือตามแพทย์สั่ง</x:t>
        </x:is>
      </x:c>
    </x:row>
    <x:row r="527">
      <x:c r="A527">
        <x:v>525</x:v>
      </x:c>
      <x:c r="B527" t="inlineStr">
        <x:is>
          <x:t xml:space="preserve">ยาลดความดันโลหิต (D)</x:t>
        </x:is>
      </x:c>
      <x:c r="C527">
        <x:v>43130</x:v>
      </x:c>
      <x:c r="D527" t="inlineStr">
        <x:is>
          <x:t xml:space="preserve">Felopine 5</x:t>
        </x:is>
      </x:c>
      <x:c r="E527" t="inlineStr">
        <x:is>
          <x:t xml:space="preserve">กล่อง 3 แผง</x:t>
        </x:is>
      </x:c>
      <x:c r="F527" t="inlineStr">
        <x:is>
          <x:t xml:space="preserve">Felodipine 5 mg.</x:t>
        </x:is>
      </x:c>
      <x:c r="G527" t="inlineStr">
        <x:is>
          <x:t xml:space="preserve">BDS043130</x:t>
        </x:is>
      </x:c>
      <x:c r="H527" t="inlineStr">
        <x:is>
          <x:t xml:space="preserve">Felopine 5 (3 blister)</x:t>
        </x:is>
      </x:c>
      <x:c r="I527" t="inlineStr">
        <x:is>
          <x:t xml:space="preserve">รับประทานครั้งละ 1 เม็ด วันละ 1 ครั้ง หรือตามแพทย์สั่ง</x:t>
        </x:is>
      </x:c>
    </x:row>
    <x:row r="528">
      <x:c r="A528">
        <x:v>526</x:v>
      </x:c>
      <x:c r="B528" t="inlineStr">
        <x:is>
          <x:t xml:space="preserve">ยาลดความดันโลหิต (D)</x:t>
        </x:is>
      </x:c>
      <x:c r="C528">
        <x:v>44317</x:v>
      </x:c>
      <x:c r="D528" t="inlineStr">
        <x:is>
          <x:t xml:space="preserve">Kerdica 20 mg</x:t>
        </x:is>
      </x:c>
      <x:c r="E528" t="inlineStr">
        <x:is>
          <x:t xml:space="preserve">แผง 10 เม็ด</x:t>
        </x:is>
      </x:c>
      <x:c r="F528" t="inlineStr">
        <x:is>
          <x:t xml:space="preserve">Manidipine HCl 20 mg.</x:t>
        </x:is>
      </x:c>
      <x:c r="G528" t="inlineStr">
        <x:is>
          <x:t xml:space="preserve">BDS044317</x:t>
        </x:is>
      </x:c>
      <x:c r="H528" t="inlineStr">
        <x:is>
          <x:t xml:space="preserve">Kerdica 20 mg (10 tabs)</x:t>
        </x:is>
      </x:c>
      <x:c r="I528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29">
      <x:c r="A529">
        <x:v>527</x:v>
      </x:c>
      <x:c r="B529" t="inlineStr">
        <x:is>
          <x:t xml:space="preserve">ยาลดความดันโลหิต (D)</x:t>
        </x:is>
      </x:c>
      <x:c r="C529">
        <x:v>44532</x:v>
      </x:c>
      <x:c r="D529" t="inlineStr">
        <x:is>
          <x:t xml:space="preserve">Lanzaar 100 mg </x:t>
        </x:is>
      </x:c>
      <x:c r="E529" t="inlineStr">
        <x:is>
          <x:t xml:space="preserve">กล่อง 3 แผง</x:t>
        </x:is>
      </x:c>
      <x:c r="F529" t="inlineStr">
        <x:is>
          <x:t xml:space="preserve">Losartan potassium 100 mg.</x:t>
        </x:is>
      </x:c>
      <x:c r="G529" t="inlineStr">
        <x:is>
          <x:t xml:space="preserve">BDS044532</x:t>
        </x:is>
      </x:c>
      <x:c r="H529" t="inlineStr">
        <x:is>
          <x:t xml:space="preserve">Lanzaar 100 mg  (3 blister)</x:t>
        </x:is>
      </x:c>
      <x:c r="I529" t="inlineStr">
        <x:is>
          <x:t xml:space="preserve">รับประทานตามแพทย์สั่ง</x:t>
        </x:is>
      </x:c>
    </x:row>
    <x:row r="530">
      <x:c r="A530">
        <x:v>528</x:v>
      </x:c>
      <x:c r="B530" t="inlineStr">
        <x:is>
          <x:t xml:space="preserve">ยาลดความดันโลหิต (D)</x:t>
        </x:is>
      </x:c>
      <x:c r="C530">
        <x:v>44546</x:v>
      </x:c>
      <x:c r="D530" t="inlineStr">
        <x:is>
          <x:t xml:space="preserve">Lanzaar 50</x:t>
        </x:is>
      </x:c>
      <x:c r="E530" t="inlineStr">
        <x:is>
          <x:t xml:space="preserve">แผง 10  เม็ด</x:t>
        </x:is>
      </x:c>
      <x:c r="F530" t="inlineStr">
        <x:is>
          <x:t xml:space="preserve">Losartan potassium 50 mg.</x:t>
        </x:is>
      </x:c>
      <x:c r="G530" t="inlineStr">
        <x:is>
          <x:t xml:space="preserve">BDS044546</x:t>
        </x:is>
      </x:c>
      <x:c r="H530" t="inlineStr">
        <x:is>
          <x:t xml:space="preserve">Lanzaar 50 (10 tabs)</x:t>
        </x:is>
      </x:c>
      <x:c r="I530" t="inlineStr">
        <x:is>
          <x:t xml:space="preserve">รับประทานตามแพทย์สั่ง</x:t>
        </x:is>
      </x:c>
    </x:row>
    <x:row r="531">
      <x:c r="A531">
        <x:v>529</x:v>
      </x:c>
      <x:c r="B531" t="inlineStr">
        <x:is>
          <x:t xml:space="preserve">ยาลดความดันโลหิต (D)</x:t>
        </x:is>
      </x:c>
      <x:c r="C531">
        <x:v>2549</x:v>
      </x:c>
      <x:c r="D531" t="inlineStr">
        <x:is>
          <x:t xml:space="preserve">Loranta 100 mg</x:t>
        </x:is>
      </x:c>
      <x:c r="E531" t="inlineStr">
        <x:is>
          <x:t xml:space="preserve">แผง 10 เม็ด</x:t>
        </x:is>
      </x:c>
      <x:c r="F531" t="inlineStr">
        <x:is>
          <x:t xml:space="preserve">Losartan potassium 100 mg.</x:t>
        </x:is>
      </x:c>
      <x:c r="G531" t="inlineStr">
        <x:is>
          <x:t xml:space="preserve">BDS002549</x:t>
        </x:is>
      </x:c>
      <x:c r="H531" t="inlineStr">
        <x:is>
          <x:t xml:space="preserve">Loranta 100 mg (10 tabs)</x:t>
        </x:is>
      </x:c>
      <x:c r="I531" t="inlineStr">
        <x:is>
          <x:t xml:space="preserve">รับประทานตามแพทย์สั่ง</x:t>
        </x:is>
      </x:c>
    </x:row>
    <x:row r="532">
      <x:c r="A532">
        <x:v>530</x:v>
      </x:c>
      <x:c r="B532" t="inlineStr">
        <x:is>
          <x:t xml:space="preserve">ยาลดความดันโลหิต (D)</x:t>
        </x:is>
      </x:c>
      <x:c r="C532">
        <x:v>2522</x:v>
      </x:c>
      <x:c r="D532" t="inlineStr">
        <x:is>
          <x:t xml:space="preserve">Loranta 50 mg</x:t>
        </x:is>
      </x:c>
      <x:c r="E532" t="inlineStr">
        <x:is>
          <x:t xml:space="preserve">แผง 10 เม็ด</x:t>
        </x:is>
      </x:c>
      <x:c r="F532" t="inlineStr">
        <x:is>
          <x:t xml:space="preserve">Losartan potassium 50 mg.</x:t>
        </x:is>
      </x:c>
      <x:c r="G532" t="inlineStr">
        <x:is>
          <x:t xml:space="preserve">BDS002522</x:t>
        </x:is>
      </x:c>
      <x:c r="H532" t="inlineStr">
        <x:is>
          <x:t xml:space="preserve">Loranta 50 mg (10 tabs)</x:t>
        </x:is>
      </x:c>
      <x:c r="I532" t="inlineStr">
        <x:is>
          <x:t xml:space="preserve">รับประทานตามแพทย์สั่ง</x:t>
        </x:is>
      </x:c>
    </x:row>
    <x:row r="533">
      <x:c r="A533">
        <x:v>531</x:v>
      </x:c>
      <x:c r="B533" t="inlineStr">
        <x:is>
          <x:t xml:space="preserve">ยาลดความดันโลหิต (D)</x:t>
        </x:is>
      </x:c>
      <x:c r="C533">
        <x:v>6044</x:v>
      </x:c>
      <x:c r="D533" t="inlineStr">
        <x:is>
          <x:t xml:space="preserve">Losartan 50 mg (GPO)</x:t>
        </x:is>
      </x:c>
      <x:c r="E533" t="inlineStr">
        <x:is>
          <x:t xml:space="preserve">แผง 15 เม็ด</x:t>
        </x:is>
      </x:c>
      <x:c r="F533" t="inlineStr">
        <x:is>
          <x:t xml:space="preserve">Losartan potassium 50 mg.</x:t>
        </x:is>
      </x:c>
      <x:c r="G533" t="inlineStr">
        <x:is>
          <x:t xml:space="preserve">BDS006044</x:t>
        </x:is>
      </x:c>
      <x:c r="H533" t="inlineStr">
        <x:is>
          <x:t xml:space="preserve">Losartan 50 mg (GPO) (15 tabs)</x:t>
        </x:is>
      </x:c>
      <x:c r="I533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34">
      <x:c r="A534">
        <x:v>532</x:v>
      </x:c>
      <x:c r="B534" t="inlineStr">
        <x:is>
          <x:t xml:space="preserve">ยาลดความดันโลหิต (D)</x:t>
        </x:is>
      </x:c>
      <x:c r="C534">
        <x:v>7556</x:v>
      </x:c>
      <x:c r="D534" t="inlineStr">
        <x:is>
          <x:t xml:space="preserve">Loxidil 5 mg 100s</x:t>
        </x:is>
      </x:c>
      <x:c r="E534" t="inlineStr">
        <x:is>
          <x:t xml:space="preserve">กระปุก 100 เม็ด</x:t>
        </x:is>
      </x:c>
      <x:c r="F534" t="inlineStr">
        <x:is>
          <x:t xml:space="preserve">Minoxidil 5 mg.</x:t>
        </x:is>
      </x:c>
      <x:c r="G534" t="inlineStr">
        <x:is>
          <x:t xml:space="preserve">BDS007556</x:t>
        </x:is>
      </x:c>
      <x:c r="H534" t="inlineStr">
        <x:is>
          <x:t xml:space="preserve">Loxidil 5 mg 100s (100 tabs)</x:t>
        </x:is>
      </x:c>
      <x:c r="I534" t="inlineStr">
        <x:is>
          <x:t xml:space="preserve">รับประทานครั้งละ 1 เม็ด วันละ 2 ครั้ง</x:t>
        </x:is>
      </x:c>
    </x:row>
    <x:row r="535">
      <x:c r="A535">
        <x:v>533</x:v>
      </x:c>
      <x:c r="B535" t="inlineStr">
        <x:is>
          <x:t xml:space="preserve">ยาลดความดันโลหิต (D)</x:t>
        </x:is>
      </x:c>
      <x:c r="C535">
        <x:v>3146</x:v>
      </x:c>
      <x:c r="D535" t="inlineStr">
        <x:is>
          <x:t xml:space="preserve">Madiplot 10 mg</x:t>
        </x:is>
      </x:c>
      <x:c r="E535" t="inlineStr">
        <x:is>
          <x:t xml:space="preserve">แผง 10 เม็ด</x:t>
        </x:is>
      </x:c>
      <x:c r="F535" t="inlineStr">
        <x:is>
          <x:t xml:space="preserve">Manidipine HCl 10 mg.</x:t>
        </x:is>
      </x:c>
      <x:c r="G535" t="inlineStr">
        <x:is>
          <x:t xml:space="preserve">BDS003146</x:t>
        </x:is>
      </x:c>
      <x:c r="H535" t="inlineStr">
        <x:is>
          <x:t xml:space="preserve">Madiplot 10 mg (10 tabs)</x:t>
        </x:is>
      </x:c>
      <x:c r="I535" t="inlineStr">
        <x:is>
          <x:t xml:space="preserve">รับประทานครั้งละ 1-2 เม็ด วันละ 1 ครั้ง หลังอาหาร</x:t>
        </x:is>
      </x:c>
    </x:row>
    <x:row r="536">
      <x:c r="A536">
        <x:v>534</x:v>
      </x:c>
      <x:c r="B536" t="inlineStr">
        <x:is>
          <x:t xml:space="preserve">ยาลดความดันโลหิต (D)</x:t>
        </x:is>
      </x:c>
      <x:c r="C536">
        <x:v>2638</x:v>
      </x:c>
      <x:c r="D536" t="inlineStr">
        <x:is>
          <x:t xml:space="preserve">Madiplot 20 mg</x:t>
        </x:is>
      </x:c>
      <x:c r="E536" t="inlineStr">
        <x:is>
          <x:t xml:space="preserve">แผง 10 เม็ด</x:t>
        </x:is>
      </x:c>
      <x:c r="F536" t="inlineStr">
        <x:is>
          <x:t xml:space="preserve">Manidipine HCl 20 mg.</x:t>
        </x:is>
      </x:c>
      <x:c r="G536" t="inlineStr">
        <x:is>
          <x:t xml:space="preserve">BDS002638</x:t>
        </x:is>
      </x:c>
      <x:c r="H536" t="inlineStr">
        <x:is>
          <x:t xml:space="preserve">Madiplot 20 mg (10 tabs)</x:t>
        </x:is>
      </x:c>
      <x:c r="I536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37">
      <x:c r="A537">
        <x:v>535</x:v>
      </x:c>
      <x:c r="B537" t="inlineStr">
        <x:is>
          <x:t xml:space="preserve">ยาลดความดันโลหิต (D)</x:t>
        </x:is>
      </x:c>
      <x:c r="C537">
        <x:v>2808</x:v>
      </x:c>
      <x:c r="D537" t="inlineStr">
        <x:is>
          <x:t xml:space="preserve">Nelapine 20 SR</x:t>
        </x:is>
      </x:c>
      <x:c r="E537" t="inlineStr">
        <x:is>
          <x:t xml:space="preserve">กล่อง 3 แผง</x:t>
        </x:is>
      </x:c>
      <x:c r="F537" t="inlineStr">
        <x:is>
          <x:t xml:space="preserve">Nifedipine 20 mg.</x:t>
        </x:is>
      </x:c>
      <x:c r="G537" t="inlineStr">
        <x:is>
          <x:t xml:space="preserve">BDS002808</x:t>
        </x:is>
      </x:c>
      <x:c r="H537" t="inlineStr">
        <x:is>
          <x:t xml:space="preserve">Nelapine 20 SR (3 blister)</x:t>
        </x:is>
      </x:c>
      <x:c r="I537" t="inlineStr">
        <x:is>
          <x:t xml:space="preserve">รับประทานครั้งละ 1 แคปซูล วันละ 2 ครั้ง หรือตามแพทย์สั่ง</x:t>
        </x:is>
      </x:c>
    </x:row>
    <x:row r="538">
      <x:c r="A538">
        <x:v>536</x:v>
      </x:c>
      <x:c r="B538" t="inlineStr">
        <x:is>
          <x:t xml:space="preserve">ยาลดความดันโลหิต (D)</x:t>
        </x:is>
      </x:c>
      <x:c r="C538">
        <x:v>2862</x:v>
      </x:c>
      <x:c r="D538" t="inlineStr">
        <x:is>
          <x:t xml:space="preserve">Norvasc 5 mg</x:t>
        </x:is>
      </x:c>
      <x:c r="E538" t="inlineStr">
        <x:is>
          <x:t xml:space="preserve">แผง 10 เม็ด</x:t>
        </x:is>
      </x:c>
      <x:c r="F538" t="inlineStr">
        <x:is>
          <x:t xml:space="preserve">Amlodipine besylate 5 mg.</x:t>
        </x:is>
      </x:c>
      <x:c r="G538" t="inlineStr">
        <x:is>
          <x:t xml:space="preserve">BDS002862</x:t>
        </x:is>
      </x:c>
      <x:c r="H538" t="inlineStr">
        <x:is>
          <x:t xml:space="preserve">Norvasc 5 mg (10 tabs)</x:t>
        </x:is>
      </x:c>
      <x:c r="I538" t="inlineStr">
        <x:is>
          <x:t xml:space="preserve">รับประทานครั้งละ 1 เม็ด วันละ 1 ครั้ง หรือตามแพทย์สั่ง</x:t>
        </x:is>
      </x:c>
    </x:row>
    <x:row r="539">
      <x:c r="A539">
        <x:v>537</x:v>
      </x:c>
      <x:c r="B539" t="inlineStr">
        <x:is>
          <x:t xml:space="preserve">ยาลดความดันโลหิต (D)</x:t>
        </x:is>
      </x:c>
      <x:c r="C539">
        <x:v>3174</x:v>
      </x:c>
      <x:c r="D539" t="inlineStr">
        <x:is>
          <x:t xml:space="preserve">Plendil 5 mg</x:t>
        </x:is>
      </x:c>
      <x:c r="E539" t="inlineStr">
        <x:is>
          <x:t xml:space="preserve">ขวด 30 เม็ด</x:t>
        </x:is>
      </x:c>
      <x:c r="F539" t="inlineStr">
        <x:is>
          <x:t xml:space="preserve">Felodipine 5 mg.</x:t>
        </x:is>
      </x:c>
      <x:c r="G539" t="inlineStr">
        <x:is>
          <x:t xml:space="preserve">BDS003174</x:t>
        </x:is>
      </x:c>
      <x:c r="H539" t="inlineStr">
        <x:is>
          <x:t xml:space="preserve">Plendil 5 mg (30 tabs)</x:t>
        </x:is>
      </x:c>
      <x:c r="I539" t="inlineStr">
        <x:is>
          <x:t xml:space="preserve">รับประทานครั้งละ 1 เม็ด วันละ 1 ครั้ง หรือตามแพทย์สั่ง</x:t>
        </x:is>
      </x:c>
    </x:row>
    <x:row r="540">
      <x:c r="A540">
        <x:v>538</x:v>
      </x:c>
      <x:c r="B540" t="inlineStr">
        <x:is>
          <x:t xml:space="preserve">ยาลดความดันโลหิต (D)</x:t>
        </x:is>
      </x:c>
      <x:c r="C540">
        <x:v>3144</x:v>
      </x:c>
      <x:c r="D540" t="inlineStr">
        <x:is>
          <x:t xml:space="preserve">Prenolol 100 mg</x:t>
        </x:is>
      </x:c>
      <x:c r="E540" t="inlineStr">
        <x:is>
          <x:t xml:space="preserve">แผง 10 เม็ด</x:t>
        </x:is>
      </x:c>
      <x:c r="F540" t="inlineStr">
        <x:is>
          <x:t xml:space="preserve">Atenolol 100 mg.</x:t>
        </x:is>
      </x:c>
      <x:c r="G540" t="inlineStr">
        <x:is>
          <x:t xml:space="preserve">BDS003144</x:t>
        </x:is>
      </x:c>
      <x:c r="H540" t="inlineStr">
        <x:is>
          <x:t xml:space="preserve">Prenolol 100 mg (10 tabs)</x:t>
        </x:is>
      </x:c>
      <x:c r="I540" t="inlineStr">
        <x:is>
          <x:t xml:space="preserve">รับประทานตามแพทย์สั่ง </x:t>
        </x:is>
      </x:c>
    </x:row>
    <x:row r="541">
      <x:c r="A541">
        <x:v>539</x:v>
      </x:c>
      <x:c r="B541" t="inlineStr">
        <x:is>
          <x:t xml:space="preserve">ยาลดความดันโลหิต (D)</x:t>
        </x:is>
      </x:c>
      <x:c r="C541">
        <x:v>3140</x:v>
      </x:c>
      <x:c r="D541" t="inlineStr">
        <x:is>
          <x:t xml:space="preserve">Prenolol 25 mg</x:t>
        </x:is>
      </x:c>
      <x:c r="E541" t="inlineStr">
        <x:is>
          <x:t xml:space="preserve">แผง 10 เม็ด</x:t>
        </x:is>
      </x:c>
      <x:c r="F541" t="inlineStr">
        <x:is>
          <x:t xml:space="preserve">Atenolol 25 mg.</x:t>
        </x:is>
      </x:c>
      <x:c r="G541" t="inlineStr">
        <x:is>
          <x:t xml:space="preserve">BDS003140</x:t>
        </x:is>
      </x:c>
      <x:c r="H541" t="inlineStr">
        <x:is>
          <x:t xml:space="preserve">Prenolol 25 mg (10 tabs)</x:t>
        </x:is>
      </x:c>
      <x:c r="I541" t="inlineStr">
        <x:is>
          <x:t xml:space="preserve">รับประทานตามแพทย์สั่ง </x:t>
        </x:is>
      </x:c>
    </x:row>
    <x:row r="542">
      <x:c r="A542">
        <x:v>540</x:v>
      </x:c>
      <x:c r="B542" t="inlineStr">
        <x:is>
          <x:t xml:space="preserve">ยาลดความดันโลหิต (D)</x:t>
        </x:is>
      </x:c>
      <x:c r="C542">
        <x:v>3145</x:v>
      </x:c>
      <x:c r="D542" t="inlineStr">
        <x:is>
          <x:t xml:space="preserve">Prenolol 50 mg</x:t>
        </x:is>
      </x:c>
      <x:c r="E542" t="inlineStr">
        <x:is>
          <x:t xml:space="preserve">แผง 10 เม็ด</x:t>
        </x:is>
      </x:c>
      <x:c r="F542" t="inlineStr">
        <x:is>
          <x:t xml:space="preserve">Atenolol 50 mg.</x:t>
        </x:is>
      </x:c>
      <x:c r="G542" t="inlineStr">
        <x:is>
          <x:t xml:space="preserve">BDS003145</x:t>
        </x:is>
      </x:c>
      <x:c r="H542" t="inlineStr">
        <x:is>
          <x:t xml:space="preserve">Prenolol 50 mg (10 tabs)</x:t>
        </x:is>
      </x:c>
      <x:c r="I542" t="inlineStr">
        <x:is>
          <x:t xml:space="preserve">รับประทานตามแพทย์สั่ง </x:t>
        </x:is>
      </x:c>
    </x:row>
    <x:row r="543">
      <x:c r="A543">
        <x:v>541</x:v>
      </x:c>
      <x:c r="B543" t="inlineStr">
        <x:is>
          <x:t xml:space="preserve">ยาลดความดันโลหิต (D)</x:t>
        </x:is>
      </x:c>
      <x:c r="C543">
        <x:v>48635</x:v>
      </x:c>
      <x:c r="D543" t="inlineStr">
        <x:is>
          <x:t xml:space="preserve">Tanzaril 100 mg</x:t>
        </x:is>
      </x:c>
      <x:c r="E543" t="inlineStr">
        <x:is>
          <x:t xml:space="preserve">แผง 10 เม็ด</x:t>
        </x:is>
      </x:c>
      <x:c r="F543" t="inlineStr">
        <x:is>
          <x:t xml:space="preserve">Losartan potassium 100 mg.</x:t>
        </x:is>
      </x:c>
      <x:c r="G543" t="inlineStr">
        <x:is>
          <x:t xml:space="preserve">BDS048635</x:t>
        </x:is>
      </x:c>
      <x:c r="H543" t="inlineStr">
        <x:is>
          <x:t xml:space="preserve">Tanzaril 100 mg (10 tabs)</x:t>
        </x:is>
      </x:c>
      <x:c r="I543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44">
      <x:c r="A544">
        <x:v>542</x:v>
      </x:c>
      <x:c r="B544" t="inlineStr">
        <x:is>
          <x:t xml:space="preserve">ยาลดความดันโลหิต (D)</x:t>
        </x:is>
      </x:c>
      <x:c r="C544">
        <x:v>3703</x:v>
      </x:c>
      <x:c r="D544" t="inlineStr">
        <x:is>
          <x:t xml:space="preserve">Tanzaril 50 mg</x:t>
        </x:is>
      </x:c>
      <x:c r="E544" t="inlineStr">
        <x:is>
          <x:t xml:space="preserve">แผง 10 เม็ด</x:t>
        </x:is>
      </x:c>
      <x:c r="F544" t="inlineStr">
        <x:is>
          <x:t xml:space="preserve">Losartan potassium 50 mg.</x:t>
        </x:is>
      </x:c>
      <x:c r="G544" t="inlineStr">
        <x:is>
          <x:t xml:space="preserve">BDS003703</x:t>
        </x:is>
      </x:c>
      <x:c r="H544" t="inlineStr">
        <x:is>
          <x:t xml:space="preserve">Tanzaril 50 mg (10 tabs)</x:t>
        </x:is>
      </x:c>
      <x:c r="I544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45">
      <x:c r="A545">
        <x:v>543</x:v>
      </x:c>
      <x:c r="B545" t="inlineStr">
        <x:is>
          <x:t xml:space="preserve">ยาลดความดันโลหิต (D)</x:t>
        </x:is>
      </x:c>
      <x:c r="C545">
        <x:v>6259</x:v>
      </x:c>
      <x:c r="D545" t="inlineStr">
        <x:is>
          <x:t xml:space="preserve">Zanidip 10 mg</x:t>
        </x:is>
      </x:c>
      <x:c r="E545" t="inlineStr">
        <x:is>
          <x:t xml:space="preserve">กล่อง 28 เม็ด</x:t>
        </x:is>
      </x:c>
      <x:c r="F545" t="inlineStr">
        <x:is>
          <x:t xml:space="preserve">Lercanidipine HCl 10 mg.</x:t>
        </x:is>
      </x:c>
      <x:c r="G545" t="inlineStr">
        <x:is>
          <x:t xml:space="preserve">BDS006259</x:t>
        </x:is>
      </x:c>
      <x:c r="H545" t="inlineStr">
        <x:is>
          <x:t xml:space="preserve">Zanidip 10 mg (28 tabs)</x:t>
        </x:is>
      </x:c>
      <x:c r="I545" t="inlineStr">
        <x:is>
          <x:t xml:space="preserve">รับประทานครั้งละ 1 เม็ด วันละ 1 ครั้ง หรือตามแพทย์สั่ง</x:t>
        </x:is>
      </x:c>
    </x:row>
    <x:row r="546">
      <x:c r="A546">
        <x:v>544</x:v>
      </x:c>
      <x:c r="B546" t="inlineStr">
        <x:is>
          <x:t xml:space="preserve">ยารักษาเบาหวาน (D)</x:t>
        </x:is>
      </x:c>
      <x:c r="C546">
        <x:v>40006</x:v>
      </x:c>
      <x:c r="D546" t="inlineStr">
        <x:is>
          <x:t xml:space="preserve">Amaryl 2 mg</x:t>
        </x:is>
      </x:c>
      <x:c r="E546" t="inlineStr">
        <x:is>
          <x:t xml:space="preserve">แผง 10 เม็ด</x:t>
        </x:is>
      </x:c>
      <x:c r="F546" t="inlineStr">
        <x:is>
          <x:t xml:space="preserve">Glimepiride 2 mg.</x:t>
        </x:is>
      </x:c>
      <x:c r="G546" t="inlineStr">
        <x:is>
          <x:t xml:space="preserve">BDS040006</x:t>
        </x:is>
      </x:c>
      <x:c r="H546" t="inlineStr">
        <x:is>
          <x:t xml:space="preserve">Amaryl 2 mg (10 tabs)</x:t>
        </x:is>
      </x:c>
      <x:c r="I546" t="inlineStr">
        <x:is>
          <x:t xml:space="preserve">รับประทานตามแพทย์สั่ง </x:t>
        </x:is>
      </x:c>
    </x:row>
    <x:row r="547">
      <x:c r="A547">
        <x:v>545</x:v>
      </x:c>
      <x:c r="B547" t="inlineStr">
        <x:is>
          <x:t xml:space="preserve">ยารักษาเบาหวาน (D)</x:t>
        </x:is>
      </x:c>
      <x:c r="C547">
        <x:v>7131</x:v>
      </x:c>
      <x:c r="D547" t="inlineStr">
        <x:is>
          <x:t xml:space="preserve">Benclamide</x:t>
        </x:is>
      </x:c>
      <x:c r="E547" t="inlineStr">
        <x:is>
          <x:t xml:space="preserve">แผง 10 เม็ด</x:t>
        </x:is>
      </x:c>
      <x:c r="F547" t="inlineStr">
        <x:is>
          <x:t xml:space="preserve">Glibenclamide 5 mg.</x:t>
        </x:is>
      </x:c>
      <x:c r="G547" t="inlineStr">
        <x:is>
          <x:t xml:space="preserve">BDS007131</x:t>
        </x:is>
      </x:c>
      <x:c r="H547" t="inlineStr">
        <x:is>
          <x:t xml:space="preserve">Benclamide (10 tabs)</x:t>
        </x:is>
      </x:c>
      <x:c r="I547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48">
      <x:c r="A548">
        <x:v>546</x:v>
      </x:c>
      <x:c r="B548" t="inlineStr">
        <x:is>
          <x:t xml:space="preserve">ยารักษาเบาหวาน (D)</x:t>
        </x:is>
      </x:c>
      <x:c r="C548">
        <x:v>1611</x:v>
      </x:c>
      <x:c r="D548" t="inlineStr">
        <x:is>
          <x:t xml:space="preserve">Daonil 5 mg</x:t>
        </x:is>
      </x:c>
      <x:c r="E548" t="inlineStr">
        <x:is>
          <x:t xml:space="preserve">แผง 10 เม็ด</x:t>
        </x:is>
      </x:c>
      <x:c r="F548" t="inlineStr">
        <x:is>
          <x:t xml:space="preserve">Glibenclamide 5 mg.</x:t>
        </x:is>
      </x:c>
      <x:c r="G548" t="inlineStr">
        <x:is>
          <x:t xml:space="preserve">BDS001611</x:t>
        </x:is>
      </x:c>
      <x:c r="H548" t="inlineStr">
        <x:is>
          <x:t xml:space="preserve">Daonil 5 mg (10 tabs)</x:t>
        </x:is>
      </x:c>
      <x:c r="I548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49">
      <x:c r="A549">
        <x:v>547</x:v>
      </x:c>
      <x:c r="B549" t="inlineStr">
        <x:is>
          <x:t xml:space="preserve">ยารักษาเบาหวาน (D)</x:t>
        </x:is>
      </x:c>
      <x:c r="C549">
        <x:v>1639</x:v>
      </x:c>
      <x:c r="D549" t="inlineStr">
        <x:is>
          <x:t xml:space="preserve">Diamicron MR 60 mg</x:t>
        </x:is>
      </x:c>
      <x:c r="E549" t="inlineStr">
        <x:is>
          <x:t xml:space="preserve">แผง 15 เม็ด</x:t>
        </x:is>
      </x:c>
      <x:c r="F549" t="inlineStr">
        <x:is>
          <x:t xml:space="preserve">Gliclazide 60 mg.</x:t>
        </x:is>
      </x:c>
      <x:c r="G549" t="inlineStr">
        <x:is>
          <x:t xml:space="preserve">BDS001639</x:t>
        </x:is>
      </x:c>
      <x:c r="H549" t="inlineStr">
        <x:is>
          <x:t xml:space="preserve">Diamicron MR 60 mg (15 tabs)</x:t>
        </x:is>
      </x:c>
      <x:c r="I549" t="inlineStr">
        <x:is>
          <x:t xml:space="preserve">รับประทานตามแพทย์สั่ง (โดยทั่วไปครั้งละ 1 เม็ด วันละ 1 ครั้ง ก่อนอาหาร)</x:t>
        </x:is>
      </x:c>
    </x:row>
    <x:row r="550">
      <x:c r="A550">
        <x:v>548</x:v>
      </x:c>
      <x:c r="B550" t="inlineStr">
        <x:is>
          <x:t xml:space="preserve">ยารักษาเบาหวาน (D)</x:t>
        </x:is>
      </x:c>
      <x:c r="C550">
        <x:v>1649</x:v>
      </x:c>
      <x:c r="D550" t="inlineStr">
        <x:is>
          <x:t xml:space="preserve">Dipazide</x:t>
        </x:is>
      </x:c>
      <x:c r="E550" t="inlineStr">
        <x:is>
          <x:t xml:space="preserve">แผง 10 เม็ด</x:t>
        </x:is>
      </x:c>
      <x:c r="F550" t="inlineStr">
        <x:is>
          <x:t xml:space="preserve">Glipizide 5 mg.</x:t>
        </x:is>
      </x:c>
      <x:c r="G550" t="inlineStr">
        <x:is>
          <x:t xml:space="preserve">BDS001649</x:t>
        </x:is>
      </x:c>
      <x:c r="H550" t="inlineStr">
        <x:is>
          <x:t xml:space="preserve">Dipazide (10 tabs)</x:t>
        </x:is>
      </x:c>
      <x:c r="I550" t="inlineStr">
        <x:is>
          <x:t xml:space="preserve">รับประทานตามแพทย์สั่ง (โดยทั่วไปครั้งละ 1 เม็ด วันละ 1 ครั้ง ก่อนอาหาร)</x:t>
        </x:is>
      </x:c>
    </x:row>
    <x:row r="551">
      <x:c r="A551">
        <x:v>549</x:v>
      </x:c>
      <x:c r="B551" t="inlineStr">
        <x:is>
          <x:t xml:space="preserve">ยารักษาเบาหวาน (D)</x:t>
        </x:is>
      </x:c>
      <x:c r="C551">
        <x:v>43612</x:v>
      </x:c>
      <x:c r="D551" t="inlineStr">
        <x:is>
          <x:t xml:space="preserve">Galvus 50 mg</x:t>
        </x:is>
      </x:c>
      <x:c r="E551" t="inlineStr">
        <x:is>
          <x:t xml:space="preserve">กล่อง 56 เม็ด</x:t>
        </x:is>
      </x:c>
      <x:c r="F551" t="inlineStr">
        <x:is>
          <x:t xml:space="preserve">Vildagliptin 50 mg.</x:t>
        </x:is>
      </x:c>
      <x:c r="G551" t="inlineStr">
        <x:is>
          <x:t xml:space="preserve">BDS043612</x:t>
        </x:is>
      </x:c>
      <x:c r="H551" t="inlineStr">
        <x:is>
          <x:t xml:space="preserve">Galvus 50 mg (56 tabs)</x:t>
        </x:is>
      </x:c>
      <x:c r="I551" t="inlineStr">
        <x:is>
          <x:t xml:space="preserve">รับประทานวันละ 2 ครั้ง เช้า-เย็นหรือตามแพทย์สั่ง</x:t>
        </x:is>
      </x:c>
    </x:row>
    <x:row r="552">
      <x:c r="A552">
        <x:v>550</x:v>
      </x:c>
      <x:c r="B552" t="inlineStr">
        <x:is>
          <x:t xml:space="preserve">ยารักษาเบาหวาน (D)</x:t>
        </x:is>
      </x:c>
      <x:c r="C552">
        <x:v>43603</x:v>
      </x:c>
      <x:c r="D552" t="inlineStr">
        <x:is>
          <x:t xml:space="preserve">Glizide</x:t>
        </x:is>
      </x:c>
      <x:c r="E552" t="inlineStr">
        <x:is>
          <x:t xml:space="preserve">แผง 15 เม็ด</x:t>
        </x:is>
      </x:c>
      <x:c r="F552" t="inlineStr">
        <x:is>
          <x:t xml:space="preserve">Glipizide 5 mg.</x:t>
        </x:is>
      </x:c>
      <x:c r="G552" t="inlineStr">
        <x:is>
          <x:t xml:space="preserve">BDS043603</x:t>
        </x:is>
      </x:c>
      <x:c r="H552" t="inlineStr">
        <x:is>
          <x:t xml:space="preserve">Glizide (15 tabs)</x:t>
        </x:is>
      </x:c>
      <x:c r="I552" t="inlineStr">
        <x:is>
          <x:t xml:space="preserve">รับประทานครั้งละ 1/2-1 เม็ด วันละ 1 ครั้ง ก่อนอาหารเช้า หรือตามแพทย์สั่ง</x:t>
        </x:is>
      </x:c>
    </x:row>
    <x:row r="553">
      <x:c r="A553">
        <x:v>551</x:v>
      </x:c>
      <x:c r="B553" t="inlineStr">
        <x:is>
          <x:t xml:space="preserve">ยารักษาเบาหวาน (D)</x:t>
        </x:is>
      </x:c>
      <x:c r="C553">
        <x:v>2021</x:v>
      </x:c>
      <x:c r="D553" t="inlineStr">
        <x:is>
          <x:t xml:space="preserve">Glucophage 500 mg</x:t>
        </x:is>
      </x:c>
      <x:c r="E553" t="inlineStr">
        <x:is>
          <x:t xml:space="preserve">แผง 10 เม็ด</x:t>
        </x:is>
      </x:c>
      <x:c r="F553" t="inlineStr">
        <x:is>
          <x:t xml:space="preserve">Metformin HCI 500 mg.</x:t>
        </x:is>
      </x:c>
      <x:c r="G553" t="inlineStr">
        <x:is>
          <x:t xml:space="preserve">BDS002021</x:t>
        </x:is>
      </x:c>
      <x:c r="H553" t="inlineStr">
        <x:is>
          <x:t xml:space="preserve">Glucophage 500 mg (10 tabs)</x:t>
        </x:is>
      </x:c>
      <x:c r="I553" t="inlineStr">
        <x:is>
          <x:t xml:space="preserve">รับประทานตามแพทย์สั่ง </x:t>
        </x:is>
      </x:c>
    </x:row>
    <x:row r="554">
      <x:c r="A554">
        <x:v>552</x:v>
      </x:c>
      <x:c r="B554" t="inlineStr">
        <x:is>
          <x:t xml:space="preserve">ยารักษาเบาหวาน (D)</x:t>
        </x:is>
      </x:c>
      <x:c r="C554">
        <x:v>2035</x:v>
      </x:c>
      <x:c r="D554" t="inlineStr">
        <x:is>
          <x:t xml:space="preserve">Glucophage 850 mg</x:t>
        </x:is>
      </x:c>
      <x:c r="E554" t="inlineStr">
        <x:is>
          <x:t xml:space="preserve">แผง 10 เม็ด</x:t>
        </x:is>
      </x:c>
      <x:c r="F554" t="inlineStr">
        <x:is>
          <x:t xml:space="preserve">Metformin HCl 850 mg.</x:t>
        </x:is>
      </x:c>
      <x:c r="G554" t="inlineStr">
        <x:is>
          <x:t xml:space="preserve">BDS002035</x:t>
        </x:is>
      </x:c>
      <x:c r="H554" t="inlineStr">
        <x:is>
          <x:t xml:space="preserve">Glucophage 850 mg (10 tabs)</x:t>
        </x:is>
      </x:c>
      <x:c r="I554" t="inlineStr">
        <x:is>
          <x:t xml:space="preserve">รับประทานตามแพทย์สั่ง </x:t>
        </x:is>
      </x:c>
    </x:row>
    <x:row r="555">
      <x:c r="A555">
        <x:v>553</x:v>
      </x:c>
      <x:c r="B555" t="inlineStr">
        <x:is>
          <x:t xml:space="preserve">ยารักษาเบาหวาน (D)</x:t>
        </x:is>
      </x:c>
      <x:c r="C555">
        <x:v>43610</x:v>
      </x:c>
      <x:c r="D555" t="inlineStr">
        <x:is>
          <x:t xml:space="preserve">Glucophage XR 1000 mg</x:t>
        </x:is>
      </x:c>
      <x:c r="E555" t="inlineStr">
        <x:is>
          <x:t xml:space="preserve">กล่อง 3 แผง</x:t>
        </x:is>
      </x:c>
      <x:c r="F555" t="inlineStr">
        <x:is>
          <x:t xml:space="preserve">Metformin HCl 1000 mg.</x:t>
        </x:is>
      </x:c>
      <x:c r="G555" t="inlineStr">
        <x:is>
          <x:t xml:space="preserve">BDS043610</x:t>
        </x:is>
      </x:c>
      <x:c r="H555" t="inlineStr">
        <x:is>
          <x:t xml:space="preserve">Glucophage XR 1000 mg (3 blister)</x:t>
        </x:is>
      </x:c>
      <x:c r="I555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56">
      <x:c r="A556">
        <x:v>554</x:v>
      </x:c>
      <x:c r="B556" t="inlineStr">
        <x:is>
          <x:t xml:space="preserve">ยารักษาเบาหวาน (D)</x:t>
        </x:is>
      </x:c>
      <x:c r="C556">
        <x:v>1959</x:v>
      </x:c>
      <x:c r="D556" t="inlineStr">
        <x:is>
          <x:t xml:space="preserve">Glucophage XR 750 mg</x:t>
        </x:is>
      </x:c>
      <x:c r="E556" t="inlineStr">
        <x:is>
          <x:t xml:space="preserve">แผง 15 เม็ด</x:t>
        </x:is>
      </x:c>
      <x:c r="F556" t="inlineStr">
        <x:is>
          <x:t xml:space="preserve">Metformin HCl 750 mg.</x:t>
        </x:is>
      </x:c>
      <x:c r="G556" t="inlineStr">
        <x:is>
          <x:t xml:space="preserve">BDS001959</x:t>
        </x:is>
      </x:c>
      <x:c r="H556" t="inlineStr">
        <x:is>
          <x:t xml:space="preserve">Glucophage XR 750 mg (15 tabs)</x:t>
        </x:is>
      </x:c>
      <x:c r="I556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57">
      <x:c r="A557">
        <x:v>555</x:v>
      </x:c>
      <x:c r="B557" t="inlineStr">
        <x:is>
          <x:t xml:space="preserve">ยารักษาเบาหวาน (D)</x:t>
        </x:is>
      </x:c>
      <x:c r="C557">
        <x:v>43611</x:v>
      </x:c>
      <x:c r="D557" t="inlineStr">
        <x:is>
          <x:t xml:space="preserve">Glycediab 5 mg</x:t>
        </x:is>
      </x:c>
      <x:c r="E557" t="inlineStr">
        <x:is>
          <x:t xml:space="preserve">แผง 10 เม็ด</x:t>
        </x:is>
      </x:c>
      <x:c r="F557" t="inlineStr">
        <x:is>
          <x:t xml:space="preserve">Glipizide 5 mg.</x:t>
        </x:is>
      </x:c>
      <x:c r="G557" t="inlineStr">
        <x:is>
          <x:t xml:space="preserve">BDS043611</x:t>
        </x:is>
      </x:c>
      <x:c r="H557" t="inlineStr">
        <x:is>
          <x:t xml:space="preserve">Glycediab 5 mg (10 tabs)</x:t>
        </x:is>
      </x:c>
      <x:c r="I557" t="inlineStr">
        <x:is>
          <x:t xml:space="preserve">รับประทานครั้งละ 1/2-1 เม็ด วันละ 1 ครั้ง ก่อนอาหารเช้า หรือตามแพทย์สั่ง</x:t>
        </x:is>
      </x:c>
    </x:row>
    <x:row r="558">
      <x:c r="A558">
        <x:v>556</x:v>
      </x:c>
      <x:c r="B558" t="inlineStr">
        <x:is>
          <x:t xml:space="preserve">ยารักษาเบาหวาน (D)</x:t>
        </x:is>
      </x:c>
      <x:c r="C558">
        <x:v>44920</x:v>
      </x:c>
      <x:c r="D558" t="inlineStr">
        <x:is>
          <x:t xml:space="preserve">Metfor-500</x:t>
        </x:is>
      </x:c>
      <x:c r="E558" t="inlineStr">
        <x:is>
          <x:t xml:space="preserve">แผง 10 เม็ด</x:t>
        </x:is>
      </x:c>
      <x:c r="F558" t="inlineStr">
        <x:is>
          <x:t xml:space="preserve">Metformin HCl 500 mg.</x:t>
        </x:is>
      </x:c>
      <x:c r="G558" t="inlineStr">
        <x:is>
          <x:t xml:space="preserve">BDS044920</x:t>
        </x:is>
      </x:c>
      <x:c r="H558" t="inlineStr">
        <x:is>
          <x:t xml:space="preserve">Metfor-500 (10 tabs)</x:t>
        </x:is>
      </x:c>
      <x:c r="I558" t="inlineStr">
        <x:is>
          <x:t xml:space="preserve">รับประทานครั้งละ 1-2 เม็ด วันละ 3 ครั้ง หลังอาหาร หรือตามแพทย์สั่ง</x:t>
        </x:is>
      </x:c>
    </x:row>
    <x:row r="559">
      <x:c r="A559">
        <x:v>557</x:v>
      </x:c>
      <x:c r="B559" t="inlineStr">
        <x:is>
          <x:t xml:space="preserve">ยารักษาเบาหวาน (D)</x:t>
        </x:is>
      </x:c>
      <x:c r="C559">
        <x:v>6205</x:v>
      </x:c>
      <x:c r="D559" t="inlineStr">
        <x:is>
          <x:t xml:space="preserve">Metformin Hydrochloride 500 mg (GPO)</x:t>
        </x:is>
      </x:c>
      <x:c r="E559" t="inlineStr">
        <x:is>
          <x:t xml:space="preserve">แผง 10 เม็ด</x:t>
        </x:is>
      </x:c>
      <x:c r="F559" t="inlineStr">
        <x:is>
          <x:t xml:space="preserve">Metformin HCl 500 mg.</x:t>
        </x:is>
      </x:c>
      <x:c r="G559" t="inlineStr">
        <x:is>
          <x:t xml:space="preserve">BDS006205</x:t>
        </x:is>
      </x:c>
      <x:c r="H559" t="inlineStr">
        <x:is>
          <x:t xml:space="preserve">Metformin Hydrochloride 500 mg (GPO) (10 tabs)</x:t>
        </x:is>
      </x:c>
      <x:c r="I559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0">
      <x:c r="A560">
        <x:v>558</x:v>
      </x:c>
      <x:c r="B560" t="inlineStr">
        <x:is>
          <x:t xml:space="preserve">ยารักษาเบาหวาน (D)</x:t>
        </x:is>
      </x:c>
      <x:c r="C560">
        <x:v>44902</x:v>
      </x:c>
      <x:c r="D560" t="inlineStr">
        <x:is>
          <x:t xml:space="preserve">Miformin 500 mg</x:t>
        </x:is>
      </x:c>
      <x:c r="E560" t="inlineStr">
        <x:is>
          <x:t xml:space="preserve">แผง 10 เม็ด</x:t>
        </x:is>
      </x:c>
      <x:c r="F560" t="inlineStr">
        <x:is>
          <x:t xml:space="preserve">Metformin HCl 500 mg.</x:t>
        </x:is>
      </x:c>
      <x:c r="G560" t="inlineStr">
        <x:is>
          <x:t xml:space="preserve">BDS044902</x:t>
        </x:is>
      </x:c>
      <x:c r="H560" t="inlineStr">
        <x:is>
          <x:t xml:space="preserve">Miformin 500 mg (10 tabs)</x:t>
        </x:is>
      </x:c>
      <x:c r="I560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1">
      <x:c r="A561">
        <x:v>559</x:v>
      </x:c>
      <x:c r="B561" t="inlineStr">
        <x:is>
          <x:t xml:space="preserve">ยารักษาเบาหวาน (D)</x:t>
        </x:is>
      </x:c>
      <x:c r="C561">
        <x:v>2628</x:v>
      </x:c>
      <x:c r="D561" t="inlineStr">
        <x:is>
          <x:t xml:space="preserve">Minidiab</x:t>
        </x:is>
      </x:c>
      <x:c r="E561" t="inlineStr">
        <x:is>
          <x:t xml:space="preserve">แผง 15 เม็ด</x:t>
        </x:is>
      </x:c>
      <x:c r="F561" t="inlineStr">
        <x:is>
          <x:t xml:space="preserve">Glipizide 5 mg.</x:t>
        </x:is>
      </x:c>
      <x:c r="G561" t="inlineStr">
        <x:is>
          <x:t xml:space="preserve">BDS002628</x:t>
        </x:is>
      </x:c>
      <x:c r="H561" t="inlineStr">
        <x:is>
          <x:t xml:space="preserve">Minidiab (15 tabs)</x:t>
        </x:is>
      </x:c>
      <x:c r="I561" t="inlineStr">
        <x:is>
          <x:t xml:space="preserve">รับประทานครั้งละ 1/2-1 เม็ด วันละ 1 ครั้ง ก่อนอาหารเช้าหรืออาหารกลางวัน หรือตามแพทย์สั่ง</x:t>
        </x:is>
      </x:c>
    </x:row>
    <x:row r="562">
      <x:c r="A562">
        <x:v>560</x:v>
      </x:c>
      <x:c r="B562" t="inlineStr">
        <x:is>
          <x:t xml:space="preserve">ยารักษาเบาหวาน (D)</x:t>
        </x:is>
      </x:c>
      <x:c r="C562">
        <x:v>3612</x:v>
      </x:c>
      <x:c r="D562" t="inlineStr">
        <x:is>
          <x:t xml:space="preserve">Siamformet 500 mg</x:t>
        </x:is>
      </x:c>
      <x:c r="E562" t="inlineStr">
        <x:is>
          <x:t xml:space="preserve">แผง 10 เม็ด</x:t>
        </x:is>
      </x:c>
      <x:c r="F562" t="inlineStr">
        <x:is>
          <x:t xml:space="preserve">Metformin HCl 500 mg.</x:t>
        </x:is>
      </x:c>
      <x:c r="G562" t="inlineStr">
        <x:is>
          <x:t xml:space="preserve">BDS003612</x:t>
        </x:is>
      </x:c>
      <x:c r="H562" t="inlineStr">
        <x:is>
          <x:t xml:space="preserve">Siamformet 500 mg (10 tabs)</x:t>
        </x:is>
      </x:c>
      <x:c r="I562" t="inlineStr">
        <x:is>
          <x:t xml:space="preserve">รับประทานครั้งละ 1-2 เม็ด วันละ 1-2 ครั้ง หลังอาหาร หรือตามแพทย์สั่ง</x:t>
        </x:is>
      </x:c>
    </x:row>
    <x:row r="563">
      <x:c r="A563">
        <x:v>561</x:v>
      </x:c>
      <x:c r="B563" t="inlineStr">
        <x:is>
          <x:t xml:space="preserve">ยารักษาเบาหวาน (D)</x:t>
        </x:is>
      </x:c>
      <x:c r="C563">
        <x:v>3614</x:v>
      </x:c>
      <x:c r="D563" t="inlineStr">
        <x:is>
          <x:t xml:space="preserve">Siamformet 850 mg</x:t>
        </x:is>
      </x:c>
      <x:c r="E563" t="inlineStr">
        <x:is>
          <x:t xml:space="preserve">แผง 10 เม็ด</x:t>
        </x:is>
      </x:c>
      <x:c r="F563" t="inlineStr">
        <x:is>
          <x:t xml:space="preserve">Metformin HCl 850 mg.</x:t>
        </x:is>
      </x:c>
      <x:c r="G563" t="inlineStr">
        <x:is>
          <x:t xml:space="preserve">BDS003614</x:t>
        </x:is>
      </x:c>
      <x:c r="H563" t="inlineStr">
        <x:is>
          <x:t xml:space="preserve">Siamformet 850 mg (10 tabs)</x:t>
        </x:is>
      </x:c>
      <x:c r="I563" t="inlineStr">
        <x:is>
          <x:t xml:space="preserve">รับประทานตามแพทย์สั่ง (โดยทั่วไปครั้งละ 1 เม็ด วันละ 1-2 ครั้ง หลังอาหาร)</x:t>
        </x:is>
      </x:c>
    </x:row>
    <x:row r="564">
      <x:c r="A564">
        <x:v>562</x:v>
      </x:c>
      <x:c r="B564" t="inlineStr">
        <x:is>
          <x:t xml:space="preserve">ยารักษาเบาหวาน (D)</x:t>
        </x:is>
      </x:c>
      <x:c r="C564">
        <x:v>6734</x:v>
      </x:c>
      <x:c r="D564" t="inlineStr">
        <x:is>
          <x:t xml:space="preserve">Sugril 5 mg</x:t>
        </x:is>
      </x:c>
      <x:c r="E564" t="inlineStr">
        <x:is>
          <x:t xml:space="preserve">แผง 10 เม็ด</x:t>
        </x:is>
      </x:c>
      <x:c r="F564" t="inlineStr">
        <x:is>
          <x:t xml:space="preserve">Glibenclamide 5 mg.</x:t>
        </x:is>
      </x:c>
      <x:c r="G564" t="inlineStr">
        <x:is>
          <x:t xml:space="preserve">BDS006734</x:t>
        </x:is>
      </x:c>
      <x:c r="H564" t="inlineStr">
        <x:is>
          <x:t xml:space="preserve">Sugril 5 mg (10 tabs)</x:t>
        </x:is>
      </x:c>
      <x:c r="I564" t="inlineStr">
        <x:is>
          <x:t xml:space="preserve">รับประทานครั้งละ 1/2-1 เม็ด วันละ 1 ครั้ง หรือตามแพทย์สั่ง</x:t>
        </x:is>
      </x:c>
    </x:row>
    <x:row r="565">
      <x:c r="A565">
        <x:v>563</x:v>
      </x:c>
      <x:c r="B565" t="inlineStr">
        <x:is>
          <x:t xml:space="preserve">ยาลดไขมันในเลือด (D)</x:t>
        </x:is>
      </x:c>
      <x:c r="C565">
        <x:v>1960</x:v>
      </x:c>
      <x:c r="D565" t="inlineStr">
        <x:is>
          <x:t xml:space="preserve">Atorvastatin Sandoz 10 mg</x:t>
        </x:is>
      </x:c>
      <x:c r="E565" t="inlineStr">
        <x:is>
          <x:t xml:space="preserve">แผง 10 เม็ด</x:t>
        </x:is>
      </x:c>
      <x:c r="F565" t="inlineStr">
        <x:is>
          <x:t xml:space="preserve">Atorvastatin Calcium 10.34 mg. (eq. to Atorvastatin 10 mg.)</x:t>
        </x:is>
      </x:c>
      <x:c r="G565" t="inlineStr">
        <x:is>
          <x:t xml:space="preserve">BDS001960</x:t>
        </x:is>
      </x:c>
      <x:c r="H565" t="inlineStr">
        <x:is>
          <x:t xml:space="preserve">Atorvastatin Sandoz 10 mg (10 tabs)</x:t>
        </x:is>
      </x:c>
      <x:c r="I565" t="inlineStr">
        <x:is>
          <x:t xml:space="preserve">รับประทานตามแพทย์สั่ง </x:t>
        </x:is>
      </x:c>
    </x:row>
    <x:row r="566">
      <x:c r="A566">
        <x:v>564</x:v>
      </x:c>
      <x:c r="B566" t="inlineStr">
        <x:is>
          <x:t xml:space="preserve">ยาลดไขมันในเลือด (D)</x:t>
        </x:is>
      </x:c>
      <x:c r="C566">
        <x:v>1945</x:v>
      </x:c>
      <x:c r="D566" t="inlineStr">
        <x:is>
          <x:t xml:space="preserve">Atorvastatin Sandoz 20 mg</x:t>
        </x:is>
      </x:c>
      <x:c r="E566" t="inlineStr">
        <x:is>
          <x:t xml:space="preserve">แผง 10 เม็ด</x:t>
        </x:is>
      </x:c>
      <x:c r="F566" t="inlineStr">
        <x:is>
          <x:t xml:space="preserve">Atorvastatin Calcium 20.68 mg. (eq. to Atorvastatin 20 mg.)</x:t>
        </x:is>
      </x:c>
      <x:c r="G566" t="inlineStr">
        <x:is>
          <x:t xml:space="preserve">BDS001945</x:t>
        </x:is>
      </x:c>
      <x:c r="H566" t="inlineStr">
        <x:is>
          <x:t xml:space="preserve">Atorvastatin Sandoz 20 mg (10 tabs)</x:t>
        </x:is>
      </x:c>
      <x:c r="I566" t="inlineStr">
        <x:is>
          <x:t xml:space="preserve">รับประทานตามแพทย์สั่ง </x:t>
        </x:is>
      </x:c>
    </x:row>
    <x:row r="567">
      <x:c r="A567">
        <x:v>565</x:v>
      </x:c>
      <x:c r="B567" t="inlineStr">
        <x:is>
          <x:t xml:space="preserve">ยาลดไขมันในเลือด (D)</x:t>
        </x:is>
      </x:c>
      <x:c r="C567">
        <x:v>1918</x:v>
      </x:c>
      <x:c r="D567" t="inlineStr">
        <x:is>
          <x:t xml:space="preserve">Atorvastatin Sandoz 40 mg</x:t>
        </x:is>
      </x:c>
      <x:c r="E567" t="inlineStr">
        <x:is>
          <x:t xml:space="preserve">แผง 10 เม็ด</x:t>
        </x:is>
      </x:c>
      <x:c r="F567" t="inlineStr">
        <x:is>
          <x:t xml:space="preserve">Atorvastatin Calcium 41.36 mg. (eq. to Atorvastatin 40 mg.)</x:t>
        </x:is>
      </x:c>
      <x:c r="G567" t="inlineStr">
        <x:is>
          <x:t xml:space="preserve">BDS001918</x:t>
        </x:is>
      </x:c>
      <x:c r="H567" t="inlineStr">
        <x:is>
          <x:t xml:space="preserve">Atorvastatin Sandoz 40 mg (10 tabs)</x:t>
        </x:is>
      </x:c>
      <x:c r="I567" t="inlineStr">
        <x:is>
          <x:t xml:space="preserve">รับประทานตามแพทย์สั่ง </x:t>
        </x:is>
      </x:c>
    </x:row>
    <x:row r="568">
      <x:c r="A568">
        <x:v>566</x:v>
      </x:c>
      <x:c r="B568" t="inlineStr">
        <x:is>
          <x:t xml:space="preserve">ยาลดไขมันในเลือด (D)</x:t>
        </x:is>
      </x:c>
      <x:c r="C568">
        <x:v>1226</x:v>
      </x:c>
      <x:c r="D568" t="inlineStr">
        <x:is>
          <x:t xml:space="preserve">Bestatin 10 mg</x:t>
        </x:is>
      </x:c>
      <x:c r="E568" t="inlineStr">
        <x:is>
          <x:t xml:space="preserve">แผง 10 เม็ด</x:t>
        </x:is>
      </x:c>
      <x:c r="F568" t="inlineStr">
        <x:is>
          <x:t xml:space="preserve">Simvastatin 10 mg.</x:t>
        </x:is>
      </x:c>
      <x:c r="G568" t="inlineStr">
        <x:is>
          <x:t xml:space="preserve">BDS001226</x:t>
        </x:is>
      </x:c>
      <x:c r="H568" t="inlineStr">
        <x:is>
          <x:t xml:space="preserve">Bestatin 10 mg (10 tabs)</x:t>
        </x:is>
      </x:c>
      <x:c r="I568" t="inlineStr">
        <x:is>
          <x:t xml:space="preserve">รับประทานตามแพทย์สั่ง </x:t>
        </x:is>
      </x:c>
    </x:row>
    <x:row r="569">
      <x:c r="A569">
        <x:v>567</x:v>
      </x:c>
      <x:c r="B569" t="inlineStr">
        <x:is>
          <x:t xml:space="preserve">ยาลดไขมันในเลือด (D)</x:t>
        </x:is>
      </x:c>
      <x:c r="C569">
        <x:v>1225</x:v>
      </x:c>
      <x:c r="D569" t="inlineStr">
        <x:is>
          <x:t xml:space="preserve">Bestatin 20 mg</x:t>
        </x:is>
      </x:c>
      <x:c r="E569" t="inlineStr">
        <x:is>
          <x:t xml:space="preserve">แผง 10 เม็ด</x:t>
        </x:is>
      </x:c>
      <x:c r="F569" t="inlineStr">
        <x:is>
          <x:t xml:space="preserve">Simvastatin 20 mg.</x:t>
        </x:is>
      </x:c>
      <x:c r="G569" t="inlineStr">
        <x:is>
          <x:t xml:space="preserve">BDS001225</x:t>
        </x:is>
      </x:c>
      <x:c r="H569" t="inlineStr">
        <x:is>
          <x:t xml:space="preserve">Bestatin 20 mg (10 tabs)</x:t>
        </x:is>
      </x:c>
      <x:c r="I569" t="inlineStr">
        <x:is>
          <x:t xml:space="preserve">รับประทานตามแพทย์สั่ง </x:t>
        </x:is>
      </x:c>
    </x:row>
    <x:row r="570">
      <x:c r="A570">
        <x:v>568</x:v>
      </x:c>
      <x:c r="B570" t="inlineStr">
        <x:is>
          <x:t xml:space="preserve">ยาลดไขมันในเลือด (D)</x:t>
        </x:is>
      </x:c>
      <x:c r="C570">
        <x:v>1223</x:v>
      </x:c>
      <x:c r="D570" t="inlineStr">
        <x:is>
          <x:t xml:space="preserve">Bestatin 40 mg</x:t>
        </x:is>
      </x:c>
      <x:c r="E570" t="inlineStr">
        <x:is>
          <x:t xml:space="preserve">แผง 10 เม็ด</x:t>
        </x:is>
      </x:c>
      <x:c r="F570" t="inlineStr">
        <x:is>
          <x:t xml:space="preserve">Simvastatin 40 mg.</x:t>
        </x:is>
      </x:c>
      <x:c r="G570" t="inlineStr">
        <x:is>
          <x:t xml:space="preserve">BDS001223</x:t>
        </x:is>
      </x:c>
      <x:c r="H570" t="inlineStr">
        <x:is>
          <x:t xml:space="preserve">Bestatin 40 mg (10 tabs)</x:t>
        </x:is>
      </x:c>
      <x:c r="I570" t="inlineStr">
        <x:is>
          <x:t xml:space="preserve">รับประทานตามแพทย์สั่ง </x:t>
        </x:is>
      </x:c>
    </x:row>
    <x:row r="571">
      <x:c r="A571">
        <x:v>569</x:v>
      </x:c>
      <x:c r="B571" t="inlineStr">
        <x:is>
          <x:t xml:space="preserve">ยาลดไขมันในเลือด (D)</x:t>
        </x:is>
      </x:c>
      <x:c r="C571">
        <x:v>41432</x:v>
      </x:c>
      <x:c r="D571" t="inlineStr">
        <x:is>
          <x:t xml:space="preserve">Chlovas-40 mg.</x:t>
        </x:is>
      </x:c>
      <x:c r="E571" t="inlineStr">
        <x:is>
          <x:t xml:space="preserve">แผง 10 เม็ด</x:t>
        </x:is>
      </x:c>
      <x:c r="F571" t="inlineStr">
        <x:is>
          <x:t xml:space="preserve">Atorvastatin Calcium 43.3 mg. (eq. to Atorvastatin 40 mg.)</x:t>
        </x:is>
      </x:c>
      <x:c r="G571" t="inlineStr">
        <x:is>
          <x:t xml:space="preserve">BDS041432</x:t>
        </x:is>
      </x:c>
      <x:c r="H571" t="inlineStr">
        <x:is>
          <x:t xml:space="preserve">Chlovas-40 mg. (10 tabs)</x:t>
        </x:is>
      </x:c>
      <x:c r="I571" t="inlineStr">
        <x:is>
          <x:t xml:space="preserve">รับประทานตามแพทย์สั่ง </x:t>
        </x:is>
      </x:c>
    </x:row>
    <x:row r="572">
      <x:c r="A572">
        <x:v>570</x:v>
      </x:c>
      <x:c r="B572" t="inlineStr">
        <x:is>
          <x:t xml:space="preserve">ยาลดไขมันในเลือด (D)</x:t>
        </x:is>
      </x:c>
      <x:c r="C572">
        <x:v>1922</x:v>
      </x:c>
      <x:c r="D572" t="inlineStr">
        <x:is>
          <x:t xml:space="preserve">Fibril 160</x:t>
        </x:is>
      </x:c>
      <x:c r="E572" t="inlineStr">
        <x:is>
          <x:t xml:space="preserve">แผง 10 แคปซูล</x:t>
        </x:is>
      </x:c>
      <x:c r="F572" t="inlineStr">
        <x:is>
          <x:t xml:space="preserve">Fenofibrate 160 mg.</x:t>
        </x:is>
      </x:c>
      <x:c r="G572" t="inlineStr">
        <x:is>
          <x:t xml:space="preserve">BDS001922</x:t>
        </x:is>
      </x:c>
      <x:c r="H572" t="inlineStr">
        <x:is>
          <x:t xml:space="preserve">Fibril 160 (10 cap)</x:t>
        </x:is>
      </x:c>
      <x:c r="I572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73">
      <x:c r="A573">
        <x:v>571</x:v>
      </x:c>
      <x:c r="B573" t="inlineStr">
        <x:is>
          <x:t xml:space="preserve">ยาลดไขมันในเลือด (D)</x:t>
        </x:is>
      </x:c>
      <x:c r="C573">
        <x:v>2132</x:v>
      </x:c>
      <x:c r="D573" t="inlineStr">
        <x:is>
          <x:t xml:space="preserve">Hidil 300 mg</x:t>
        </x:is>
      </x:c>
      <x:c r="E573" t="inlineStr">
        <x:is>
          <x:t xml:space="preserve">แผง 10 แคปซูล</x:t>
        </x:is>
      </x:c>
      <x:c r="F573" t="inlineStr">
        <x:is>
          <x:t xml:space="preserve">Gemfibrozil 300 mg.</x:t>
        </x:is>
      </x:c>
      <x:c r="G573" t="inlineStr">
        <x:is>
          <x:t xml:space="preserve">BDS002132</x:t>
        </x:is>
      </x:c>
      <x:c r="H573" t="inlineStr">
        <x:is>
          <x:t xml:space="preserve">Hidil 300 mg (10 cap)</x:t>
        </x:is>
      </x:c>
      <x:c r="I573" t="inlineStr">
        <x:is>
          <x:t xml:space="preserve">รับประทานครั้งละ 1-2 เม็ด วันละ 2 ครั้ง ก่อนอาหารครึ่งชั่วโมง หรือตามแพทย์สั่ง</x:t>
        </x:is>
      </x:c>
    </x:row>
    <x:row r="574">
      <x:c r="A574">
        <x:v>572</x:v>
      </x:c>
      <x:c r="B574" t="inlineStr">
        <x:is>
          <x:t xml:space="preserve">ยาลดไขมันในเลือด (D)</x:t>
        </x:is>
      </x:c>
      <x:c r="C574">
        <x:v>2133</x:v>
      </x:c>
      <x:c r="D574" t="inlineStr">
        <x:is>
          <x:t xml:space="preserve">Hidil 600 mg</x:t>
        </x:is>
      </x:c>
      <x:c r="E574" t="inlineStr">
        <x:is>
          <x:t xml:space="preserve">แผง 10 เม็ด</x:t>
        </x:is>
      </x:c>
      <x:c r="F574" t="inlineStr">
        <x:is>
          <x:t xml:space="preserve">Gemfibrozil 600 mg.</x:t>
        </x:is>
      </x:c>
      <x:c r="G574" t="inlineStr">
        <x:is>
          <x:t xml:space="preserve">BDS002133</x:t>
        </x:is>
      </x:c>
      <x:c r="H574" t="inlineStr">
        <x:is>
          <x:t xml:space="preserve">Hidil 600 mg (10 tabs)</x:t>
        </x:is>
      </x:c>
      <x:c r="I574" t="inlineStr">
        <x:is>
          <x:t xml:space="preserve">รับประทานครั้งละ 1 เม็ด วันละ 2 ครั้ง หรือตามแพทย์สั่ง</x:t>
        </x:is>
      </x:c>
    </x:row>
    <x:row r="575">
      <x:c r="A575">
        <x:v>573</x:v>
      </x:c>
      <x:c r="B575" t="inlineStr">
        <x:is>
          <x:t xml:space="preserve">ยาลดไขมันในเลือด (D)</x:t>
        </x:is>
      </x:c>
      <x:c r="C575">
        <x:v>6466</x:v>
      </x:c>
      <x:c r="D575" t="inlineStr">
        <x:is>
          <x:t xml:space="preserve">Supralip NT 145 mg</x:t>
        </x:is>
      </x:c>
      <x:c r="E575" t="inlineStr">
        <x:is>
          <x:t xml:space="preserve">แผง 10 เม็ด</x:t>
        </x:is>
      </x:c>
      <x:c r="F575" t="inlineStr">
        <x:is>
          <x:t xml:space="preserve">Fenofibrate 145 mg.</x:t>
        </x:is>
      </x:c>
      <x:c r="G575" t="inlineStr">
        <x:is>
          <x:t xml:space="preserve">BDS006466</x:t>
        </x:is>
      </x:c>
      <x:c r="H575" t="inlineStr">
        <x:is>
          <x:t xml:space="preserve">Supralip NT 145 mg (10 tabs)</x:t>
        </x:is>
      </x:c>
      <x:c r="I575" t="inlineStr">
        <x:is>
          <x:t xml:space="preserve">รับประทานครั้ง 1 แคปซูล วันละ 1 ครั้ง หรือตามแพทย์สั่ง</x:t>
        </x:is>
      </x:c>
    </x:row>
    <x:row r="576">
      <x:c r="A576">
        <x:v>574</x:v>
      </x:c>
      <x:c r="B576" t="inlineStr">
        <x:is>
          <x:t xml:space="preserve">ยาลดไขมันในเลือด (D)</x:t>
        </x:is>
      </x:c>
      <x:c r="C576">
        <x:v>49670</x:v>
      </x:c>
      <x:c r="D576" t="inlineStr">
        <x:is>
          <x:t xml:space="preserve">Xarator 10 mg.</x:t>
        </x:is>
      </x:c>
      <x:c r="E576" t="inlineStr">
        <x:is>
          <x:t xml:space="preserve">กล่อง 30 เม็ด</x:t>
        </x:is>
      </x:c>
      <x:c r="F576" t="inlineStr">
        <x:is>
          <x:t xml:space="preserve">Atorvastatin 10 mg.</x:t>
        </x:is>
      </x:c>
      <x:c r="G576" t="inlineStr">
        <x:is>
          <x:t xml:space="preserve">BDS049670</x:t>
        </x:is>
      </x:c>
      <x:c r="H576" t="inlineStr">
        <x:is>
          <x:t xml:space="preserve">Xarator 10 mg. (30 tabs)</x:t>
        </x:is>
      </x:c>
      <x:c r="I576" t="inlineStr">
        <x:is>
          <x:t xml:space="preserve">รับประทานตามแพทย์สั่ง </x:t>
        </x:is>
      </x:c>
    </x:row>
    <x:row r="577">
      <x:c r="A577">
        <x:v>575</x:v>
      </x:c>
      <x:c r="B577" t="inlineStr">
        <x:is>
          <x:t xml:space="preserve">ยาลดไขมันในเลือด (D)</x:t>
        </x:is>
      </x:c>
      <x:c r="C577">
        <x:v>49671</x:v>
      </x:c>
      <x:c r="D577" t="inlineStr">
        <x:is>
          <x:t xml:space="preserve">Xarator 20 mg.</x:t>
        </x:is>
      </x:c>
      <x:c r="E577" t="inlineStr">
        <x:is>
          <x:t xml:space="preserve">กล่อง 30 เม็ด </x:t>
        </x:is>
      </x:c>
      <x:c r="F577" t="inlineStr">
        <x:is>
          <x:t xml:space="preserve">Atorvastatin 20 mg.</x:t>
        </x:is>
      </x:c>
      <x:c r="G577" t="inlineStr">
        <x:is>
          <x:t xml:space="preserve">BDS049671</x:t>
        </x:is>
      </x:c>
      <x:c r="H577" t="inlineStr">
        <x:is>
          <x:t xml:space="preserve">Xarator 20 mg. (30 tabs)</x:t>
        </x:is>
      </x:c>
      <x:c r="I577" t="inlineStr">
        <x:is>
          <x:t xml:space="preserve">รับประทานตามแพทย์สั่ง </x:t>
        </x:is>
      </x:c>
    </x:row>
    <x:row r="578">
      <x:c r="A578">
        <x:v>576</x:v>
      </x:c>
      <x:c r="B578" t="inlineStr">
        <x:is>
          <x:t xml:space="preserve">ยาลดไขมันในเลือด (D)</x:t>
        </x:is>
      </x:c>
      <x:c r="C578">
        <x:v>4228</x:v>
      </x:c>
      <x:c r="D578" t="inlineStr">
        <x:is>
          <x:t xml:space="preserve">Zimmex 10 mg</x:t>
        </x:is>
      </x:c>
      <x:c r="E578" t="inlineStr">
        <x:is>
          <x:t xml:space="preserve">แผง 10 เม็ด</x:t>
        </x:is>
      </x:c>
      <x:c r="F578" t="inlineStr">
        <x:is>
          <x:t xml:space="preserve">Simvastatin 10 mg.</x:t>
        </x:is>
      </x:c>
      <x:c r="G578" t="inlineStr">
        <x:is>
          <x:t xml:space="preserve">BDS004228</x:t>
        </x:is>
      </x:c>
      <x:c r="H578" t="inlineStr">
        <x:is>
          <x:t xml:space="preserve">Zimmex 10 mg (10 tabs)</x:t>
        </x:is>
      </x:c>
      <x:c r="I578" t="inlineStr">
        <x:is>
          <x:t xml:space="preserve">รับประทานตามแพทย์สั่ง </x:t>
        </x:is>
      </x:c>
    </x:row>
    <x:row r="579">
      <x:c r="A579">
        <x:v>577</x:v>
      </x:c>
      <x:c r="B579" t="inlineStr">
        <x:is>
          <x:t xml:space="preserve">ยาลดไขมันในเลือด (D)</x:t>
        </x:is>
      </x:c>
      <x:c r="C579">
        <x:v>1222</x:v>
      </x:c>
      <x:c r="D579" t="inlineStr">
        <x:is>
          <x:t xml:space="preserve">Zimmex 20 mg</x:t>
        </x:is>
      </x:c>
      <x:c r="E579" t="inlineStr">
        <x:is>
          <x:t xml:space="preserve">แผง 10 เม็ด</x:t>
        </x:is>
      </x:c>
      <x:c r="F579" t="inlineStr">
        <x:is>
          <x:t xml:space="preserve">Simvastatin 20 mg.</x:t>
        </x:is>
      </x:c>
      <x:c r="G579" t="inlineStr">
        <x:is>
          <x:t xml:space="preserve">BDS001222</x:t>
        </x:is>
      </x:c>
      <x:c r="H579" t="inlineStr">
        <x:is>
          <x:t xml:space="preserve">Zimmex 20 mg (10 tabs)</x:t>
        </x:is>
      </x:c>
      <x:c r="I579" t="inlineStr">
        <x:is>
          <x:t xml:space="preserve">รับประทานตามแพทย์สั่ง </x:t>
        </x:is>
      </x:c>
    </x:row>
    <x:row r="580">
      <x:c r="A580">
        <x:v>578</x:v>
      </x:c>
      <x:c r="B580" t="inlineStr">
        <x:is>
          <x:t xml:space="preserve">ยาลดไขมันในเลือด (D)</x:t>
        </x:is>
      </x:c>
      <x:c r="C580">
        <x:v>49784</x:v>
      </x:c>
      <x:c r="D580" t="inlineStr">
        <x:is>
          <x:t xml:space="preserve">Zimmex 40 mg</x:t>
        </x:is>
      </x:c>
      <x:c r="E580" t="inlineStr">
        <x:is>
          <x:t xml:space="preserve">แผง 10 เม็ด</x:t>
        </x:is>
      </x:c>
      <x:c r="F580" t="inlineStr">
        <x:is>
          <x:t xml:space="preserve">Simvastatin 40 mg.</x:t>
        </x:is>
      </x:c>
      <x:c r="G580" t="inlineStr">
        <x:is>
          <x:t xml:space="preserve">BDS049784</x:t>
        </x:is>
      </x:c>
      <x:c r="H580" t="inlineStr">
        <x:is>
          <x:t xml:space="preserve">Zimmex 40 mg (10 tabs)</x:t>
        </x:is>
      </x:c>
      <x:c r="I580" t="inlineStr">
        <x:is>
          <x:t xml:space="preserve">รับประทานตามแพทย์สั่ง </x:t>
        </x:is>
      </x:c>
    </x:row>
    <x:row r="581">
      <x:c r="A581">
        <x:v>579</x:v>
      </x:c>
      <x:c r="B581" t="inlineStr">
        <x:is>
          <x:t xml:space="preserve">ยาลดไขมันในเลือด (D)</x:t>
        </x:is>
      </x:c>
      <x:c r="C581">
        <x:v>6693</x:v>
      </x:c>
      <x:c r="D581" t="inlineStr">
        <x:is>
          <x:t xml:space="preserve">Zimva 10 mg (GPO)</x:t>
        </x:is>
      </x:c>
      <x:c r="E581" t="inlineStr">
        <x:is>
          <x:t xml:space="preserve">แผง 10 เม็ด</x:t>
        </x:is>
      </x:c>
      <x:c r="F581" t="inlineStr">
        <x:is>
          <x:t xml:space="preserve">Simvastatin 10 mg.</x:t>
        </x:is>
      </x:c>
      <x:c r="G581" t="inlineStr">
        <x:is>
          <x:t xml:space="preserve">BDS006693</x:t>
        </x:is>
      </x:c>
      <x:c r="H581" t="inlineStr">
        <x:is>
          <x:t xml:space="preserve">Zimva 10 mg (GPO) (10 tabs)</x:t>
        </x:is>
      </x:c>
      <x:c r="I581" t="inlineStr">
        <x:is>
          <x:t xml:space="preserve">รับประทานตามแพทย์สั่ง </x:t>
        </x:is>
      </x:c>
    </x:row>
    <x:row r="582">
      <x:c r="A582">
        <x:v>580</x:v>
      </x:c>
      <x:c r="B582" t="inlineStr">
        <x:is>
          <x:t xml:space="preserve">ยาลดไขมันในเลือด (D)</x:t>
        </x:is>
      </x:c>
      <x:c r="C582">
        <x:v>6691</x:v>
      </x:c>
      <x:c r="D582" t="inlineStr">
        <x:is>
          <x:t xml:space="preserve">Zimva 20 mg (GPO)</x:t>
        </x:is>
      </x:c>
      <x:c r="E582" t="inlineStr">
        <x:is>
          <x:t xml:space="preserve">แผง 10 เม็ด</x:t>
        </x:is>
      </x:c>
      <x:c r="F582" t="inlineStr">
        <x:is>
          <x:t xml:space="preserve">Simvastatin 20 mg.</x:t>
        </x:is>
      </x:c>
      <x:c r="G582" t="inlineStr">
        <x:is>
          <x:t xml:space="preserve">BDS006691</x:t>
        </x:is>
      </x:c>
      <x:c r="H582" t="inlineStr">
        <x:is>
          <x:t xml:space="preserve">Zimva 20 mg (GPO) (10 tabs)</x:t>
        </x:is>
      </x:c>
      <x:c r="I582" t="inlineStr">
        <x:is>
          <x:t xml:space="preserve">รับประทานตามแพทย์สั่ง </x:t>
        </x:is>
      </x:c>
    </x:row>
    <x:row r="583">
      <x:c r="A583">
        <x:v>581</x:v>
      </x:c>
      <x:c r="B583" t="inlineStr">
        <x:is>
          <x:t xml:space="preserve">ยาขับปัสสาวะและลดความดัน (D)</x:t>
        </x:is>
      </x:c>
      <x:c r="C583">
        <x:v>7005</x:v>
      </x:c>
      <x:c r="D583" t="inlineStr">
        <x:is>
          <x:t xml:space="preserve">Altone</x:t>
        </x:is>
      </x:c>
      <x:c r="E583" t="inlineStr">
        <x:is>
          <x:t xml:space="preserve">แผง 10 เม็ด</x:t>
        </x:is>
      </x:c>
      <x:c r="F583" t="inlineStr">
        <x:is>
          <x:t xml:space="preserve">Spironolactone 25 mg.</x:t>
        </x:is>
      </x:c>
      <x:c r="G583" t="inlineStr">
        <x:is>
          <x:t xml:space="preserve">BDS007005</x:t>
        </x:is>
      </x:c>
      <x:c r="H583" t="inlineStr">
        <x:is>
          <x:t xml:space="preserve">Altone (10 tabs)</x:t>
        </x:is>
      </x:c>
      <x:c r="I583" t="inlineStr">
        <x:is>
          <x:t xml:space="preserve">รับประทานตามแพทย์สั่ง (ทั่วไปครั้งละ 1 เม็ด ตอนเช้า)</x:t>
        </x:is>
      </x:c>
    </x:row>
    <x:row r="584">
      <x:c r="A584">
        <x:v>582</x:v>
      </x:c>
      <x:c r="B584" t="inlineStr">
        <x:is>
          <x:t xml:space="preserve">ยาขับปัสสาวะและลดความดัน (D)</x:t>
        </x:is>
      </x:c>
      <x:c r="C584">
        <x:v>1987</x:v>
      </x:c>
      <x:c r="D584" t="inlineStr">
        <x:is>
          <x:t xml:space="preserve">Furetic 40 mg</x:t>
        </x:is>
      </x:c>
      <x:c r="E584" t="inlineStr">
        <x:is>
          <x:t xml:space="preserve">แผง 10 เม็ด</x:t>
        </x:is>
      </x:c>
      <x:c r="F584" t="inlineStr">
        <x:is>
          <x:t xml:space="preserve">Furosemide 40 mg.</x:t>
        </x:is>
      </x:c>
      <x:c r="G584" t="inlineStr">
        <x:is>
          <x:t xml:space="preserve">BDS001987</x:t>
        </x:is>
      </x:c>
      <x:c r="H584" t="inlineStr">
        <x:is>
          <x:t xml:space="preserve">Furetic 40 mg (10 tabs)</x:t>
        </x:is>
      </x:c>
      <x:c r="I584" t="inlineStr">
        <x:is>
          <x:t xml:space="preserve">รับประทานตามแพทย์สั่ง (โดยทั่วไปครั้งละ 1 เม็ด วันละ 1-2 ครั้ง)</x:t>
        </x:is>
      </x:c>
    </x:row>
    <x:row r="585">
      <x:c r="A585">
        <x:v>583</x:v>
      </x:c>
      <x:c r="B585" t="inlineStr">
        <x:is>
          <x:t xml:space="preserve">ยาขับปัสสาวะและลดความดัน (D)</x:t>
        </x:is>
      </x:c>
      <x:c r="C585">
        <x:v>6802</x:v>
      </x:c>
      <x:c r="D585" t="inlineStr">
        <x:is>
          <x:t xml:space="preserve">GPO - HCTZ 25</x:t>
        </x:is>
      </x:c>
      <x:c r="E585" t="inlineStr">
        <x:is>
          <x:t xml:space="preserve">แผง 10 เม็ด</x:t>
        </x:is>
      </x:c>
      <x:c r="F585" t="inlineStr">
        <x:is>
          <x:t xml:space="preserve">Hydrochlorothiazide 25 mg.</x:t>
        </x:is>
      </x:c>
      <x:c r="G585" t="inlineStr">
        <x:is>
          <x:t xml:space="preserve">BDS006802</x:t>
        </x:is>
      </x:c>
      <x:c r="H585" t="inlineStr">
        <x:is>
          <x:t xml:space="preserve">GPO - HCTZ 25 (10 tabs)</x:t>
        </x:is>
      </x:c>
      <x:c r="I585" t="inlineStr">
        <x:is>
          <x:t xml:space="preserve">รับประทานครั้งละ 1 เม็ด วันละ 1 ครั้ง หรือตามแพทย์สั่ง</x:t>
        </x:is>
      </x:c>
    </x:row>
    <x:row r="586">
      <x:c r="A586">
        <x:v>584</x:v>
      </x:c>
      <x:c r="B586" t="inlineStr">
        <x:is>
          <x:t xml:space="preserve">ยาขับปัสสาวะและลดความดัน (D)</x:t>
        </x:is>
      </x:c>
      <x:c r="C586">
        <x:v>6801</x:v>
      </x:c>
      <x:c r="D586" t="inlineStr">
        <x:is>
          <x:t xml:space="preserve">GPO - HCTZ 50</x:t>
        </x:is>
      </x:c>
      <x:c r="E586" t="inlineStr">
        <x:is>
          <x:t xml:space="preserve">แผง 10 เม็ด</x:t>
        </x:is>
      </x:c>
      <x:c r="F586" t="inlineStr">
        <x:is>
          <x:t xml:space="preserve">Hydrochlorothiazide 50 mg.</x:t>
        </x:is>
      </x:c>
      <x:c r="G586" t="inlineStr">
        <x:is>
          <x:t xml:space="preserve">BDS006801</x:t>
        </x:is>
      </x:c>
      <x:c r="H586" t="inlineStr">
        <x:is>
          <x:t xml:space="preserve">GPO - HCTZ 50 (10 tabs)</x:t>
        </x:is>
      </x:c>
      <x:c r="I586" t="inlineStr">
        <x:is>
          <x:t xml:space="preserve">รับประทานครั้งละ 1 เม็ด วันละ 1-2 ครั้ง หลังอาหารหรือตามแพทย์สั่ง</x:t>
        </x:is>
      </x:c>
    </x:row>
    <x:row r="587">
      <x:c r="A587">
        <x:v>585</x:v>
      </x:c>
      <x:c r="B587" t="inlineStr">
        <x:is>
          <x:t xml:space="preserve">ยาขับปัสสาวะและลดความดัน (D)</x:t>
        </x:is>
      </x:c>
      <x:c r="C587">
        <x:v>1480</x:v>
      </x:c>
      <x:c r="D587" t="inlineStr">
        <x:is>
          <x:t xml:space="preserve">HCTZ 25</x:t>
        </x:is>
      </x:c>
      <x:c r="E587" t="inlineStr">
        <x:is>
          <x:t xml:space="preserve">แผง 10 เม็ด</x:t>
        </x:is>
      </x:c>
      <x:c r="F587" t="inlineStr">
        <x:is>
          <x:t xml:space="preserve">Hydrochlorothiazide 25 mg.</x:t>
        </x:is>
      </x:c>
      <x:c r="G587" t="inlineStr">
        <x:is>
          <x:t xml:space="preserve">BDS001480</x:t>
        </x:is>
      </x:c>
      <x:c r="H587" t="inlineStr">
        <x:is>
          <x:t xml:space="preserve">HCTZ 25 (10 tabs)</x:t>
        </x:is>
      </x:c>
      <x:c r="I587" t="inlineStr">
        <x:is>
          <x:t xml:space="preserve">รับประทานครั้งละ 1 เม็ด วันละ 1 ครั้ง ตอนเช้า หรือตามแพทย์สั่ง</x:t>
        </x:is>
      </x:c>
    </x:row>
    <x:row r="588">
      <x:c r="A588">
        <x:v>586</x:v>
      </x:c>
      <x:c r="B588" t="inlineStr">
        <x:is>
          <x:t xml:space="preserve">ยาขับปัสสาวะและลดความดัน (D)</x:t>
        </x:is>
      </x:c>
      <x:c r="C588">
        <x:v>2633</x:v>
      </x:c>
      <x:c r="D588" t="inlineStr">
        <x:is>
          <x:t xml:space="preserve">Moduretic</x:t>
        </x:is>
      </x:c>
      <x:c r="E588" t="inlineStr">
        <x:is>
          <x:t xml:space="preserve">แผง 10 เม็ด</x:t>
        </x:is>
      </x:c>
      <x:c r="F588" t="inlineStr">
        <x:is>
          <x:t xml:space="preserve">Hydrochlorothiazide 50 mg.+ Amiloride HCl 5 mg</x:t>
        </x:is>
      </x:c>
      <x:c r="G588" t="inlineStr">
        <x:is>
          <x:t xml:space="preserve">BDS002633</x:t>
        </x:is>
      </x:c>
      <x:c r="H588" t="inlineStr">
        <x:is>
          <x:t xml:space="preserve">Moduretic (10 tabs)</x:t>
        </x:is>
      </x:c>
      <x:c r="I588" t="inlineStr">
        <x:is>
          <x:t xml:space="preserve">รับประทานตามแพทย์สั่ง </x:t>
        </x:is>
      </x:c>
    </x:row>
    <x:row r="589">
      <x:c r="A589">
        <x:v>587</x:v>
      </x:c>
      <x:c r="B589" t="inlineStr">
        <x:is>
          <x:t xml:space="preserve">ยารักษาต่อมลูกหมากโต (D)</x:t>
        </x:is>
      </x:c>
      <x:c r="C589">
        <x:v>1439</x:v>
      </x:c>
      <x:c r="D589" t="inlineStr">
        <x:is>
          <x:t xml:space="preserve">Cardura XL 4 mg</x:t>
        </x:is>
      </x:c>
      <x:c r="E589" t="inlineStr">
        <x:is>
          <x:t xml:space="preserve">แผง 10 เม็ด</x:t>
        </x:is>
      </x:c>
      <x:c r="F589" t="inlineStr">
        <x:is>
          <x:t xml:space="preserve">Doxazosin 4 mg.</x:t>
        </x:is>
      </x:c>
      <x:c r="G589" t="inlineStr">
        <x:is>
          <x:t xml:space="preserve">BDS001439</x:t>
        </x:is>
      </x:c>
      <x:c r="H589" t="inlineStr">
        <x:is>
          <x:t xml:space="preserve">Cardura XL 4 mg (10 tabs)</x:t>
        </x:is>
      </x:c>
      <x:c r="I589" t="inlineStr">
        <x:is>
          <x:t xml:space="preserve">รับประทานตามแพทย์สั่ง (โดยทั่วไปครั้งละ 1 เม็ด วันละ 1 ครั้ง)</x:t>
        </x:is>
      </x:c>
    </x:row>
    <x:row r="590">
      <x:c r="A590">
        <x:v>588</x:v>
      </x:c>
      <x:c r="B590" t="inlineStr">
        <x:is>
          <x:t xml:space="preserve">ยารักษาต่อมลูกหมากโต (D)</x:t>
        </x:is>
      </x:c>
      <x:c r="C590">
        <x:v>1429</x:v>
      </x:c>
      <x:c r="D590" t="inlineStr">
        <x:is>
          <x:t xml:space="preserve">Cazosin 2 mg</x:t>
        </x:is>
      </x:c>
      <x:c r="E590" t="inlineStr">
        <x:is>
          <x:t xml:space="preserve">แผง 10 เม็ด</x:t>
        </x:is>
      </x:c>
      <x:c r="F590" t="inlineStr">
        <x:is>
          <x:t xml:space="preserve">Doxazosin mesylate 2 mg.</x:t>
        </x:is>
      </x:c>
      <x:c r="G590" t="inlineStr">
        <x:is>
          <x:t xml:space="preserve">BDS001429</x:t>
        </x:is>
      </x:c>
      <x:c r="H590" t="inlineStr">
        <x:is>
          <x:t xml:space="preserve">Cazosin 2 mg (10 tabs)</x:t>
        </x:is>
      </x:c>
      <x:c r="I590" t="inlineStr">
        <x:is>
          <x:t xml:space="preserve">รับประทานตามแพทย์สั่ง </x:t>
        </x:is>
      </x:c>
    </x:row>
    <x:row r="591">
      <x:c r="A591">
        <x:v>589</x:v>
      </x:c>
      <x:c r="B591" t="inlineStr">
        <x:is>
          <x:t xml:space="preserve">ยารักษาต่อมลูกหมากโต (D)</x:t>
        </x:is>
      </x:c>
      <x:c r="C591">
        <x:v>2016</x:v>
      </x:c>
      <x:c r="D591" t="inlineStr">
        <x:is>
          <x:t xml:space="preserve">Firide 5 mg</x:t>
        </x:is>
      </x:c>
      <x:c r="E591" t="inlineStr">
        <x:is>
          <x:t xml:space="preserve">แผง 10 เม็ด</x:t>
        </x:is>
      </x:c>
      <x:c r="F591" t="inlineStr">
        <x:is>
          <x:t xml:space="preserve">Finasteride 5 mg.</x:t>
        </x:is>
      </x:c>
      <x:c r="G591" t="inlineStr">
        <x:is>
          <x:t xml:space="preserve">BDS002016</x:t>
        </x:is>
      </x:c>
      <x:c r="H591" t="inlineStr">
        <x:is>
          <x:t xml:space="preserve">Firide 5 mg (10 tabs)</x:t>
        </x:is>
      </x:c>
      <x:c r="I591" t="inlineStr">
        <x:is>
          <x:t xml:space="preserve">รับประทานตามแพทย์สั่ง (โดยทั่วไปครั้งละ 1 เม็ด วันละ 1 ครั้ง หลังอาหารเย็น)</x:t>
        </x:is>
      </x:c>
    </x:row>
    <x:row r="592">
      <x:c r="A592">
        <x:v>590</x:v>
      </x:c>
      <x:c r="B592" t="inlineStr">
        <x:is>
          <x:t xml:space="preserve">ยารักษาต่อมลูกหมากโต (D)</x:t>
        </x:is>
      </x:c>
      <x:c r="C592">
        <x:v>46561</x:v>
      </x:c>
      <x:c r="D592" t="inlineStr">
        <x:is>
          <x:t xml:space="preserve">Pencor 2 </x:t>
        </x:is>
      </x:c>
      <x:c r="E592" t="inlineStr">
        <x:is>
          <x:t xml:space="preserve">แผง 10 เม็ด</x:t>
        </x:is>
      </x:c>
      <x:c r="F592" t="inlineStr">
        <x:is>
          <x:t xml:space="preserve">Doxazosin 2 mg.</x:t>
        </x:is>
      </x:c>
      <x:c r="G592" t="inlineStr">
        <x:is>
          <x:t xml:space="preserve">BDS046561</x:t>
        </x:is>
      </x:c>
      <x:c r="H592" t="inlineStr">
        <x:is>
          <x:t xml:space="preserve">Pencor 2  (10 tabs)</x:t>
        </x:is>
      </x:c>
      <x:c r="I592" t="inlineStr">
        <x:is>
          <x:t xml:space="preserve">รับประทานครั้งละ 1 เม็ด วันละ 1 ครั้ง หรือตามแพทย์สั่ง</x:t>
        </x:is>
      </x:c>
    </x:row>
    <x:row r="593">
      <x:c r="A593">
        <x:v>591</x:v>
      </x:c>
      <x:c r="B593" t="inlineStr">
        <x:is>
          <x:t xml:space="preserve">ยากันชัก (D)</x:t>
        </x:is>
      </x:c>
      <x:c r="C593">
        <x:v>1666</x:v>
      </x:c>
      <x:c r="D593" t="inlineStr">
        <x:is>
          <x:t xml:space="preserve">Dilantin</x:t>
        </x:is>
      </x:c>
      <x:c r="E593" t="inlineStr">
        <x:is>
          <x:t xml:space="preserve">กระปุก 100 แคปซูล</x:t>
        </x:is>
      </x:c>
      <x:c r="F593" t="inlineStr">
        <x:is>
          <x:t xml:space="preserve">Phenytoin Sodium 100 mg.</x:t>
        </x:is>
      </x:c>
      <x:c r="G593" t="inlineStr">
        <x:is>
          <x:t xml:space="preserve">BDS001666</x:t>
        </x:is>
      </x:c>
      <x:c r="H593" t="inlineStr">
        <x:is>
          <x:t xml:space="preserve">Dilantin (100 cap)</x:t>
        </x:is>
      </x:c>
      <x:c r="I593" t="inlineStr">
        <x:is>
          <x:t xml:space="preserve">รับประทานครั้งละ 1 แคปซูล วันละ 3-4 ครั้ง หรือตามแพทย์สั่ง</x:t>
        </x:is>
      </x:c>
    </x:row>
    <x:row r="594">
      <x:c r="A594">
        <x:v>592</x:v>
      </x:c>
      <x:c r="B594" t="inlineStr">
        <x:is>
          <x:t xml:space="preserve">ยากันชัก (D)</x:t>
        </x:is>
      </x:c>
      <x:c r="C594">
        <x:v>2047</x:v>
      </x:c>
      <x:c r="D594" t="inlineStr">
        <x:is>
          <x:t xml:space="preserve">Gabutin 100 mg</x:t>
        </x:is>
      </x:c>
      <x:c r="E594" t="inlineStr">
        <x:is>
          <x:t xml:space="preserve">แผง 10 แคปซูล</x:t>
        </x:is>
      </x:c>
      <x:c r="F594" t="inlineStr">
        <x:is>
          <x:t xml:space="preserve">Gabapentin 100 mg.</x:t>
        </x:is>
      </x:c>
      <x:c r="G594" t="inlineStr">
        <x:is>
          <x:t xml:space="preserve">BDS002047</x:t>
        </x:is>
      </x:c>
      <x:c r="H594" t="inlineStr">
        <x:is>
          <x:t xml:space="preserve">Gabutin 100 mg (10 cap)</x:t>
        </x:is>
      </x:c>
      <x:c r="I594" t="inlineStr">
        <x:is>
          <x:t xml:space="preserve">รับประทานครั้งละ 1 แคปซูล วันละ 3 ครั้ง หรือตามแพทย์สั่ง</x:t>
        </x:is>
      </x:c>
    </x:row>
    <x:row r="595">
      <x:c r="A595">
        <x:v>593</x:v>
      </x:c>
      <x:c r="B595" t="inlineStr">
        <x:is>
          <x:t xml:space="preserve">ยากันชัก (D)</x:t>
        </x:is>
      </x:c>
      <x:c r="C595">
        <x:v>2046</x:v>
      </x:c>
      <x:c r="D595" t="inlineStr">
        <x:is>
          <x:t xml:space="preserve">Gabutin 300 mg</x:t>
        </x:is>
      </x:c>
      <x:c r="E595" t="inlineStr">
        <x:is>
          <x:t xml:space="preserve">แผง 10 แคปซูล</x:t>
        </x:is>
      </x:c>
      <x:c r="F595" t="inlineStr">
        <x:is>
          <x:t xml:space="preserve">Gabapentin 300 mg.</x:t>
        </x:is>
      </x:c>
      <x:c r="G595" t="inlineStr">
        <x:is>
          <x:t xml:space="preserve">BDS002046</x:t>
        </x:is>
      </x:c>
      <x:c r="H595" t="inlineStr">
        <x:is>
          <x:t xml:space="preserve">Gabutin 300 mg (10 cap)</x:t>
        </x:is>
      </x:c>
      <x:c r="I595" t="inlineStr">
        <x:is>
          <x:t xml:space="preserve">รับประทานครั้งละ 1 แคปซูล วันละ 3 ครั้ง หรือตามแพทย์สั่ง</x:t>
        </x:is>
      </x:c>
    </x:row>
    <x:row r="596">
      <x:c r="A596">
        <x:v>594</x:v>
      </x:c>
      <x:c r="B596" t="inlineStr">
        <x:is>
          <x:t xml:space="preserve">ยากันชัก (D)</x:t>
        </x:is>
      </x:c>
      <x:c r="C596">
        <x:v>2561</x:v>
      </x:c>
      <x:c r="D596" t="inlineStr">
        <x:is>
          <x:t xml:space="preserve">Lyrica 25 mg</x:t>
        </x:is>
      </x:c>
      <x:c r="E596" t="inlineStr">
        <x:is>
          <x:t xml:space="preserve">แผง 14 แคปซูล</x:t>
        </x:is>
      </x:c>
      <x:c r="F596" t="inlineStr">
        <x:is>
          <x:t xml:space="preserve">Pregabalin 25 mg.</x:t>
        </x:is>
      </x:c>
      <x:c r="G596" t="inlineStr">
        <x:is>
          <x:t xml:space="preserve">BDS002561</x:t>
        </x:is>
      </x:c>
      <x:c r="H596" t="inlineStr">
        <x:is>
          <x:t xml:space="preserve">Lyrica 25 mg (14 cap)</x:t>
        </x:is>
      </x:c>
      <x:c r="I596" t="inlineStr">
        <x:is>
          <x:t xml:space="preserve">รับประทานตามแพทย์สั่ง </x:t>
        </x:is>
      </x:c>
    </x:row>
    <x:row r="597">
      <x:c r="A597">
        <x:v>595</x:v>
      </x:c>
      <x:c r="B597" t="inlineStr">
        <x:is>
          <x:t xml:space="preserve">ยากันชัก (D)</x:t>
        </x:is>
      </x:c>
      <x:c r="C597">
        <x:v>2591</x:v>
      </x:c>
      <x:c r="D597" t="inlineStr">
        <x:is>
          <x:t xml:space="preserve">Lyrica 75 mg</x:t>
        </x:is>
      </x:c>
      <x:c r="E597" t="inlineStr">
        <x:is>
          <x:t xml:space="preserve">แผง 14 แคปซูล</x:t>
        </x:is>
      </x:c>
      <x:c r="F597" t="inlineStr">
        <x:is>
          <x:t xml:space="preserve">Pregabalin 75 mg.</x:t>
        </x:is>
      </x:c>
      <x:c r="G597" t="inlineStr">
        <x:is>
          <x:t xml:space="preserve">BDS002591</x:t>
        </x:is>
      </x:c>
      <x:c r="H597" t="inlineStr">
        <x:is>
          <x:t xml:space="preserve">Lyrica 75 mg (14 cap)</x:t>
        </x:is>
      </x:c>
      <x:c r="I597" t="inlineStr">
        <x:is>
          <x:t xml:space="preserve">รับประทานตามแพทย์สั่ง </x:t>
        </x:is>
      </x:c>
    </x:row>
    <x:row r="598">
      <x:c r="A598">
        <x:v>596</x:v>
      </x:c>
      <x:c r="B598" t="inlineStr">
        <x:is>
          <x:t xml:space="preserve">ยากันชัก (D)</x:t>
        </x:is>
      </x:c>
      <x:c r="C598">
        <x:v>2863</x:v>
      </x:c>
      <x:c r="D598" t="inlineStr">
        <x:is>
          <x:t xml:space="preserve">Neurontin 100 mg</x:t>
        </x:is>
      </x:c>
      <x:c r="E598" t="inlineStr">
        <x:is>
          <x:t xml:space="preserve">แผง 10 แคปซูล</x:t>
        </x:is>
      </x:c>
      <x:c r="F598" t="inlineStr">
        <x:is>
          <x:t xml:space="preserve">Gabapentin 100 mg.</x:t>
        </x:is>
      </x:c>
      <x:c r="G598" t="inlineStr">
        <x:is>
          <x:t xml:space="preserve">BDS002863</x:t>
        </x:is>
      </x:c>
      <x:c r="H598" t="inlineStr">
        <x:is>
          <x:t xml:space="preserve">Neurontin 100 mg (10 cap)</x:t>
        </x:is>
      </x:c>
      <x:c r="I598" t="inlineStr">
        <x:is>
          <x:t xml:space="preserve">รับประทานตามแพทย์สั่ง (โดยทั่วไปครั้งละ 1 แคปซูล วันละ 1 ครั้ง ก่อนอาหาร)</x:t>
        </x:is>
      </x:c>
    </x:row>
    <x:row r="599">
      <x:c r="A599">
        <x:v>597</x:v>
      </x:c>
      <x:c r="B599" t="inlineStr">
        <x:is>
          <x:t xml:space="preserve">ยากันชัก (D)</x:t>
        </x:is>
      </x:c>
      <x:c r="C599">
        <x:v>2823</x:v>
      </x:c>
      <x:c r="D599" t="inlineStr">
        <x:is>
          <x:t xml:space="preserve">Neurontin 300 mg</x:t>
        </x:is>
      </x:c>
      <x:c r="E599" t="inlineStr">
        <x:is>
          <x:t xml:space="preserve">แผง 10 แคปซูล</x:t>
        </x:is>
      </x:c>
      <x:c r="F599" t="inlineStr">
        <x:is>
          <x:t xml:space="preserve">Gabapentin 300 mg.</x:t>
        </x:is>
      </x:c>
      <x:c r="G599" t="inlineStr">
        <x:is>
          <x:t xml:space="preserve">BDS002823</x:t>
        </x:is>
      </x:c>
      <x:c r="H599" t="inlineStr">
        <x:is>
          <x:t xml:space="preserve">Neurontin 300 mg (10 cap)</x:t>
        </x:is>
      </x:c>
      <x:c r="I599" t="inlineStr">
        <x:is>
          <x:t xml:space="preserve">รับประทานตามแพทย์สั่ง </x:t>
        </x:is>
      </x:c>
    </x:row>
    <x:row r="600">
      <x:c r="A600">
        <x:v>598</x:v>
      </x:c>
      <x:c r="B600" t="inlineStr">
        <x:is>
          <x:t xml:space="preserve">ยากันชัก (D)</x:t>
        </x:is>
      </x:c>
      <x:c r="C600">
        <x:v>46516</x:v>
      </x:c>
      <x:c r="D600" t="inlineStr">
        <x:is>
          <x:t xml:space="preserve">Pregabalin Sandoz 25 mg</x:t>
        </x:is>
      </x:c>
      <x:c r="E600" t="inlineStr">
        <x:is>
          <x:t xml:space="preserve">แผง 7 แคปซูล</x:t>
        </x:is>
      </x:c>
      <x:c r="F600" t="inlineStr">
        <x:is>
          <x:t xml:space="preserve">Pregabalin 25 mg.</x:t>
        </x:is>
      </x:c>
      <x:c r="G600" t="inlineStr">
        <x:is>
          <x:t xml:space="preserve">BDS046516</x:t>
        </x:is>
      </x:c>
      <x:c r="H600" t="inlineStr">
        <x:is>
          <x:t xml:space="preserve">Pregabalin Sandoz 25 mg (7 cap)</x:t>
        </x:is>
      </x:c>
      <x:c r="I600" t="inlineStr">
        <x:is>
          <x:t xml:space="preserve">รับประทานตามแพทย์สั่ง (ทั่วไปครั้งละ 1 เม็ด ก่อนนอน)</x:t>
        </x:is>
      </x:c>
    </x:row>
    <x:row r="601">
      <x:c r="A601">
        <x:v>599</x:v>
      </x:c>
      <x:c r="B601" t="inlineStr">
        <x:is>
          <x:t xml:space="preserve">ยากันชัก (D)</x:t>
        </x:is>
      </x:c>
      <x:c r="C601">
        <x:v>46517</x:v>
      </x:c>
      <x:c r="D601" t="inlineStr">
        <x:is>
          <x:t xml:space="preserve">Pregabalin Sandoz 75 mg</x:t>
        </x:is>
      </x:c>
      <x:c r="E601" t="inlineStr">
        <x:is>
          <x:t xml:space="preserve">แผง 7 แคปซูล</x:t>
        </x:is>
      </x:c>
      <x:c r="F601" t="inlineStr">
        <x:is>
          <x:t xml:space="preserve">Pregabalin 75 mg.</x:t>
        </x:is>
      </x:c>
      <x:c r="G601" t="inlineStr">
        <x:is>
          <x:t xml:space="preserve">BDS046517</x:t>
        </x:is>
      </x:c>
      <x:c r="H601" t="inlineStr">
        <x:is>
          <x:t xml:space="preserve">Pregabalin Sandoz 75 mg (7 cap)</x:t>
        </x:is>
      </x:c>
      <x:c r="I601" t="inlineStr">
        <x:is>
          <x:t xml:space="preserve">รับประทานครั้ง 1 แคปซูล วันละ 1 ครั้ง ก่อนนอน</x:t>
        </x:is>
      </x:c>
    </x:row>
    <x:row r="602">
      <x:c r="A602">
        <x:v>600</x:v>
      </x:c>
      <x:c r="B602" t="inlineStr">
        <x:is>
          <x:t xml:space="preserve">ยารักษาไทรอยด์ (D)</x:t>
        </x:is>
      </x:c>
      <x:c r="C602">
        <x:v>42823</x:v>
      </x:c>
      <x:c r="D602" t="inlineStr">
        <x:is>
          <x:t xml:space="preserve">Euthyrox 100 mcg สูตรปรับปรุง</x:t>
        </x:is>
      </x:c>
      <x:c r="E602" t="inlineStr">
        <x:is>
          <x:t xml:space="preserve">กล่อง 100 เม็ด</x:t>
        </x:is>
      </x:c>
      <x:c r="F602" t="inlineStr">
        <x:is>
          <x:t xml:space="preserve">Levothyroxine Sodium 100 mcg.</x:t>
        </x:is>
      </x:c>
      <x:c r="G602" t="inlineStr">
        <x:is>
          <x:t xml:space="preserve">BDS042823</x:t>
        </x:is>
      </x:c>
      <x:c r="H602" t="inlineStr">
        <x:is>
          <x:t xml:space="preserve">Euthyrox 100 mcg สูตรปรับปรุง (100 tabs)</x:t>
        </x:is>
      </x:c>
      <x:c r="I602" t="inlineStr">
        <x:is>
          <x:t xml:space="preserve">รับประทานตามแพทย์สั่ง (โดยทั่วไปครั้งละ ครึ่ง-1 เม็ด วันละ 1 ครั้ง ก่อนอาหารเช้า)</x:t>
        </x:is>
      </x:c>
    </x:row>
    <x:row r="603">
      <x:c r="A603">
        <x:v>601</x:v>
      </x:c>
      <x:c r="B603" t="inlineStr">
        <x:is>
          <x:t xml:space="preserve">ยารักษาไทรอยด์ (D)</x:t>
        </x:is>
      </x:c>
      <x:c r="C603">
        <x:v>42824</x:v>
      </x:c>
      <x:c r="D603" t="inlineStr">
        <x:is>
          <x:t xml:space="preserve">Euthyrox 50 mcg สูตรปรับปรุง</x:t>
        </x:is>
      </x:c>
      <x:c r="E603" t="inlineStr">
        <x:is>
          <x:t xml:space="preserve">กล่อง 100 เม็ด</x:t>
        </x:is>
      </x:c>
      <x:c r="F603" t="inlineStr">
        <x:is>
          <x:t xml:space="preserve">Levothyroxine Sodium 50 mcg.</x:t>
        </x:is>
      </x:c>
      <x:c r="G603" t="inlineStr">
        <x:is>
          <x:t xml:space="preserve">BDS042824</x:t>
        </x:is>
      </x:c>
      <x:c r="H603" t="inlineStr">
        <x:is>
          <x:t xml:space="preserve">Euthyrox 50 mcg สูตรปรับปรุง (100 tabs)</x:t>
        </x:is>
      </x:c>
      <x:c r="I603" t="inlineStr">
        <x:is>
          <x:t xml:space="preserve">รับประทานตามแพทย์สั่ง (โดยทั่วไปครั้งละ ครึ่ง-1 เม็ด วันละ 1 ครั้ง ก่อนอาหารเช้า)</x:t>
        </x:is>
      </x:c>
    </x:row>
    <x:row r="604">
      <x:c r="A604">
        <x:v>602</x:v>
      </x:c>
      <x:c r="B604" t="inlineStr">
        <x:is>
          <x:t xml:space="preserve">ยารักษาไทรอยด์ (D)</x:t>
        </x:is>
      </x:c>
      <x:c r="C604">
        <x:v>46506</x:v>
      </x:c>
      <x:c r="D604" t="inlineStr">
        <x:is>
          <x:t xml:space="preserve">Pyroid</x:t>
        </x:is>
      </x:c>
      <x:c r="E604" t="inlineStr">
        <x:is>
          <x:t xml:space="preserve">แผง 10 เม็ด</x:t>
        </x:is>
      </x:c>
      <x:c r="F604" t="inlineStr">
        <x:is>
          <x:t xml:space="preserve">Propylthiouracil 50 mg</x:t>
        </x:is>
      </x:c>
      <x:c r="G604" t="inlineStr">
        <x:is>
          <x:t xml:space="preserve">BDS046506</x:t>
        </x:is>
      </x:c>
      <x:c r="H604" t="inlineStr">
        <x:is>
          <x:t xml:space="preserve">Pyroid (10 tabs)</x:t>
        </x:is>
      </x:c>
      <x:c r="I604" t="inlineStr">
        <x:is>
          <x:t xml:space="preserve">รับประทานตามแพทย์สั่ง </x:t>
        </x:is>
      </x:c>
    </x:row>
    <x:row r="605">
      <x:c r="A605">
        <x:v>603</x:v>
      </x:c>
      <x:c r="B605" t="inlineStr">
        <x:is>
          <x:t xml:space="preserve">ยารักษาไทรอยด์ (D)</x:t>
        </x:is>
      </x:c>
      <x:c r="C605">
        <x:v>3746</x:v>
      </x:c>
      <x:c r="D605" t="inlineStr">
        <x:is>
          <x:t xml:space="preserve">Timazol</x:t>
        </x:is>
      </x:c>
      <x:c r="E605" t="inlineStr">
        <x:is>
          <x:t xml:space="preserve">แผง 10 เม็ด</x:t>
        </x:is>
      </x:c>
      <x:c r="F605" t="inlineStr">
        <x:is>
          <x:t xml:space="preserve">Methimazole 5 mg.</x:t>
        </x:is>
      </x:c>
      <x:c r="G605" t="inlineStr">
        <x:is>
          <x:t xml:space="preserve">BDS003746</x:t>
        </x:is>
      </x:c>
      <x:c r="H605" t="inlineStr">
        <x:is>
          <x:t xml:space="preserve">Timazol (10 tabs)</x:t>
        </x:is>
      </x:c>
      <x:c r="I605" t="inlineStr">
        <x:is>
          <x:t xml:space="preserve">รับประทานตามแพทย์สั่ง </x:t>
        </x:is>
      </x:c>
    </x:row>
    <x:row r="606">
      <x:c r="A606">
        <x:v>604</x:v>
      </x:c>
      <x:c r="B606" t="inlineStr">
        <x:is>
          <x:t xml:space="preserve">ยารักษาเกาต์ (D)</x:t>
        </x:is>
      </x:c>
      <x:c r="C606">
        <x:v>7004</x:v>
      </x:c>
      <x:c r="D606" t="inlineStr">
        <x:is>
          <x:t xml:space="preserve">Alinol 100 mg</x:t>
        </x:is>
      </x:c>
      <x:c r="E606" t="inlineStr">
        <x:is>
          <x:t xml:space="preserve">แผง 10 เม็ด</x:t>
        </x:is>
      </x:c>
      <x:c r="F606" t="inlineStr">
        <x:is>
          <x:t xml:space="preserve">Allopurinol 100 mg.</x:t>
        </x:is>
      </x:c>
      <x:c r="G606" t="inlineStr">
        <x:is>
          <x:t xml:space="preserve">BDS007004</x:t>
        </x:is>
      </x:c>
      <x:c r="H606" t="inlineStr">
        <x:is>
          <x:t xml:space="preserve">Alinol 100 mg (10 tabs)</x:t>
        </x:is>
      </x:c>
      <x:c r="I606" t="inlineStr">
        <x:is>
          <x:t xml:space="preserve">รับประทานครั้งละ 1 เม็ด วันละ 1-3 ครั้ง หลังอาหาร</x:t>
        </x:is>
      </x:c>
    </x:row>
    <x:row r="607">
      <x:c r="A607">
        <x:v>605</x:v>
      </x:c>
      <x:c r="B607" t="inlineStr">
        <x:is>
          <x:t xml:space="preserve">ยารักษาเกาต์ (D)</x:t>
        </x:is>
      </x:c>
      <x:c r="C607">
        <x:v>1460</x:v>
      </x:c>
      <x:c r="D607" t="inlineStr">
        <x:is>
          <x:t xml:space="preserve">Colchicine 0.6 mg</x:t>
        </x:is>
      </x:c>
      <x:c r="E607" t="inlineStr">
        <x:is>
          <x:t xml:space="preserve">แผง 10 เม็ด</x:t>
        </x:is>
      </x:c>
      <x:c r="F607" t="inlineStr">
        <x:is>
          <x:t xml:space="preserve">Colchicine 0.6 mg.</x:t>
        </x:is>
      </x:c>
      <x:c r="G607" t="inlineStr">
        <x:is>
          <x:t xml:space="preserve">BDS001460</x:t>
        </x:is>
      </x:c>
      <x:c r="H607" t="inlineStr">
        <x:is>
          <x:t xml:space="preserve">Colchicine 0.6 mg (10 tabs)</x:t>
        </x:is>
      </x:c>
      <x:c r="I607" t="inlineStr">
        <x:is>
          <x:t xml:space="preserve">รับประทานครั้งละ 1 เม็ด วันละ 3 ครั้ง</x:t>
        </x:is>
      </x:c>
    </x:row>
    <x:row r="608">
      <x:c r="A608">
        <x:v>606</x:v>
      </x:c>
      <x:c r="B608" t="inlineStr">
        <x:is>
          <x:t xml:space="preserve">ยารักษาเกาต์ (D)</x:t>
        </x:is>
      </x:c>
      <x:c r="C608">
        <x:v>8731</x:v>
      </x:c>
      <x:c r="D608" t="inlineStr">
        <x:is>
          <x:t xml:space="preserve">Colchimex</x:t>
        </x:is>
      </x:c>
      <x:c r="E608" t="inlineStr">
        <x:is>
          <x:t xml:space="preserve">แผง 10 เม็ด</x:t>
        </x:is>
      </x:c>
      <x:c r="F608" t="inlineStr">
        <x:is>
          <x:t xml:space="preserve">Colchicine 0.6 mg.</x:t>
        </x:is>
      </x:c>
      <x:c r="G608" t="inlineStr">
        <x:is>
          <x:t xml:space="preserve">BDS008731</x:t>
        </x:is>
      </x:c>
      <x:c r="H608" t="inlineStr">
        <x:is>
          <x:t xml:space="preserve">Colchimex (10 tabs)</x:t>
        </x:is>
      </x:c>
      <x:c r="I608" t="inlineStr">
        <x:is>
          <x:t xml:space="preserve">รับประทานครั้งละ 1 เม็ด วันละ 3 ครั้ง หลังอาหาร</x:t>
        </x:is>
      </x:c>
    </x:row>
    <x:row r="609">
      <x:c r="A609">
        <x:v>607</x:v>
      </x:c>
      <x:c r="B609" t="inlineStr">
        <x:is>
          <x:t xml:space="preserve">ยารักษาเกาต์ (D)</x:t>
        </x:is>
      </x:c>
      <x:c r="C609">
        <x:v>7613</x:v>
      </x:c>
      <x:c r="D609" t="inlineStr">
        <x:is>
          <x:t xml:space="preserve">Puride 100 mg</x:t>
        </x:is>
      </x:c>
      <x:c r="E609" t="inlineStr">
        <x:is>
          <x:t xml:space="preserve">แผง 10 เม็ด</x:t>
        </x:is>
      </x:c>
      <x:c r="F609" t="inlineStr">
        <x:is>
          <x:t xml:space="preserve">Allopurinol 100 mg.</x:t>
        </x:is>
      </x:c>
      <x:c r="G609" t="inlineStr">
        <x:is>
          <x:t xml:space="preserve">BDS007613</x:t>
        </x:is>
      </x:c>
      <x:c r="H609" t="inlineStr">
        <x:is>
          <x:t xml:space="preserve">Puride 100 mg (10 tabs)</x:t>
        </x:is>
      </x:c>
      <x:c r="I609" t="inlineStr">
        <x:is>
          <x:t xml:space="preserve">รับประทานครั้งละ 1 เม็ด วันละ 1-3  ครั้ง หลังอาหาร</x:t>
        </x:is>
      </x:c>
    </x:row>
    <x:row r="610">
      <x:c r="A610">
        <x:v>608</x:v>
      </x:c>
      <x:c r="B610" t="inlineStr">
        <x:is>
          <x:t xml:space="preserve">ยารักษาเกาต์ (D)</x:t>
        </x:is>
      </x:c>
      <x:c r="C610">
        <x:v>7611</x:v>
      </x:c>
      <x:c r="D610" t="inlineStr">
        <x:is>
          <x:t xml:space="preserve">Puride 300 mg</x:t>
        </x:is>
      </x:c>
      <x:c r="E610" t="inlineStr">
        <x:is>
          <x:t xml:space="preserve">แผง 10 เม็ด</x:t>
        </x:is>
      </x:c>
      <x:c r="F610" t="inlineStr">
        <x:is>
          <x:t xml:space="preserve">Allopurinol 300 mg.</x:t>
        </x:is>
      </x:c>
      <x:c r="G610" t="inlineStr">
        <x:is>
          <x:t xml:space="preserve">BDS007611</x:t>
        </x:is>
      </x:c>
      <x:c r="H610" t="inlineStr">
        <x:is>
          <x:t xml:space="preserve">Puride 300 mg (10 tabs)</x:t>
        </x:is>
      </x:c>
      <x:c r="I610" t="inlineStr">
        <x:is>
          <x:t xml:space="preserve">รับประทานครั้งละ 1 เม็ด วันละ 1 ครั้ง หลังอาหาร</x:t>
        </x:is>
      </x:c>
    </x:row>
    <x:row r="611">
      <x:c r="A611">
        <x:v>609</x:v>
      </x:c>
      <x:c r="B611" t="inlineStr">
        <x:is>
          <x:t xml:space="preserve">ยารักษาเกาต์ (D)</x:t>
        </x:is>
      </x:c>
      <x:c r="C611">
        <x:v>3732</x:v>
      </x:c>
      <x:c r="D611" t="inlineStr">
        <x:is>
          <x:t xml:space="preserve">Tolchicine T.O.</x:t>
        </x:is>
      </x:c>
      <x:c r="E611" t="inlineStr">
        <x:is>
          <x:t xml:space="preserve">แผง 10 เม็ด</x:t>
        </x:is>
      </x:c>
      <x:c r="F611" t="inlineStr">
        <x:is>
          <x:t xml:space="preserve">Colchicine 0.6 mg.</x:t>
        </x:is>
      </x:c>
      <x:c r="G611" t="inlineStr">
        <x:is>
          <x:t xml:space="preserve">BDS003732</x:t>
        </x:is>
      </x:c>
      <x:c r="H611" t="inlineStr">
        <x:is>
          <x:t xml:space="preserve">Tolchicine T.O. (10 tabs)</x:t>
        </x:is>
      </x:c>
      <x:c r="I611" t="inlineStr">
        <x:is>
          <x:t xml:space="preserve">รับประทานครั้งละ 1 เม็ด  วันละ 3 ครั้ง</x:t>
        </x:is>
      </x:c>
    </x:row>
    <x:row r="612">
      <x:c r="A612">
        <x:v>610</x:v>
      </x:c>
      <x:c r="B612" t="inlineStr">
        <x:is>
          <x:t xml:space="preserve">ยารักษาเกาต์ (D)</x:t>
        </x:is>
      </x:c>
      <x:c r="C612">
        <x:v>7312</x:v>
      </x:c>
      <x:c r="D612" t="inlineStr">
        <x:is>
          <x:t xml:space="preserve">Xanol</x:t>
        </x:is>
      </x:c>
      <x:c r="E612" t="inlineStr">
        <x:is>
          <x:t xml:space="preserve">แผง 10 เม็ด</x:t>
        </x:is>
      </x:c>
      <x:c r="F612" t="inlineStr">
        <x:is>
          <x:t xml:space="preserve">Allopurinol 300 mg.</x:t>
        </x:is>
      </x:c>
      <x:c r="G612" t="inlineStr">
        <x:is>
          <x:t xml:space="preserve">BDS007312</x:t>
        </x:is>
      </x:c>
      <x:c r="H612" t="inlineStr">
        <x:is>
          <x:t xml:space="preserve">Xanol (10 tabs)</x:t>
        </x:is>
      </x:c>
      <x:c r="I612" t="inlineStr">
        <x:is>
          <x:t xml:space="preserve">รับประทานครั้งละ 1 เม็ด วันละ 1 ครั้ง หลังอาหาร</x:t>
        </x:is>
      </x:c>
    </x:row>
    <x:row r="613">
      <x:c r="A613">
        <x:v>611</x:v>
      </x:c>
      <x:c r="B613" t="inlineStr">
        <x:is>
          <x:t xml:space="preserve">ยาป้องกันการแข็งตัวของเลือด (D)</x:t>
        </x:is>
      </x:c>
      <x:c r="C613">
        <x:v>1107</x:v>
      </x:c>
      <x:c r="D613" t="inlineStr">
        <x:is>
          <x:t xml:space="preserve">Apolets</x:t>
        </x:is>
      </x:c>
      <x:c r="E613" t="inlineStr">
        <x:is>
          <x:t xml:space="preserve">แผง 10 เม็ด</x:t>
        </x:is>
      </x:c>
      <x:c r="F613" t="inlineStr">
        <x:is>
          <x:t xml:space="preserve">Clopidogrel 75 mg.</x:t>
        </x:is>
      </x:c>
      <x:c r="G613" t="inlineStr">
        <x:is>
          <x:t xml:space="preserve">BDS001107</x:t>
        </x:is>
      </x:c>
      <x:c r="H613" t="inlineStr">
        <x:is>
          <x:t xml:space="preserve">Apolets (10 tabs)</x:t>
        </x:is>
      </x:c>
      <x:c r="I613" t="inlineStr">
        <x:is>
          <x:t xml:space="preserve">รับประทานครั้งละ 1 เม็ด วันละ 1 ครั้ง หรือตามแพทย์สั่ง</x:t>
        </x:is>
      </x:c>
    </x:row>
    <x:row r="614">
      <x:c r="A614">
        <x:v>612</x:v>
      </x:c>
      <x:c r="B614" t="inlineStr">
        <x:is>
          <x:t xml:space="preserve">ยาป้องกันการแข็งตัวของเลือด (D)</x:t>
        </x:is>
      </x:c>
      <x:c r="C614">
        <x:v>1070</x:v>
      </x:c>
      <x:c r="D614" t="inlineStr">
        <x:is>
          <x:t xml:space="preserve">Asa-tabs</x:t>
        </x:is>
      </x:c>
      <x:c r="E614" t="inlineStr">
        <x:is>
          <x:t xml:space="preserve">แผง 10 เม็ด</x:t>
        </x:is>
      </x:c>
      <x:c r="F614" t="inlineStr">
        <x:is>
          <x:t xml:space="preserve">Aspirin 81 mg.</x:t>
        </x:is>
      </x:c>
      <x:c r="G614" t="inlineStr">
        <x:is>
          <x:t xml:space="preserve">BDS001070</x:t>
        </x:is>
      </x:c>
      <x:c r="H614" t="inlineStr">
        <x:is>
          <x:t xml:space="preserve">Asa-tabs (10 tabs)</x:t>
        </x:is>
      </x:c>
      <x:c r="I614" t="inlineStr">
        <x:is>
          <x:t xml:space="preserve">รับประทานตามแพทย์สั่ง </x:t>
        </x:is>
      </x:c>
    </x:row>
    <x:row r="615">
      <x:c r="A615">
        <x:v>613</x:v>
      </x:c>
      <x:c r="B615" t="inlineStr">
        <x:is>
          <x:t xml:space="preserve">ยาป้องกันการแข็งตัวของเลือด (D)</x:t>
        </x:is>
      </x:c>
      <x:c r="C615">
        <x:v>1077</x:v>
      </x:c>
      <x:c r="D615" t="inlineStr">
        <x:is>
          <x:t xml:space="preserve">Aspilets</x:t>
        </x:is>
      </x:c>
      <x:c r="E615" t="inlineStr">
        <x:is>
          <x:t xml:space="preserve">แผง 10 เม็ด</x:t>
        </x:is>
      </x:c>
      <x:c r="F615" t="inlineStr">
        <x:is>
          <x:t xml:space="preserve">Aspirin 81 mg.</x:t>
        </x:is>
      </x:c>
      <x:c r="G615" t="inlineStr">
        <x:is>
          <x:t xml:space="preserve">BDS001077</x:t>
        </x:is>
      </x:c>
      <x:c r="H615" t="inlineStr">
        <x:is>
          <x:t xml:space="preserve">Aspilets (10 tabs)</x:t>
        </x:is>
      </x:c>
      <x:c r="I615" t="inlineStr">
        <x:is>
          <x:t xml:space="preserve">รับประทานตามแพทย์สั่ง </x:t>
        </x:is>
      </x:c>
    </x:row>
    <x:row r="616">
      <x:c r="A616">
        <x:v>614</x:v>
      </x:c>
      <x:c r="B616" t="inlineStr">
        <x:is>
          <x:t xml:space="preserve">ยาเฉพาะทางอื่นๆ (D)</x:t>
        </x:is>
      </x:c>
      <x:c r="C616">
        <x:v>3651</x:v>
      </x:c>
      <x:c r="D616" t="inlineStr">
        <x:is>
          <x:t xml:space="preserve">Sermion 10 mg</x:t>
        </x:is>
      </x:c>
      <x:c r="E616" t="inlineStr">
        <x:is>
          <x:t xml:space="preserve">แผง 25 เม็ด</x:t>
        </x:is>
      </x:c>
      <x:c r="F616" t="inlineStr">
        <x:is>
          <x:t xml:space="preserve">Nicergoline 10 mg.</x:t>
        </x:is>
      </x:c>
      <x:c r="G616" t="inlineStr">
        <x:is>
          <x:t xml:space="preserve">BDS003651</x:t>
        </x:is>
      </x:c>
      <x:c r="H616" t="inlineStr">
        <x:is>
          <x:t xml:space="preserve">Sermion 10 mg (25 tabs)</x:t>
        </x:is>
      </x:c>
      <x:c r="I616" t="inlineStr">
        <x:is>
          <x:t xml:space="preserve">รับประทานครั้งละ 1 เม็ด วันละ 2 ครั้ง หลังอาหาร หรือตามแพทย์สั่ง </x:t>
        </x:is>
      </x:c>
    </x:row>
    <x:row r="617">
      <x:c r="A617">
        <x:v>615</x:v>
      </x:c>
      <x:c r="B617" t="inlineStr">
        <x:is>
          <x:t xml:space="preserve">ยาเฉพาะทางอื่นๆ (D)</x:t>
        </x:is>
      </x:c>
      <x:c r="C617">
        <x:v>3652</x:v>
      </x:c>
      <x:c r="D617" t="inlineStr">
        <x:is>
          <x:t xml:space="preserve">Sermion 30 mg</x:t>
        </x:is>
      </x:c>
      <x:c r="E617" t="inlineStr">
        <x:is>
          <x:t xml:space="preserve">แผง 15 เม็ด</x:t>
        </x:is>
      </x:c>
      <x:c r="F617" t="inlineStr">
        <x:is>
          <x:t xml:space="preserve">Nicergoline 30 mg.</x:t>
        </x:is>
      </x:c>
      <x:c r="G617" t="inlineStr">
        <x:is>
          <x:t xml:space="preserve">BDS003652</x:t>
        </x:is>
      </x:c>
      <x:c r="H617" t="inlineStr">
        <x:is>
          <x:t xml:space="preserve">Sermion 30 mg (15 tabs)</x:t>
        </x:is>
      </x:c>
      <x:c r="I617" t="inlineStr">
        <x:is>
          <x:t xml:space="preserve">รับประทานครั้งละ 1 เม็ด วันละ 2 ครั้ง หลังอาหาร หรือตามแพทย์สั่ง </x:t>
        </x:is>
      </x:c>
    </x:row>
    <x:row r="618">
      <x:c r="A618">
        <x:v>616</x:v>
      </x:c>
      <x:c r="B618" t="inlineStr">
        <x:is>
          <x:t xml:space="preserve">ยาเฉพาะทางอื่นๆ (D)</x:t>
        </x:is>
      </x:c>
      <x:c r="C618">
        <x:v>4151</x:v>
      </x:c>
      <x:c r="D618" t="inlineStr">
        <x:is>
          <x:t xml:space="preserve">Xenical</x:t>
        </x:is>
      </x:c>
      <x:c r="E618" t="inlineStr">
        <x:is>
          <x:t xml:space="preserve">กล่อง 21 แคปซูล</x:t>
        </x:is>
      </x:c>
      <x:c r="F618" t="inlineStr">
        <x:is>
          <x:t xml:space="preserve">Orlistat 120 mg.</x:t>
        </x:is>
      </x:c>
      <x:c r="G618" t="inlineStr">
        <x:is>
          <x:t xml:space="preserve">BDS004151</x:t>
        </x:is>
      </x:c>
      <x:c r="H618" t="inlineStr">
        <x:is>
          <x:t xml:space="preserve">Xenical (21 cap)</x:t>
        </x:is>
      </x:c>
      <x:c r="I618" t="inlineStr">
        <x:is>
          <x:t xml:space="preserve">รับประทานครั้งละ 1 แคปซูล วันละ 2 ครั้ง ก่อนอาหารเที่ยง-เย็น</x:t>
        </x:is>
      </x:c>
    </x:row>
    <x:row r="619">
      <x:c r="A619">
        <x:v>617</x:v>
      </x:c>
      <x:c r="B619" t="inlineStr">
        <x:is>
          <x:t xml:space="preserve">วิตามินบำรุงโลหิต</x:t>
        </x:is>
      </x:c>
      <x:c r="C619">
        <x:v>43159</x:v>
      </x:c>
      <x:c r="D619" t="inlineStr">
        <x:is>
          <x:t xml:space="preserve">Ferli-6</x:t>
        </x:is>
      </x:c>
      <x:c r="E619" t="inlineStr">
        <x:is>
          <x:t xml:space="preserve">แผง 30 เม็ด</x:t>
        </x:is>
      </x:c>
      <x:c r="F619" t="inlineStr">
        <x:is>
          <x:t xml:space="preserve">Ferrous fumarate 200 mg +Folic 0.5 mg +Pyridoxine hydrochloride 5 mg</x:t>
        </x:is>
      </x:c>
      <x:c r="G619" t="inlineStr">
        <x:is>
          <x:t xml:space="preserve">BDS043159</x:t>
        </x:is>
      </x:c>
      <x:c r="H619" t="inlineStr">
        <x:is>
          <x:t xml:space="preserve">Ferli-6 (30 tabs)</x:t>
        </x:is>
      </x:c>
      <x:c r="I619" t="inlineStr">
        <x:is>
          <x:t xml:space="preserve">รับประทานครั้งละ 1 เม็ด วันละ 3 ครั้ง หลังอาหาร หรือตามแพทย์สั่ง กรณีรับประทานเพื่อป้องกัน รับประทานครั้งละ 1 เม็ด วันละ 1 ครั้ง</x:t>
        </x:is>
      </x:c>
    </x:row>
    <x:row r="620">
      <x:c r="A620">
        <x:v>618</x:v>
      </x:c>
      <x:c r="B620" t="inlineStr">
        <x:is>
          <x:t xml:space="preserve">วิตามินบำรุงโลหิต</x:t>
        </x:is>
      </x:c>
      <x:c r="C620">
        <x:v>8045</x:v>
      </x:c>
      <x:c r="D620" t="inlineStr">
        <x:is>
          <x:t xml:space="preserve">Ferropro</x:t>
        </x:is>
      </x:c>
      <x:c r="E620" t="inlineStr">
        <x:is>
          <x:t xml:space="preserve">ขวด 100 เม็ด</x:t>
        </x:is>
      </x:c>
      <x:c r="F620" t="inlineStr">
        <x:is>
          <x:t xml:space="preserve">Ferrous Fumarate 200 mg.+Thiamine Mononitrate (B1) 2 mg.+Riboflavin (B2) 2 mg.+Cyanocobalamin (B12) 5 mcg.+Niacin (B3) 10 mg.+.Ascorbic Acid 20 mg.+Folic Acid 100 mcg.+Calcium Phosphate Tribasic 100 mg.</x:t>
        </x:is>
      </x:c>
      <x:c r="G620" t="inlineStr">
        <x:is>
          <x:t xml:space="preserve">BDS008045</x:t>
        </x:is>
      </x:c>
      <x:c r="H620" t="inlineStr">
        <x:is>
          <x:t xml:space="preserve">Ferropro (100 tabs)</x:t>
        </x:is>
      </x:c>
      <x:c r="I620" t="inlineStr">
        <x:is>
          <x:t xml:space="preserve">รับประทานครั้งละ 1 เม็ด วันละ 3 ครั้ง หลังอาหาร หรือตามแพทย์สั่ง </x:t>
        </x:is>
      </x:c>
    </x:row>
    <x:row r="621">
      <x:c r="A621">
        <x:v>619</x:v>
      </x:c>
      <x:c r="B621" t="inlineStr">
        <x:is>
          <x:t xml:space="preserve">วิตามินบำรุงโลหิต</x:t>
        </x:is>
      </x:c>
      <x:c r="C621">
        <x:v>7123</x:v>
      </x:c>
      <x:c r="D621" t="inlineStr">
        <x:is>
          <x:t xml:space="preserve">Folic Acid</x:t>
        </x:is>
      </x:c>
      <x:c r="E621" t="inlineStr">
        <x:is>
          <x:t xml:space="preserve">แผง 10 เม็ด</x:t>
        </x:is>
      </x:c>
      <x:c r="F621" t="inlineStr">
        <x:is>
          <x:t xml:space="preserve">Folic Acid 5 mg.</x:t>
        </x:is>
      </x:c>
      <x:c r="G621" t="inlineStr">
        <x:is>
          <x:t xml:space="preserve">BDS007123</x:t>
        </x:is>
      </x:c>
      <x:c r="H621" t="inlineStr">
        <x:is>
          <x:t xml:space="preserve">Folic Acid (10 tabs)</x:t>
        </x:is>
      </x:c>
      <x:c r="I621" t="inlineStr">
        <x:is>
          <x:t xml:space="preserve">รับประทานครั้งละ 1 เม็ด วันละ 1 ครั้ง หรือตามแพทย์สั่ง</x:t>
        </x:is>
      </x:c>
    </x:row>
    <x:row r="622">
      <x:c r="A622">
        <x:v>620</x:v>
      </x:c>
      <x:c r="B622" t="inlineStr">
        <x:is>
          <x:t xml:space="preserve">วิตามินบำรุงโลหิต</x:t>
        </x:is>
      </x:c>
      <x:c r="C622">
        <x:v>6704</x:v>
      </x:c>
      <x:c r="D622" t="inlineStr">
        <x:is>
          <x:t xml:space="preserve">Folivit tabslet</x:t>
        </x:is>
      </x:c>
      <x:c r="E622" t="inlineStr">
        <x:is>
          <x:t xml:space="preserve">ขวด 100 เม็ด</x:t>
        </x:is>
      </x:c>
      <x:c r="F622" t="inlineStr">
        <x:is>
          <x:t xml:space="preserve">Folic Acid 5 mg.</x:t>
        </x:is>
      </x:c>
      <x:c r="G622" t="inlineStr">
        <x:is>
          <x:t xml:space="preserve">BDS006704</x:t>
        </x:is>
      </x:c>
      <x:c r="H622" t="inlineStr">
        <x:is>
          <x:t xml:space="preserve">Folivit tabslet (100 tabs)</x:t>
        </x:is>
      </x:c>
      <x:c r="I622" t="inlineStr">
        <x:is>
          <x:t xml:space="preserve">รับประทานครั้งละ 1-2 เม็ด วันละ 1 ครั้ง หรือตามแพทย์สั่ง</x:t>
        </x:is>
      </x:c>
    </x:row>
    <x:row r="623">
      <x:c r="A623">
        <x:v>621</x:v>
      </x:c>
      <x:c r="B623" t="inlineStr">
        <x:is>
          <x:t xml:space="preserve">วิตามินบำรุงโลหิต</x:t>
        </x:is>
      </x:c>
      <x:c r="C623">
        <x:v>2101</x:v>
      </x:c>
      <x:c r="D623" t="inlineStr">
        <x:is>
          <x:t xml:space="preserve">Haemo-Vit ยาบำรุง</x:t>
        </x:is>
      </x:c>
      <x:c r="E623" t="inlineStr">
        <x:is>
          <x:t xml:space="preserve">กล่อง 100 เม็ด</x:t>
        </x:is>
      </x:c>
      <x:c r="F623" t="inlineStr">
        <x:is>
          <x:t xml:space="preserve">Dried Ferrous Sulfate 135 mg.+Aneurine HCl 2 mg.+Pyridoxine HCl (B6) 0.5 mg.+Cyanocobalamin (B12) 5 mcg.</x:t>
        </x:is>
      </x:c>
      <x:c r="G623" t="inlineStr">
        <x:is>
          <x:t xml:space="preserve">BDS002101</x:t>
        </x:is>
      </x:c>
      <x:c r="H623" t="inlineStr">
        <x:is>
          <x:t xml:space="preserve">Haemo-Vit ยาบำรุง (100 tabs)</x:t>
        </x:is>
      </x:c>
      <x:c r="I623" t="inlineStr">
        <x:is>
          <x:t xml:space="preserve">รับประทานครั้งละ 1-2 เม็ด วันละ 3 ครั้ง หลังอาหาร</x:t>
        </x:is>
      </x:c>
    </x:row>
    <x:row r="624">
      <x:c r="A624">
        <x:v>622</x:v>
      </x:c>
      <x:c r="B624" t="inlineStr">
        <x:is>
          <x:t xml:space="preserve">วิตามินบำรุงโลหิต</x:t>
        </x:is>
      </x:c>
      <x:c r="C624">
        <x:v>3027</x:v>
      </x:c>
      <x:c r="D624" t="inlineStr">
        <x:is>
          <x:t xml:space="preserve">Obimin-AZ</x:t>
        </x:is>
      </x:c>
      <x:c r="E624" t="inlineStr">
        <x:is>
          <x:t xml:space="preserve">ขวด 60 เม็ด</x:t>
        </x:is>
      </x:c>
      <x:c r="F624" t="inlineStr">
        <x:is>
          <x:t xml:space="preserve">Vit.A 5,000 IU+Vit.D 400 IU+Vit.E 10 IU+Vit. C 75 mg.+Vit.B1 2 mg.+Vit.B2 3 mg.+Vit.B6 2.5 mg.+Vit.B12 3 mcg.+Nicotinamide 20 mg.+Folic Acid 1 mg.+Ferrous Fumarate 200 mg.+Calcium Lactate 250 mg.+Potassium Iodine 0.2 mg.+Zinc Sulfate 20 mg.</x:t>
        </x:is>
      </x:c>
      <x:c r="G624" t="inlineStr">
        <x:is>
          <x:t xml:space="preserve">BDS003027</x:t>
        </x:is>
      </x:c>
      <x:c r="H624" t="inlineStr">
        <x:is>
          <x:t xml:space="preserve">Obimin-AZ (60 tabs)</x:t>
        </x:is>
      </x:c>
      <x:c r="I624" t="inlineStr">
        <x:is>
          <x:t xml:space="preserve">รับประทานครั้งละ 1 เม็ด  วันละ 1 ครั้ง</x:t>
        </x:is>
      </x:c>
    </x:row>
    <x:row r="625">
      <x:c r="A625">
        <x:v>623</x:v>
      </x:c>
      <x:c r="B625" t="inlineStr">
        <x:is>
          <x:t xml:space="preserve">วิตามินซี</x:t>
        </x:is>
      </x:c>
      <x:c r="C625">
        <x:v>40014</x:v>
      </x:c>
      <x:c r="D625" t="inlineStr">
        <x:is>
          <x:t xml:space="preserve">Amsel Nature C</x:t>
        </x:is>
      </x:c>
      <x:c r="E625" t="inlineStr">
        <x:is>
          <x:t xml:space="preserve">ขวด 30 แคปซูล</x:t>
        </x:is>
      </x:c>
      <x:c r="F625" t="inlineStr">
        <x:is>
          <x:t xml:space="preserve">Acerola Cherry Extract 360 mg. + Rosehips Extract 100 mg. + Cranberry Extract 50 mg. + Ascorbic Acid 35 mg. + Citrus Bioflavonoid 6.5 mg. + Rutin 5 mg. </x:t>
        </x:is>
      </x:c>
      <x:c r="G625" t="inlineStr">
        <x:is>
          <x:t xml:space="preserve">BDS040014</x:t>
        </x:is>
      </x:c>
      <x:c r="H625" t="inlineStr">
        <x:is>
          <x:t xml:space="preserve">Amsel Nature C (30 cap)</x:t>
        </x:is>
      </x:c>
      <x:c r="I625" t="inlineStr">
        <x:is>
          <x:t xml:space="preserve">รับประทานครั้งละ 1 แคปซูล วันละ 1 ครั้ง หลังอาหาร </x:t>
        </x:is>
      </x:c>
    </x:row>
    <x:row r="626">
      <x:c r="A626">
        <x:v>624</x:v>
      </x:c>
      <x:c r="B626" t="inlineStr">
        <x:is>
          <x:t xml:space="preserve">วิตามินซี</x:t>
        </x:is>
      </x:c>
      <x:c r="C626">
        <x:v>8321</x:v>
      </x:c>
      <x:c r="D626" t="inlineStr">
        <x:is>
          <x:t xml:space="preserve">Bio-C-Vitamin</x:t>
        </x:is>
      </x:c>
      <x:c r="E626" t="inlineStr">
        <x:is>
          <x:t xml:space="preserve">แผง 30 เม็ด</x:t>
        </x:is>
      </x:c>
      <x:c r="F626" t="inlineStr">
        <x:is>
          <x:t xml:space="preserve">Vitamin C 750 mg.+Calcium 85 mg.</x:t>
        </x:is>
      </x:c>
      <x:c r="G626" t="inlineStr">
        <x:is>
          <x:t xml:space="preserve">BDS008321</x:t>
        </x:is>
      </x:c>
      <x:c r="H626" t="inlineStr">
        <x:is>
          <x:t xml:space="preserve">Bio-C-Vitamin (30 tabs)</x:t>
        </x:is>
      </x:c>
      <x:c r="I626" t="inlineStr">
        <x:is>
          <x:t xml:space="preserve">รับประทานครั้งละ 1 เม็ด วันละ 1  ครั้ง หลังอาหาร</x:t>
        </x:is>
      </x:c>
    </x:row>
    <x:row r="627">
      <x:c r="A627">
        <x:v>625</x:v>
      </x:c>
      <x:c r="B627" t="inlineStr">
        <x:is>
          <x:t xml:space="preserve">วิตามินซี</x:t>
        </x:is>
      </x:c>
      <x:c r="C627">
        <x:v>1309</x:v>
      </x:c>
      <x:c r="D627" t="inlineStr">
        <x:is>
          <x:t xml:space="preserve">Blackmores Bio C กลาง</x:t>
        </x:is>
      </x:c>
      <x:c r="E627" t="inlineStr">
        <x:is>
          <x:t xml:space="preserve">ขวด 62 เม็ด</x:t>
        </x:is>
      </x:c>
      <x:c r="F627" t="inlineStr">
        <x:is>
          <x:t xml:space="preserve">Ascorbic acid 400 mg.+Sodium ascorbate 350 mg.+Calcium ascorbate 400 mg.+Bioflavonoids 25 mg.</x:t>
        </x:is>
      </x:c>
      <x:c r="G627" t="inlineStr">
        <x:is>
          <x:t xml:space="preserve">BDS001309</x:t>
        </x:is>
      </x:c>
      <x:c r="H627" t="inlineStr">
        <x:is>
          <x:t xml:space="preserve">Blackmores Bio C กลาง (62 tabs)</x:t>
        </x:is>
      </x:c>
      <x:c r="I627" t="inlineStr">
        <x:is>
          <x:t xml:space="preserve">รับประทานครั้งละ 1 เม็ด วันละ 1 ครั้ง หลังอาหาร</x:t>
        </x:is>
      </x:c>
    </x:row>
    <x:row r="628">
      <x:c r="A628">
        <x:v>626</x:v>
      </x:c>
      <x:c r="B628" t="inlineStr">
        <x:is>
          <x:t xml:space="preserve">วิตามินซี</x:t>
        </x:is>
      </x:c>
      <x:c r="C628">
        <x:v>1308</x:v>
      </x:c>
      <x:c r="D628" t="inlineStr">
        <x:is>
          <x:t xml:space="preserve">Blackmores Bio C เล็ก</x:t>
        </x:is>
      </x:c>
      <x:c r="E628" t="inlineStr">
        <x:is>
          <x:t xml:space="preserve">ขวด 31 เม็ด</x:t>
        </x:is>
      </x:c>
      <x:c r="F628" t="inlineStr">
        <x:is>
          <x:t xml:space="preserve">Ascorbic acid 400 mg.+Sodium ascorbate 350 mg.+Calcium ascorbate 400 mg.+Bioflavonoids 25 mg.</x:t>
        </x:is>
      </x:c>
      <x:c r="G628" t="inlineStr">
        <x:is>
          <x:t xml:space="preserve">BDS001308</x:t>
        </x:is>
      </x:c>
      <x:c r="H628" t="inlineStr">
        <x:is>
          <x:t xml:space="preserve">Blackmores Bio C เล็ก (31 tabs)</x:t>
        </x:is>
      </x:c>
      <x:c r="I628" t="inlineStr">
        <x:is>
          <x:t xml:space="preserve">รับประทานครั้งละ 1 เม็ด วันละ 1 ครั้ง หลังอาหาร</x:t>
        </x:is>
      </x:c>
    </x:row>
    <x:row r="629">
      <x:c r="A629">
        <x:v>627</x:v>
      </x:c>
      <x:c r="B629" t="inlineStr">
        <x:is>
          <x:t xml:space="preserve">วิตามินซี</x:t>
        </x:is>
      </x:c>
      <x:c r="C629">
        <x:v>40622</x:v>
      </x:c>
      <x:c r="D629" t="inlineStr">
        <x:is>
          <x:t xml:space="preserve">Blackmores Naturetime Buffered C</x:t>
        </x:is>
      </x:c>
      <x:c r="E629" t="inlineStr">
        <x:is>
          <x:t xml:space="preserve">ขวด 31 เม็ด</x:t>
        </x:is>
      </x:c>
      <x:c r="F629" t="inlineStr">
        <x:is>
          <x:t xml:space="preserve">Vitamin C 500 mg.(Ascorbic acid 280 mg.+Calcium ascorbate 266 mg.) +Bioflavonoids 25 mg.+Hesperidin 25 mg.+Rutin 50 mg.+Rosehips extract equiv. to dry fruit 250 mg. </x:t>
        </x:is>
      </x:c>
      <x:c r="G629" t="inlineStr">
        <x:is>
          <x:t xml:space="preserve">BDS040622</x:t>
        </x:is>
      </x:c>
      <x:c r="H629" t="inlineStr">
        <x:is>
          <x:t xml:space="preserve">Blackmores Naturetime Buffered C (31 tabs)</x:t>
        </x:is>
      </x:c>
      <x:c r="I629" t="inlineStr">
        <x:is>
          <x:t xml:space="preserve">รับประทานครั้งละ 1 เม็ด วันละ 1-2 ครั้ง พร้อมอาหาร</x:t>
        </x:is>
      </x:c>
    </x:row>
    <x:row r="630">
      <x:c r="A630">
        <x:v>628</x:v>
      </x:c>
      <x:c r="B630" t="inlineStr">
        <x:is>
          <x:t xml:space="preserve">วิตามินซี</x:t>
        </x:is>
      </x:c>
      <x:c r="C630">
        <x:v>41434</x:v>
      </x:c>
      <x:c r="D630" t="inlineStr">
        <x:is>
          <x:t xml:space="preserve">C-Force 1000</x:t>
        </x:is>
      </x:c>
      <x:c r="E630" t="inlineStr">
        <x:is>
          <x:t xml:space="preserve">แผง 6 เม็ด</x:t>
        </x:is>
      </x:c>
      <x:c r="F630" t="inlineStr">
        <x:is>
          <x:t xml:space="preserve">Vit.C 1000 mg. (Ascorbic acid 524 mg.+Sodium Ascorbate 476 mg.)</x:t>
        </x:is>
      </x:c>
      <x:c r="G630" t="inlineStr">
        <x:is>
          <x:t xml:space="preserve">BDS041434</x:t>
        </x:is>
      </x:c>
      <x:c r="H630" t="inlineStr">
        <x:is>
          <x:t xml:space="preserve">C-Force 1000 (6 tabs)</x:t>
        </x:is>
      </x:c>
      <x:c r="I630" t="inlineStr">
        <x:is>
          <x:t xml:space="preserve">รับประทานครั้งละ 1 เม็ด วันละ 1 ครั้ง หลังอาหารเช้า</x:t>
        </x:is>
      </x:c>
    </x:row>
    <x:row r="631">
      <x:c r="A631">
        <x:v>629</x:v>
      </x:c>
      <x:c r="B631" t="inlineStr">
        <x:is>
          <x:t xml:space="preserve">น้ำเกลือ</x:t>
        </x:is>
      </x:c>
      <x:c r="C631">
        <x:v>44313</x:v>
      </x:c>
      <x:c r="D631" t="inlineStr">
        <x:is>
          <x:t xml:space="preserve">Klean &amp; Kare Saline (ANB)</x:t>
        </x:is>
      </x:c>
      <x:c r="E631" t="inlineStr">
        <x:is>
          <x:t xml:space="preserve">ขวด 200 ml.</x:t>
        </x:is>
      </x:c>
      <x:c r="F631" t="inlineStr">
        <x:is>
          <x:t xml:space="preserve">Sodium Chloride 0.9 g./100 ml.</x:t>
        </x:is>
      </x:c>
      <x:c r="G631" t="inlineStr">
        <x:is>
          <x:t xml:space="preserve">BDS044313</x:t>
        </x:is>
      </x:c>
      <x:c r="H631" t="inlineStr">
        <x:is>
          <x:t xml:space="preserve">Klean &amp; Kare Saline (ANB) (200 ml.)</x:t>
        </x:is>
      </x:c>
      <x:c r="I631" t="inlineStr">
        <x:is>
          <x:t xml:space="preserve">ล้างทำความสะอาดในบริเวณที่ต้องการ </x:t>
        </x:is>
      </x:c>
      <x:c r="P631" t="inlineStr">
        <x:is>
          <x:t xml:space="preserve">Normal saline / irrigation</x:t>
        </x:is>
      </x:c>
    </x:row>
    <x:row r="632">
      <x:c r="A632">
        <x:v>630</x:v>
      </x:c>
      <x:c r="B632" t="inlineStr">
        <x:is>
          <x:t xml:space="preserve">น้ำเกลือ</x:t>
        </x:is>
      </x:c>
      <x:c r="C632">
        <x:v>44321</x:v>
      </x:c>
      <x:c r="D632" t="inlineStr">
        <x:is>
          <x:t xml:space="preserve">Klean &amp; Kare Saline กลาง</x:t>
        </x:is>
      </x:c>
      <x:c r="E632" t="inlineStr">
        <x:is>
          <x:t xml:space="preserve">ขวด 500 ml.</x:t>
        </x:is>
      </x:c>
      <x:c r="F632" t="inlineStr">
        <x:is>
          <x:t xml:space="preserve">Sodium Chloride 0.9 g./100 ml.</x:t>
        </x:is>
      </x:c>
      <x:c r="G632" t="inlineStr">
        <x:is>
          <x:t xml:space="preserve">BDS044321</x:t>
        </x:is>
      </x:c>
      <x:c r="H632" t="inlineStr">
        <x:is>
          <x:t xml:space="preserve">Klean &amp; Kare Saline กลาง (500 ml.)</x:t>
        </x:is>
      </x:c>
      <x:c r="I632" t="inlineStr">
        <x:is>
          <x:t xml:space="preserve">ล้างทำความสะอาดในบริเวณที่ต้องการ </x:t>
        </x:is>
      </x:c>
      <x:c r="P632" t="inlineStr">
        <x:is>
          <x:t xml:space="preserve">Normal saline / irrigation</x:t>
        </x:is>
      </x:c>
    </x:row>
    <x:row r="633">
      <x:c r="A633">
        <x:v>631</x:v>
      </x:c>
      <x:c r="B633" t="inlineStr">
        <x:is>
          <x:t xml:space="preserve">น้ำเกลือ</x:t>
        </x:is>
      </x:c>
      <x:c r="C633">
        <x:v>44320</x:v>
      </x:c>
      <x:c r="D633" t="inlineStr">
        <x:is>
          <x:t xml:space="preserve">Klean &amp; Kare Saline เล็ก</x:t>
        </x:is>
      </x:c>
      <x:c r="E633" t="inlineStr">
        <x:is>
          <x:t xml:space="preserve">ขวด 100 ml.</x:t>
        </x:is>
      </x:c>
      <x:c r="F633" t="inlineStr">
        <x:is>
          <x:t xml:space="preserve">Sodium Chloride 0.9 g./100 ml.</x:t>
        </x:is>
      </x:c>
      <x:c r="G633" t="inlineStr">
        <x:is>
          <x:t xml:space="preserve">BDS044320</x:t>
        </x:is>
      </x:c>
      <x:c r="H633" t="inlineStr">
        <x:is>
          <x:t xml:space="preserve">Klean &amp; Kare Saline เล็ก (100 ml.)</x:t>
        </x:is>
      </x:c>
      <x:c r="I633" t="inlineStr">
        <x:is>
          <x:t xml:space="preserve">ล้างทำความสะอาดในบริเวณที่ต้องการ </x:t>
        </x:is>
      </x:c>
      <x:c r="P633" t="inlineStr">
        <x:is>
          <x:t xml:space="preserve">Normal saline / irrigation</x:t>
        </x:is>
      </x:c>
    </x:row>
    <x:row r="634">
      <x:c r="A634">
        <x:v>632</x:v>
      </x:c>
      <x:c r="B634" t="inlineStr">
        <x:is>
          <x:t xml:space="preserve">น้ำเกลือ</x:t>
        </x:is>
      </x:c>
      <x:c r="C634">
        <x:v>44322</x:v>
      </x:c>
      <x:c r="D634" t="inlineStr">
        <x:is>
          <x:t xml:space="preserve">Klean &amp; Kare Saline ใหญ่</x:t>
        </x:is>
      </x:c>
      <x:c r="E634" t="inlineStr">
        <x:is>
          <x:t xml:space="preserve">ขวด 1000 ml.</x:t>
        </x:is>
      </x:c>
      <x:c r="F634" t="inlineStr">
        <x:is>
          <x:t xml:space="preserve">Sodium Chloride 0.9 g./100 ml.</x:t>
        </x:is>
      </x:c>
      <x:c r="G634" t="inlineStr">
        <x:is>
          <x:t xml:space="preserve">BDS044322</x:t>
        </x:is>
      </x:c>
      <x:c r="H634" t="inlineStr">
        <x:is>
          <x:t xml:space="preserve">Klean &amp; Kare Saline ใหญ่ (1000 ml.)</x:t>
        </x:is>
      </x:c>
      <x:c r="I634" t="inlineStr">
        <x:is>
          <x:t xml:space="preserve">ล้างทำความสะอาดในบริเวณที่ต้องการ </x:t>
        </x:is>
      </x:c>
      <x:c r="P634" t="inlineStr">
        <x:is>
          <x:t xml:space="preserve">Normal saline / irrigation</x:t>
        </x:is>
      </x:c>
    </x:row>
    <x:row r="635">
      <x:c r="A635">
        <x:v>633</x:v>
      </x:c>
      <x:c r="B635" t="inlineStr">
        <x:is>
          <x:t xml:space="preserve">น้ำเกลือ</x:t>
        </x:is>
      </x:c>
      <x:c r="C635">
        <x:v>4868</x:v>
      </x:c>
      <x:c r="D635" t="inlineStr">
        <x:is>
          <x:t xml:space="preserve">Normal Saline (Otsuka)</x:t>
        </x:is>
      </x:c>
      <x:c r="E635" t="inlineStr">
        <x:is>
          <x:t xml:space="preserve">ขวด 1000 ml.</x:t>
        </x:is>
      </x:c>
      <x:c r="F635" t="inlineStr">
        <x:is>
          <x:t xml:space="preserve">Sodium Chloride 0.9 g./100 ml.</x:t>
        </x:is>
      </x:c>
      <x:c r="G635" t="inlineStr">
        <x:is>
          <x:t xml:space="preserve">BDS004868</x:t>
        </x:is>
      </x:c>
      <x:c r="H635" t="inlineStr">
        <x:is>
          <x:t xml:space="preserve">Normal Saline (Otsuka) (1000 ml.)</x:t>
        </x:is>
      </x:c>
      <x:c r="I635" t="inlineStr">
        <x:is>
          <x:t xml:space="preserve">ทำความสะอาดในบริเวณที่ต้องการ </x:t>
        </x:is>
      </x:c>
      <x:c r="P635" t="inlineStr">
        <x:is>
          <x:t xml:space="preserve">Normal saline / irrigation</x:t>
        </x:is>
      </x:c>
    </x:row>
    <x:row r="636">
      <x:c r="A636">
        <x:v>634</x:v>
      </x:c>
      <x:c r="B636" t="inlineStr">
        <x:is>
          <x:t xml:space="preserve">น้ำเกลือ</x:t>
        </x:is>
      </x:c>
      <x:c r="C636">
        <x:v>45626</x:v>
      </x:c>
      <x:c r="D636" t="inlineStr">
        <x:is>
          <x:t xml:space="preserve">Normal Saline (Thai Nakorn Patana)</x:t>
        </x:is>
      </x:c>
      <x:c r="E636" t="inlineStr">
        <x:is>
          <x:t xml:space="preserve">ขวด 1000 ml.</x:t>
        </x:is>
      </x:c>
      <x:c r="F636" t="inlineStr">
        <x:is>
          <x:t xml:space="preserve">Sodium Chloride 0.9 g./100 ml.</x:t>
        </x:is>
      </x:c>
      <x:c r="G636" t="inlineStr">
        <x:is>
          <x:t xml:space="preserve">BDS045626</x:t>
        </x:is>
      </x:c>
      <x:c r="H636" t="inlineStr">
        <x:is>
          <x:t xml:space="preserve">Normal Saline (Thai Nakorn Patana) (1000 ml.)</x:t>
        </x:is>
      </x:c>
      <x:c r="I636" t="inlineStr">
        <x:is>
          <x:t xml:space="preserve">ทำความสะอาดในบริเวณที่ต้องการ </x:t>
        </x:is>
      </x:c>
      <x:c r="P636" t="inlineStr">
        <x:is>
          <x:t xml:space="preserve">Normal saline / irrigation</x:t>
        </x:is>
      </x:c>
    </x:row>
    <x:row r="637">
      <x:c r="A637">
        <x:v>635</x:v>
      </x:c>
      <x:c r="B637" t="inlineStr">
        <x:is>
          <x:t xml:space="preserve">น้ำเกลือ</x:t>
        </x:is>
      </x:c>
      <x:c r="C637">
        <x:v>47669</x:v>
      </x:c>
      <x:c r="D637" t="inlineStr">
        <x:is>
          <x:t xml:space="preserve">Sofclens Normal Saline Solution</x:t>
        </x:is>
      </x:c>
      <x:c r="E637" t="inlineStr">
        <x:is>
          <x:t xml:space="preserve">ขวด 100 ml.</x:t>
        </x:is>
      </x:c>
      <x:c r="F637" t="inlineStr">
        <x:is>
          <x:t xml:space="preserve">Sodium Chloride 0.9 % w/v</x:t>
        </x:is>
      </x:c>
      <x:c r="G637" t="inlineStr">
        <x:is>
          <x:t xml:space="preserve">BDS047669</x:t>
        </x:is>
      </x:c>
      <x:c r="H637" t="inlineStr">
        <x:is>
          <x:t xml:space="preserve">Sofclens Normal Saline Solution (100 ml.)</x:t>
        </x:is>
      </x:c>
      <x:c r="I637" t="inlineStr">
        <x:is>
          <x:t xml:space="preserve">ล้างทำความสะอาดในบริเวณที่ต้องการ </x:t>
        </x:is>
      </x:c>
      <x:c r="P637" t="inlineStr">
        <x:is>
          <x:t xml:space="preserve">Normal saline / irrigation</x:t>
        </x:is>
      </x:c>
    </x:row>
    <x:row r="638">
      <x:c r="A638">
        <x:v>636</x:v>
      </x:c>
      <x:c r="B638" t="inlineStr">
        <x:is>
          <x:t xml:space="preserve">น้ำเกลือ</x:t>
        </x:is>
      </x:c>
      <x:c r="C638">
        <x:v>4870</x:v>
      </x:c>
      <x:c r="D638" t="inlineStr">
        <x:is>
          <x:t xml:space="preserve">น้ำเกลือล้างแผล (วิทยาศรม)</x:t>
        </x:is>
      </x:c>
      <x:c r="E638" t="inlineStr">
        <x:is>
          <x:t xml:space="preserve">ขวด 120 ml.</x:t>
        </x:is>
      </x:c>
      <x:c r="F638" t="inlineStr">
        <x:is>
          <x:t xml:space="preserve">Sodium Chloride 0.9 g./100 ml.</x:t>
        </x:is>
      </x:c>
      <x:c r="G638" t="inlineStr">
        <x:is>
          <x:t xml:space="preserve">BDS004870</x:t>
        </x:is>
      </x:c>
      <x:c r="H638" t="inlineStr">
        <x:is>
          <x:t xml:space="preserve">น้ำเกลือล้างแผล (วิทยาศรม) (120 ml.)</x:t>
        </x:is>
      </x:c>
      <x:c r="I638" t="inlineStr">
        <x:is>
          <x:t xml:space="preserve">เช็ดทำความสะอาด วันละ 2-3 ครั้ง</x:t>
        </x:is>
      </x:c>
      <x:c r="P638" t="inlineStr">
        <x:is>
          <x:t xml:space="preserve">Normal saline / irrigation</x:t>
        </x:is>
      </x:c>
    </x:row>
    <x:row r="639">
      <x:c r="A639">
        <x:v>637</x:v>
      </x:c>
      <x:c r="B639" t="inlineStr">
        <x:is>
          <x:t xml:space="preserve">ยาทาและยาพ่นแก้ปวดเมื่อย </x:t>
        </x:is>
      </x:c>
      <x:c r="C639">
        <x:v>1032</x:v>
      </x:c>
      <x:c r="D639" t="inlineStr">
        <x:is>
          <x:t xml:space="preserve">Ammeltz เล็ก</x:t>
        </x:is>
      </x:c>
      <x:c r="E639" t="inlineStr">
        <x:is>
          <x:t xml:space="preserve">ขวด 48 ml.</x:t>
        </x:is>
      </x:c>
      <x:c r="F639" t="inlineStr">
        <x:is>
          <x:t xml:space="preserve">L-Menthol+DL-Campher+Methyl Salicylate+Vanillylamide</x:t>
        </x:is>
      </x:c>
      <x:c r="G639" t="inlineStr">
        <x:is>
          <x:t xml:space="preserve">BDS001032</x:t>
        </x:is>
      </x:c>
      <x:c r="H639" t="inlineStr">
        <x:is>
          <x:t xml:space="preserve">Ammeltz เล็ก (48 ml.)</x:t>
        </x:is>
      </x:c>
      <x:c r="I639" t="inlineStr">
        <x:is>
          <x:t xml:space="preserve">ทาบริเวณที่มีอาการปวด วันละ 2-3 ครั้ง</x:t>
        </x:is>
      </x:c>
      <x:c r="P639" t="inlineStr">
        <x:is>
          <x:t xml:space="preserve">Topical pain relief / topical NSAIDs</x:t>
        </x:is>
      </x:c>
    </x:row>
    <x:row r="640">
      <x:c r="A640">
        <x:v>638</x:v>
      </x:c>
      <x:c r="B640" t="inlineStr">
        <x:is>
          <x:t xml:space="preserve">ยาทาและยาพ่นแก้ปวดเมื่อย </x:t>
        </x:is>
      </x:c>
      <x:c r="C640">
        <x:v>1031</x:v>
      </x:c>
      <x:c r="D640" t="inlineStr">
        <x:is>
          <x:t xml:space="preserve">Ammeltz ใหญ่</x:t>
        </x:is>
      </x:c>
      <x:c r="E640" t="inlineStr">
        <x:is>
          <x:t xml:space="preserve">ขวด 82 ml.</x:t>
        </x:is>
      </x:c>
      <x:c r="F640" t="inlineStr">
        <x:is>
          <x:t xml:space="preserve">L-Menthol+DL-Campher+Methyl Salicylate+Vanillylamide</x:t>
        </x:is>
      </x:c>
      <x:c r="G640" t="inlineStr">
        <x:is>
          <x:t xml:space="preserve">BDS001031</x:t>
        </x:is>
      </x:c>
      <x:c r="H640" t="inlineStr">
        <x:is>
          <x:t xml:space="preserve">Ammeltz ใหญ่ (82 ml.)</x:t>
        </x:is>
      </x:c>
      <x:c r="I640" t="inlineStr">
        <x:is>
          <x:t xml:space="preserve">ทาบริเวณที่ปวด วันละ 2-3 ครั้ง</x:t>
        </x:is>
      </x:c>
      <x:c r="P640" t="inlineStr">
        <x:is>
          <x:t xml:space="preserve">Topical pain relief / topical NSAIDs</x:t>
        </x:is>
      </x:c>
    </x:row>
    <x:row r="641">
      <x:c r="A641">
        <x:v>639</x:v>
      </x:c>
      <x:c r="B641" t="inlineStr">
        <x:is>
          <x:t xml:space="preserve">ยาทาและยาพ่นแก้ปวดเมื่อย </x:t>
        </x:is>
      </x:c>
      <x:c r="C641">
        <x:v>40020</x:v>
      </x:c>
      <x:c r="D641" t="inlineStr">
        <x:is>
          <x:t xml:space="preserve">Arotika Rub</x:t>
        </x:is>
      </x:c>
      <x:c r="E641" t="inlineStr">
        <x:is>
          <x:t xml:space="preserve">หลอด 35 g.</x:t>
        </x:is>
      </x:c>
      <x:c r="F641" t="inlineStr">
        <x:is>
          <x:t xml:space="preserve">Capsicum Tincture 0.05% w/v 4.5 g.+Methyl Salicylate 10.2 g.+ Menthol 5.44 g.+Clove Oil 1.36 g./100 g.</x:t>
        </x:is>
      </x:c>
      <x:c r="G641" t="inlineStr">
        <x:is>
          <x:t xml:space="preserve">BDS040020</x:t>
        </x:is>
      </x:c>
      <x:c r="H641" t="inlineStr">
        <x:is>
          <x:t xml:space="preserve">Arotika Rub (35 g.)</x:t>
        </x:is>
      </x:c>
      <x:c r="I641" t="inlineStr">
        <x:is>
          <x:t xml:space="preserve">ทาบริเวณที่ปวดบางๆ  วันละ 2-3 ครั้ง</x:t>
        </x:is>
      </x:c>
      <x:c r="P641" t="inlineStr">
        <x:is>
          <x:t xml:space="preserve">Topical pain relief / topical NSAIDs</x:t>
        </x:is>
      </x:c>
    </x:row>
    <x:row r="642">
      <x:c r="A642">
        <x:v>640</x:v>
      </x:c>
      <x:c r="B642" t="inlineStr">
        <x:is>
          <x:t xml:space="preserve">ยาทาและยาพ่นแก้ปวดเมื่อย </x:t>
        </x:is>
      </x:c>
      <x:c r="C642">
        <x:v>7711</x:v>
      </x:c>
      <x:c r="D642" t="inlineStr">
        <x:is>
          <x:t xml:space="preserve">Capsika Gel</x:t>
        </x:is>
      </x:c>
      <x:c r="E642" t="inlineStr">
        <x:is>
          <x:t xml:space="preserve">หลอด 35 g.</x:t>
        </x:is>
      </x:c>
      <x:c r="F642" t="inlineStr">
        <x:is>
          <x:t xml:space="preserve">Capsaicin 0.0125%/100 g.</x:t>
        </x:is>
      </x:c>
      <x:c r="G642" t="inlineStr">
        <x:is>
          <x:t xml:space="preserve">BDS007711</x:t>
        </x:is>
      </x:c>
      <x:c r="H642" t="inlineStr">
        <x:is>
          <x:t xml:space="preserve">Capsika Gel (35 g.)</x:t>
        </x:is>
      </x:c>
      <x:c r="I642" t="inlineStr">
        <x:is>
          <x:t xml:space="preserve">ทาเจลบางๆ บริเวณที่มีอาการ วันละ 2-3 ครั้ง</x:t>
        </x:is>
      </x:c>
      <x:c r="P642" t="inlineStr">
        <x:is>
          <x:t xml:space="preserve">Topical pain relief / topical NSAIDs</x:t>
        </x:is>
      </x:c>
    </x:row>
    <x:row r="643">
      <x:c r="A643">
        <x:v>641</x:v>
      </x:c>
      <x:c r="B643" t="inlineStr">
        <x:is>
          <x:t xml:space="preserve">ยาทาและยาพ่นแก้ปวดเมื่อย </x:t>
        </x:is>
      </x:c>
      <x:c r="C643">
        <x:v>1541</x:v>
      </x:c>
      <x:c r="D643" t="inlineStr">
        <x:is>
          <x:t xml:space="preserve">Capsika-25 Gel</x:t>
        </x:is>
      </x:c>
      <x:c r="E643" t="inlineStr">
        <x:is>
          <x:t xml:space="preserve">หลอด 35 g.</x:t>
        </x:is>
      </x:c>
      <x:c r="F643" t="inlineStr">
        <x:is>
          <x:t xml:space="preserve">Capsaicin 0.025%</x:t>
        </x:is>
      </x:c>
      <x:c r="G643" t="inlineStr">
        <x:is>
          <x:t xml:space="preserve">BDS001541</x:t>
        </x:is>
      </x:c>
      <x:c r="H643" t="inlineStr">
        <x:is>
          <x:t xml:space="preserve">Capsika-25 Gel (35 g.)</x:t>
        </x:is>
      </x:c>
      <x:c r="I643" t="inlineStr">
        <x:is>
          <x:t xml:space="preserve">ทาเจลบางๆ บริเวณที่มีอาการ วันละ 3-4 ครั้ง</x:t>
        </x:is>
      </x:c>
      <x:c r="P643" t="inlineStr">
        <x:is>
          <x:t xml:space="preserve">Topical pain relief / topical NSAIDs</x:t>
        </x:is>
      </x:c>
    </x:row>
    <x:row r="644">
      <x:c r="A644">
        <x:v>642</x:v>
      </x:c>
      <x:c r="B644" t="inlineStr">
        <x:is>
          <x:t xml:space="preserve">ยาทาและยาพ่นแก้ปวดเมื่อย </x:t>
        </x:is>
      </x:c>
      <x:c r="C644">
        <x:v>1475</x:v>
      </x:c>
      <x:c r="D644" t="inlineStr">
        <x:is>
          <x:t xml:space="preserve">Counterpain Cool กลาง</x:t>
        </x:is>
      </x:c>
      <x:c r="E644" t="inlineStr">
        <x:is>
          <x:t xml:space="preserve">หลอด 60 g.</x:t>
        </x:is>
      </x:c>
      <x:c r="F644" t="inlineStr">
        <x:is>
          <x:t xml:space="preserve">Menthol 4%</x:t>
        </x:is>
      </x:c>
      <x:c r="G644" t="inlineStr">
        <x:is>
          <x:t xml:space="preserve">BDS001475</x:t>
        </x:is>
      </x:c>
      <x:c r="H644" t="inlineStr">
        <x:is>
          <x:t xml:space="preserve">Counterpain Cool กลาง (60 g.)</x:t>
        </x:is>
      </x:c>
      <x:c r="I644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4" t="inlineStr">
        <x:is>
          <x:t xml:space="preserve">Topical pain relief / topical NSAIDs</x:t>
        </x:is>
      </x:c>
    </x:row>
    <x:row r="645">
      <x:c r="A645">
        <x:v>643</x:v>
      </x:c>
      <x:c r="B645" t="inlineStr">
        <x:is>
          <x:t xml:space="preserve">ยาทาและยาพ่นแก้ปวดเมื่อย </x:t>
        </x:is>
      </x:c>
      <x:c r="C645">
        <x:v>1474</x:v>
      </x:c>
      <x:c r="D645" t="inlineStr">
        <x:is>
          <x:t xml:space="preserve">Counterpain Cool เล็ก</x:t>
        </x:is>
      </x:c>
      <x:c r="E645" t="inlineStr">
        <x:is>
          <x:t xml:space="preserve">หลอด 30 g.</x:t>
        </x:is>
      </x:c>
      <x:c r="F645" t="inlineStr">
        <x:is>
          <x:t xml:space="preserve">Menthol 4%</x:t>
        </x:is>
      </x:c>
      <x:c r="G645" t="inlineStr">
        <x:is>
          <x:t xml:space="preserve">BDS001474</x:t>
        </x:is>
      </x:c>
      <x:c r="H645" t="inlineStr">
        <x:is>
          <x:t xml:space="preserve">Counterpain Cool เล็ก (30 g.)</x:t>
        </x:is>
      </x:c>
      <x:c r="I645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5" t="inlineStr">
        <x:is>
          <x:t xml:space="preserve">Topical pain relief / topical NSAIDs</x:t>
        </x:is>
      </x:c>
    </x:row>
    <x:row r="646">
      <x:c r="A646">
        <x:v>644</x:v>
      </x:c>
      <x:c r="B646" t="inlineStr">
        <x:is>
          <x:t xml:space="preserve">ยาทาและยาพ่นแก้ปวดเมื่อย </x:t>
        </x:is>
      </x:c>
      <x:c r="C646">
        <x:v>1476</x:v>
      </x:c>
      <x:c r="D646" t="inlineStr">
        <x:is>
          <x:t xml:space="preserve">Counterpain Cool ใหญ่</x:t>
        </x:is>
      </x:c>
      <x:c r="E646" t="inlineStr">
        <x:is>
          <x:t xml:space="preserve">หลอด 120 g.</x:t>
        </x:is>
      </x:c>
      <x:c r="F646" t="inlineStr">
        <x:is>
          <x:t xml:space="preserve">Menthol 4%</x:t>
        </x:is>
      </x:c>
      <x:c r="G646" t="inlineStr">
        <x:is>
          <x:t xml:space="preserve">BDS001476</x:t>
        </x:is>
      </x:c>
      <x:c r="H646" t="inlineStr">
        <x:is>
          <x:t xml:space="preserve">Counterpain Cool ใหญ่ (120 g.)</x:t>
        </x:is>
      </x:c>
      <x:c r="I646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6" t="inlineStr">
        <x:is>
          <x:t xml:space="preserve">Topical pain relief / topical NSAIDs</x:t>
        </x:is>
      </x:c>
    </x:row>
    <x:row r="647">
      <x:c r="A647">
        <x:v>645</x:v>
      </x:c>
      <x:c r="B647" t="inlineStr">
        <x:is>
          <x:t xml:space="preserve">ยาทาและยาพ่นแก้ปวดเมื่อย </x:t>
        </x:is>
      </x:c>
      <x:c r="C647">
        <x:v>1472</x:v>
      </x:c>
      <x:c r="D647" t="inlineStr">
        <x:is>
          <x:t xml:space="preserve">Counterpain กลาง</x:t>
        </x:is>
      </x:c>
      <x:c r="E647" t="inlineStr">
        <x:is>
          <x:t xml:space="preserve">หลอด 60 g.</x:t>
        </x:is>
      </x:c>
      <x:c r="F647" t="inlineStr">
        <x:is>
          <x:t xml:space="preserve">Methyl Salicylate 10.2%+Eugenol 1.36%+Menthol 5.44%</x:t>
        </x:is>
      </x:c>
      <x:c r="G647" t="inlineStr">
        <x:is>
          <x:t xml:space="preserve">BDS001472</x:t>
        </x:is>
      </x:c>
      <x:c r="H647" t="inlineStr">
        <x:is>
          <x:t xml:space="preserve">Counterpain กลาง (60 g.)</x:t>
        </x:is>
      </x:c>
      <x:c r="I647" t="inlineStr">
        <x:is>
          <x:t xml:space="preserve">ทาครีมบริเวณที่ปวด จนกระทั่งยาซึมเข้าผิวหนัง วันละ 2-3 ครั้ง</x:t>
        </x:is>
      </x:c>
      <x:c r="P647" t="inlineStr">
        <x:is>
          <x:t xml:space="preserve">Topical pain relief / topical NSAIDs</x:t>
        </x:is>
      </x:c>
    </x:row>
    <x:row r="648">
      <x:c r="A648">
        <x:v>646</x:v>
      </x:c>
      <x:c r="B648" t="inlineStr">
        <x:is>
          <x:t xml:space="preserve">ยาทาและยาพ่นแก้ปวดเมื่อย </x:t>
        </x:is>
      </x:c>
      <x:c r="C648">
        <x:v>1471</x:v>
      </x:c>
      <x:c r="D648" t="inlineStr">
        <x:is>
          <x:t xml:space="preserve">Counterpain เล็ก</x:t>
        </x:is>
      </x:c>
      <x:c r="E648" t="inlineStr">
        <x:is>
          <x:t xml:space="preserve">หลอด 30 g.</x:t>
        </x:is>
      </x:c>
      <x:c r="F648" t="inlineStr">
        <x:is>
          <x:t xml:space="preserve">Menthol 5.44%+Methyl Salicylate 10.2%+Eugenol 1.36%</x:t>
        </x:is>
      </x:c>
      <x:c r="G648" t="inlineStr">
        <x:is>
          <x:t xml:space="preserve">BDS001471</x:t>
        </x:is>
      </x:c>
      <x:c r="H648" t="inlineStr">
        <x:is>
          <x:t xml:space="preserve">Counterpain เล็ก (30 g.)</x:t>
        </x:is>
      </x:c>
      <x:c r="I648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48" t="inlineStr">
        <x:is>
          <x:t xml:space="preserve">Topical pain relief / topical NSAIDs</x:t>
        </x:is>
      </x:c>
    </x:row>
    <x:row r="649">
      <x:c r="A649">
        <x:v>647</x:v>
      </x:c>
      <x:c r="B649" t="inlineStr">
        <x:is>
          <x:t xml:space="preserve">ยาทาและยาพ่นแก้ปวดเมื่อย </x:t>
        </x:is>
      </x:c>
      <x:c r="C649">
        <x:v>1473</x:v>
      </x:c>
      <x:c r="D649" t="inlineStr">
        <x:is>
          <x:t xml:space="preserve">Counterpain ใหญ่</x:t>
        </x:is>
      </x:c>
      <x:c r="E649" t="inlineStr">
        <x:is>
          <x:t xml:space="preserve">หลอด 120 g.</x:t>
        </x:is>
      </x:c>
      <x:c r="F649" t="inlineStr">
        <x:is>
          <x:t xml:space="preserve">Menthol 5.44%+Methyl Salicylate 10.2%+Eugenol 1.36%</x:t>
        </x:is>
      </x:c>
      <x:c r="G649" t="inlineStr">
        <x:is>
          <x:t xml:space="preserve">BDS001473</x:t>
        </x:is>
      </x:c>
      <x:c r="H649" t="inlineStr">
        <x:is>
          <x:t xml:space="preserve">Counterpain ใหญ่ (120 g.)</x:t>
        </x:is>
      </x:c>
      <x:c r="I649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K649">
        <x:v>300</x:v>
      </x:c>
      <x:c r="L649">
        <x:v>2.5</x:v>
      </x:c>
      <x:c r="M649" t="inlineStr">
        <x:is>
          <x:t xml:space="preserve">USER</x:t>
        </x:is>
      </x:c>
      <x:c r="N649" t="inlineStr">
        <x:is>
          <x:t xml:space="preserve">2026-02-07</x:t>
        </x:is>
      </x:c>
      <x:c r="O649" t="inlineStr">
        <x:is>
          <x:t xml:space="preserve">User provided price (Counterpain 120 g).</x:t>
        </x:is>
      </x:c>
      <x:c r="P649" t="inlineStr">
        <x:is>
          <x:t xml:space="preserve">Topical pain relief / topical NSAIDs</x:t>
        </x:is>
      </x:c>
    </x:row>
    <x:row r="650">
      <x:c r="A650">
        <x:v>648</x:v>
      </x:c>
      <x:c r="B650" t="inlineStr">
        <x:is>
          <x:t xml:space="preserve">ยาทาและยาพ่นแก้ปวดเมื่อย </x:t>
        </x:is>
      </x:c>
      <x:c r="C650">
        <x:v>1924</x:v>
      </x:c>
      <x:c r="D650" t="inlineStr">
        <x:is>
          <x:t xml:space="preserve">Flanil</x:t>
        </x:is>
      </x:c>
      <x:c r="E650" t="inlineStr">
        <x:is>
          <x:t xml:space="preserve">หลอด 30 g.</x:t>
        </x:is>
      </x:c>
      <x:c r="F650" t="inlineStr">
        <x:is>
          <x:t xml:space="preserve">Menthol 5.44 g.+Methyl Salicylate 10.20 g.+Eugenol 1.36 g./100 g.</x:t>
        </x:is>
      </x:c>
      <x:c r="G650" t="inlineStr">
        <x:is>
          <x:t xml:space="preserve">BDS001924</x:t>
        </x:is>
      </x:c>
      <x:c r="H650" t="inlineStr">
        <x:is>
          <x:t xml:space="preserve">Flanil (30 g.)</x:t>
        </x:is>
      </x:c>
      <x:c r="I65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0" t="inlineStr">
        <x:is>
          <x:t xml:space="preserve">Topical pain relief / topical NSAIDs</x:t>
        </x:is>
      </x:c>
    </x:row>
    <x:row r="651">
      <x:c r="A651">
        <x:v>649</x:v>
      </x:c>
      <x:c r="B651" t="inlineStr">
        <x:is>
          <x:t xml:space="preserve">ยาทาและยาพ่นแก้ปวดเมื่อย </x:t>
        </x:is>
      </x:c>
      <x:c r="C651">
        <x:v>8608</x:v>
      </x:c>
      <x:c r="D651" t="inlineStr">
        <x:is>
          <x:t xml:space="preserve">Muscort Cream</x:t>
        </x:is>
      </x:c>
      <x:c r="E651" t="inlineStr">
        <x:is>
          <x:t xml:space="preserve">หลอด 25 g.</x:t>
        </x:is>
      </x:c>
      <x:c r="F651" t="inlineStr">
        <x:is>
          <x:t xml:space="preserve">Menthol 5.44%+Methyl Salicylate 10.12%+Eugenol 1.36%</x:t>
        </x:is>
      </x:c>
      <x:c r="G651" t="inlineStr">
        <x:is>
          <x:t xml:space="preserve">BDS008608</x:t>
        </x:is>
      </x:c>
      <x:c r="H651" t="inlineStr">
        <x:is>
          <x:t xml:space="preserve">Muscort Cream (25 g.)</x:t>
        </x:is>
      </x:c>
      <x:c r="I651" t="inlineStr">
        <x:is>
          <x:t xml:space="preserve">ทาเบาๆ บริเวณที่มีอาการ จนกระทั่งยาซึมเข้าผิวหนัง วันละ 2-3 ครั้ง</x:t>
        </x:is>
      </x:c>
      <x:c r="P651" t="inlineStr">
        <x:is>
          <x:t xml:space="preserve">Topical pain relief / topical NSAIDs</x:t>
        </x:is>
      </x:c>
    </x:row>
    <x:row r="652">
      <x:c r="A652">
        <x:v>650</x:v>
      </x:c>
      <x:c r="B652" t="inlineStr">
        <x:is>
          <x:t xml:space="preserve">ยาทาและยาพ่นแก้ปวดเมื่อย </x:t>
        </x:is>
      </x:c>
      <x:c r="C652">
        <x:v>2817</x:v>
      </x:c>
      <x:c r="D652" t="inlineStr">
        <x:is>
          <x:t xml:space="preserve">Neotica Balm เล็ก</x:t>
        </x:is>
      </x:c>
      <x:c r="E652" t="inlineStr">
        <x:is>
          <x:t xml:space="preserve">หลอด 30 g.</x:t>
        </x:is>
      </x:c>
      <x:c r="F652" t="inlineStr">
        <x:is>
          <x:t xml:space="preserve">Menthol 5.64 g.+Camphor 1.8 g.+Methyl Salicylate 12.5 g.+Eucalyptus oil 1.8 g.+Eugenol 1.36 g./100 g</x:t>
        </x:is>
      </x:c>
      <x:c r="G652" t="inlineStr">
        <x:is>
          <x:t xml:space="preserve">BDS002817</x:t>
        </x:is>
      </x:c>
      <x:c r="H652" t="inlineStr">
        <x:is>
          <x:t xml:space="preserve">Neotica Balm เล็ก (30 g.)</x:t>
        </x:is>
      </x:c>
      <x:c r="I65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2" t="inlineStr">
        <x:is>
          <x:t xml:space="preserve">Topical pain relief / topical NSAIDs</x:t>
        </x:is>
      </x:c>
    </x:row>
    <x:row r="653">
      <x:c r="A653">
        <x:v>651</x:v>
      </x:c>
      <x:c r="B653" t="inlineStr">
        <x:is>
          <x:t xml:space="preserve">ยาทาและยาพ่นแก้ปวดเมื่อย </x:t>
        </x:is>
      </x:c>
      <x:c r="C653">
        <x:v>2819</x:v>
      </x:c>
      <x:c r="D653" t="inlineStr">
        <x:is>
          <x:t xml:space="preserve">Neotica Balm ใหญ่</x:t>
        </x:is>
      </x:c>
      <x:c r="E653" t="inlineStr">
        <x:is>
          <x:t xml:space="preserve">หลอด 100 g.</x:t>
        </x:is>
      </x:c>
      <x:c r="F653" t="inlineStr">
        <x:is>
          <x:t xml:space="preserve">Menthol 5.64 g.+Camphor 1.8 g.+Methyl Salicylate 12.5 g.+Eucalyptus oil 1.8 g.+Eugenol 1.36 g./100 g</x:t>
        </x:is>
      </x:c>
      <x:c r="G653" t="inlineStr">
        <x:is>
          <x:t xml:space="preserve">BDS002819</x:t>
        </x:is>
      </x:c>
      <x:c r="H653" t="inlineStr">
        <x:is>
          <x:t xml:space="preserve">Neotica Balm ใหญ่ (100 g.)</x:t>
        </x:is>
      </x:c>
      <x:c r="I653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653" t="inlineStr">
        <x:is>
          <x:t xml:space="preserve">Topical pain relief / topical NSAIDs</x:t>
        </x:is>
      </x:c>
    </x:row>
    <x:row r="654">
      <x:c r="A654">
        <x:v>652</x:v>
      </x:c>
      <x:c r="B654" t="inlineStr">
        <x:is>
          <x:t xml:space="preserve">ยาทาและยาพ่นแก้ปวดเมื่อย </x:t>
        </x:is>
      </x:c>
      <x:c r="C654">
        <x:v>3118</x:v>
      </x:c>
      <x:c r="D654" t="inlineStr">
        <x:is>
          <x:t xml:space="preserve">Perskindol Classic Gel</x:t>
        </x:is>
      </x:c>
      <x:c r="E654" t="inlineStr">
        <x:is>
          <x:t xml:space="preserve">กล่อง 100 ml.</x:t>
        </x:is>
      </x:c>
      <x:c r="F654" t="inlineStr">
        <x:is>
          <x:t xml:space="preserve">Menthol 1.5%+Pine Needle Oil 1.35%+Wintergreen Oil 0.35%+Orange Oil 0.4%</x:t>
        </x:is>
      </x:c>
      <x:c r="G654" t="inlineStr">
        <x:is>
          <x:t xml:space="preserve">BDS003118</x:t>
        </x:is>
      </x:c>
      <x:c r="H654" t="inlineStr">
        <x:is>
          <x:t xml:space="preserve">Perskindol Classic Gel (100 ml.)</x:t>
        </x:is>
      </x:c>
      <x:c r="I654" t="inlineStr">
        <x:is>
          <x:t xml:space="preserve">ทาบริเวณที่มีอาการ วันละ 3-4 ครั้ง นวดเบาๆ จนเนื้อเจลซึมเข้าสู่ผิวหนัง</x:t>
        </x:is>
      </x:c>
      <x:c r="P654" t="inlineStr">
        <x:is>
          <x:t xml:space="preserve">Topical pain relief / topical NSAIDs</x:t>
        </x:is>
      </x:c>
    </x:row>
    <x:row r="655">
      <x:c r="A655">
        <x:v>653</x:v>
      </x:c>
      <x:c r="B655" t="inlineStr">
        <x:is>
          <x:t xml:space="preserve">ยาทาและยาพ่นแก้ปวดเมื่อย </x:t>
        </x:is>
      </x:c>
      <x:c r="C655">
        <x:v>3119</x:v>
      </x:c>
      <x:c r="D655" t="inlineStr">
        <x:is>
          <x:t xml:space="preserve">Perskindol Classic Spray</x:t>
        </x:is>
      </x:c>
      <x:c r="E655" t="inlineStr">
        <x:is>
          <x:t xml:space="preserve">กระป๋อง 150 ml.</x:t>
        </x:is>
      </x:c>
      <x:c r="F655" t="inlineStr">
        <x:is>
          <x:t xml:space="preserve">Menthol 1.5%+Pine Needle Oil 1.35%+Wintergreen Oil 0.35%+Orange Oil 0.4%+Lemon Oil 0.1%</x:t>
        </x:is>
      </x:c>
      <x:c r="G655" t="inlineStr">
        <x:is>
          <x:t xml:space="preserve">BDS003119</x:t>
        </x:is>
      </x:c>
      <x:c r="H655" t="inlineStr">
        <x:is>
          <x:t xml:space="preserve">Perskindol Classic Spray (150 ml.)</x:t>
        </x:is>
      </x:c>
      <x:c r="I655" t="inlineStr">
        <x:is>
          <x:t xml:space="preserve">ฉีดพ่นบริเวณที่มีอาการ วันละ 3-4 ครั้ง นวดเบาๆ</x:t>
        </x:is>
      </x:c>
      <x:c r="P655" t="inlineStr">
        <x:is>
          <x:t xml:space="preserve">Topical pain relief / topical NSAIDs</x:t>
        </x:is>
      </x:c>
    </x:row>
    <x:row r="656">
      <x:c r="A656">
        <x:v>654</x:v>
      </x:c>
      <x:c r="B656" t="inlineStr">
        <x:is>
          <x:t xml:space="preserve">ยาทาและยาพ่นแก้ปวดเมื่อย </x:t>
        </x:is>
      </x:c>
      <x:c r="C656">
        <x:v>3117</x:v>
      </x:c>
      <x:c r="D656" t="inlineStr">
        <x:is>
          <x:t xml:space="preserve">Perskindol Cool Spray</x:t>
        </x:is>
      </x:c>
      <x:c r="E656" t="inlineStr">
        <x:is>
          <x:t xml:space="preserve">กระป๋อง 250 ml.</x:t>
        </x:is>
      </x:c>
      <x:c r="F656" t="inlineStr">
        <x:is>
          <x:t xml:space="preserve">I-Menthol 5 mg./1 g.</x:t>
        </x:is>
      </x:c>
      <x:c r="G656" t="inlineStr">
        <x:is>
          <x:t xml:space="preserve">BDS003117</x:t>
        </x:is>
      </x:c>
      <x:c r="H656" t="inlineStr">
        <x:is>
          <x:t xml:space="preserve">Perskindol Cool Spray (250 ml.)</x:t>
        </x:is>
      </x:c>
      <x:c r="I656" t="inlineStr">
        <x:is>
          <x:t xml:space="preserve">ฉีดพ่นบริเวณที่มีอาการ ได้บ่อยครั้งตามต้องการ</x:t>
        </x:is>
      </x:c>
      <x:c r="P656" t="inlineStr">
        <x:is>
          <x:t xml:space="preserve">Topical pain relief / topical NSAIDs</x:t>
        </x:is>
      </x:c>
    </x:row>
    <x:row r="657">
      <x:c r="A657">
        <x:v>655</x:v>
      </x:c>
      <x:c r="B657" t="inlineStr">
        <x:is>
          <x:t xml:space="preserve">ยาทาและยาพ่นแก้ปวดเมื่อย </x:t>
        </x:is>
      </x:c>
      <x:c r="C657">
        <x:v>46527</x:v>
      </x:c>
      <x:c r="D657" t="inlineStr">
        <x:is>
          <x:t xml:space="preserve">Plaivana Cream</x:t>
        </x:is>
      </x:c>
      <x:c r="E657" t="inlineStr">
        <x:is>
          <x:t xml:space="preserve">หลอด 35 g.</x:t>
        </x:is>
      </x:c>
      <x:c r="F657" t="inlineStr">
        <x:is>
          <x:t xml:space="preserve">น้ำมันไพล 14 g./100 g.</x:t>
        </x:is>
      </x:c>
      <x:c r="G657" t="inlineStr">
        <x:is>
          <x:t xml:space="preserve">BDS046527</x:t>
        </x:is>
      </x:c>
      <x:c r="H657" t="inlineStr">
        <x:is>
          <x:t xml:space="preserve">Plaivana Cream (35 g.)</x:t>
        </x:is>
      </x:c>
      <x:c r="I657" t="inlineStr">
        <x:is>
          <x:t xml:space="preserve">นวดหรือทาบริเวณที่มีอาการ วันละ 2-3 ครั้ง</x:t>
        </x:is>
      </x:c>
      <x:c r="P657" t="inlineStr">
        <x:is>
          <x:t xml:space="preserve">Topical pain relief / topical NSAIDs</x:t>
        </x:is>
      </x:c>
    </x:row>
    <x:row r="658">
      <x:c r="A658">
        <x:v>656</x:v>
      </x:c>
      <x:c r="B658" t="inlineStr">
        <x:is>
          <x:t xml:space="preserve">ยาทาและยาพ่นแก้ปวดเมื่อย </x:t>
        </x:is>
      </x:c>
      <x:c r="C658">
        <x:v>2875</x:v>
      </x:c>
      <x:c r="D658" t="inlineStr">
        <x:is>
          <x:t xml:space="preserve">Reparil Ice Spray</x:t>
        </x:is>
      </x:c>
      <x:c r="E658" t="inlineStr">
        <x:is>
          <x:t xml:space="preserve">กระป๋อง 200 ml.</x:t>
        </x:is>
      </x:c>
      <x:c r="F658" t="inlineStr">
        <x:is>
          <x:t xml:space="preserve">Butane+Pentane+Isobutane+Propane+Isopropyl alcohol+Menthol+Camphor</x:t>
        </x:is>
      </x:c>
      <x:c r="G658" t="inlineStr">
        <x:is>
          <x:t xml:space="preserve">BDS002875</x:t>
        </x:is>
      </x:c>
      <x:c r="H658" t="inlineStr">
        <x:is>
          <x:t xml:space="preserve">Reparil Ice Spray (200 ml.)</x:t>
        </x:is>
      </x:c>
      <x:c r="I658" t="inlineStr">
        <x:is>
          <x:t xml:space="preserve"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x:t>
        </x:is>
      </x:c>
      <x:c r="P658" t="inlineStr">
        <x:is>
          <x:t xml:space="preserve">Topical pain relief / topical NSAIDs</x:t>
        </x:is>
      </x:c>
    </x:row>
    <x:row r="659">
      <x:c r="A659">
        <x:v>657</x:v>
      </x:c>
      <x:c r="B659" t="inlineStr">
        <x:is>
          <x:t xml:space="preserve">ยาทาและยาพ่นแก้ปวดเมื่อย </x:t>
        </x:is>
      </x:c>
      <x:c r="C659">
        <x:v>3602</x:v>
      </x:c>
      <x:c r="D659" t="inlineStr">
        <x:is>
          <x:t xml:space="preserve">Salonpas Cream</x:t>
        </x:is>
      </x:c>
      <x:c r="E659" t="inlineStr">
        <x:is>
          <x:t xml:space="preserve">หลอด 30 g.</x:t>
        </x:is>
      </x:c>
      <x:c r="F659" t="inlineStr">
        <x:is>
          <x:t xml:space="preserve">Methyl salicylate 15 g.+Menthol 7 g./100 g. </x:t>
        </x:is>
      </x:c>
      <x:c r="G659" t="inlineStr">
        <x:is>
          <x:t xml:space="preserve">BDS003602</x:t>
        </x:is>
      </x:c>
      <x:c r="H659" t="inlineStr">
        <x:is>
          <x:t xml:space="preserve">Salonpas Cream (30 g.)</x:t>
        </x:is>
      </x:c>
      <x:c r="I659" t="inlineStr">
        <x:is>
          <x:t xml:space="preserve">ทาบริเวณที่มีอาการ ไม่เกินวันละ 3-4 ครั้ง </x:t>
        </x:is>
      </x:c>
      <x:c r="P659" t="inlineStr">
        <x:is>
          <x:t xml:space="preserve">Topical pain relief / topical NSAIDs</x:t>
        </x:is>
      </x:c>
    </x:row>
    <x:row r="660">
      <x:c r="A660">
        <x:v>658</x:v>
      </x:c>
      <x:c r="B660" t="inlineStr">
        <x:is>
          <x:t xml:space="preserve">ยาทาฆ่าเชี้อแบคทีเรีย</x:t>
        </x:is>
      </x:c>
      <x:c r="C660">
        <x:v>1991</x:v>
      </x:c>
      <x:c r="D660" t="inlineStr">
        <x:is>
          <x:t xml:space="preserve">Fucidin Cream</x:t>
        </x:is>
      </x:c>
      <x:c r="E660" t="inlineStr">
        <x:is>
          <x:t xml:space="preserve">หลอด 5 g.</x:t>
        </x:is>
      </x:c>
      <x:c r="F660" t="inlineStr">
        <x:is>
          <x:t xml:space="preserve">Fusidic acid 20 mg./1 g.</x:t>
        </x:is>
      </x:c>
      <x:c r="G660" t="inlineStr">
        <x:is>
          <x:t xml:space="preserve">BDS001991</x:t>
        </x:is>
      </x:c>
      <x:c r="H660" t="inlineStr">
        <x:is>
          <x:t xml:space="preserve">Fucidin Cream (5 g.)</x:t>
        </x:is>
      </x:c>
      <x:c r="I660" t="inlineStr">
        <x:is>
          <x:t xml:space="preserve">ทาบริเวณผิวหนังที่ติดเชื้อ วันละ 2-3 ครั้ง โดยทั่วไปใช้ในระยะเวลา 7 วัน</x:t>
        </x:is>
      </x:c>
    </x:row>
    <x:row r="661">
      <x:c r="A661">
        <x:v>659</x:v>
      </x:c>
      <x:c r="B661" t="inlineStr">
        <x:is>
          <x:t xml:space="preserve">ยาทาฆ่าเชี้อแบคทีเรีย</x:t>
        </x:is>
      </x:c>
      <x:c r="C661">
        <x:v>1923</x:v>
      </x:c>
      <x:c r="D661" t="inlineStr">
        <x:is>
          <x:t xml:space="preserve">Fucidin Ointment</x:t>
        </x:is>
      </x:c>
      <x:c r="E661" t="inlineStr">
        <x:is>
          <x:t xml:space="preserve">หลอด 5 g.</x:t>
        </x:is>
      </x:c>
      <x:c r="F661" t="inlineStr">
        <x:is>
          <x:t xml:space="preserve">Sodium fusidate 20 mg./1 g.</x:t>
        </x:is>
      </x:c>
      <x:c r="G661" t="inlineStr">
        <x:is>
          <x:t xml:space="preserve">BDS001923</x:t>
        </x:is>
      </x:c>
      <x:c r="H661" t="inlineStr">
        <x:is>
          <x:t xml:space="preserve">Fucidin Ointment (5 g.)</x:t>
        </x:is>
      </x:c>
      <x:c r="I661" t="inlineStr">
        <x:is>
          <x:t xml:space="preserve">ทาบริเวณผิวหนังที่ติดเชื้อ วันละ 2-3 ครั้ง</x:t>
        </x:is>
      </x:c>
    </x:row>
    <x:row r="662">
      <x:c r="A662">
        <x:v>660</x:v>
      </x:c>
      <x:c r="B662" t="inlineStr">
        <x:is>
          <x:t xml:space="preserve">ยาทาฆ่าเชี้อแบคทีเรีย</x:t>
        </x:is>
      </x:c>
      <x:c r="C662">
        <x:v>2038</x:v>
      </x:c>
      <x:c r="D662" t="inlineStr">
        <x:is>
          <x:t xml:space="preserve">Gentrex Cream</x:t>
        </x:is>
      </x:c>
      <x:c r="E662" t="inlineStr">
        <x:is>
          <x:t xml:space="preserve">หลอด 5 g.</x:t>
        </x:is>
      </x:c>
      <x:c r="F662" t="inlineStr">
        <x:is>
          <x:t xml:space="preserve">Gentamicin Sulfate (eq. to Gentamicin 1 mg/1 g)</x:t>
        </x:is>
      </x:c>
      <x:c r="G662" t="inlineStr">
        <x:is>
          <x:t xml:space="preserve">BDS002038</x:t>
        </x:is>
      </x:c>
      <x:c r="H662" t="inlineStr">
        <x:is>
          <x:t xml:space="preserve">Gentrex Cream (5 g.)</x:t>
        </x:is>
      </x:c>
      <x:c r="I662" t="inlineStr">
        <x:is>
          <x:t xml:space="preserve">ทาบริเวณที่เป็นแผล วันละ 3-4 ครั้ง</x:t>
        </x:is>
      </x:c>
    </x:row>
    <x:row r="663">
      <x:c r="A663">
        <x:v>661</x:v>
      </x:c>
      <x:c r="B663" t="inlineStr">
        <x:is>
          <x:t xml:space="preserve">ยาทาฆ่าเชี้อแบคทีเรีย</x:t>
        </x:is>
      </x:c>
      <x:c r="C663">
        <x:v>8231</x:v>
      </x:c>
      <x:c r="D663" t="inlineStr">
        <x:is>
          <x:t xml:space="preserve">Mulacin Ointment</x:t>
        </x:is>
      </x:c>
      <x:c r="E663" t="inlineStr">
        <x:is>
          <x:t xml:space="preserve">หลอด 5 g.</x:t>
        </x:is>
      </x:c>
      <x:c r="F663" t="inlineStr">
        <x:is>
          <x:t xml:space="preserve">Mupirocin 2% w/w</x:t>
        </x:is>
      </x:c>
      <x:c r="G663" t="inlineStr">
        <x:is>
          <x:t xml:space="preserve">BDS008231</x:t>
        </x:is>
      </x:c>
      <x:c r="H663" t="inlineStr">
        <x:is>
          <x:t xml:space="preserve">Mulacin Ointment (5 g.)</x:t>
        </x:is>
      </x:c>
      <x:c r="I663" t="inlineStr">
        <x:is>
          <x:t xml:space="preserve">ทาบริเวณผิวหนังที่ติดเชื้อ วันละ 2-3 ครั้ง</x:t>
        </x:is>
      </x:c>
    </x:row>
    <x:row r="664">
      <x:c r="A664">
        <x:v>662</x:v>
      </x:c>
      <x:c r="B664" t="inlineStr">
        <x:is>
          <x:t xml:space="preserve">ยาทาฆ่าเชี้อแบคทีเรีย</x:t>
        </x:is>
      </x:c>
      <x:c r="C664">
        <x:v>7768</x:v>
      </x:c>
      <x:c r="D664" t="inlineStr">
        <x:is>
          <x:t xml:space="preserve">Skinfect Cream เล็ก</x:t>
        </x:is>
      </x:c>
      <x:c r="E664" t="inlineStr">
        <x:is>
          <x:t xml:space="preserve">หลอด 5 g.</x:t>
        </x:is>
      </x:c>
      <x:c r="F664" t="inlineStr">
        <x:is>
          <x:t xml:space="preserve">Gentamicin 1 mg./1 g.</x:t>
        </x:is>
      </x:c>
      <x:c r="G664" t="inlineStr">
        <x:is>
          <x:t xml:space="preserve">BDS007768</x:t>
        </x:is>
      </x:c>
      <x:c r="H664" t="inlineStr">
        <x:is>
          <x:t xml:space="preserve">Skinfect Cream เล็ก (5 g.)</x:t>
        </x:is>
      </x:c>
      <x:c r="I664" t="inlineStr">
        <x:is>
          <x:t xml:space="preserve">ทาบางๆ บริเวณบาดแผล หรือผิวหนังที่มีอาการติดเชื้อ เป็นหนอง </x:t>
        </x:is>
      </x:c>
    </x:row>
    <x:row r="665">
      <x:c r="A665">
        <x:v>663</x:v>
      </x:c>
      <x:c r="B665" t="inlineStr">
        <x:is>
          <x:t xml:space="preserve">ยาทาฆ่าเชี้อแบคทีเรีย</x:t>
        </x:is>
      </x:c>
      <x:c r="C665">
        <x:v>7766</x:v>
      </x:c>
      <x:c r="D665" t="inlineStr">
        <x:is>
          <x:t xml:space="preserve">Skinfect Cream ใหญ่</x:t>
        </x:is>
      </x:c>
      <x:c r="E665" t="inlineStr">
        <x:is>
          <x:t xml:space="preserve">หลอด 15 g.</x:t>
        </x:is>
      </x:c>
      <x:c r="F665" t="inlineStr">
        <x:is>
          <x:t xml:space="preserve">Gentamicin 1 mg./1 g.</x:t>
        </x:is>
      </x:c>
      <x:c r="G665" t="inlineStr">
        <x:is>
          <x:t xml:space="preserve">BDS007766</x:t>
        </x:is>
      </x:c>
      <x:c r="H665" t="inlineStr">
        <x:is>
          <x:t xml:space="preserve">Skinfect Cream ใหญ่ (15 g.)</x:t>
        </x:is>
      </x:c>
      <x:c r="I665" t="inlineStr">
        <x:is>
          <x:t xml:space="preserve">ทาบางๆ บริเวณบาดแผล หรือผิวหนังที่มีอาการติดเชื้อ เป็นหนอง </x:t>
        </x:is>
      </x:c>
    </x:row>
    <x:row r="666">
      <x:c r="A666">
        <x:v>664</x:v>
      </x:c>
      <x:c r="B666" t="inlineStr">
        <x:is>
          <x:t xml:space="preserve">ยาทาฆ่าเชี้อรา</x:t>
        </x:is>
      </x:c>
      <x:c r="C666">
        <x:v>6059</x:v>
      </x:c>
      <x:c r="D666" t="inlineStr">
        <x:is>
          <x:t xml:space="preserve">Candix Solution</x:t>
        </x:is>
      </x:c>
      <x:c r="E666" t="inlineStr">
        <x:is>
          <x:t xml:space="preserve">ขวด 15 ml.</x:t>
        </x:is>
      </x:c>
      <x:c r="F666" t="inlineStr">
        <x:is>
          <x:t xml:space="preserve">Clotrimazole 1 g./100 ml.</x:t>
        </x:is>
      </x:c>
      <x:c r="G666" t="inlineStr">
        <x:is>
          <x:t xml:space="preserve">BDS006059</x:t>
        </x:is>
      </x:c>
      <x:c r="H666" t="inlineStr">
        <x:is>
          <x:t xml:space="preserve">Candix Solution (15 ml.)</x:t>
        </x:is>
      </x:c>
      <x:c r="I666" t="inlineStr">
        <x:is>
          <x:t xml:space="preserve">ทาบางๆ บริเวณที่มีอาการ วันละ 2-3 ครั้ง </x:t>
        </x:is>
      </x:c>
    </x:row>
    <x:row r="667">
      <x:c r="A667">
        <x:v>665</x:v>
      </x:c>
      <x:c r="B667" t="inlineStr">
        <x:is>
          <x:t xml:space="preserve">ยาทาฆ่าเชี้อรา</x:t>
        </x:is>
      </x:c>
      <x:c r="C667">
        <x:v>1489</x:v>
      </x:c>
      <x:c r="D667" t="inlineStr">
        <x:is>
          <x:t xml:space="preserve">Canesten Cream 10 g</x:t>
        </x:is>
      </x:c>
      <x:c r="E667" t="inlineStr">
        <x:is>
          <x:t xml:space="preserve">หลอด 10 g.</x:t>
        </x:is>
      </x:c>
      <x:c r="F667" t="inlineStr">
        <x:is>
          <x:t xml:space="preserve">Clotrimazole 1 g./100 g.</x:t>
        </x:is>
      </x:c>
      <x:c r="G667" t="inlineStr">
        <x:is>
          <x:t xml:space="preserve">BDS001489</x:t>
        </x:is>
      </x:c>
      <x:c r="H667" t="inlineStr">
        <x:is>
          <x:t xml:space="preserve">Canesten Cream 10 g (10 g.)</x:t>
        </x:is>
      </x:c>
      <x:c r="I667" t="inlineStr">
        <x:is>
          <x:t xml:space="preserve">ทาครีมบางๆ บริเวณที่ติดเชื้อ วันละ 2-3 ครั้ง</x:t>
        </x:is>
      </x:c>
    </x:row>
    <x:row r="668">
      <x:c r="A668">
        <x:v>666</x:v>
      </x:c>
      <x:c r="B668" t="inlineStr">
        <x:is>
          <x:t xml:space="preserve">ยาทาฆ่าเชี้อรา</x:t>
        </x:is>
      </x:c>
      <x:c r="C668">
        <x:v>1422</x:v>
      </x:c>
      <x:c r="D668" t="inlineStr">
        <x:is>
          <x:t xml:space="preserve">Canesten Cream 20 g</x:t>
        </x:is>
      </x:c>
      <x:c r="E668" t="inlineStr">
        <x:is>
          <x:t xml:space="preserve">หลอด 20 g.</x:t>
        </x:is>
      </x:c>
      <x:c r="F668" t="inlineStr">
        <x:is>
          <x:t xml:space="preserve">Clotrimazole 1 g./100 g.</x:t>
        </x:is>
      </x:c>
      <x:c r="G668" t="inlineStr">
        <x:is>
          <x:t xml:space="preserve">BDS001422</x:t>
        </x:is>
      </x:c>
      <x:c r="H668" t="inlineStr">
        <x:is>
          <x:t xml:space="preserve">Canesten Cream 20 g (20 g.)</x:t>
        </x:is>
      </x:c>
      <x:c r="I668" t="inlineStr">
        <x:is>
          <x:t xml:space="preserve">ทาครีมบางๆ บริเวณที่ติดเชื้อ วันละ 2-3 ครั้ง</x:t>
        </x:is>
      </x:c>
    </x:row>
    <x:row r="669">
      <x:c r="A669">
        <x:v>667</x:v>
      </x:c>
      <x:c r="B669" t="inlineStr">
        <x:is>
          <x:t xml:space="preserve">ยาทาฆ่าเชี้อรา</x:t>
        </x:is>
      </x:c>
      <x:c r="C669">
        <x:v>41433</x:v>
      </x:c>
      <x:c r="D669" t="inlineStr">
        <x:is>
          <x:t xml:space="preserve">Canesten Cream O.D.</x:t>
        </x:is>
      </x:c>
      <x:c r="E669" t="inlineStr">
        <x:is>
          <x:t xml:space="preserve">หลอด 10 g.</x:t>
        </x:is>
      </x:c>
      <x:c r="F669" t="inlineStr">
        <x:is>
          <x:t xml:space="preserve">Bifonazole 1 g./100 g.</x:t>
        </x:is>
      </x:c>
      <x:c r="G669" t="inlineStr">
        <x:is>
          <x:t xml:space="preserve">BDS041433</x:t>
        </x:is>
      </x:c>
      <x:c r="H669" t="inlineStr">
        <x:is>
          <x:t xml:space="preserve">Canesten Cream O.D. (10 g.)</x:t>
        </x:is>
      </x:c>
      <x:c r="I669" t="inlineStr">
        <x:is>
          <x:t xml:space="preserve">ทาครีมบางๆ บริเวณที่ติดเชื้อ วันละ 1 ครั้ง ควรทาตอนเย็นก่อนเข้านอน</x:t>
        </x:is>
      </x:c>
    </x:row>
    <x:row r="670">
      <x:c r="A670">
        <x:v>668</x:v>
      </x:c>
      <x:c r="B670" t="inlineStr">
        <x:is>
          <x:t xml:space="preserve">ยาทาฆ่าเชี้อรา</x:t>
        </x:is>
      </x:c>
      <x:c r="C670">
        <x:v>7735</x:v>
      </x:c>
      <x:c r="D670" t="inlineStr">
        <x:is>
          <x:t xml:space="preserve">Fango Cream เล็ก</x:t>
        </x:is>
      </x:c>
      <x:c r="E670" t="inlineStr">
        <x:is>
          <x:t xml:space="preserve">หลอด 5 g.</x:t>
        </x:is>
      </x:c>
      <x:c r="F670" t="inlineStr">
        <x:is>
          <x:t xml:space="preserve">Clotrimazole 1 g/100 g</x:t>
        </x:is>
      </x:c>
      <x:c r="G670" t="inlineStr">
        <x:is>
          <x:t xml:space="preserve">BDS007735</x:t>
        </x:is>
      </x:c>
      <x:c r="H670" t="inlineStr">
        <x:is>
          <x:t xml:space="preserve">Fango Cream เล็ก (5 g.)</x:t>
        </x:is>
      </x:c>
      <x:c r="I670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x:t>
        </x:is>
      </x:c>
    </x:row>
    <x:row r="671">
      <x:c r="A671">
        <x:v>669</x:v>
      </x:c>
      <x:c r="B671" t="inlineStr">
        <x:is>
          <x:t xml:space="preserve">ยาทาฆ่าเชี้อรา</x:t>
        </x:is>
      </x:c>
      <x:c r="C671">
        <x:v>43117</x:v>
      </x:c>
      <x:c r="D671" t="inlineStr">
        <x:is>
          <x:t xml:space="preserve">Fango Cream ใหญ่</x:t>
        </x:is>
      </x:c>
      <x:c r="E671" t="inlineStr">
        <x:is>
          <x:t xml:space="preserve">หลอด 15 g.</x:t>
        </x:is>
      </x:c>
      <x:c r="F671" t="inlineStr">
        <x:is>
          <x:t xml:space="preserve">Clotrimazole 1 g/100 g</x:t>
        </x:is>
      </x:c>
      <x:c r="G671" t="inlineStr">
        <x:is>
          <x:t xml:space="preserve">BDS043117</x:t>
        </x:is>
      </x:c>
      <x:c r="H671" t="inlineStr">
        <x:is>
          <x:t xml:space="preserve">Fango Cream ใหญ่ (15 g.)</x:t>
        </x:is>
      </x:c>
      <x:c r="I671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x:t>
        </x:is>
      </x:c>
    </x:row>
    <x:row r="672">
      <x:c r="A672">
        <x:v>670</x:v>
      </x:c>
      <x:c r="B672" t="inlineStr">
        <x:is>
          <x:t xml:space="preserve">ยาทาฆ่าเชี้อรา</x:t>
        </x:is>
      </x:c>
      <x:c r="C672">
        <x:v>7542</x:v>
      </x:c>
      <x:c r="D672" t="inlineStr">
        <x:is>
          <x:t xml:space="preserve">Fungasin Cream เล็ก</x:t>
        </x:is>
      </x:c>
      <x:c r="E672" t="inlineStr">
        <x:is>
          <x:t xml:space="preserve">หลอด 5 g.</x:t>
        </x:is>
      </x:c>
      <x:c r="F672" t="inlineStr">
        <x:is>
          <x:t xml:space="preserve">Ketoconazole 20 mg./1 g.</x:t>
        </x:is>
      </x:c>
      <x:c r="G672" t="inlineStr">
        <x:is>
          <x:t xml:space="preserve">BDS007542</x:t>
        </x:is>
      </x:c>
      <x:c r="H672" t="inlineStr">
        <x:is>
          <x:t xml:space="preserve">Fungasin Cream เล็ก (5 g.)</x:t>
        </x:is>
      </x:c>
      <x:c r="I672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1-2 ครั้ง</x:t>
        </x:is>
      </x:c>
    </x:row>
    <x:row r="673">
      <x:c r="A673">
        <x:v>671</x:v>
      </x:c>
      <x:c r="B673" t="inlineStr">
        <x:is>
          <x:t xml:space="preserve">ยาทาฆ่าเชี้อรา</x:t>
        </x:is>
      </x:c>
      <x:c r="C673">
        <x:v>7543</x:v>
      </x:c>
      <x:c r="D673" t="inlineStr">
        <x:is>
          <x:t xml:space="preserve">Fungasin Cream ใหญ่</x:t>
        </x:is>
      </x:c>
      <x:c r="E673" t="inlineStr">
        <x:is>
          <x:t xml:space="preserve">หลอด 20 g.</x:t>
        </x:is>
      </x:c>
      <x:c r="F673" t="inlineStr">
        <x:is>
          <x:t xml:space="preserve">Ketoconazole 20 mg./1 g.</x:t>
        </x:is>
      </x:c>
      <x:c r="G673" t="inlineStr">
        <x:is>
          <x:t xml:space="preserve">BDS007543</x:t>
        </x:is>
      </x:c>
      <x:c r="H673" t="inlineStr">
        <x:is>
          <x:t xml:space="preserve">Fungasin Cream ใหญ่ (20 g.)</x:t>
        </x:is>
      </x:c>
      <x:c r="I673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1-2 ครั้ง</x:t>
        </x:is>
      </x:c>
    </x:row>
    <x:row r="674">
      <x:c r="A674">
        <x:v>672</x:v>
      </x:c>
      <x:c r="B674" t="inlineStr">
        <x:is>
          <x:t xml:space="preserve">ยาทาฆ่าเชี้อรา</x:t>
        </x:is>
      </x:c>
      <x:c r="C674">
        <x:v>8451</x:v>
      </x:c>
      <x:c r="D674" t="inlineStr">
        <x:is>
          <x:t xml:space="preserve">Funginox Solution</x:t>
        </x:is>
      </x:c>
      <x:c r="E674" t="inlineStr">
        <x:is>
          <x:t xml:space="preserve">ขวด 25 ml.</x:t>
        </x:is>
      </x:c>
      <x:c r="F674" t="inlineStr">
        <x:is>
          <x:t xml:space="preserve">Ketoconazole 2%</x:t>
        </x:is>
      </x:c>
      <x:c r="G674" t="inlineStr">
        <x:is>
          <x:t xml:space="preserve">BDS008451</x:t>
        </x:is>
      </x:c>
      <x:c r="H674" t="inlineStr">
        <x:is>
          <x:t xml:space="preserve">Funginox Solution (25 ml.)</x:t>
        </x:is>
      </x:c>
      <x:c r="I674" t="inlineStr">
        <x:is>
          <x:t xml:space="preserve">สเปรย์ลงบนผิวหนังโดยไม่ต้องล้างออก วันละ 1-2 ครั้ง</x:t>
        </x:is>
      </x:c>
    </x:row>
    <x:row r="675">
      <x:c r="A675">
        <x:v>673</x:v>
      </x:c>
      <x:c r="B675" t="inlineStr">
        <x:is>
          <x:t xml:space="preserve">ยาทาฆ่าเชี้อรา</x:t>
        </x:is>
      </x:c>
      <x:c r="C675">
        <x:v>2562</x:v>
      </x:c>
      <x:c r="D675" t="inlineStr">
        <x:is>
          <x:t xml:space="preserve">Lamazone Cream</x:t>
        </x:is>
      </x:c>
      <x:c r="E675" t="inlineStr">
        <x:is>
          <x:t xml:space="preserve">หลอด 10 g.</x:t>
        </x:is>
      </x:c>
      <x:c r="F675" t="inlineStr">
        <x:is>
          <x:t xml:space="preserve">Clotrimazole 1 g./100 g.</x:t>
        </x:is>
      </x:c>
      <x:c r="G675" t="inlineStr">
        <x:is>
          <x:t xml:space="preserve">BDS002562</x:t>
        </x:is>
      </x:c>
      <x:c r="H675" t="inlineStr">
        <x:is>
          <x:t xml:space="preserve">Lamazone Cream (10 g.)</x:t>
        </x:is>
      </x:c>
      <x:c r="I675" t="inlineStr">
        <x:is>
          <x:t xml:space="preserve">ทาครีมบางๆ บริเวณที่ติดเชื้อ วันละ 2-3 ครั้ง</x:t>
        </x:is>
      </x:c>
    </x:row>
    <x:row r="676">
      <x:c r="A676">
        <x:v>674</x:v>
      </x:c>
      <x:c r="B676" t="inlineStr">
        <x:is>
          <x:t xml:space="preserve">ยาทาฆ่าเชี้อรา</x:t>
        </x:is>
      </x:c>
      <x:c r="C676">
        <x:v>2563</x:v>
      </x:c>
      <x:c r="D676" t="inlineStr">
        <x:is>
          <x:t xml:space="preserve">Lamisil Cream</x:t>
        </x:is>
      </x:c>
      <x:c r="E676" t="inlineStr">
        <x:is>
          <x:t xml:space="preserve">หลอด 5 g.</x:t>
        </x:is>
      </x:c>
      <x:c r="F676" t="inlineStr">
        <x:is>
          <x:t xml:space="preserve">Terbinafine HCl 10 mg./1 g.</x:t>
        </x:is>
      </x:c>
      <x:c r="G676" t="inlineStr">
        <x:is>
          <x:t xml:space="preserve">BDS002563</x:t>
        </x:is>
      </x:c>
      <x:c r="H676" t="inlineStr">
        <x:is>
          <x:t xml:space="preserve">Lamisil Cream (5 g.)</x:t>
        </x:is>
      </x:c>
      <x:c r="I676" t="inlineStr">
        <x:is>
          <x:t xml:space="preserve">ทาครีมบางๆ บริเวณที่ติดเชื้อวันละ 1-2 ครั้ง</x:t>
        </x:is>
      </x:c>
    </x:row>
    <x:row r="677">
      <x:c r="A677">
        <x:v>675</x:v>
      </x:c>
      <x:c r="B677" t="inlineStr">
        <x:is>
          <x:t xml:space="preserve">ยาทาฆ่าเชี้อรา</x:t>
        </x:is>
      </x:c>
      <x:c r="C677">
        <x:v>2648</x:v>
      </x:c>
      <x:c r="D677" t="inlineStr">
        <x:is>
          <x:t xml:space="preserve">Mycoderm-C 1%</x:t>
        </x:is>
      </x:c>
      <x:c r="E677" t="inlineStr">
        <x:is>
          <x:t xml:space="preserve">ขวด 75 g.</x:t>
        </x:is>
      </x:c>
      <x:c r="F677" t="inlineStr">
        <x:is>
          <x:t xml:space="preserve">Clotrimazole BP 1% w/w</x:t>
        </x:is>
      </x:c>
      <x:c r="G677" t="inlineStr">
        <x:is>
          <x:t xml:space="preserve">BDS002648</x:t>
        </x:is>
      </x:c>
      <x:c r="H677" t="inlineStr">
        <x:is>
          <x:t xml:space="preserve">Mycoderm-C 1% (75 g.)</x:t>
        </x:is>
      </x:c>
      <x:c r="I677" t="inlineStr">
        <x:is>
          <x:t xml:space="preserve">โรยผิวหนังบริเวณที่มีการติดเชื้อราที่ใกล้จะหายแล้วหลังจากการทาด้วยโคลไตรมาโซลชนิดครีม </x:t>
        </x:is>
      </x:c>
    </x:row>
    <x:row r="678">
      <x:c r="A678">
        <x:v>676</x:v>
      </x:c>
      <x:c r="B678" t="inlineStr">
        <x:is>
          <x:t xml:space="preserve">ยาทาฆ่าเชี้อรา</x:t>
        </x:is>
      </x:c>
      <x:c r="C678">
        <x:v>45665</x:v>
      </x:c>
      <x:c r="D678" t="inlineStr">
        <x:is>
          <x:t xml:space="preserve">Nizoral Cream 15 g.</x:t>
        </x:is>
      </x:c>
      <x:c r="E678" t="inlineStr">
        <x:is>
          <x:t xml:space="preserve">หลอด 15 g.</x:t>
        </x:is>
      </x:c>
      <x:c r="F678" t="inlineStr">
        <x:is>
          <x:t xml:space="preserve">Ketoconazole 20 g.</x:t>
        </x:is>
      </x:c>
      <x:c r="G678" t="inlineStr">
        <x:is>
          <x:t xml:space="preserve">BDS045665</x:t>
        </x:is>
      </x:c>
      <x:c r="H678" t="inlineStr">
        <x:is>
          <x:t xml:space="preserve">Nizoral Cream 15 g. (15 g.)</x:t>
        </x:is>
      </x:c>
      <x:c r="I678" t="inlineStr">
        <x:is>
          <x:t xml:space="preserve">ทาครีมบางๆ บริเวณผิวหนังที่มีการติดเชื้อและบริเวณรอบๆ ที่มีการติดเชื้อนั้นด้วย วันละ 1 ครั้ง </x:t>
        </x:is>
      </x:c>
    </x:row>
    <x:row r="679">
      <x:c r="A679">
        <x:v>677</x:v>
      </x:c>
      <x:c r="B679" t="inlineStr">
        <x:is>
          <x:t xml:space="preserve">ยาทาฆ่าเชี้อรา</x:t>
        </x:is>
      </x:c>
      <x:c r="C679">
        <x:v>2829</x:v>
      </x:c>
      <x:c r="D679" t="inlineStr">
        <x:is>
          <x:t xml:space="preserve">Nizoral Cream เล็ก</x:t>
        </x:is>
      </x:c>
      <x:c r="E679" t="inlineStr">
        <x:is>
          <x:t xml:space="preserve">หลอด 5 g.</x:t>
        </x:is>
      </x:c>
      <x:c r="F679" t="inlineStr">
        <x:is>
          <x:t xml:space="preserve">Ketoconazole 20 mg./1 g.</x:t>
        </x:is>
      </x:c>
      <x:c r="G679" t="inlineStr">
        <x:is>
          <x:t xml:space="preserve">BDS002829</x:t>
        </x:is>
      </x:c>
      <x:c r="H679" t="inlineStr">
        <x:is>
          <x:t xml:space="preserve">Nizoral Cream เล็ก (5 g.)</x:t>
        </x:is>
      </x:c>
      <x:c r="I679" t="inlineStr">
        <x:is>
          <x:t xml:space="preserve">ทาครีมบางๆ บริเวณผิวหนังที่มีการติดเชื้อและบริเวณรอบๆ ที่มีการติดเชื้อ วันละ 1 ครั้ง</x:t>
        </x:is>
      </x:c>
    </x:row>
    <x:row r="680">
      <x:c r="A680">
        <x:v>678</x:v>
      </x:c>
      <x:c r="B680" t="inlineStr">
        <x:is>
          <x:t xml:space="preserve">ยาทาฆ่าเชี้อรา</x:t>
        </x:is>
      </x:c>
      <x:c r="C680">
        <x:v>4205</x:v>
      </x:c>
      <x:c r="D680" t="inlineStr">
        <x:is>
          <x:t xml:space="preserve">Zema Lotion</x:t>
        </x:is>
      </x:c>
      <x:c r="E680" t="inlineStr">
        <x:is>
          <x:t xml:space="preserve">ขวด 15 ml.</x:t>
        </x:is>
      </x:c>
      <x:c r="F680" t="inlineStr">
        <x:is>
          <x:t xml:space="preserve">Salicylic Acid 11.8%+Resorcinol 3.8%+Phenylic Acid 0.285%</x:t>
        </x:is>
      </x:c>
      <x:c r="G680" t="inlineStr">
        <x:is>
          <x:t xml:space="preserve">BDS004205</x:t>
        </x:is>
      </x:c>
      <x:c r="H680" t="inlineStr">
        <x:is>
          <x:t xml:space="preserve">Zema Lotion (15 ml.)</x:t>
        </x:is>
      </x:c>
      <x:c r="I680" t="inlineStr">
        <x:is>
          <x:t xml:space="preserve">ทาโลชั่นบางๆ บริเวณที่ติดเชื้อ วันละ 1-2 ครั้ง</x:t>
        </x:is>
      </x:c>
    </x:row>
    <x:row r="681">
      <x:c r="A681">
        <x:v>679</x:v>
      </x:c>
      <x:c r="B681" t="inlineStr">
        <x:is>
          <x:t xml:space="preserve">ยาทาแก้แพ้, แก้คัน (D)</x:t>
        </x:is>
      </x:c>
      <x:c r="C681">
        <x:v>6745</x:v>
      </x:c>
      <x:c r="D681" t="inlineStr">
        <x:is>
          <x:t xml:space="preserve">Antergan Cream</x:t>
        </x:is>
      </x:c>
      <x:c r="E681" t="inlineStr">
        <x:is>
          <x:t xml:space="preserve">หลอด 10 g.</x:t>
        </x:is>
      </x:c>
      <x:c r="F681" t="inlineStr">
        <x:is>
          <x:t xml:space="preserve">Hydrocortisone Acetate 5 mg+Mepyramine Maleate 20 mg/1 g</x:t>
        </x:is>
      </x:c>
      <x:c r="G681" t="inlineStr">
        <x:is>
          <x:t xml:space="preserve">BDS006745</x:t>
        </x:is>
      </x:c>
      <x:c r="H681" t="inlineStr">
        <x:is>
          <x:t xml:space="preserve">Antergan Cream (10 g.)</x:t>
        </x:is>
      </x:c>
      <x:c r="I681" t="inlineStr">
        <x:is>
          <x:t xml:space="preserve">ทาบางๆ วันละ 2-3 ครั้ง  หรือตามแพทย์สั่ง</x:t>
        </x:is>
      </x:c>
      <x:c r="P681" t="inlineStr">
        <x:is>
          <x:t xml:space="preserve">Eczema/diaper rash / anti-itch topicals</x:t>
        </x:is>
      </x:c>
    </x:row>
    <x:row r="682">
      <x:c r="A682">
        <x:v>680</x:v>
      </x:c>
      <x:c r="B682" t="inlineStr">
        <x:is>
          <x:t xml:space="preserve">ยาทาแก้แพ้, แก้คัน (D)</x:t>
        </x:is>
      </x:c>
      <x:c r="C682">
        <x:v>1057</x:v>
      </x:c>
      <x:c r="D682" t="inlineStr">
        <x:is>
          <x:t xml:space="preserve">Aristocort 0.02%</x:t>
        </x:is>
      </x:c>
      <x:c r="E682" t="inlineStr">
        <x:is>
          <x:t xml:space="preserve">หลอด 15 g.</x:t>
        </x:is>
      </x:c>
      <x:c r="F682" t="inlineStr">
        <x:is>
          <x:t xml:space="preserve">Triamcinolone Acetonide 0.02%</x:t>
        </x:is>
      </x:c>
      <x:c r="G682" t="inlineStr">
        <x:is>
          <x:t xml:space="preserve">BDS001057</x:t>
        </x:is>
      </x:c>
      <x:c r="H682" t="inlineStr">
        <x:is>
          <x:t xml:space="preserve">Aristocort 0.02% (15 g.)</x:t>
        </x:is>
      </x:c>
      <x:c r="I682" t="inlineStr">
        <x:is>
          <x:t xml:space="preserve">ทาครีมบางๆ บริเวณที่มีอาการ วันละ 3-4 ครั้ง</x:t>
        </x:is>
      </x:c>
      <x:c r="P682" t="inlineStr">
        <x:is>
          <x:t xml:space="preserve">Eczema/diaper rash / anti-itch topicals</x:t>
        </x:is>
      </x:c>
    </x:row>
    <x:row r="683">
      <x:c r="A683">
        <x:v>681</x:v>
      </x:c>
      <x:c r="B683" t="inlineStr">
        <x:is>
          <x:t xml:space="preserve">ยาทาแก้แพ้, แก้คัน (D)</x:t>
        </x:is>
      </x:c>
      <x:c r="C683">
        <x:v>1058</x:v>
      </x:c>
      <x:c r="D683" t="inlineStr">
        <x:is>
          <x:t xml:space="preserve">Aristocort 0.1%</x:t>
        </x:is>
      </x:c>
      <x:c r="E683" t="inlineStr">
        <x:is>
          <x:t xml:space="preserve">หลอด 15 g.</x:t>
        </x:is>
      </x:c>
      <x:c r="F683" t="inlineStr">
        <x:is>
          <x:t xml:space="preserve">Triamcinolone Acetonide 1 mg/1 g (0.1%)+Preservative (Benzyl alcohol 2.0%)</x:t>
        </x:is>
      </x:c>
      <x:c r="G683" t="inlineStr">
        <x:is>
          <x:t xml:space="preserve">BDS001058</x:t>
        </x:is>
      </x:c>
      <x:c r="H683" t="inlineStr">
        <x:is>
          <x:t xml:space="preserve">Aristocort 0.1% (15 g.)</x:t>
        </x:is>
      </x:c>
      <x:c r="I683" t="inlineStr">
        <x:is>
          <x:t xml:space="preserve">ทาครีมบางๆ บริเวณที่มีอาการ วันละ 3-4 ครั้ง</x:t>
        </x:is>
      </x:c>
      <x:c r="P683" t="inlineStr">
        <x:is>
          <x:t xml:space="preserve">Eczema/diaper rash / anti-itch topicals</x:t>
        </x:is>
      </x:c>
    </x:row>
    <x:row r="684">
      <x:c r="A684">
        <x:v>682</x:v>
      </x:c>
      <x:c r="B684" t="inlineStr">
        <x:is>
          <x:t xml:space="preserve">ยาทาแก้แพ้, แก้คัน (D)</x:t>
        </x:is>
      </x:c>
      <x:c r="C684">
        <x:v>7501</x:v>
      </x:c>
      <x:c r="D684" t="inlineStr">
        <x:is>
          <x:t xml:space="preserve">Betatone Cream เล็ก</x:t>
        </x:is>
      </x:c>
      <x:c r="E684" t="inlineStr">
        <x:is>
          <x:t xml:space="preserve">หลอด 5 g.</x:t>
        </x:is>
      </x:c>
      <x:c r="F684" t="inlineStr">
        <x:is>
          <x:t xml:space="preserve">Betamethasone Valerate (eq. to Betamethasone 0.10 g/100 g)</x:t>
        </x:is>
      </x:c>
      <x:c r="G684" t="inlineStr">
        <x:is>
          <x:t xml:space="preserve">BDS007501</x:t>
        </x:is>
      </x:c>
      <x:c r="H684" t="inlineStr">
        <x:is>
          <x:t xml:space="preserve">Betatone Cream เล็ก (5 g.)</x:t>
        </x:is>
      </x:c>
      <x:c r="I684" t="inlineStr">
        <x:is>
          <x:t xml:space="preserve">ทาครีมบางๆ บริเวณที่มีอาการ วันละ 2-3 ครั้ง</x:t>
        </x:is>
      </x:c>
      <x:c r="P684" t="inlineStr">
        <x:is>
          <x:t xml:space="preserve">Eczema/diaper rash / anti-itch topicals</x:t>
        </x:is>
      </x:c>
    </x:row>
    <x:row r="685">
      <x:c r="A685">
        <x:v>683</x:v>
      </x:c>
      <x:c r="B685" t="inlineStr">
        <x:is>
          <x:t xml:space="preserve">ยาทาแก้แพ้, แก้คัน (D)</x:t>
        </x:is>
      </x:c>
      <x:c r="C685">
        <x:v>7502</x:v>
      </x:c>
      <x:c r="D685" t="inlineStr">
        <x:is>
          <x:t xml:space="preserve">Betatone Cream ใหญ่</x:t>
        </x:is>
      </x:c>
      <x:c r="E685" t="inlineStr">
        <x:is>
          <x:t xml:space="preserve">หลอด 15 g.</x:t>
        </x:is>
      </x:c>
      <x:c r="F685" t="inlineStr">
        <x:is>
          <x:t xml:space="preserve">Betamethasone Valerate (eq. to Betamethasone 0.10 g/100 g)</x:t>
        </x:is>
      </x:c>
      <x:c r="G685" t="inlineStr">
        <x:is>
          <x:t xml:space="preserve">BDS007502</x:t>
        </x:is>
      </x:c>
      <x:c r="H685" t="inlineStr">
        <x:is>
          <x:t xml:space="preserve">Betatone Cream ใหญ่ (15 g.)</x:t>
        </x:is>
      </x:c>
      <x:c r="I685" t="inlineStr">
        <x:is>
          <x:t xml:space="preserve">ทาครีมบางๆ บริเวณที่มีอาการ วันละ 2-3 ครั้ง</x:t>
        </x:is>
      </x:c>
      <x:c r="P685" t="inlineStr">
        <x:is>
          <x:t xml:space="preserve">Eczema/diaper rash / anti-itch topicals</x:t>
        </x:is>
      </x:c>
    </x:row>
    <x:row r="686">
      <x:c r="A686">
        <x:v>684</x:v>
      </x:c>
      <x:c r="B686" t="inlineStr">
        <x:is>
          <x:t xml:space="preserve">ยาทาแก้แพ้, แก้คัน (D)</x:t>
        </x:is>
      </x:c>
      <x:c r="C686">
        <x:v>1246</x:v>
      </x:c>
      <x:c r="D686" t="inlineStr">
        <x:is>
          <x:t xml:space="preserve">Betnovate Cream ใหญ่</x:t>
        </x:is>
      </x:c>
      <x:c r="E686" t="inlineStr">
        <x:is>
          <x:t xml:space="preserve">หลอด 15 g.</x:t>
        </x:is>
      </x:c>
      <x:c r="F686" t="inlineStr">
        <x:is>
          <x:t xml:space="preserve">Betamethasone 17-Valerate 0.122 %w/w</x:t>
        </x:is>
      </x:c>
      <x:c r="G686" t="inlineStr">
        <x:is>
          <x:t xml:space="preserve">BDS001246</x:t>
        </x:is>
      </x:c>
      <x:c r="H686" t="inlineStr">
        <x:is>
          <x:t xml:space="preserve">Betnovate Cream ใหญ่ (15 g.)</x:t>
        </x:is>
      </x:c>
      <x:c r="I686" t="inlineStr">
        <x:is>
          <x:t xml:space="preserve">ทาครีมบางๆ บริเวณที่มีอาการ วันละ 2-3 ครั้ง</x:t>
        </x:is>
      </x:c>
      <x:c r="P686" t="inlineStr">
        <x:is>
          <x:t xml:space="preserve">Eczema/diaper rash / anti-itch topicals</x:t>
        </x:is>
      </x:c>
    </x:row>
    <x:row r="687">
      <x:c r="A687">
        <x:v>685</x:v>
      </x:c>
      <x:c r="B687" t="inlineStr">
        <x:is>
          <x:t xml:space="preserve">ยาทาแก้แพ้, แก้คัน (D)</x:t>
        </x:is>
      </x:c>
      <x:c r="C687">
        <x:v>1216</x:v>
      </x:c>
      <x:c r="D687" t="inlineStr">
        <x:is>
          <x:t xml:space="preserve">Betnovate Scalp</x:t>
        </x:is>
      </x:c>
      <x:c r="E687" t="inlineStr">
        <x:is>
          <x:t xml:space="preserve">ขวด 30 ml.</x:t>
        </x:is>
      </x:c>
      <x:c r="F687" t="inlineStr">
        <x:is>
          <x:t xml:space="preserve">Betamethasone 17-Valerate 0.122 % w/w</x:t>
        </x:is>
      </x:c>
      <x:c r="G687" t="inlineStr">
        <x:is>
          <x:t xml:space="preserve">BDS001216</x:t>
        </x:is>
      </x:c>
      <x:c r="H687" t="inlineStr">
        <x:is>
          <x:t xml:space="preserve">Betnovate Scalp (30 ml.)</x:t>
        </x:is>
      </x:c>
      <x:c r="I687" t="inlineStr">
        <x:is>
          <x:t xml:space="preserve">ทาบางๆ บริเวณที่มีอาการ วันละ 2 ครั้ง </x:t>
        </x:is>
      </x:c>
      <x:c r="P687" t="inlineStr">
        <x:is>
          <x:t xml:space="preserve">Eczema/diaper rash / anti-itch topicals</x:t>
        </x:is>
      </x:c>
    </x:row>
    <x:row r="688">
      <x:c r="A688">
        <x:v>686</x:v>
      </x:c>
      <x:c r="B688" t="inlineStr">
        <x:is>
          <x:t xml:space="preserve">ยาทาแก้แพ้, แก้คัน (D)</x:t>
        </x:is>
      </x:c>
      <x:c r="C688">
        <x:v>41408</x:v>
      </x:c>
      <x:c r="D688" t="inlineStr">
        <x:is>
          <x:t xml:space="preserve">Clinivate Cream ใหญ่</x:t>
        </x:is>
      </x:c>
      <x:c r="E688" t="inlineStr">
        <x:is>
          <x:t xml:space="preserve">หลอด 15 g.</x:t>
        </x:is>
      </x:c>
      <x:c r="F688" t="inlineStr">
        <x:is>
          <x:t xml:space="preserve">Betamethasone Valerate (eq. to Betamethasone 1 mg./1 g.</x:t>
        </x:is>
      </x:c>
      <x:c r="G688" t="inlineStr">
        <x:is>
          <x:t xml:space="preserve">BDS041408</x:t>
        </x:is>
      </x:c>
      <x:c r="H688" t="inlineStr">
        <x:is>
          <x:t xml:space="preserve">Clinivate Cream ใหญ่ (15 g.)</x:t>
        </x:is>
      </x:c>
      <x:c r="I688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688" t="inlineStr">
        <x:is>
          <x:t xml:space="preserve">Eczema/diaper rash / anti-itch topicals</x:t>
        </x:is>
      </x:c>
    </x:row>
    <x:row r="689">
      <x:c r="A689">
        <x:v>687</x:v>
      </x:c>
      <x:c r="B689" t="inlineStr">
        <x:is>
          <x:t xml:space="preserve">ยาทาแก้แพ้, แก้คัน (D)</x:t>
        </x:is>
      </x:c>
      <x:c r="C689">
        <x:v>6198</x:v>
      </x:c>
      <x:c r="D689" t="inlineStr">
        <x:is>
          <x:t xml:space="preserve">Clinoderm Cream</x:t>
        </x:is>
      </x:c>
      <x:c r="E689" t="inlineStr">
        <x:is>
          <x:t xml:space="preserve">หลอด 15 g.</x:t>
        </x:is>
      </x:c>
      <x:c r="F689" t="inlineStr">
        <x:is>
          <x:t xml:space="preserve">Clobetasol Propionate 0.05 g/100 g (0.05%)</x:t>
        </x:is>
      </x:c>
      <x:c r="G689" t="inlineStr">
        <x:is>
          <x:t xml:space="preserve">BDS006198</x:t>
        </x:is>
      </x:c>
      <x:c r="H689" t="inlineStr">
        <x:is>
          <x:t xml:space="preserve">Clinoderm Cream (15 g.)</x:t>
        </x:is>
      </x:c>
      <x:c r="I689" t="inlineStr">
        <x:is>
          <x:t xml:space="preserve">ทาครีมบางๆ บริเวณที่มีอาการ วันละ 1-2 ครั้ง </x:t>
        </x:is>
      </x:c>
      <x:c r="P689" t="inlineStr">
        <x:is>
          <x:t xml:space="preserve">Eczema/diaper rash / anti-itch topicals</x:t>
        </x:is>
      </x:c>
    </x:row>
    <x:row r="690">
      <x:c r="A690">
        <x:v>688</x:v>
      </x:c>
      <x:c r="B690" t="inlineStr">
        <x:is>
          <x:t xml:space="preserve">ยาทาแก้แพ้, แก้คัน (D)</x:t>
        </x:is>
      </x:c>
      <x:c r="C690">
        <x:v>7514</x:v>
      </x:c>
      <x:c r="D690" t="inlineStr">
        <x:is>
          <x:t xml:space="preserve">Clobevate Cream เล็ก</x:t>
        </x:is>
      </x:c>
      <x:c r="E690" t="inlineStr">
        <x:is>
          <x:t xml:space="preserve">หลอด 5 g.</x:t>
        </x:is>
      </x:c>
      <x:c r="F690" t="inlineStr">
        <x:is>
          <x:t xml:space="preserve">Clobetasol Propionate 0.05 g/100 g (0.05%)</x:t>
        </x:is>
      </x:c>
      <x:c r="G690" t="inlineStr">
        <x:is>
          <x:t xml:space="preserve">BDS007514</x:t>
        </x:is>
      </x:c>
      <x:c r="H690" t="inlineStr">
        <x:is>
          <x:t xml:space="preserve">Clobevate Cream เล็ก (5 g.)</x:t>
        </x:is>
      </x:c>
      <x:c r="I690" t="inlineStr">
        <x:is>
          <x:t xml:space="preserve">ทาครีมบางๆ บริเวณที่มีอาการ วันละ 2-3 ครั้ง</x:t>
        </x:is>
      </x:c>
      <x:c r="P690" t="inlineStr">
        <x:is>
          <x:t xml:space="preserve">Eczema/diaper rash / anti-itch topicals</x:t>
        </x:is>
      </x:c>
    </x:row>
    <x:row r="691">
      <x:c r="A691">
        <x:v>689</x:v>
      </x:c>
      <x:c r="B691" t="inlineStr">
        <x:is>
          <x:t xml:space="preserve">ยาทาแก้แพ้, แก้คัน (D)</x:t>
        </x:is>
      </x:c>
      <x:c r="C691">
        <x:v>7515</x:v>
      </x:c>
      <x:c r="D691" t="inlineStr">
        <x:is>
          <x:t xml:space="preserve">Clobevate Cream ใหญ่</x:t>
        </x:is>
      </x:c>
      <x:c r="E691" t="inlineStr">
        <x:is>
          <x:t xml:space="preserve">หลอด 15 g.</x:t>
        </x:is>
      </x:c>
      <x:c r="F691" t="inlineStr">
        <x:is>
          <x:t xml:space="preserve">Clobetasol Propionate 0.05 g/100 g (0.05%)</x:t>
        </x:is>
      </x:c>
      <x:c r="G691" t="inlineStr">
        <x:is>
          <x:t xml:space="preserve">BDS007515</x:t>
        </x:is>
      </x:c>
      <x:c r="H691" t="inlineStr">
        <x:is>
          <x:t xml:space="preserve">Clobevate Cream ใหญ่ (15 g.)</x:t>
        </x:is>
      </x:c>
      <x:c r="I691" t="inlineStr">
        <x:is>
          <x:t xml:space="preserve">ทาครีมบางๆ บริเวณที่มีอาการ วันละ 2-3 ครั้ง</x:t>
        </x:is>
      </x:c>
      <x:c r="P691" t="inlineStr">
        <x:is>
          <x:t xml:space="preserve">Eczema/diaper rash / anti-itch topicals</x:t>
        </x:is>
      </x:c>
    </x:row>
    <x:row r="692">
      <x:c r="A692">
        <x:v>690</x:v>
      </x:c>
      <x:c r="B692" t="inlineStr">
        <x:is>
          <x:t xml:space="preserve">ยาทาแก้แพ้, แก้คัน (D)</x:t>
        </x:is>
      </x:c>
      <x:c r="C692">
        <x:v>1621</x:v>
      </x:c>
      <x:c r="D692" t="inlineStr">
        <x:is>
          <x:t xml:space="preserve">Dermatop Cream เล็ก</x:t>
        </x:is>
      </x:c>
      <x:c r="E692" t="inlineStr">
        <x:is>
          <x:t xml:space="preserve">หลอด 5 g.</x:t>
        </x:is>
      </x:c>
      <x:c r="F692" t="inlineStr">
        <x:is>
          <x:t xml:space="preserve">Prednicarbate 2.5 mg/1 g (0.25%)</x:t>
        </x:is>
      </x:c>
      <x:c r="G692" t="inlineStr">
        <x:is>
          <x:t xml:space="preserve">BDS001621</x:t>
        </x:is>
      </x:c>
      <x:c r="H692" t="inlineStr">
        <x:is>
          <x:t xml:space="preserve">Dermatop Cream เล็ก (5 g.)</x:t>
        </x:is>
      </x:c>
      <x:c r="I692" t="inlineStr">
        <x:is>
          <x:t xml:space="preserve">ทาครีมบางๆ บริเวณที่มีอาการ วันละ 2-3 ครั้ง</x:t>
        </x:is>
      </x:c>
      <x:c r="P692" t="inlineStr">
        <x:is>
          <x:t xml:space="preserve">Eczema/diaper rash / anti-itch topicals</x:t>
        </x:is>
      </x:c>
    </x:row>
    <x:row r="693">
      <x:c r="A693">
        <x:v>691</x:v>
      </x:c>
      <x:c r="B693" t="inlineStr">
        <x:is>
          <x:t xml:space="preserve">ยาทาแก้แพ้, แก้คัน (D)</x:t>
        </x:is>
      </x:c>
      <x:c r="C693">
        <x:v>1622</x:v>
      </x:c>
      <x:c r="D693" t="inlineStr">
        <x:is>
          <x:t xml:space="preserve">Dermovate Cream เล็ก</x:t>
        </x:is>
      </x:c>
      <x:c r="E693" t="inlineStr">
        <x:is>
          <x:t xml:space="preserve">หลอด 5 g.</x:t>
        </x:is>
      </x:c>
      <x:c r="F693" t="inlineStr">
        <x:is>
          <x:t xml:space="preserve">Clobetasol Propionate 0.05% w/w</x:t>
        </x:is>
      </x:c>
      <x:c r="G693" t="inlineStr">
        <x:is>
          <x:t xml:space="preserve">BDS001622</x:t>
        </x:is>
      </x:c>
      <x:c r="H693" t="inlineStr">
        <x:is>
          <x:t xml:space="preserve">Dermovate Cream เล็ก (5 g.)</x:t>
        </x:is>
      </x:c>
      <x:c r="I693" t="inlineStr">
        <x:is>
          <x:t xml:space="preserve">ทาครีมบางๆ บริเวณที่มีอาการวันละ 2-3 ครั้ง</x:t>
        </x:is>
      </x:c>
      <x:c r="P693" t="inlineStr">
        <x:is>
          <x:t xml:space="preserve">Eczema/diaper rash / anti-itch topicals</x:t>
        </x:is>
      </x:c>
    </x:row>
    <x:row r="694">
      <x:c r="A694">
        <x:v>692</x:v>
      </x:c>
      <x:c r="B694" t="inlineStr">
        <x:is>
          <x:t xml:space="preserve">ยาทาแก้แพ้, แก้คัน (D)</x:t>
        </x:is>
      </x:c>
      <x:c r="C694">
        <x:v>1623</x:v>
      </x:c>
      <x:c r="D694" t="inlineStr">
        <x:is>
          <x:t xml:space="preserve">Dermovate Cream ใหญ่</x:t>
        </x:is>
      </x:c>
      <x:c r="E694" t="inlineStr">
        <x:is>
          <x:t xml:space="preserve">หลอด 15 g.</x:t>
        </x:is>
      </x:c>
      <x:c r="F694" t="inlineStr">
        <x:is>
          <x:t xml:space="preserve">Clobetasol Propionate 0.05% w/w</x:t>
        </x:is>
      </x:c>
      <x:c r="G694" t="inlineStr">
        <x:is>
          <x:t xml:space="preserve">BDS001623</x:t>
        </x:is>
      </x:c>
      <x:c r="H694" t="inlineStr">
        <x:is>
          <x:t xml:space="preserve">Dermovate Cream ใหญ่ (15 g.)</x:t>
        </x:is>
      </x:c>
      <x:c r="I694" t="inlineStr">
        <x:is>
          <x:t xml:space="preserve">ทาครีมบางๆ บริเวณที่มีอาการวันละ 2-3 ครั้ง</x:t>
        </x:is>
      </x:c>
      <x:c r="P694" t="inlineStr">
        <x:is>
          <x:t xml:space="preserve">Eczema/diaper rash / anti-itch topicals</x:t>
        </x:is>
      </x:c>
    </x:row>
    <x:row r="695">
      <x:c r="A695">
        <x:v>693</x:v>
      </x:c>
      <x:c r="B695" t="inlineStr">
        <x:is>
          <x:t xml:space="preserve">ยาทาแก้แพ้, แก้คัน (D)</x:t>
        </x:is>
      </x:c>
      <x:c r="C695">
        <x:v>1630</x:v>
      </x:c>
      <x:c r="D695" t="inlineStr">
        <x:is>
          <x:t xml:space="preserve">Dermovate Ointment</x:t>
        </x:is>
      </x:c>
      <x:c r="E695" t="inlineStr">
        <x:is>
          <x:t xml:space="preserve">หลอด 5 g.</x:t>
        </x:is>
      </x:c>
      <x:c r="F695" t="inlineStr">
        <x:is>
          <x:t xml:space="preserve">Clobetasol Propionate 0.05% w/w</x:t>
        </x:is>
      </x:c>
      <x:c r="G695" t="inlineStr">
        <x:is>
          <x:t xml:space="preserve">BDS001630</x:t>
        </x:is>
      </x:c>
      <x:c r="H695" t="inlineStr">
        <x:is>
          <x:t xml:space="preserve">Dermovate Ointment (5 g.)</x:t>
        </x:is>
      </x:c>
      <x:c r="I695" t="inlineStr">
        <x:is>
          <x:t xml:space="preserve">ทาครีมบางๆ บริเวณที่มีอาการวันละ 2-3 ครั้ง</x:t>
        </x:is>
      </x:c>
      <x:c r="P695" t="inlineStr">
        <x:is>
          <x:t xml:space="preserve">Eczema/diaper rash / anti-itch topicals</x:t>
        </x:is>
      </x:c>
    </x:row>
    <x:row r="696">
      <x:c r="A696">
        <x:v>694</x:v>
      </x:c>
      <x:c r="B696" t="inlineStr">
        <x:is>
          <x:t xml:space="preserve">ยาทาแก้แพ้, แก้คัน (D)</x:t>
        </x:is>
      </x:c>
      <x:c r="C696">
        <x:v>1660</x:v>
      </x:c>
      <x:c r="D696" t="inlineStr">
        <x:is>
          <x:t xml:space="preserve">Dermovate Scalp</x:t>
        </x:is>
      </x:c>
      <x:c r="E696" t="inlineStr">
        <x:is>
          <x:t xml:space="preserve">ขวด 30 ml.</x:t>
        </x:is>
      </x:c>
      <x:c r="F696" t="inlineStr">
        <x:is>
          <x:t xml:space="preserve">Clobetasol Propionate 0.05% w/w</x:t>
        </x:is>
      </x:c>
      <x:c r="G696" t="inlineStr">
        <x:is>
          <x:t xml:space="preserve">BDS001660</x:t>
        </x:is>
      </x:c>
      <x:c r="H696" t="inlineStr">
        <x:is>
          <x:t xml:space="preserve">Dermovate Scalp (30 ml.)</x:t>
        </x:is>
      </x:c>
      <x:c r="I696" t="inlineStr">
        <x:is>
          <x:t xml:space="preserve">ทาบางๆ บริเวณที่มีอาการ วันละ 2-3 ครั้ง</x:t>
        </x:is>
      </x:c>
      <x:c r="P696" t="inlineStr">
        <x:is>
          <x:t xml:space="preserve">Eczema/diaper rash / anti-itch topicals</x:t>
        </x:is>
      </x:c>
    </x:row>
    <x:row r="697">
      <x:c r="A697">
        <x:v>695</x:v>
      </x:c>
      <x:c r="B697" t="inlineStr">
        <x:is>
          <x:t xml:space="preserve">ยาทาแก้แพ้, แก้คัน (D)</x:t>
        </x:is>
      </x:c>
      <x:c r="C697">
        <x:v>1650</x:v>
      </x:c>
      <x:c r="D697" t="inlineStr">
        <x:is>
          <x:t xml:space="preserve">Diprosalic Ointment</x:t>
        </x:is>
      </x:c>
      <x:c r="E697" t="inlineStr">
        <x:is>
          <x:t xml:space="preserve">หลอด 5 g.</x:t>
        </x:is>
      </x:c>
      <x:c r="F697" t="inlineStr">
        <x:is>
          <x:t xml:space="preserve">Betamethasone Dipropionate (eq. to Betamethasone 0.05%)+Salicylic acid 3%</x:t>
        </x:is>
      </x:c>
      <x:c r="G697" t="inlineStr">
        <x:is>
          <x:t xml:space="preserve">BDS001650</x:t>
        </x:is>
      </x:c>
      <x:c r="H697" t="inlineStr">
        <x:is>
          <x:t xml:space="preserve">Diprosalic Ointment (5 g.)</x:t>
        </x:is>
      </x:c>
      <x:c r="I697" t="inlineStr">
        <x:is>
          <x:t xml:space="preserve">ทาขี้ผึ้งบางๆ ให้ทั่วบริเวณที่มีอาการ วันละ 2 ครั้ง </x:t>
        </x:is>
      </x:c>
      <x:c r="P697" t="inlineStr">
        <x:is>
          <x:t xml:space="preserve">Eczema/diaper rash / anti-itch topicals</x:t>
        </x:is>
      </x:c>
    </x:row>
    <x:row r="698">
      <x:c r="A698">
        <x:v>696</x:v>
      </x:c>
      <x:c r="B698" t="inlineStr">
        <x:is>
          <x:t xml:space="preserve">ยาทาแก้แพ้, แก้คัน (D)</x:t>
        </x:is>
      </x:c>
      <x:c r="C698">
        <x:v>1546</x:v>
      </x:c>
      <x:c r="D698" t="inlineStr">
        <x:is>
          <x:t xml:space="preserve">Diprosalic Ointment ใหญ่</x:t>
        </x:is>
      </x:c>
      <x:c r="E698" t="inlineStr">
        <x:is>
          <x:t xml:space="preserve">หลอด 15 g.</x:t>
        </x:is>
      </x:c>
      <x:c r="F698" t="inlineStr">
        <x:is>
          <x:t xml:space="preserve">Betamethasone Dipropionate (eq. to Betamethasone 0.05%)+Salicylic acid 3%</x:t>
        </x:is>
      </x:c>
      <x:c r="G698" t="inlineStr">
        <x:is>
          <x:t xml:space="preserve">BDS001546</x:t>
        </x:is>
      </x:c>
      <x:c r="H698" t="inlineStr">
        <x:is>
          <x:t xml:space="preserve">Diprosalic Ointment ใหญ่ (15 g.)</x:t>
        </x:is>
      </x:c>
      <x:c r="I698" t="inlineStr">
        <x:is>
          <x:t xml:space="preserve">ทาขี้ผึ้งบางๆ ให้ทั่วบริเวณที่มีอาการ วันละ 2 ครั้ง เช้า-ก่อนนอน</x:t>
        </x:is>
      </x:c>
      <x:c r="P698" t="inlineStr">
        <x:is>
          <x:t xml:space="preserve">Eczema/diaper rash / anti-itch topicals</x:t>
        </x:is>
      </x:c>
    </x:row>
    <x:row r="699">
      <x:c r="A699">
        <x:v>697</x:v>
      </x:c>
      <x:c r="B699" t="inlineStr">
        <x:is>
          <x:t xml:space="preserve">ยาทาแก้แพ้, แก้คัน (D)</x:t>
        </x:is>
      </x:c>
      <x:c r="C699">
        <x:v>1699</x:v>
      </x:c>
      <x:c r="D699" t="inlineStr">
        <x:is>
          <x:t xml:space="preserve">Diprotop Ointment</x:t>
        </x:is>
      </x:c>
      <x:c r="E699" t="inlineStr">
        <x:is>
          <x:t xml:space="preserve">หลอด 5 g.</x:t>
        </x:is>
      </x:c>
      <x:c r="F699" t="inlineStr">
        <x:is>
          <x:t xml:space="preserve">Betamethasone Dipropionate 0.64 mg (eq. to Betamethasone 0.5 mg)+Propylene Glycol</x:t>
        </x:is>
      </x:c>
      <x:c r="G699" t="inlineStr">
        <x:is>
          <x:t xml:space="preserve">BDS001699</x:t>
        </x:is>
      </x:c>
      <x:c r="H699" t="inlineStr">
        <x:is>
          <x:t xml:space="preserve">Diprotop Ointment (5 g.)</x:t>
        </x:is>
      </x:c>
      <x:c r="I699" t="inlineStr">
        <x:is>
          <x:t xml:space="preserve">ทาบางๆ ให้ทั่วผิวหนังบริเวณที่เป็น วันละ 1 ครั้ง ตอนเช้า</x:t>
        </x:is>
      </x:c>
      <x:c r="P699" t="inlineStr">
        <x:is>
          <x:t xml:space="preserve">Eczema/diaper rash / anti-itch topicals</x:t>
        </x:is>
      </x:c>
    </x:row>
    <x:row r="700">
      <x:c r="A700">
        <x:v>698</x:v>
      </x:c>
      <x:c r="B700" t="inlineStr">
        <x:is>
          <x:t xml:space="preserve">ยาทาแก้แพ้, แก้คัน (D)</x:t>
        </x:is>
      </x:c>
      <x:c r="C700">
        <x:v>1803</x:v>
      </x:c>
      <x:c r="D700" t="inlineStr">
        <x:is>
          <x:t xml:space="preserve">Elomet 0.1 %</x:t>
        </x:is>
      </x:c>
      <x:c r="E700" t="inlineStr">
        <x:is>
          <x:t xml:space="preserve">หลอด 5 g.</x:t>
        </x:is>
      </x:c>
      <x:c r="F700" t="inlineStr">
        <x:is>
          <x:t xml:space="preserve">Mometasone Furoate 1 mg/1 g (0.1%)</x:t>
        </x:is>
      </x:c>
      <x:c r="G700" t="inlineStr">
        <x:is>
          <x:t xml:space="preserve">BDS001803</x:t>
        </x:is>
      </x:c>
      <x:c r="H700" t="inlineStr">
        <x:is>
          <x:t xml:space="preserve">Elomet 0.1 % (5 g.)</x:t>
        </x:is>
      </x:c>
      <x:c r="I700" t="inlineStr">
        <x:is>
          <x:t xml:space="preserve">ทาครีมบางๆ บริเวณที่เป็น วันละ 1 ครั้ง จนรอยโรคหายหรือทาติดต่อกัน 3 อาทิตย์ </x:t>
        </x:is>
      </x:c>
      <x:c r="P700" t="inlineStr">
        <x:is>
          <x:t xml:space="preserve">Eczema/diaper rash / anti-itch topicals</x:t>
        </x:is>
      </x:c>
    </x:row>
    <x:row r="701">
      <x:c r="A701">
        <x:v>699</x:v>
      </x:c>
      <x:c r="B701" t="inlineStr">
        <x:is>
          <x:t xml:space="preserve">ยาทาแก้แพ้, แก้คัน (D)</x:t>
        </x:is>
      </x:c>
      <x:c r="C701">
        <x:v>1807</x:v>
      </x:c>
      <x:c r="D701" t="inlineStr">
        <x:is>
          <x:t xml:space="preserve">Elomet 0.1%</x:t>
        </x:is>
      </x:c>
      <x:c r="E701" t="inlineStr">
        <x:is>
          <x:t xml:space="preserve">หลอด 15 g.</x:t>
        </x:is>
      </x:c>
      <x:c r="F701" t="inlineStr">
        <x:is>
          <x:t xml:space="preserve">Mometasone Furoate 1 mg/1 g (0.1%)</x:t>
        </x:is>
      </x:c>
      <x:c r="G701" t="inlineStr">
        <x:is>
          <x:t xml:space="preserve">BDS001807</x:t>
        </x:is>
      </x:c>
      <x:c r="H701" t="inlineStr">
        <x:is>
          <x:t xml:space="preserve">Elomet 0.1% (15 g.)</x:t>
        </x:is>
      </x:c>
      <x:c r="I701" t="inlineStr">
        <x:is>
          <x:t xml:space="preserve">ทาครีมบางๆ บริเวณที่เป็น วันละ 1 ครั้ง</x:t>
        </x:is>
      </x:c>
      <x:c r="P701" t="inlineStr">
        <x:is>
          <x:t xml:space="preserve">Eczema/diaper rash / anti-itch topicals</x:t>
        </x:is>
      </x:c>
    </x:row>
    <x:row r="702">
      <x:c r="A702">
        <x:v>700</x:v>
      </x:c>
      <x:c r="B702" t="inlineStr">
        <x:is>
          <x:t xml:space="preserve">ยาทาแก้แพ้, แก้คัน (D)</x:t>
        </x:is>
      </x:c>
      <x:c r="C702">
        <x:v>1607</x:v>
      </x:c>
      <x:c r="D702" t="inlineStr">
        <x:is>
          <x:t xml:space="preserve">Elomet Lotion</x:t>
        </x:is>
      </x:c>
      <x:c r="E702" t="inlineStr">
        <x:is>
          <x:t xml:space="preserve">ขวด 30 ml.</x:t>
        </x:is>
      </x:c>
      <x:c r="F702" t="inlineStr">
        <x:is>
          <x:t xml:space="preserve">Mometasone Furoate 1 mg+Isopropyl Alcohol 400 mg/1 g</x:t>
        </x:is>
      </x:c>
      <x:c r="G702" t="inlineStr">
        <x:is>
          <x:t xml:space="preserve">BDS001607</x:t>
        </x:is>
      </x:c>
      <x:c r="H702" t="inlineStr">
        <x:is>
          <x:t xml:space="preserve">Elomet Lotion (30 ml.)</x:t>
        </x:is>
      </x:c>
      <x:c r="I702" t="inlineStr">
        <x:is>
          <x:t xml:space="preserve">ทาโลชั่น 2-3 หยด หรือปริมาณที่เพียงพอกับบริเวณที่เป็น  วันละ 1 ครั้ง</x:t>
        </x:is>
      </x:c>
      <x:c r="P702" t="inlineStr">
        <x:is>
          <x:t xml:space="preserve">Eczema/diaper rash / anti-itch topicals</x:t>
        </x:is>
      </x:c>
    </x:row>
    <x:row r="703">
      <x:c r="A703">
        <x:v>701</x:v>
      </x:c>
      <x:c r="B703" t="inlineStr">
        <x:is>
          <x:t xml:space="preserve">ยาทาแก้แพ้, แก้คัน (D)</x:t>
        </x:is>
      </x:c>
      <x:c r="C703">
        <x:v>6023</x:v>
      </x:c>
      <x:c r="D703" t="inlineStr">
        <x:is>
          <x:t xml:space="preserve">Epiklin Skin Ointment</x:t>
        </x:is>
      </x:c>
      <x:c r="E703" t="inlineStr">
        <x:is>
          <x:t xml:space="preserve">หลอด 15 g.</x:t>
        </x:is>
      </x:c>
      <x:c r="F703" t="inlineStr">
        <x:is>
          <x:t xml:space="preserve">Betamethasone Dipropionate 0.64 mg+Salicylic acid 30 mg/1 g</x:t>
        </x:is>
      </x:c>
      <x:c r="G703" t="inlineStr">
        <x:is>
          <x:t xml:space="preserve">BDS006023</x:t>
        </x:is>
      </x:c>
      <x:c r="H703" t="inlineStr">
        <x:is>
          <x:t xml:space="preserve">Epiklin Skin Ointment (15 g.)</x:t>
        </x:is>
      </x:c>
      <x:c r="I703" t="inlineStr">
        <x:is>
          <x:t xml:space="preserve">ทาบางๆ ให้ทั่วบริเวณที่เป็น วันละ 1-2 ครั้ง </x:t>
        </x:is>
      </x:c>
      <x:c r="P703" t="inlineStr">
        <x:is>
          <x:t xml:space="preserve">Eczema/diaper rash / anti-itch topicals</x:t>
        </x:is>
      </x:c>
    </x:row>
    <x:row r="704">
      <x:c r="A704">
        <x:v>702</x:v>
      </x:c>
      <x:c r="B704" t="inlineStr">
        <x:is>
          <x:t xml:space="preserve">ยาทาแก้แพ้, แก้คัน (D)</x:t>
        </x:is>
      </x:c>
      <x:c r="C704">
        <x:v>1825</x:v>
      </x:c>
      <x:c r="D704" t="inlineStr">
        <x:is>
          <x:t xml:space="preserve">Esperson</x:t>
        </x:is>
      </x:c>
      <x:c r="E704" t="inlineStr">
        <x:is>
          <x:t xml:space="preserve">หลอด 5 g.</x:t>
        </x:is>
      </x:c>
      <x:c r="F704" t="inlineStr">
        <x:is>
          <x:t xml:space="preserve">Desoximetasone 2.5 mg/1 g (0.25%)</x:t>
        </x:is>
      </x:c>
      <x:c r="G704" t="inlineStr">
        <x:is>
          <x:t xml:space="preserve">BDS001825</x:t>
        </x:is>
      </x:c>
      <x:c r="H704" t="inlineStr">
        <x:is>
          <x:t xml:space="preserve">Esperson (5 g.)</x:t>
        </x:is>
      </x:c>
      <x:c r="I704" t="inlineStr">
        <x:is>
          <x:t xml:space="preserve">ทาครีมบางๆ บริเวณที่มีอาการ วันละ 1-2 ครั้ง</x:t>
        </x:is>
      </x:c>
      <x:c r="P704" t="inlineStr">
        <x:is>
          <x:t xml:space="preserve">Eczema/diaper rash / anti-itch topicals</x:t>
        </x:is>
      </x:c>
    </x:row>
    <x:row r="705">
      <x:c r="A705">
        <x:v>703</x:v>
      </x:c>
      <x:c r="B705" t="inlineStr">
        <x:is>
          <x:t xml:space="preserve">ยาทาแก้แพ้, แก้คัน (D)</x:t>
        </x:is>
      </x:c>
      <x:c r="C705">
        <x:v>42807</x:v>
      </x:c>
      <x:c r="D705" t="inlineStr">
        <x:is>
          <x:t xml:space="preserve">Esperson กลาง</x:t>
        </x:is>
      </x:c>
      <x:c r="E705" t="inlineStr">
        <x:is>
          <x:t xml:space="preserve">หลอด 15 g.</x:t>
        </x:is>
      </x:c>
      <x:c r="F705" t="inlineStr">
        <x:is>
          <x:t xml:space="preserve">Desoximetasone 2.5 mg/1 g (0.25%)</x:t>
        </x:is>
      </x:c>
      <x:c r="G705" t="inlineStr">
        <x:is>
          <x:t xml:space="preserve">BDS042807</x:t>
        </x:is>
      </x:c>
      <x:c r="H705" t="inlineStr">
        <x:is>
          <x:t xml:space="preserve">Esperson กลาง (15 g.)</x:t>
        </x:is>
      </x:c>
      <x:c r="I705" t="inlineStr">
        <x:is>
          <x:t xml:space="preserve">ทาครีมบางๆ บริเวณที่มีอาการ วันละ 1-2 ครั้ง</x:t>
        </x:is>
      </x:c>
      <x:c r="P705" t="inlineStr">
        <x:is>
          <x:t xml:space="preserve">Eczema/diaper rash / anti-itch topicals</x:t>
        </x:is>
      </x:c>
    </x:row>
    <x:row r="706">
      <x:c r="A706">
        <x:v>704</x:v>
      </x:c>
      <x:c r="B706" t="inlineStr">
        <x:is>
          <x:t xml:space="preserve">ยาทาแก้แพ้, แก้คัน (D)</x:t>
        </x:is>
      </x:c>
      <x:c r="C706">
        <x:v>3719</x:v>
      </x:c>
      <x:c r="D706" t="inlineStr">
        <x:is>
          <x:t xml:space="preserve">T.A.Cream 0.02%</x:t>
        </x:is>
      </x:c>
      <x:c r="E706" t="inlineStr">
        <x:is>
          <x:t xml:space="preserve">หลอด 15 g.</x:t>
        </x:is>
      </x:c>
      <x:c r="F706" t="inlineStr">
        <x:is>
          <x:t xml:space="preserve">Triamcinolone Acetonide 0.02 g/100 g (0.02%)</x:t>
        </x:is>
      </x:c>
      <x:c r="G706" t="inlineStr">
        <x:is>
          <x:t xml:space="preserve">BDS003719</x:t>
        </x:is>
      </x:c>
      <x:c r="H706" t="inlineStr">
        <x:is>
          <x:t xml:space="preserve">T.A.Cream 0.02% (15 g.)</x:t>
        </x:is>
      </x:c>
      <x:c r="I706" t="inlineStr">
        <x:is>
          <x:t xml:space="preserve">ทาครีมบางๆ บริเวณที่มีอาการ วันละ 2 ครั้ง </x:t>
        </x:is>
      </x:c>
      <x:c r="P706" t="inlineStr">
        <x:is>
          <x:t xml:space="preserve">Eczema/diaper rash / anti-itch topicals</x:t>
        </x:is>
      </x:c>
    </x:row>
    <x:row r="707">
      <x:c r="A707">
        <x:v>705</x:v>
      </x:c>
      <x:c r="B707" t="inlineStr">
        <x:is>
          <x:t xml:space="preserve">ยาทาแก้แพ้, แก้คัน (D)</x:t>
        </x:is>
      </x:c>
      <x:c r="C707">
        <x:v>3773</x:v>
      </x:c>
      <x:c r="D707" t="inlineStr">
        <x:is>
          <x:t xml:space="preserve">T.A.Cream 0.1% เล็ก</x:t>
        </x:is>
      </x:c>
      <x:c r="E707" t="inlineStr">
        <x:is>
          <x:t xml:space="preserve">หลอด 5 g.</x:t>
        </x:is>
      </x:c>
      <x:c r="F707" t="inlineStr">
        <x:is>
          <x:t xml:space="preserve">Triamcinolone Acetonide 0.1 g/100 g (0.1%)</x:t>
        </x:is>
      </x:c>
      <x:c r="G707" t="inlineStr">
        <x:is>
          <x:t xml:space="preserve">BDS003773</x:t>
        </x:is>
      </x:c>
      <x:c r="H707" t="inlineStr">
        <x:is>
          <x:t xml:space="preserve">T.A.Cream 0.1% เล็ก (5 g.)</x:t>
        </x:is>
      </x:c>
      <x:c r="I707" t="inlineStr">
        <x:is>
          <x:t xml:space="preserve">ทาครีมบางๆ บริเวณที่มีอาการ วันละ 2-3 ครั้ง</x:t>
        </x:is>
      </x:c>
      <x:c r="P707" t="inlineStr">
        <x:is>
          <x:t xml:space="preserve">Eczema/diaper rash / anti-itch topicals</x:t>
        </x:is>
      </x:c>
    </x:row>
    <x:row r="708">
      <x:c r="A708">
        <x:v>706</x:v>
      </x:c>
      <x:c r="B708" t="inlineStr">
        <x:is>
          <x:t xml:space="preserve">ยาทาแก้แพ้, แก้คัน (D)</x:t>
        </x:is>
      </x:c>
      <x:c r="C708">
        <x:v>3780</x:v>
      </x:c>
      <x:c r="D708" t="inlineStr">
        <x:is>
          <x:t xml:space="preserve">T.A.Cream 0.1% ใหญ่</x:t>
        </x:is>
      </x:c>
      <x:c r="E708" t="inlineStr">
        <x:is>
          <x:t xml:space="preserve">หลอด 15 g.</x:t>
        </x:is>
      </x:c>
      <x:c r="F708" t="inlineStr">
        <x:is>
          <x:t xml:space="preserve">Triamcinolone Acetonide 0.1 g/100 g (0.1%)</x:t>
        </x:is>
      </x:c>
      <x:c r="G708" t="inlineStr">
        <x:is>
          <x:t xml:space="preserve">BDS003780</x:t>
        </x:is>
      </x:c>
      <x:c r="H708" t="inlineStr">
        <x:is>
          <x:t xml:space="preserve">T.A.Cream 0.1% ใหญ่ (15 g.)</x:t>
        </x:is>
      </x:c>
      <x:c r="I708" t="inlineStr">
        <x:is>
          <x:t xml:space="preserve">ทาครีมบางๆ บริเวณที่มีอาการ วันละ 2-3 ครั้ง</x:t>
        </x:is>
      </x:c>
      <x:c r="P708" t="inlineStr">
        <x:is>
          <x:t xml:space="preserve">Eczema/diaper rash / anti-itch topicals</x:t>
        </x:is>
      </x:c>
    </x:row>
    <x:row r="709">
      <x:c r="A709">
        <x:v>707</x:v>
      </x:c>
      <x:c r="B709" t="inlineStr">
        <x:is>
          <x:t xml:space="preserve">ยาทาแก้แพ้, แก้คัน (D)</x:t>
        </x:is>
      </x:c>
      <x:c r="C709">
        <x:v>8756</x:v>
      </x:c>
      <x:c r="D709" t="inlineStr">
        <x:is>
          <x:t xml:space="preserve">Tacinol 0.02 เล็ก</x:t>
        </x:is>
      </x:c>
      <x:c r="E709" t="inlineStr">
        <x:is>
          <x:t xml:space="preserve">หลอด 5 g.</x:t>
        </x:is>
      </x:c>
      <x:c r="F709" t="inlineStr">
        <x:is>
          <x:t xml:space="preserve">Triamcinolone Acetonide 0.02% w/w</x:t>
        </x:is>
      </x:c>
      <x:c r="G709" t="inlineStr">
        <x:is>
          <x:t xml:space="preserve">BDS008756</x:t>
        </x:is>
      </x:c>
      <x:c r="H709" t="inlineStr">
        <x:is>
          <x:t xml:space="preserve">Tacinol 0.02 เล็ก (5 g.)</x:t>
        </x:is>
      </x:c>
      <x:c r="I709" t="inlineStr">
        <x:is>
          <x:t xml:space="preserve">ทาครีมบางๆ บริเวณที่มีอาการ วันละ 2-3 ครั้ง</x:t>
        </x:is>
      </x:c>
      <x:c r="P709" t="inlineStr">
        <x:is>
          <x:t xml:space="preserve">Eczema/diaper rash / anti-itch topicals</x:t>
        </x:is>
      </x:c>
    </x:row>
    <x:row r="710">
      <x:c r="A710">
        <x:v>708</x:v>
      </x:c>
      <x:c r="B710" t="inlineStr">
        <x:is>
          <x:t xml:space="preserve">ยาทาแก้แพ้, แก้คัน (D)</x:t>
        </x:is>
      </x:c>
      <x:c r="C710">
        <x:v>8757</x:v>
      </x:c>
      <x:c r="D710" t="inlineStr">
        <x:is>
          <x:t xml:space="preserve">Tacinol 0.02 ใหญ่</x:t>
        </x:is>
      </x:c>
      <x:c r="E710" t="inlineStr">
        <x:is>
          <x:t xml:space="preserve">หลอด 15 g.</x:t>
        </x:is>
      </x:c>
      <x:c r="F710" t="inlineStr">
        <x:is>
          <x:t xml:space="preserve">Triamcinolone Acetonide 0.02% w/w</x:t>
        </x:is>
      </x:c>
      <x:c r="G710" t="inlineStr">
        <x:is>
          <x:t xml:space="preserve">BDS008757</x:t>
        </x:is>
      </x:c>
      <x:c r="H710" t="inlineStr">
        <x:is>
          <x:t xml:space="preserve">Tacinol 0.02 ใหญ่ (15 g.)</x:t>
        </x:is>
      </x:c>
      <x:c r="I710" t="inlineStr">
        <x:is>
          <x:t xml:space="preserve">ทาครีมบางๆ บริเวณที่มีอาการ วันละ 2-3 ครั้ง</x:t>
        </x:is>
      </x:c>
      <x:c r="P710" t="inlineStr">
        <x:is>
          <x:t xml:space="preserve">Eczema/diaper rash / anti-itch topicals</x:t>
        </x:is>
      </x:c>
    </x:row>
    <x:row r="711">
      <x:c r="A711">
        <x:v>709</x:v>
      </x:c>
      <x:c r="B711" t="inlineStr">
        <x:is>
          <x:t xml:space="preserve">ยาทาแก้แพ้, แก้คัน (D)</x:t>
        </x:is>
      </x:c>
      <x:c r="C711">
        <x:v>8758</x:v>
      </x:c>
      <x:c r="D711" t="inlineStr">
        <x:is>
          <x:t xml:space="preserve">Tacinol 0.1 เล็ก</x:t>
        </x:is>
      </x:c>
      <x:c r="E711" t="inlineStr">
        <x:is>
          <x:t xml:space="preserve">หลอด 5 g.</x:t>
        </x:is>
      </x:c>
      <x:c r="F711" t="inlineStr">
        <x:is>
          <x:t xml:space="preserve">Triamcinolone Acetonide 0.1 % w/w</x:t>
        </x:is>
      </x:c>
      <x:c r="G711" t="inlineStr">
        <x:is>
          <x:t xml:space="preserve">BDS008758</x:t>
        </x:is>
      </x:c>
      <x:c r="H711" t="inlineStr">
        <x:is>
          <x:t xml:space="preserve">Tacinol 0.1 เล็ก (5 g.)</x:t>
        </x:is>
      </x:c>
      <x:c r="I711" t="inlineStr">
        <x:is>
          <x:t xml:space="preserve">ทาครีมบางๆ บริเวณที่มีอาการ วันละ 2-3 ครั้ง</x:t>
        </x:is>
      </x:c>
      <x:c r="P711" t="inlineStr">
        <x:is>
          <x:t xml:space="preserve">Eczema/diaper rash / anti-itch topicals</x:t>
        </x:is>
      </x:c>
    </x:row>
    <x:row r="712">
      <x:c r="A712">
        <x:v>710</x:v>
      </x:c>
      <x:c r="B712" t="inlineStr">
        <x:is>
          <x:t xml:space="preserve">ยาทาแก้แพ้, แก้คัน (D)</x:t>
        </x:is>
      </x:c>
      <x:c r="C712">
        <x:v>8759</x:v>
      </x:c>
      <x:c r="D712" t="inlineStr">
        <x:is>
          <x:t xml:space="preserve">Tacinol 0.1 ใหญ่</x:t>
        </x:is>
      </x:c>
      <x:c r="E712" t="inlineStr">
        <x:is>
          <x:t xml:space="preserve">หลอด 15 g.</x:t>
        </x:is>
      </x:c>
      <x:c r="F712" t="inlineStr">
        <x:is>
          <x:t xml:space="preserve">Triamcinolone Acetonide 0.1 % w/w</x:t>
        </x:is>
      </x:c>
      <x:c r="G712" t="inlineStr">
        <x:is>
          <x:t xml:space="preserve">BDS008759</x:t>
        </x:is>
      </x:c>
      <x:c r="H712" t="inlineStr">
        <x:is>
          <x:t xml:space="preserve">Tacinol 0.1 ใหญ่ (15 g.)</x:t>
        </x:is>
      </x:c>
      <x:c r="I712" t="inlineStr">
        <x:is>
          <x:t xml:space="preserve">ทาครีมบางๆ บริเวณที่มีอาการ วันละ 2-3 ครั้ง</x:t>
        </x:is>
      </x:c>
      <x:c r="P712" t="inlineStr">
        <x:is>
          <x:t xml:space="preserve">Eczema/diaper rash / anti-itch topicals</x:t>
        </x:is>
      </x:c>
    </x:row>
    <x:row r="713">
      <x:c r="A713">
        <x:v>711</x:v>
      </x:c>
      <x:c r="B713" t="inlineStr">
        <x:is>
          <x:t xml:space="preserve">ยาทาแก้แพ้, แก้คัน (D)</x:t>
        </x:is>
      </x:c>
      <x:c r="C713">
        <x:v>1831</x:v>
      </x:c>
      <x:c r="D713" t="inlineStr">
        <x:is>
          <x:t xml:space="preserve">Topicort Skin Cream</x:t>
        </x:is>
      </x:c>
      <x:c r="E713" t="inlineStr">
        <x:is>
          <x:t xml:space="preserve">ขวด 15 g.</x:t>
        </x:is>
      </x:c>
      <x:c r="F713" t="inlineStr">
        <x:is>
          <x:t xml:space="preserve">Desoximetasone 2.5 mg/1 g (0.25%)</x:t>
        </x:is>
      </x:c>
      <x:c r="G713" t="inlineStr">
        <x:is>
          <x:t xml:space="preserve">BDS001831</x:t>
        </x:is>
      </x:c>
      <x:c r="H713" t="inlineStr">
        <x:is>
          <x:t xml:space="preserve">Topicort Skin Cream (15 g.)</x:t>
        </x:is>
      </x:c>
      <x:c r="I713" t="inlineStr">
        <x:is>
          <x:t xml:space="preserve">ทาบริเวณที่มีอาการ วันละ 1-4 ครั้ง</x:t>
        </x:is>
      </x:c>
      <x:c r="P713" t="inlineStr">
        <x:is>
          <x:t xml:space="preserve">Eczema/diaper rash / anti-itch topicals</x:t>
        </x:is>
      </x:c>
    </x:row>
    <x:row r="714">
      <x:c r="A714">
        <x:v>712</x:v>
      </x:c>
      <x:c r="B714" t="inlineStr">
        <x:is>
          <x:t xml:space="preserve">ยาทาแก้แพ้, แก้คัน (D)</x:t>
        </x:is>
      </x:c>
      <x:c r="C714">
        <x:v>48634</x:v>
      </x:c>
      <x:c r="D714" t="inlineStr">
        <x:is>
          <x:t xml:space="preserve">Topoxy Skin Cream</x:t>
        </x:is>
      </x:c>
      <x:c r="E714" t="inlineStr">
        <x:is>
          <x:t xml:space="preserve">ขวด 10 g.</x:t>
        </x:is>
      </x:c>
      <x:c r="F714" t="inlineStr">
        <x:is>
          <x:t xml:space="preserve">Desoximetasone 0.25%</x:t>
        </x:is>
      </x:c>
      <x:c r="G714" t="inlineStr">
        <x:is>
          <x:t xml:space="preserve">BDS048634</x:t>
        </x:is>
      </x:c>
      <x:c r="H714" t="inlineStr">
        <x:is>
          <x:t xml:space="preserve">Topoxy Skin Cream (10 g.)</x:t>
        </x:is>
      </x:c>
      <x:c r="I714" t="inlineStr">
        <x:is>
          <x:t xml:space="preserve">ทาบางๆ และถูเบาๆ บริเวณที่เป็น วันละ 2 ครั้ง</x:t>
        </x:is>
      </x:c>
      <x:c r="P714" t="inlineStr">
        <x:is>
          <x:t xml:space="preserve">Eczema/diaper rash / anti-itch topicals</x:t>
        </x:is>
      </x:c>
    </x:row>
    <x:row r="715">
      <x:c r="A715">
        <x:v>713</x:v>
      </x:c>
      <x:c r="B715" t="inlineStr">
        <x:is>
          <x:t xml:space="preserve">ยาทาแก้แพ้, แก้คัน (D)</x:t>
        </x:is>
      </x:c>
      <x:c r="C715">
        <x:v>7775</x:v>
      </x:c>
      <x:c r="D715" t="inlineStr">
        <x:is>
          <x:t xml:space="preserve">Zyno 0.02%</x:t>
        </x:is>
      </x:c>
      <x:c r="E715" t="inlineStr">
        <x:is>
          <x:t xml:space="preserve">หลอด 5 g.</x:t>
        </x:is>
      </x:c>
      <x:c r="F715" t="inlineStr">
        <x:is>
          <x:t xml:space="preserve">Triamcinolone Acetonide 0.02 g/100 g (0.02%)</x:t>
        </x:is>
      </x:c>
      <x:c r="G715" t="inlineStr">
        <x:is>
          <x:t xml:space="preserve">BDS007775</x:t>
        </x:is>
      </x:c>
      <x:c r="H715" t="inlineStr">
        <x:is>
          <x:t xml:space="preserve">Zyno 0.02% (5 g.)</x:t>
        </x:is>
      </x:c>
      <x:c r="I715" t="inlineStr">
        <x:is>
          <x:t xml:space="preserve">ทาครีมบางๆ บริเวณที่มีอาการ วันละ 2-3 ครั้ง</x:t>
        </x:is>
      </x:c>
      <x:c r="P715" t="inlineStr">
        <x:is>
          <x:t xml:space="preserve">Eczema/diaper rash / anti-itch topicals</x:t>
        </x:is>
      </x:c>
    </x:row>
    <x:row r="716">
      <x:c r="A716">
        <x:v>714</x:v>
      </x:c>
      <x:c r="B716" t="inlineStr">
        <x:is>
          <x:t xml:space="preserve">ยาทาแก้แพ้, แก้คัน (D)</x:t>
        </x:is>
      </x:c>
      <x:c r="C716">
        <x:v>7776</x:v>
      </x:c>
      <x:c r="D716" t="inlineStr">
        <x:is>
          <x:t xml:space="preserve">Zyno 0.1%</x:t>
        </x:is>
      </x:c>
      <x:c r="E716" t="inlineStr">
        <x:is>
          <x:t xml:space="preserve">หลอด 5 g.</x:t>
        </x:is>
      </x:c>
      <x:c r="F716" t="inlineStr">
        <x:is>
          <x:t xml:space="preserve">Triamcinolone Acetonide 0.1 g/100 g (0.1%)</x:t>
        </x:is>
      </x:c>
      <x:c r="G716" t="inlineStr">
        <x:is>
          <x:t xml:space="preserve">BDS007776</x:t>
        </x:is>
      </x:c>
      <x:c r="H716" t="inlineStr">
        <x:is>
          <x:t xml:space="preserve">Zyno 0.1% (5 g.)</x:t>
        </x:is>
      </x:c>
      <x:c r="I716" t="inlineStr">
        <x:is>
          <x:t xml:space="preserve">ทาครีมบางๆ บริเวณที่มีอาการ วันละ 2-3 ครั้ง</x:t>
        </x:is>
      </x:c>
      <x:c r="P716" t="inlineStr">
        <x:is>
          <x:t xml:space="preserve">Eczema/diaper rash / anti-itch topicals</x:t>
        </x:is>
      </x:c>
    </x:row>
    <x:row r="717">
      <x:c r="A717">
        <x:v>715</x:v>
      </x:c>
      <x:c r="B717" t="inlineStr">
        <x:is>
          <x:t xml:space="preserve">ยาทาฆ่าเชื้อราและแก้คัน (D)</x:t>
        </x:is>
      </x:c>
      <x:c r="C717">
        <x:v>1491</x:v>
      </x:c>
      <x:c r="D717" t="inlineStr">
        <x:is>
          <x:t xml:space="preserve">Canasone C.B. Cream</x:t>
        </x:is>
      </x:c>
      <x:c r="E717" t="inlineStr">
        <x:is>
          <x:t xml:space="preserve">หลอด 15 g.</x:t>
        </x:is>
      </x:c>
      <x:c r="F717" t="inlineStr">
        <x:is>
          <x:t xml:space="preserve">Clotrimazole 1%+Betamethasone Dipropionate (eq. to Betamethasone 0.1%) w/w</x:t>
        </x:is>
      </x:c>
      <x:c r="G717" t="inlineStr">
        <x:is>
          <x:t xml:space="preserve">BDS001491</x:t>
        </x:is>
      </x:c>
      <x:c r="H717" t="inlineStr">
        <x:is>
          <x:t xml:space="preserve">Canasone C.B. Cream (15 g.)</x:t>
        </x:is>
      </x:c>
      <x:c r="I717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717" t="inlineStr">
        <x:is>
          <x:t xml:space="preserve">Antifungals (oral/topical)</x:t>
        </x:is>
      </x:c>
    </x:row>
    <x:row r="718">
      <x:c r="A718">
        <x:v>716</x:v>
      </x:c>
      <x:c r="B718" t="inlineStr">
        <x:is>
          <x:t xml:space="preserve">ยาทาฆ่าเชื้อราและแก้คัน (D)</x:t>
        </x:is>
      </x:c>
      <x:c r="C718">
        <x:v>1417</x:v>
      </x:c>
      <x:c r="D718" t="inlineStr">
        <x:is>
          <x:t xml:space="preserve">Canazol-Be Cream ใหญ่</x:t>
        </x:is>
      </x:c>
      <x:c r="E718" t="inlineStr">
        <x:is>
          <x:t xml:space="preserve">หลอด 15 g.</x:t>
        </x:is>
      </x:c>
      <x:c r="F718" t="inlineStr">
        <x:is>
          <x:t xml:space="preserve">Clotrimazole 1 g+Betamethasone Dipropionate (eq. to Betamethasone 0.1 g)/100 g</x:t>
        </x:is>
      </x:c>
      <x:c r="G718" t="inlineStr">
        <x:is>
          <x:t xml:space="preserve">BDS001417</x:t>
        </x:is>
      </x:c>
      <x:c r="H718" t="inlineStr">
        <x:is>
          <x:t xml:space="preserve">Canazol-Be Cream ใหญ่ (15 g.)</x:t>
        </x:is>
      </x:c>
      <x:c r="I718" t="inlineStr">
        <x:is>
          <x:t xml:space="preserve">ทาบางๆ บริเวณที่มีอาการ วันละ 2-3 ครั้ง</x:t>
        </x:is>
      </x:c>
      <x:c r="P718" t="inlineStr">
        <x:is>
          <x:t xml:space="preserve">Antifungals (oral/topical)</x:t>
        </x:is>
      </x:c>
    </x:row>
    <x:row r="719">
      <x:c r="A719">
        <x:v>717</x:v>
      </x:c>
      <x:c r="B719" t="inlineStr">
        <x:is>
          <x:t xml:space="preserve">ยาทาฆ่าเชื้อราและแก้คัน (D)</x:t>
        </x:is>
      </x:c>
      <x:c r="C719">
        <x:v>7517</x:v>
      </x:c>
      <x:c r="D719" t="inlineStr">
        <x:is>
          <x:t xml:space="preserve">Clotribet-D Cream เล็ก</x:t>
        </x:is>
      </x:c>
      <x:c r="E719" t="inlineStr">
        <x:is>
          <x:t xml:space="preserve">หลอด 5 g.</x:t>
        </x:is>
      </x:c>
      <x:c r="F719" t="inlineStr">
        <x:is>
          <x:t xml:space="preserve">Clotrimazole 1 g+Betamethasone Dipropionate 0.064 g (eq. to Betamethasone 0.05 g)/100 g</x:t>
        </x:is>
      </x:c>
      <x:c r="G719" t="inlineStr">
        <x:is>
          <x:t xml:space="preserve">BDS007517</x:t>
        </x:is>
      </x:c>
      <x:c r="H719" t="inlineStr">
        <x:is>
          <x:t xml:space="preserve">Clotribet-D Cream เล็ก (5 g.)</x:t>
        </x:is>
      </x:c>
      <x:c r="I719" t="inlineStr">
        <x:is>
          <x:t xml:space="preserve">ทาครีมบางๆ บริเวณที่มีอาการ วันละ 2-3 ครั้ง</x:t>
        </x:is>
      </x:c>
      <x:c r="P719" t="inlineStr">
        <x:is>
          <x:t xml:space="preserve">Antifungals (oral/topical)</x:t>
        </x:is>
      </x:c>
    </x:row>
    <x:row r="720">
      <x:c r="A720">
        <x:v>718</x:v>
      </x:c>
      <x:c r="B720" t="inlineStr">
        <x:is>
          <x:t xml:space="preserve">ยาทาฆ่าเชื้อราและแก้คัน (D)</x:t>
        </x:is>
      </x:c>
      <x:c r="C720">
        <x:v>7516</x:v>
      </x:c>
      <x:c r="D720" t="inlineStr">
        <x:is>
          <x:t xml:space="preserve">Clotribet-D Cream ใหญ่</x:t>
        </x:is>
      </x:c>
      <x:c r="E720" t="inlineStr">
        <x:is>
          <x:t xml:space="preserve">หลอด 15 g.</x:t>
        </x:is>
      </x:c>
      <x:c r="F720" t="inlineStr">
        <x:is>
          <x:t xml:space="preserve">Clotrimazole 1 g+Betamethasone Dipropionate 0.064 g (eq. to Betamethasone 0.05 g)/100 g</x:t>
        </x:is>
      </x:c>
      <x:c r="G720" t="inlineStr">
        <x:is>
          <x:t xml:space="preserve">BDS007516</x:t>
        </x:is>
      </x:c>
      <x:c r="H720" t="inlineStr">
        <x:is>
          <x:t xml:space="preserve">Clotribet-D Cream ใหญ่ (15 g.)</x:t>
        </x:is>
      </x:c>
      <x:c r="I720" t="inlineStr">
        <x:is>
          <x:t xml:space="preserve">ทาครีมบางๆ บริเวณที่มีอาการ วันละ 2-3 ครั้ง</x:t>
        </x:is>
      </x:c>
      <x:c r="P720" t="inlineStr">
        <x:is>
          <x:t xml:space="preserve">Antifungals (oral/topical)</x:t>
        </x:is>
      </x:c>
    </x:row>
    <x:row r="721">
      <x:c r="A721">
        <x:v>719</x:v>
      </x:c>
      <x:c r="B721" t="inlineStr">
        <x:is>
          <x:t xml:space="preserve">ยาทาฆ่าเชื้อราและแก้คัน (D)</x:t>
        </x:is>
      </x:c>
      <x:c r="C721">
        <x:v>7736</x:v>
      </x:c>
      <x:c r="D721" t="inlineStr">
        <x:is>
          <x:t xml:space="preserve">Fango-B Cream เล็ก</x:t>
        </x:is>
      </x:c>
      <x:c r="E721" t="inlineStr">
        <x:is>
          <x:t xml:space="preserve">หลอด 5 g.</x:t>
        </x:is>
      </x:c>
      <x:c r="F721" t="inlineStr">
        <x:is>
          <x:t xml:space="preserve">Clotrimazole 1 g+Betamethasone Valerate (eq. to Betamethasone 0.1 g)/100 g</x:t>
        </x:is>
      </x:c>
      <x:c r="G721" t="inlineStr">
        <x:is>
          <x:t xml:space="preserve">BDS007736</x:t>
        </x:is>
      </x:c>
      <x:c r="H721" t="inlineStr">
        <x:is>
          <x:t xml:space="preserve">Fango-B Cream เล็ก (5 g.)</x:t>
        </x:is>
      </x:c>
      <x:c r="I721" t="inlineStr">
        <x:is>
          <x:t xml:space="preserve">ทาครีมบางๆ บริเวณที่มีอาการ วันละ 2-3 ครั้ง</x:t>
        </x:is>
      </x:c>
      <x:c r="P721" t="inlineStr">
        <x:is>
          <x:t xml:space="preserve">Antifungals (oral/topical)</x:t>
        </x:is>
      </x:c>
    </x:row>
    <x:row r="722">
      <x:c r="A722">
        <x:v>720</x:v>
      </x:c>
      <x:c r="B722" t="inlineStr">
        <x:is>
          <x:t xml:space="preserve">ยาทาฆ่าเชื้อราและแก้คัน (D)</x:t>
        </x:is>
      </x:c>
      <x:c r="C722">
        <x:v>1956</x:v>
      </x:c>
      <x:c r="D722" t="inlineStr">
        <x:is>
          <x:t xml:space="preserve">Fango-B Cream ใหญ่</x:t>
        </x:is>
      </x:c>
      <x:c r="E722" t="inlineStr">
        <x:is>
          <x:t xml:space="preserve">หลอด 15 g.</x:t>
        </x:is>
      </x:c>
      <x:c r="F722" t="inlineStr">
        <x:is>
          <x:t xml:space="preserve">Clotrimazole 1 g+Betamethasone Valerate (eq. to Betamethasone 0.1 g)/100 g</x:t>
        </x:is>
      </x:c>
      <x:c r="G722" t="inlineStr">
        <x:is>
          <x:t xml:space="preserve">BDS001956</x:t>
        </x:is>
      </x:c>
      <x:c r="H722" t="inlineStr">
        <x:is>
          <x:t xml:space="preserve">Fango-B Cream ใหญ่ (15 g.)</x:t>
        </x:is>
      </x:c>
      <x:c r="I722" t="inlineStr">
        <x:is>
          <x:t xml:space="preserve">ทาครีมบางๆ ในบริเวณที่มีอาการ วันละ 2-3 ครั้ง หรือใช้ตามแพทย์สั่ง</x:t>
        </x:is>
      </x:c>
      <x:c r="P722" t="inlineStr">
        <x:is>
          <x:t xml:space="preserve">Antifungals (oral/topical)</x:t>
        </x:is>
      </x:c>
    </x:row>
    <x:row r="723">
      <x:c r="A723">
        <x:v>721</x:v>
      </x:c>
      <x:c r="B723" t="inlineStr">
        <x:is>
          <x:t xml:space="preserve">ยาทาฆ่าเชื้อราและแก้คัน (D)</x:t>
        </x:is>
      </x:c>
      <x:c r="C723">
        <x:v>1932</x:v>
      </x:c>
      <x:c r="D723" t="inlineStr">
        <x:is>
          <x:t xml:space="preserve">Fungiderm-B</x:t>
        </x:is>
      </x:c>
      <x:c r="E723" t="inlineStr">
        <x:is>
          <x:t xml:space="preserve">หลอด 20 g.</x:t>
        </x:is>
      </x:c>
      <x:c r="F723" t="inlineStr">
        <x:is>
          <x:t xml:space="preserve">Clotrimazole 1 g+Betamethasone Valerate (eq. to Betamethasone 0.1 g)/100 g</x:t>
        </x:is>
      </x:c>
      <x:c r="G723" t="inlineStr">
        <x:is>
          <x:t xml:space="preserve">BDS001932</x:t>
        </x:is>
      </x:c>
      <x:c r="H723" t="inlineStr">
        <x:is>
          <x:t xml:space="preserve">Fungiderm-B (20 g.)</x:t>
        </x:is>
      </x:c>
      <x:c r="I723" t="inlineStr">
        <x:is>
          <x:t xml:space="preserve">ทาบางๆ ในบริเวณที่มีอาการ วันละ 2-3 ครั้ง จนกว่าจะหายจากอาการ</x:t>
        </x:is>
      </x:c>
      <x:c r="P723" t="inlineStr">
        <x:is>
          <x:t xml:space="preserve">Antifungals (oral/topical)</x:t>
        </x:is>
      </x:c>
    </x:row>
    <x:row r="724">
      <x:c r="A724">
        <x:v>722</x:v>
      </x:c>
      <x:c r="B724" t="inlineStr">
        <x:is>
          <x:t xml:space="preserve">ยาทาฆ่าเชื้อราและแก้คัน (D)</x:t>
        </x:is>
      </x:c>
      <x:c r="C724">
        <x:v>2538</x:v>
      </x:c>
      <x:c r="D724" t="inlineStr">
        <x:is>
          <x:t xml:space="preserve">Lymarin Cream ใหญ่</x:t>
        </x:is>
      </x:c>
      <x:c r="E724" t="inlineStr">
        <x:is>
          <x:t xml:space="preserve">หลอด 15 g.</x:t>
        </x:is>
      </x:c>
      <x:c r="F724" t="inlineStr">
        <x:is>
          <x:t xml:space="preserve">Miconazole Nitrate 2%+Triamcinolone Acetonide 0.2% w/w</x:t>
        </x:is>
      </x:c>
      <x:c r="G724" t="inlineStr">
        <x:is>
          <x:t xml:space="preserve">BDS002538</x:t>
        </x:is>
      </x:c>
      <x:c r="H724" t="inlineStr">
        <x:is>
          <x:t xml:space="preserve">Lymarin Cream ใหญ่ (15 g.)</x:t>
        </x:is>
      </x:c>
      <x:c r="I724" t="inlineStr">
        <x:is>
          <x:t xml:space="preserve">ทาครีมบางๆ บริเวณที่ติดเชื้อ วันละ 2-3 ครั้ง</x:t>
        </x:is>
      </x:c>
      <x:c r="P724" t="inlineStr">
        <x:is>
          <x:t xml:space="preserve">Antifungals (oral/topical)</x:t>
        </x:is>
      </x:c>
    </x:row>
    <x:row r="725">
      <x:c r="A725">
        <x:v>723</x:v>
      </x:c>
      <x:c r="B725" t="inlineStr">
        <x:is>
          <x:t xml:space="preserve">ยาทาฆ่าเชื้อราและแก้คัน (D)</x:t>
        </x:is>
      </x:c>
      <x:c r="C725">
        <x:v>2650</x:v>
      </x:c>
      <x:c r="D725" t="inlineStr">
        <x:is>
          <x:t xml:space="preserve">Myda-B Cream เล็ก</x:t>
        </x:is>
      </x:c>
      <x:c r="E725" t="inlineStr">
        <x:is>
          <x:t xml:space="preserve">หลอด 5 g.</x:t>
        </x:is>
      </x:c>
      <x:c r="F725" t="inlineStr">
        <x:is>
          <x:t xml:space="preserve">Clotrimazole 1%+Betamethasone Valerate (eq. to Betamethasone 0.1%) w/w</x:t>
        </x:is>
      </x:c>
      <x:c r="G725" t="inlineStr">
        <x:is>
          <x:t xml:space="preserve">BDS002650</x:t>
        </x:is>
      </x:c>
      <x:c r="H725" t="inlineStr">
        <x:is>
          <x:t xml:space="preserve">Myda-B Cream เล็ก (5 g.)</x:t>
        </x:is>
      </x:c>
      <x:c r="I725" t="inlineStr">
        <x:is>
          <x:t xml:space="preserve">ทาครีมบางๆ บริเวณที่มีอาการ วันละ 2-3 ครั้ง</x:t>
        </x:is>
      </x:c>
      <x:c r="P725" t="inlineStr">
        <x:is>
          <x:t xml:space="preserve">Antifungals (oral/topical)</x:t>
        </x:is>
      </x:c>
    </x:row>
    <x:row r="726">
      <x:c r="A726">
        <x:v>724</x:v>
      </x:c>
      <x:c r="B726" t="inlineStr">
        <x:is>
          <x:t xml:space="preserve">ยาทาฆ่าเชื้อราและแก้คัน (D)</x:t>
        </x:is>
      </x:c>
      <x:c r="C726">
        <x:v>2651</x:v>
      </x:c>
      <x:c r="D726" t="inlineStr">
        <x:is>
          <x:t xml:space="preserve">Myda-B Cream ใหญ่</x:t>
        </x:is>
      </x:c>
      <x:c r="E726" t="inlineStr">
        <x:is>
          <x:t xml:space="preserve">หลอด 15 g.</x:t>
        </x:is>
      </x:c>
      <x:c r="F726" t="inlineStr">
        <x:is>
          <x:t xml:space="preserve">Clotrimazole 1%+Betamethasone Valerate (eq. to Betamethasone 0.1%) w/w</x:t>
        </x:is>
      </x:c>
      <x:c r="G726" t="inlineStr">
        <x:is>
          <x:t xml:space="preserve">BDS002651</x:t>
        </x:is>
      </x:c>
      <x:c r="H726" t="inlineStr">
        <x:is>
          <x:t xml:space="preserve">Myda-B Cream ใหญ่ (15 g.)</x:t>
        </x:is>
      </x:c>
      <x:c r="I726" t="inlineStr">
        <x:is>
          <x:t xml:space="preserve">ทาครีมบางๆ บริเวณที่มีอาการ วันละ 2-3 ครั้ง</x:t>
        </x:is>
      </x:c>
      <x:c r="P726" t="inlineStr">
        <x:is>
          <x:t xml:space="preserve">Antifungals (oral/topical)</x:t>
        </x:is>
      </x:c>
    </x:row>
    <x:row r="727">
      <x:c r="A727">
        <x:v>725</x:v>
      </x:c>
      <x:c r="B727" t="inlineStr">
        <x:is>
          <x:t xml:space="preserve">ยาทาฆ่าเชื้อราและแก้คัน (D)</x:t>
        </x:is>
      </x:c>
      <x:c r="C727">
        <x:v>8239</x:v>
      </x:c>
      <x:c r="D727" t="inlineStr">
        <x:is>
          <x:t xml:space="preserve">Myrazole-B Cream</x:t>
        </x:is>
      </x:c>
      <x:c r="E727" t="inlineStr">
        <x:is>
          <x:t xml:space="preserve">หลอด 5 g.</x:t>
        </x:is>
      </x:c>
      <x:c r="F727" t="inlineStr">
        <x:is>
          <x:t xml:space="preserve">Clotrimazole 1%+Betamethasone Valerate (eq. to Betamethasone 0.1%) w/w</x:t>
        </x:is>
      </x:c>
      <x:c r="G727" t="inlineStr">
        <x:is>
          <x:t xml:space="preserve">BDS008239</x:t>
        </x:is>
      </x:c>
      <x:c r="H727" t="inlineStr">
        <x:is>
          <x:t xml:space="preserve">Myrazole-B Cream (5 g.)</x:t>
        </x:is>
      </x:c>
      <x:c r="I727" t="inlineStr">
        <x:is>
          <x:t xml:space="preserve">ทาครีมบางๆ บริเวณที่มีอาการ วันละ 2-3 ครั้ง</x:t>
        </x:is>
      </x:c>
      <x:c r="P727" t="inlineStr">
        <x:is>
          <x:t xml:space="preserve">Antifungals (oral/topical)</x:t>
        </x:is>
      </x:c>
    </x:row>
    <x:row r="728">
      <x:c r="A728">
        <x:v>726</x:v>
      </x:c>
      <x:c r="B728" t="inlineStr">
        <x:is>
          <x:t xml:space="preserve">ยาทาฆ่าเชื้อราและแก้คัน (D)</x:t>
        </x:is>
      </x:c>
      <x:c r="C728">
        <x:v>8221</x:v>
      </x:c>
      <x:c r="D728" t="inlineStr">
        <x:is>
          <x:t xml:space="preserve">Tara-Plus Cream</x:t>
        </x:is>
      </x:c>
      <x:c r="E728" t="inlineStr">
        <x:is>
          <x:t xml:space="preserve">หลอด 15 g.</x:t>
        </x:is>
      </x:c>
      <x:c r="F728" t="inlineStr">
        <x:is>
          <x:t xml:space="preserve">Miconazole Nitrate 2 g+Triamcinolone Acetonide 0.1 g/100 g </x:t>
        </x:is>
      </x:c>
      <x:c r="G728" t="inlineStr">
        <x:is>
          <x:t xml:space="preserve">BDS008221</x:t>
        </x:is>
      </x:c>
      <x:c r="H728" t="inlineStr">
        <x:is>
          <x:t xml:space="preserve">Tara-Plus Cream (15 g.)</x:t>
        </x:is>
      </x:c>
      <x:c r="I728" t="inlineStr">
        <x:is>
          <x:t xml:space="preserve">ทาบริเวณที่เป็น วันละ 2 ครั้ง เช้า-เย็น</x:t>
        </x:is>
      </x:c>
      <x:c r="P728" t="inlineStr">
        <x:is>
          <x:t xml:space="preserve">Antifungals (oral/topical)</x:t>
        </x:is>
      </x:c>
    </x:row>
    <x:row r="729">
      <x:c r="A729">
        <x:v>727</x:v>
      </x:c>
      <x:c r="B729" t="inlineStr">
        <x:is>
          <x:t xml:space="preserve">ยาสวนและยาเหน็บช่วยระบาย</x:t>
        </x:is>
      </x:c>
      <x:c r="C729">
        <x:v>2023</x:v>
      </x:c>
      <x:c r="D729" t="inlineStr">
        <x:is>
          <x:t xml:space="preserve">Glycerin Suppositories For Adults </x:t>
        </x:is>
      </x:c>
      <x:c r="E729" t="inlineStr">
        <x:is>
          <x:t xml:space="preserve">กระปุก 12 แท่ง</x:t>
        </x:is>
      </x:c>
      <x:c r="F729" t="inlineStr">
        <x:is>
          <x:t xml:space="preserve">Glycerol (Glycerin) 91 g.+Sodium Stearate 9 g./100 g.</x:t>
        </x:is>
      </x:c>
      <x:c r="G729" t="inlineStr">
        <x:is>
          <x:t xml:space="preserve">BDS002023</x:t>
        </x:is>
      </x:c>
      <x:c r="H729" t="inlineStr">
        <x:is>
          <x:t xml:space="preserve">Glycerin Suppositories For Adults  (12 sticks)</x:t>
        </x:is>
      </x:c>
      <x:c r="I729" t="inlineStr">
        <x:is>
          <x:t xml:space="preserve">เหน็บทวารครั้งละ 1 แท่ง เมื่อต้องการ รอ 15 นาทีเพื่อให้ตัวยาละลาย ช่วยการถ่าย</x:t>
        </x:is>
      </x:c>
    </x:row>
    <x:row r="730">
      <x:c r="A730">
        <x:v>728</x:v>
      </x:c>
      <x:c r="B730" t="inlineStr">
        <x:is>
          <x:t xml:space="preserve">ยาสวนและยาเหน็บช่วยระบาย</x:t>
        </x:is>
      </x:c>
      <x:c r="C730">
        <x:v>2032</x:v>
      </x:c>
      <x:c r="D730" t="inlineStr">
        <x:is>
          <x:t xml:space="preserve">Glycerin Suppositories For Infants</x:t>
        </x:is>
      </x:c>
      <x:c r="E730" t="inlineStr">
        <x:is>
          <x:t xml:space="preserve">กระปุก 12 แท่ง</x:t>
        </x:is>
      </x:c>
      <x:c r="F730" t="inlineStr">
        <x:is>
          <x:t xml:space="preserve">Glycerol 91 g.+Sodium Stearate 9 g./100 g.</x:t>
        </x:is>
      </x:c>
      <x:c r="G730" t="inlineStr">
        <x:is>
          <x:t xml:space="preserve">BDS002032</x:t>
        </x:is>
      </x:c>
      <x:c r="H730" t="inlineStr">
        <x:is>
          <x:t xml:space="preserve">Glycerin Suppositories For Infants (12 sticks)</x:t>
        </x:is>
      </x:c>
      <x:c r="I730" t="inlineStr">
        <x:is>
          <x:t xml:space="preserve">เหน็บทวารครั้งละ 1 แท่ง เมื่อต้องการ  รอ 15 นาที เพื่อให้ตัวยาละลาย ช่วยการถ่าย</x:t>
        </x:is>
      </x:c>
    </x:row>
    <x:row r="731">
      <x:c r="A731">
        <x:v>729</x:v>
      </x:c>
      <x:c r="B731" t="inlineStr">
        <x:is>
          <x:t xml:space="preserve">ยาสวนและยาเหน็บช่วยระบาย</x:t>
        </x:is>
      </x:c>
      <x:c r="C731">
        <x:v>6463</x:v>
      </x:c>
      <x:c r="D731" t="inlineStr">
        <x:is>
          <x:t xml:space="preserve">Glymorin Children Suppositories</x:t>
        </x:is>
      </x:c>
      <x:c r="E731" t="inlineStr">
        <x:is>
          <x:t xml:space="preserve">กล่อง 10 แท่ง</x:t>
        </x:is>
      </x:c>
      <x:c r="F731" t="inlineStr">
        <x:is>
          <x:t xml:space="preserve">Glycerin 1365 mg.</x:t>
        </x:is>
      </x:c>
      <x:c r="G731" t="inlineStr">
        <x:is>
          <x:t xml:space="preserve">BDS006463</x:t>
        </x:is>
      </x:c>
      <x:c r="H731" t="inlineStr">
        <x:is>
          <x:t xml:space="preserve">Glymorin Children Suppositories (10 sticks)</x:t>
        </x:is>
      </x:c>
      <x:c r="I731" t="inlineStr">
        <x:is>
          <x:t xml:space="preserve">เหน็บทวารครั้งละ 1 แท่ง เมื่อต้องการ รอ 15 นาทีเพื่อให้ตัวยาละลาย</x:t>
        </x:is>
      </x:c>
    </x:row>
    <x:row r="732">
      <x:c r="A732">
        <x:v>730</x:v>
      </x:c>
      <x:c r="B732" t="inlineStr">
        <x:is>
          <x:t xml:space="preserve">ยาสวนและยาเหน็บช่วยระบาย</x:t>
        </x:is>
      </x:c>
      <x:c r="C732">
        <x:v>6743</x:v>
      </x:c>
      <x:c r="D732" t="inlineStr">
        <x:is>
          <x:t xml:space="preserve">Glymorin Suppositories</x:t>
        </x:is>
      </x:c>
      <x:c r="E732" t="inlineStr">
        <x:is>
          <x:t xml:space="preserve">กล่อง 10 แท่ง</x:t>
        </x:is>
      </x:c>
      <x:c r="F732" t="inlineStr">
        <x:is>
          <x:t xml:space="preserve">Glycerin 2320 mg.</x:t>
        </x:is>
      </x:c>
      <x:c r="G732" t="inlineStr">
        <x:is>
          <x:t xml:space="preserve">BDS006743</x:t>
        </x:is>
      </x:c>
      <x:c r="H732" t="inlineStr">
        <x:is>
          <x:t xml:space="preserve">Glymorin Suppositories (10 sticks)</x:t>
        </x:is>
      </x:c>
      <x:c r="I732" t="inlineStr">
        <x:is>
          <x:t xml:space="preserve">เหน็บทวารครั้งละ 1 แท่ง เมื่อต้องการ รอ 15 นาทีเพื่อให้ตัวยาละลาย</x:t>
        </x:is>
      </x:c>
    </x:row>
    <x:row r="733">
      <x:c r="A733">
        <x:v>731</x:v>
      </x:c>
      <x:c r="B733" t="inlineStr">
        <x:is>
          <x:t xml:space="preserve">ยาสวนและยาเหน็บช่วยระบาย</x:t>
        </x:is>
      </x:c>
      <x:c r="C733">
        <x:v>3906</x:v>
      </x:c>
      <x:c r="D733" t="inlineStr">
        <x:is>
          <x:t xml:space="preserve">U-Enema</x:t>
        </x:is>
      </x:c>
      <x:c r="E733" t="inlineStr">
        <x:is>
          <x:t xml:space="preserve">หลอด 100 ml.</x:t>
        </x:is>
      </x:c>
      <x:c r="F733" t="inlineStr">
        <x:is>
          <x:t xml:space="preserve">Sodium Chloride 15 g./100 ml</x:t>
        </x:is>
      </x:c>
      <x:c r="G733" t="inlineStr">
        <x:is>
          <x:t xml:space="preserve">BDS003906</x:t>
        </x:is>
      </x:c>
      <x:c r="H733" t="inlineStr">
        <x:is>
          <x:t xml:space="preserve">U-Enema (100 ml.)</x:t>
        </x:is>
      </x:c>
      <x:c r="I733" t="inlineStr">
        <x:is>
          <x:t xml:space="preserve">สวนเข้าทวารหนัก ครั้งละ 1 หลอด เมื่อมีอาการท้องผูก</x:t>
        </x:is>
      </x:c>
    </x:row>
    <x:row r="734">
      <x:c r="A734">
        <x:v>732</x:v>
      </x:c>
      <x:c r="B734" t="inlineStr">
        <x:is>
          <x:t xml:space="preserve">ยาสวนและยาเหน็บช่วยระบาย</x:t>
        </x:is>
      </x:c>
      <x:c r="C734">
        <x:v>3907</x:v>
      </x:c>
      <x:c r="D734" t="inlineStr">
        <x:is>
          <x:t xml:space="preserve">Unison Enema เด็ก</x:t>
        </x:is>
      </x:c>
      <x:c r="E734" t="inlineStr">
        <x:is>
          <x:t xml:space="preserve">หลอด 10 ml.</x:t>
        </x:is>
      </x:c>
      <x:c r="F734" t="inlineStr">
        <x:is>
          <x:t xml:space="preserve">Sodium Chloride 15 g./100 ml.</x:t>
        </x:is>
      </x:c>
      <x:c r="G734" t="inlineStr">
        <x:is>
          <x:t xml:space="preserve">BDS003907</x:t>
        </x:is>
      </x:c>
      <x:c r="H734" t="inlineStr">
        <x:is>
          <x:t xml:space="preserve">Unison Enema เด็ก (10 ml.)</x:t>
        </x:is>
      </x:c>
      <x:c r="I734" t="inlineStr">
        <x:is>
          <x:t xml:space="preserve">เด็กโตสวนเข้าทวารหนัก ครั้งละ 10-20 ml. เมื่อมีอาการท้องผูก </x:t>
        </x:is>
      </x:c>
    </x:row>
    <x:row r="735">
      <x:c r="A735">
        <x:v>733</x:v>
      </x:c>
      <x:c r="B735" t="inlineStr">
        <x:is>
          <x:t xml:space="preserve">ยาสวนและยาเหน็บช่วยระบาย</x:t>
        </x:is>
      </x:c>
      <x:c r="C735">
        <x:v>3905</x:v>
      </x:c>
      <x:c r="D735" t="inlineStr">
        <x:is>
          <x:t xml:space="preserve">Unison Enema ผู้ใหญ่</x:t>
        </x:is>
      </x:c>
      <x:c r="E735" t="inlineStr">
        <x:is>
          <x:t xml:space="preserve">หลอด 20 ml.</x:t>
        </x:is>
      </x:c>
      <x:c r="F735" t="inlineStr">
        <x:is>
          <x:t xml:space="preserve">Sodium Chloride 15 g./100 ml.</x:t>
        </x:is>
      </x:c>
      <x:c r="G735" t="inlineStr">
        <x:is>
          <x:t xml:space="preserve">BDS003905</x:t>
        </x:is>
      </x:c>
      <x:c r="H735" t="inlineStr">
        <x:is>
          <x:t xml:space="preserve">Unison Enema ผู้ใหญ่ (20 ml.)</x:t>
        </x:is>
      </x:c>
      <x:c r="I735" t="inlineStr">
        <x:is>
          <x:t xml:space="preserve">สวนเข้าทวารหนัก ครั้งละ 20-40 ml. เมื่อมีอาการท้องผูก</x:t>
        </x:is>
      </x:c>
    </x:row>
    <x:row r="736">
      <x:c r="A736">
        <x:v>734</x:v>
      </x:c>
      <x:c r="B736" t="inlineStr">
        <x:is>
          <x:t xml:space="preserve">ยาหยอดและยาป้ายตาฆ่าเชื้อ</x:t>
        </x:is>
      </x:c>
      <x:c r="C736">
        <x:v>1437</x:v>
      </x:c>
      <x:c r="D736" t="inlineStr">
        <x:is>
          <x:t xml:space="preserve">ChlorOph Eye Drops</x:t>
        </x:is>
      </x:c>
      <x:c r="E736" t="inlineStr">
        <x:is>
          <x:t xml:space="preserve">ขวด 5 ml.</x:t>
        </x:is>
      </x:c>
      <x:c r="F736" t="inlineStr">
        <x:is>
          <x:t xml:space="preserve">Chloramphenicol 5 mg./1 ml.</x:t>
        </x:is>
      </x:c>
      <x:c r="G736" t="inlineStr">
        <x:is>
          <x:t xml:space="preserve">BDS001437</x:t>
        </x:is>
      </x:c>
      <x:c r="H736" t="inlineStr">
        <x:is>
          <x:t xml:space="preserve">ChlorOph Eye Drops (5 ml.)</x:t>
        </x:is>
      </x:c>
      <x:c r="I736" t="inlineStr">
        <x:is>
          <x:t xml:space="preserve">หยอดตาครั้งละ  2 -3 หยด วันละ 4-5 ครั้ง หรือตามแพทย์สั่ง </x:t>
        </x:is>
      </x:c>
    </x:row>
    <x:row r="737">
      <x:c r="A737">
        <x:v>735</x:v>
      </x:c>
      <x:c r="B737" t="inlineStr">
        <x:is>
          <x:t xml:space="preserve">ยาหยอดและยาป้ายตาฆ่าเชื้อ</x:t>
        </x:is>
      </x:c>
      <x:c r="C737">
        <x:v>1515</x:v>
      </x:c>
      <x:c r="D737" t="inlineStr">
        <x:is>
          <x:t xml:space="preserve">ChlorOph Eye Ointment</x:t>
        </x:is>
      </x:c>
      <x:c r="E737" t="inlineStr">
        <x:is>
          <x:t xml:space="preserve">หลอด 5 g.</x:t>
        </x:is>
      </x:c>
      <x:c r="F737" t="inlineStr">
        <x:is>
          <x:t xml:space="preserve">Chloramphenicol 10 mg./1 g.</x:t>
        </x:is>
      </x:c>
      <x:c r="G737" t="inlineStr">
        <x:is>
          <x:t xml:space="preserve">BDS001515</x:t>
        </x:is>
      </x:c>
      <x:c r="H737" t="inlineStr">
        <x:is>
          <x:t xml:space="preserve">ChlorOph Eye Ointment (5 g.)</x:t>
        </x:is>
      </x:c>
      <x:c r="I737" t="inlineStr">
        <x:is>
          <x:t xml:space="preserve">ป้ายตา วันละ 3-4 ครั้ง และก่อนนอน</x:t>
        </x:is>
      </x:c>
    </x:row>
    <x:row r="738">
      <x:c r="A738">
        <x:v>736</x:v>
      </x:c>
      <x:c r="B738" t="inlineStr">
        <x:is>
          <x:t xml:space="preserve">ยาหยอดและยาป้ายตาฆ่าเชื้อ</x:t>
        </x:is>
      </x:c>
      <x:c r="C738">
        <x:v>41410</x:v>
      </x:c>
      <x:c r="D738" t="inlineStr">
        <x:is>
          <x:t xml:space="preserve">Cogetine Ointment</x:t>
        </x:is>
      </x:c>
      <x:c r="E738" t="inlineStr">
        <x:is>
          <x:t xml:space="preserve">หลอด 5 g.</x:t>
        </x:is>
      </x:c>
      <x:c r="F738" t="inlineStr">
        <x:is>
          <x:t xml:space="preserve">Chloramphenicol 1% (1 g./100 g.)</x:t>
        </x:is>
      </x:c>
      <x:c r="G738" t="inlineStr">
        <x:is>
          <x:t xml:space="preserve">BDS041410</x:t>
        </x:is>
      </x:c>
      <x:c r="H738" t="inlineStr">
        <x:is>
          <x:t xml:space="preserve">Cogetine Ointment (5 g.)</x:t>
        </x:is>
      </x:c>
      <x:c r="I738" t="inlineStr">
        <x:is>
          <x:t xml:space="preserve">ป้ายตา อย่างน้อยวันละ 2 ครั้ง  </x:t>
        </x:is>
      </x:c>
    </x:row>
    <x:row r="739">
      <x:c r="A739">
        <x:v>737</x:v>
      </x:c>
      <x:c r="B739" t="inlineStr">
        <x:is>
          <x:t xml:space="preserve">ยาหยอดและยาป้ายตาฆ่าเชื้อ</x:t>
        </x:is>
      </x:c>
      <x:c r="C739">
        <x:v>1847</x:v>
      </x:c>
      <x:c r="D739" t="inlineStr">
        <x:is>
          <x:t xml:space="preserve">Fucithalmic Eye Drops</x:t>
        </x:is>
      </x:c>
      <x:c r="E739" t="inlineStr">
        <x:is>
          <x:t xml:space="preserve">หลอด 5 g.</x:t>
        </x:is>
      </x:c>
      <x:c r="F739" t="inlineStr">
        <x:is>
          <x:t xml:space="preserve">Fusidic acid 10 mg.+Preservative (Benzalkonium chloride 0.1%)/ 1 g.</x:t>
        </x:is>
      </x:c>
      <x:c r="G739" t="inlineStr">
        <x:is>
          <x:t xml:space="preserve">BDS001847</x:t>
        </x:is>
      </x:c>
      <x:c r="H739" t="inlineStr">
        <x:is>
          <x:t xml:space="preserve">Fucithalmic Eye Drops (5 g.)</x:t>
        </x:is>
      </x:c>
      <x:c r="I739" t="inlineStr">
        <x:is>
          <x:t xml:space="preserve">หยอดตาครั้งละ 1 หยด วันละ 2 ครั้ง หรือตามแพทย์สั่ง </x:t>
        </x:is>
      </x:c>
    </x:row>
    <x:row r="740">
      <x:c r="A740">
        <x:v>738</x:v>
      </x:c>
      <x:c r="B740" t="inlineStr">
        <x:is>
          <x:t xml:space="preserve">ยาหยอดและยาป้ายตาฆ่าเชื้อ</x:t>
        </x:is>
      </x:c>
      <x:c r="C740">
        <x:v>3181</x:v>
      </x:c>
      <x:c r="D740" t="inlineStr">
        <x:is>
          <x:t xml:space="preserve">Poly-Oph Eye Drops</x:t>
        </x:is>
      </x:c>
      <x:c r="E740" t="inlineStr">
        <x:is>
          <x:t xml:space="preserve">ขวด 5 ml.</x:t>
        </x:is>
      </x:c>
      <x:c r="F740" t="inlineStr">
        <x:is>
          <x:t xml:space="preserve">Neomycin Sulfate (eq. to Neomycin 2 mg.)+Polymyxin B Sulfate (eq. to Polymyxin B 5,000 Units)+Gramicidin 0.025 mg./1 ml.</x:t>
        </x:is>
      </x:c>
      <x:c r="G740" t="inlineStr">
        <x:is>
          <x:t xml:space="preserve">BDS003181</x:t>
        </x:is>
      </x:c>
      <x:c r="H740" t="inlineStr">
        <x:is>
          <x:t xml:space="preserve">Poly-Oph Eye Drops (5 ml.)</x:t>
        </x:is>
      </x:c>
      <x:c r="I740" t="inlineStr">
        <x:is>
          <x:t xml:space="preserve">หยอดตาครั้งละ 1-2 หยด วันละ 4-5 ครั้ง หรือตามแพทย์สั่ง </x:t>
        </x:is>
      </x:c>
    </x:row>
    <x:row r="741">
      <x:c r="A741">
        <x:v>739</x:v>
      </x:c>
      <x:c r="B741" t="inlineStr">
        <x:is>
          <x:t xml:space="preserve">ยาหยอดและยาป้ายตาฆ่าเชื้อ</x:t>
        </x:is>
      </x:c>
      <x:c r="C741">
        <x:v>3721</x:v>
      </x:c>
      <x:c r="D741" t="inlineStr">
        <x:is>
          <x:t xml:space="preserve">Terramycin Ophthalmic Ointment</x:t>
        </x:is>
      </x:c>
      <x:c r="E741" t="inlineStr">
        <x:is>
          <x:t xml:space="preserve">หลอด 3.5 g.</x:t>
        </x:is>
      </x:c>
      <x:c r="F741" t="inlineStr">
        <x:is>
          <x:t xml:space="preserve">Oxytetracycline HCl 5 mg.+Polymyxin B Sulfate 10,000 units/1 g.</x:t>
        </x:is>
      </x:c>
      <x:c r="G741" t="inlineStr">
        <x:is>
          <x:t xml:space="preserve">BDS003721</x:t>
        </x:is>
      </x:c>
      <x:c r="H741" t="inlineStr">
        <x:is>
          <x:t xml:space="preserve">Terramycin Ophthalmic Ointment (3.5 g.)</x:t>
        </x:is>
      </x:c>
      <x:c r="I741" t="inlineStr">
        <x:is>
          <x:t xml:space="preserve">ป้ายบริเวณเปลือกตาด้านนอกหรือด้านใน วันละ 1 ครั้ง ก่อนนอน</x:t>
        </x:is>
      </x:c>
    </x:row>
    <x:row r="742">
      <x:c r="A742">
        <x:v>740</x:v>
      </x:c>
      <x:c r="B742" t="inlineStr">
        <x:is>
          <x:t xml:space="preserve">ยาหยอดและยาป้ายตาฆ่าเชื้อ</x:t>
        </x:is>
      </x:c>
      <x:c r="C742">
        <x:v>3861</x:v>
      </x:c>
      <x:c r="D742" t="inlineStr">
        <x:is>
          <x:t xml:space="preserve">Tobrex Ophthalmic Solution</x:t>
        </x:is>
      </x:c>
      <x:c r="E742" t="inlineStr">
        <x:is>
          <x:t xml:space="preserve">ขวด 5 ml.</x:t>
        </x:is>
      </x:c>
      <x:c r="F742" t="inlineStr">
        <x:is>
          <x:t xml:space="preserve">Tobramycin 3 mg.+Preservative (Benzalkonium Chloride 0.1 mg.)/1 ml.</x:t>
        </x:is>
      </x:c>
      <x:c r="G742" t="inlineStr">
        <x:is>
          <x:t xml:space="preserve">BDS003861</x:t>
        </x:is>
      </x:c>
      <x:c r="H742" t="inlineStr">
        <x:is>
          <x:t xml:space="preserve">Tobrex Ophthalmic Solution (5 ml.)</x:t>
        </x:is>
      </x:c>
      <x:c r="I742" t="inlineStr">
        <x:is>
          <x:t xml:space="preserve">หยอดตาครั้งละ 1-2 หยด ทุก 4 ชั่วโมง หรือตามแพทย์สั่ง</x:t>
        </x:is>
      </x:c>
    </x:row>
    <x:row r="743">
      <x:c r="A743">
        <x:v>741</x:v>
      </x:c>
      <x:c r="B743" t="inlineStr">
        <x:is>
          <x:t xml:space="preserve">ยาหยอดตาแก้แพ้ (D)</x:t>
        </x:is>
      </x:c>
      <x:c r="C743">
        <x:v>1052</x:v>
      </x:c>
      <x:c r="D743" t="inlineStr">
        <x:is>
          <x:t xml:space="preserve">Allergis</x:t>
        </x:is>
      </x:c>
      <x:c r="E743" t="inlineStr">
        <x:is>
          <x:t xml:space="preserve">ขวด 5 ml.</x:t>
        </x:is>
      </x:c>
      <x:c r="F743" t="inlineStr">
        <x:is>
          <x:t xml:space="preserve">Antazoline HCl 0.5 mg+Tetrahydrozoline HCl 0.4 mg/1 ml</x:t>
        </x:is>
      </x:c>
      <x:c r="G743" t="inlineStr">
        <x:is>
          <x:t xml:space="preserve">BDS001052</x:t>
        </x:is>
      </x:c>
      <x:c r="H743" t="inlineStr">
        <x:is>
          <x:t xml:space="preserve">Allergis (5 ml.)</x:t>
        </x:is>
      </x:c>
      <x:c r="I743" t="inlineStr">
        <x:is>
          <x:t xml:space="preserve">หยอดตาครั้งละ 1-2 หยด วันละ 4 - 6 ครั้ง หรือตามแพทย์สั่ง </x:t>
        </x:is>
      </x:c>
    </x:row>
    <x:row r="744">
      <x:c r="A744">
        <x:v>742</x:v>
      </x:c>
      <x:c r="B744" t="inlineStr">
        <x:is>
          <x:t xml:space="preserve">ยาหยอดตาแก้แพ้ (D)</x:t>
        </x:is>
      </x:c>
      <x:c r="C744">
        <x:v>40035</x:v>
      </x:c>
      <x:c r="D744" t="inlineStr">
        <x:is>
          <x:t xml:space="preserve">Antazallerge</x:t>
        </x:is>
      </x:c>
      <x:c r="E744" t="inlineStr">
        <x:is>
          <x:t xml:space="preserve">ขวด 10 ml.</x:t>
        </x:is>
      </x:c>
      <x:c r="F744" t="inlineStr">
        <x:is>
          <x:t xml:space="preserve">Antazoline HCl 0.5 mg.+Tetrahydrozoline HCl  0.4 mg.+Preservative (Benzalkonium Cl 0.1mg.)</x:t>
        </x:is>
      </x:c>
      <x:c r="G744" t="inlineStr">
        <x:is>
          <x:t xml:space="preserve">BDS040035</x:t>
        </x:is>
      </x:c>
      <x:c r="H744" t="inlineStr">
        <x:is>
          <x:t xml:space="preserve">Antazallerge (10 ml.)</x:t>
        </x:is>
      </x:c>
      <x:c r="I744" t="inlineStr">
        <x:is>
          <x:t xml:space="preserve">หยอดตาครั้งละ 1-2 หยด วันละ 3-4 ครั้ง หรือใช้ตามแพทย์สั่ง </x:t>
        </x:is>
      </x:c>
    </x:row>
    <x:row r="745">
      <x:c r="A745">
        <x:v>743</x:v>
      </x:c>
      <x:c r="B745" t="inlineStr">
        <x:is>
          <x:t xml:space="preserve">ยาหยอดตาแก้แพ้ (D)</x:t>
        </x:is>
      </x:c>
      <x:c r="C745">
        <x:v>1401</x:v>
      </x:c>
      <x:c r="D745" t="inlineStr">
        <x:is>
          <x:t xml:space="preserve">Cadexcin.N</x:t>
        </x:is>
      </x:c>
      <x:c r="E745" t="inlineStr">
        <x:is>
          <x:t xml:space="preserve">ขวด 4 ml.</x:t>
        </x:is>
      </x:c>
      <x:c r="F745" t="inlineStr">
        <x:is>
          <x:t xml:space="preserve">Dexamethasone 21-(disodium phosphate) (eq. to Dexamethasone 21-phosphate 1 mg.)+Neomycin Sulfate (eq. to Neomycin base 3.5 mg.)/1 ml.</x:t>
        </x:is>
      </x:c>
      <x:c r="G745" t="inlineStr">
        <x:is>
          <x:t xml:space="preserve">BDS001401</x:t>
        </x:is>
      </x:c>
      <x:c r="H745" t="inlineStr">
        <x:is>
          <x:t xml:space="preserve">Cadexcin.N (4 ml.)</x:t>
        </x:is>
      </x:c>
      <x:c r="I745" t="inlineStr">
        <x:is>
          <x:t xml:space="preserve">หยอดตา ครั้งละ 1-2  ทุก 2-3 ชม. ติดต่อกันอย่างน้อย 2-3 วัน หยอดหู ครั้งละ 3-4 หยด วันละ 2-3 ครั้ง หรือตามแพทย์สั่ง</x:t>
        </x:is>
      </x:c>
    </x:row>
    <x:row r="746">
      <x:c r="A746">
        <x:v>744</x:v>
      </x:c>
      <x:c r="B746" t="inlineStr">
        <x:is>
          <x:t xml:space="preserve">ยาหยอดตาแก้แพ้ (D)</x:t>
        </x:is>
      </x:c>
      <x:c r="C746">
        <x:v>41404</x:v>
      </x:c>
      <x:c r="D746" t="inlineStr">
        <x:is>
          <x:t xml:space="preserve">CD-Oph Eye Drops</x:t>
        </x:is>
      </x:c>
      <x:c r="E746" t="inlineStr">
        <x:is>
          <x:t xml:space="preserve">ขวด 5 ml.</x:t>
        </x:is>
      </x:c>
      <x:c r="F746" t="inlineStr">
        <x:is>
          <x:t xml:space="preserve">Dexamethasone Sodium Phosphate 1 mg.+Chloramphenicol 5 mg.+Tetrahydrozoline HCl 0.25 mg./1 ml.</x:t>
        </x:is>
      </x:c>
      <x:c r="G746" t="inlineStr">
        <x:is>
          <x:t xml:space="preserve">BDS041404</x:t>
        </x:is>
      </x:c>
      <x:c r="H746" t="inlineStr">
        <x:is>
          <x:t xml:space="preserve">CD-Oph Eye Drops (5 ml.)</x:t>
        </x:is>
      </x:c>
      <x:c r="I746" t="inlineStr">
        <x:is>
          <x:t xml:space="preserve">หยอดตาครั้งละ 1 หยด วันละ 1-4 ครั้ง หรือตามแพทย์สั่ง </x:t>
        </x:is>
      </x:c>
    </x:row>
    <x:row r="747">
      <x:c r="A747">
        <x:v>745</x:v>
      </x:c>
      <x:c r="B747" t="inlineStr">
        <x:is>
          <x:t xml:space="preserve">ยาหยอดตาแก้แพ้ (D)</x:t>
        </x:is>
      </x:c>
      <x:c r="C747">
        <x:v>1632</x:v>
      </x:c>
      <x:c r="D747" t="inlineStr">
        <x:is>
          <x:t xml:space="preserve">DexOph Eye-Ear Drops</x:t>
        </x:is>
      </x:c>
      <x:c r="E747" t="inlineStr">
        <x:is>
          <x:t xml:space="preserve">ขวด 4 ml.</x:t>
        </x:is>
      </x:c>
      <x:c r="F747" t="inlineStr">
        <x:is>
          <x:t xml:space="preserve">Dexamethasone Sodium Phosphate (eq. to Dexamethasone Phosphate 0.1 %)+Neomycin Sulfate 0.5% (eq. to Neomycin Base 0.35 %)/1 ml.</x:t>
        </x:is>
      </x:c>
      <x:c r="G747" t="inlineStr">
        <x:is>
          <x:t xml:space="preserve">BDS001632</x:t>
        </x:is>
      </x:c>
      <x:c r="H747" t="inlineStr">
        <x:is>
          <x:t xml:space="preserve">DexOph Eye-Ear Drops (4 ml.)</x:t>
        </x:is>
      </x:c>
      <x:c r="I747" t="inlineStr">
        <x:is>
          <x:t xml:space="preserve">หยอดตา ครั้งละ 1-2 หยด วันละ 4-6 ครั้ง หยอดหู ครั้งละ 3-4 หยด วันละ 2-3 ครั้ง </x:t>
        </x:is>
      </x:c>
      <x:c r="K747">
        <x:v>120</x:v>
      </x:c>
      <x:c r="L747">
        <x:v>30</x:v>
      </x:c>
      <x:c r="M747" t="inlineStr">
        <x:is>
          <x:t xml:space="preserve">USER</x:t>
        </x:is>
      </x:c>
      <x:c r="N747" t="inlineStr">
        <x:is>
          <x:t xml:space="preserve">2026-02-07</x:t>
        </x:is>
      </x:c>
      <x:c r="O747" t="inlineStr">
        <x:is>
          <x:t xml:space="preserve">User provided price (DexOph Eye-Ear Drops 4 ml).</x:t>
        </x:is>
      </x:c>
    </x:row>
    <x:row r="748">
      <x:c r="A748">
        <x:v>746</x:v>
      </x:c>
      <x:c r="B748" t="inlineStr">
        <x:is>
          <x:t xml:space="preserve">ยาหยอดตาแก้แพ้ (D)</x:t>
        </x:is>
      </x:c>
      <x:c r="C748">
        <x:v>1981</x:v>
      </x:c>
      <x:c r="D748" t="inlineStr">
        <x:is>
          <x:t xml:space="preserve">Flarex</x:t>
        </x:is>
      </x:c>
      <x:c r="E748" t="inlineStr">
        <x:is>
          <x:t xml:space="preserve">ขวด 5 ml.</x:t>
        </x:is>
      </x:c>
      <x:c r="F748" t="inlineStr">
        <x:is>
          <x:t xml:space="preserve">Fluorometholone Acetate 0.1 %+Monobasic Sodium Phosphate+Sodium Chloride+Edetate Disodium+Hydroxyethylcellulose+Tyloxapol+Hydrochloric Acid+Sodium Hydroxide+Preservative (Edetate Disodium+Benzalkonium Chloride 0.01%)/1 ml.</x:t>
        </x:is>
      </x:c>
      <x:c r="G748" t="inlineStr">
        <x:is>
          <x:t xml:space="preserve">BDS001981</x:t>
        </x:is>
      </x:c>
      <x:c r="H748" t="inlineStr">
        <x:is>
          <x:t xml:space="preserve">Flarex (5 ml.)</x:t>
        </x:is>
      </x:c>
      <x:c r="I748" t="inlineStr">
        <x:is>
          <x:t xml:space="preserve">หยอดตาข้างที่มีอาการ ครั้งละ 1-2 หยด วันละ 4 ครั้ง หรือตามแพทย์สั่ง </x:t>
        </x:is>
      </x:c>
    </x:row>
    <x:row r="749">
      <x:c r="A749">
        <x:v>747</x:v>
      </x:c>
      <x:c r="B749" t="inlineStr">
        <x:is>
          <x:t xml:space="preserve">ยาหยอดตาแก้แพ้ (D)</x:t>
        </x:is>
      </x:c>
      <x:c r="C749">
        <x:v>6181</x:v>
      </x:c>
      <x:c r="D749" t="inlineStr">
        <x:is>
          <x:t xml:space="preserve">FML Ophthalmic Suspension</x:t>
        </x:is>
      </x:c>
      <x:c r="E749" t="inlineStr">
        <x:is>
          <x:t xml:space="preserve">ขวด 5 ml.</x:t>
        </x:is>
      </x:c>
      <x:c r="F749" t="inlineStr">
        <x:is>
          <x:t xml:space="preserve">Fluorometholone 0.1 %+Polyvinyl Alcohol 14 mg.+Sodium Chloride+Sodium Phosphste Monobasic+Sodium Phosphate Dibasic+Polysorbate 80+Preservative (Edetate Disodium+Benzalkonium Chloride 0.04 mg.)/1 ml.</x:t>
        </x:is>
      </x:c>
      <x:c r="G749" t="inlineStr">
        <x:is>
          <x:t xml:space="preserve">BDS006181</x:t>
        </x:is>
      </x:c>
      <x:c r="H749" t="inlineStr">
        <x:is>
          <x:t xml:space="preserve">FML Ophthalmic Suspension (5 ml.)</x:t>
        </x:is>
      </x:c>
      <x:c r="I749" t="inlineStr">
        <x:is>
          <x:t xml:space="preserve">หยอดตาข้างที่มีอาการ ครั้งละ 1-2 หยด วันละ 2-4 ครั้ง หรือตามแพทย์สั่ง </x:t>
        </x:is>
      </x:c>
    </x:row>
    <x:row r="750">
      <x:c r="A750">
        <x:v>748</x:v>
      </x:c>
      <x:c r="B750" t="inlineStr">
        <x:is>
          <x:t xml:space="preserve">ยาหยอดตาแก้แพ้ (D)</x:t>
        </x:is>
      </x:c>
      <x:c r="C750">
        <x:v>2117</x:v>
      </x:c>
      <x:c r="D750" t="inlineStr">
        <x:is>
          <x:t xml:space="preserve">Hista-Oph</x:t>
        </x:is>
      </x:c>
      <x:c r="E750" t="inlineStr">
        <x:is>
          <x:t xml:space="preserve">ขวด 5 ml.</x:t>
        </x:is>
      </x:c>
      <x:c r="F750" t="inlineStr">
        <x:is>
          <x:t xml:space="preserve">Antazoline HCl 0.05 %+Tetrahydrozoline HCl 0.04%+Hydroxypropyl Methylcellulose+Preservative (Benzalkonium Chloride 0.015%)/1 ml.</x:t>
        </x:is>
      </x:c>
      <x:c r="G750" t="inlineStr">
        <x:is>
          <x:t xml:space="preserve">BDS002117</x:t>
        </x:is>
      </x:c>
      <x:c r="H750" t="inlineStr">
        <x:is>
          <x:t xml:space="preserve">Hista-Oph (5 ml.)</x:t>
        </x:is>
      </x:c>
      <x:c r="I750" t="inlineStr">
        <x:is>
          <x:t xml:space="preserve">หยอดตาครั้งละ 1-2 หยด วันละ 4 - 6 ครั้ง หรือตามแพทย์สั่ง </x:t>
        </x:is>
      </x:c>
    </x:row>
    <x:row r="751">
      <x:c r="A751">
        <x:v>749</x:v>
      </x:c>
      <x:c r="B751" t="inlineStr">
        <x:is>
          <x:t xml:space="preserve">ยาหยอดตาแก้แพ้ (D)</x:t>
        </x:is>
      </x:c>
      <x:c r="C751">
        <x:v>2804</x:v>
      </x:c>
      <x:c r="D751" t="inlineStr">
        <x:is>
          <x:t xml:space="preserve">Naphcon-A</x:t>
        </x:is>
      </x:c>
      <x:c r="E751" t="inlineStr">
        <x:is>
          <x:t xml:space="preserve">ขวด 15 ml.</x:t>
        </x:is>
      </x:c>
      <x:c r="F751" t="inlineStr">
        <x:is>
          <x:t xml:space="preserve">Naphazoline HCl 0.025%+Pheniramine Maleate 0.3%+Preservative (Benzalkonium Chloride 0.01%)/1 ml</x:t>
        </x:is>
      </x:c>
      <x:c r="G751" t="inlineStr">
        <x:is>
          <x:t xml:space="preserve">BDS002804</x:t>
        </x:is>
      </x:c>
      <x:c r="H751" t="inlineStr">
        <x:is>
          <x:t xml:space="preserve">Naphcon-A (15 ml.)</x:t>
        </x:is>
      </x:c>
      <x:c r="I751" t="inlineStr">
        <x:is>
          <x:t xml:space="preserve">หยอดตาครั้งละ 1-2 หยด ทุก 3-4 ชั่วโมง หรือน้อยครั้งกว่านี้ เฉพาะเมื่อมีอาการ </x:t>
        </x:is>
      </x:c>
    </x:row>
    <x:row r="752">
      <x:c r="A752">
        <x:v>750</x:v>
      </x:c>
      <x:c r="B752" t="inlineStr">
        <x:is>
          <x:t xml:space="preserve">ยาหยอดตาแก้แพ้ (D)</x:t>
        </x:is>
      </x:c>
      <x:c r="C752">
        <x:v>3029</x:v>
      </x:c>
      <x:c r="D752" t="inlineStr">
        <x:is>
          <x:t xml:space="preserve">Opsa-His</x:t>
        </x:is>
      </x:c>
      <x:c r="E752" t="inlineStr">
        <x:is>
          <x:t xml:space="preserve">ขวด 5 ml.</x:t>
        </x:is>
      </x:c>
      <x:c r="F752" t="inlineStr">
        <x:is>
          <x:t xml:space="preserve">Antazoline HCl 0.5 mg+Tetrahydrozoline HCl 0.4 mg/1 ml</x:t>
        </x:is>
      </x:c>
      <x:c r="G752" t="inlineStr">
        <x:is>
          <x:t xml:space="preserve">BDS003029</x:t>
        </x:is>
      </x:c>
      <x:c r="H752" t="inlineStr">
        <x:is>
          <x:t xml:space="preserve">Opsa-His (5 ml.)</x:t>
        </x:is>
      </x:c>
      <x:c r="I752" t="inlineStr">
        <x:is>
          <x:t xml:space="preserve">หยอดตา 1 หยด วันละ 2-3 ครั้ง หรือตามแพทย์สั่ง </x:t>
        </x:is>
      </x:c>
    </x:row>
    <x:row r="753">
      <x:c r="A753">
        <x:v>751</x:v>
      </x:c>
      <x:c r="B753" t="inlineStr">
        <x:is>
          <x:t xml:space="preserve">ยาหยอดตาแก้แพ้ (D)</x:t>
        </x:is>
      </x:c>
      <x:c r="C753">
        <x:v>3013</x:v>
      </x:c>
      <x:c r="D753" t="inlineStr">
        <x:is>
          <x:t xml:space="preserve">Opsil-A</x:t>
        </x:is>
      </x:c>
      <x:c r="E753" t="inlineStr">
        <x:is>
          <x:t xml:space="preserve">ขวด 10 ml.</x:t>
        </x:is>
      </x:c>
      <x:c r="F753" t="inlineStr">
        <x:is>
          <x:t xml:space="preserve">Antazoline HCl BP 0.05 %+Tetrahydrozoline HCl USP 0.04%+Preservative (Benzalkonium Cl 0.01%)/1 ml</x:t>
        </x:is>
      </x:c>
      <x:c r="G753" t="inlineStr">
        <x:is>
          <x:t xml:space="preserve">BDS003013</x:t>
        </x:is>
      </x:c>
      <x:c r="H753" t="inlineStr">
        <x:is>
          <x:t xml:space="preserve">Opsil-A (10 ml.)</x:t>
        </x:is>
      </x:c>
      <x:c r="I753" t="inlineStr">
        <x:is>
          <x:t xml:space="preserve">หยอดตาครั้งละ 1-2 หยด วันละ 3-4 ครั้ง หรือใช้ตามแพทย์สั่ง </x:t>
        </x:is>
      </x:c>
    </x:row>
    <x:row r="754">
      <x:c r="A754">
        <x:v>752</x:v>
      </x:c>
      <x:c r="B754" t="inlineStr">
        <x:is>
          <x:t xml:space="preserve">ยาหยอดตาแก้แพ้ (D)</x:t>
        </x:is>
      </x:c>
      <x:c r="C754">
        <x:v>46500</x:v>
      </x:c>
      <x:c r="D754" t="inlineStr">
        <x:is>
          <x:t xml:space="preserve">Pataday Ophthalmic Solution</x:t>
        </x:is>
      </x:c>
      <x:c r="E754" t="inlineStr">
        <x:is>
          <x:t xml:space="preserve">ขวด 2.5 ml.</x:t>
        </x:is>
      </x:c>
      <x:c r="F754" t="inlineStr">
        <x:is>
          <x:t xml:space="preserve">Olopatadine HCl 2.22 mg (eq. to Olopatadine 2 mg (0.2%)+Povidone+Dibasic Sodium Phosphate+Sodium Chloride+Hydrochloric Acid /Sodium Hydroxide+Preservative (Edetate Disodium+Benzalkonium Chloride 0.01%)/1 ml.</x:t>
        </x:is>
      </x:c>
      <x:c r="G754" t="inlineStr">
        <x:is>
          <x:t xml:space="preserve">BDS046500</x:t>
        </x:is>
      </x:c>
      <x:c r="H754" t="inlineStr">
        <x:is>
          <x:t xml:space="preserve">Pataday Ophthalmic Solution (2.5 ml.)</x:t>
        </x:is>
      </x:c>
      <x:c r="I754" t="inlineStr">
        <x:is>
          <x:t xml:space="preserve">หยอดตาครั้งละ 1 หยด วันละ 1 ครั้ง  </x:t>
        </x:is>
      </x:c>
    </x:row>
    <x:row r="755">
      <x:c r="A755">
        <x:v>753</x:v>
      </x:c>
      <x:c r="B755" t="inlineStr">
        <x:is>
          <x:t xml:space="preserve">ยาหยอดตาแก้แพ้ (D)</x:t>
        </x:is>
      </x:c>
      <x:c r="C755">
        <x:v>46553</x:v>
      </x:c>
      <x:c r="D755" t="inlineStr">
        <x:is>
          <x:t xml:space="preserve">Pemirox Ophthalmic Solution</x:t>
        </x:is>
      </x:c>
      <x:c r="E755" t="inlineStr">
        <x:is>
          <x:t xml:space="preserve">ขวด 5 ml.</x:t>
        </x:is>
      </x:c>
      <x:c r="F755" t="inlineStr">
        <x:is>
          <x:t xml:space="preserve">Pemirolast potassium 0.1 %</x:t>
        </x:is>
      </x:c>
      <x:c r="G755" t="inlineStr">
        <x:is>
          <x:t xml:space="preserve">BDS046553</x:t>
        </x:is>
      </x:c>
      <x:c r="H755" t="inlineStr">
        <x:is>
          <x:t xml:space="preserve">Pemirox Ophthalmic Solution (5 ml.)</x:t>
        </x:is>
      </x:c>
      <x:c r="I755" t="inlineStr">
        <x:is>
          <x:t xml:space="preserve">หยอดตาครั้งละ 1 หยด วันละ 2 ครั้ง หรือใช้ตามแพทย์สั่ง </x:t>
        </x:is>
      </x:c>
    </x:row>
    <x:row r="756">
      <x:c r="A756">
        <x:v>754</x:v>
      </x:c>
      <x:c r="B756" t="inlineStr">
        <x:is>
          <x:t xml:space="preserve">ยาหยอดตาแก้แพ้ (D)</x:t>
        </x:is>
      </x:c>
      <x:c r="C756">
        <x:v>3862</x:v>
      </x:c>
      <x:c r="D756" t="inlineStr">
        <x:is>
          <x:t xml:space="preserve">Tobradex Ophthalmic Suspension</x:t>
        </x:is>
      </x:c>
      <x:c r="E756" t="inlineStr">
        <x:is>
          <x:t xml:space="preserve">ขวด 5 ml.</x:t>
        </x:is>
      </x:c>
      <x:c r="F756" t="inlineStr">
        <x:is>
          <x:t xml:space="preserve">Tobramycin 3 mg (0.3%)+Dexamethasone 1 mg (0.1%)+Tyloxapol+Sodium Chloride+Hydroxyethylcellulose+Sodium Sulfate+Sulfuric Acid+Sodium Hydroxide+Preservative (Edetate Disodium+Benzalkonium Chloride 0.01%)/1 ml.</x:t>
        </x:is>
      </x:c>
      <x:c r="G756" t="inlineStr">
        <x:is>
          <x:t xml:space="preserve">BDS003862</x:t>
        </x:is>
      </x:c>
      <x:c r="H756" t="inlineStr">
        <x:is>
          <x:t xml:space="preserve">Tobradex Ophthalmic Suspension (5 ml.)</x:t>
        </x:is>
      </x:c>
      <x:c r="I756" t="inlineStr">
        <x:is>
          <x:t xml:space="preserve">หยอดตาครั้งละ 1-2 หยด ทุก 4-6 ชั่วโมง</x:t>
        </x:is>
      </x:c>
    </x:row>
    <x:row r="757">
      <x:c r="A757">
        <x:v>755</x:v>
      </x:c>
      <x:c r="B757" t="inlineStr">
        <x:is>
          <x:t xml:space="preserve">น้ำตาเทียม</x:t>
        </x:is>
      </x:c>
      <x:c r="C757">
        <x:v>1552</x:v>
      </x:c>
      <x:c r="D757" t="inlineStr">
        <x:is>
          <x:t xml:space="preserve">Cellufresh</x:t>
        </x:is>
      </x:c>
      <x:c r="E757" t="inlineStr">
        <x:is>
          <x:t xml:space="preserve">กล่อง 30 หลอด</x:t>
        </x:is>
      </x:c>
      <x:c r="F757" t="inlineStr">
        <x:is>
          <x:t xml:space="preserve">Carboxymethylcellulose Sodium (CMC) 0.5%+Calcium Chloride+Magnesium Chloride+Potassium Chloride+Sodium Chloride+Sodium Lactate+Hydrochloric Acid+Sodium Hydroxide</x:t>
        </x:is>
      </x:c>
      <x:c r="G757" t="inlineStr">
        <x:is>
          <x:t xml:space="preserve">BDS001552</x:t>
        </x:is>
      </x:c>
      <x:c r="H757" t="inlineStr">
        <x:is>
          <x:t xml:space="preserve">Cellufresh (30 tubes)</x:t>
        </x:is>
      </x:c>
      <x:c r="I757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57" t="inlineStr">
        <x:is>
          <x:t xml:space="preserve">Artificial tears / eye lubricants</x:t>
        </x:is>
      </x:c>
    </x:row>
    <x:row r="758">
      <x:c r="A758">
        <x:v>756</x:v>
      </x:c>
      <x:c r="B758" t="inlineStr">
        <x:is>
          <x:t xml:space="preserve">น้ำตาเทียม</x:t>
        </x:is>
      </x:c>
      <x:c r="C758">
        <x:v>41414</x:v>
      </x:c>
      <x:c r="D758" t="inlineStr">
        <x:is>
          <x:t xml:space="preserve">Cellufresh MD </x:t>
        </x:is>
      </x:c>
      <x:c r="E758" t="inlineStr">
        <x:is>
          <x:t xml:space="preserve">ขวด 3 ml.</x:t>
        </x:is>
      </x:c>
      <x:c r="F758" t="inlineStr">
        <x:is>
          <x:t xml:space="preserve">Carboxymethylcellulose Sodium (CMC) 0.5%+Boric acid+Calcium Chloride+Magnesium Chloride+Potassium Chloride+Sodium Borate+Sodium Chloride+Preservative (Stabilized Oxychloro Complex (Purite) </x:t>
        </x:is>
      </x:c>
      <x:c r="G758" t="inlineStr">
        <x:is>
          <x:t xml:space="preserve">BDS041414</x:t>
        </x:is>
      </x:c>
      <x:c r="H758" t="inlineStr">
        <x:is>
          <x:t xml:space="preserve">Cellufresh MD  (3 ml.)</x:t>
        </x:is>
      </x:c>
      <x:c r="I758" t="inlineStr">
        <x:is>
          <x:t xml:space="preserve">หยอดตาครั้งละ 1-2 หยด วันละ 2-3 ครั้ง ตามต้องการ</x:t>
        </x:is>
      </x:c>
      <x:c r="P758" t="inlineStr">
        <x:is>
          <x:t xml:space="preserve">Artificial tears / eye lubricants</x:t>
        </x:is>
      </x:c>
    </x:row>
    <x:row r="759">
      <x:c r="A759">
        <x:v>757</x:v>
      </x:c>
      <x:c r="B759" t="inlineStr">
        <x:is>
          <x:t xml:space="preserve">น้ำตาเทียม</x:t>
        </x:is>
      </x:c>
      <x:c r="C759">
        <x:v>1554</x:v>
      </x:c>
      <x:c r="D759" t="inlineStr">
        <x:is>
          <x:t xml:space="preserve">Cellufresh MD ใหญ่</x:t>
        </x:is>
      </x:c>
      <x:c r="E759" t="inlineStr">
        <x:is>
          <x:t xml:space="preserve">ขวด 15 ml.</x:t>
        </x:is>
      </x:c>
      <x:c r="F759" t="inlineStr">
        <x:is>
          <x:t xml:space="preserve">Carboxymethylcellulose Sodium (CMC) 0.5%+Boric acid+Calcium Chloride dihydrate+Magnesium Chloride+ Potassium Chloride+Sodium Borate+Sodium Chloride+Preservative (Stabilized Oxychloro complex (Purite) </x:t>
        </x:is>
      </x:c>
      <x:c r="G759" t="inlineStr">
        <x:is>
          <x:t xml:space="preserve">BDS001554</x:t>
        </x:is>
      </x:c>
      <x:c r="H759" t="inlineStr">
        <x:is>
          <x:t xml:space="preserve">Cellufresh MD ใหญ่ (15 ml.)</x:t>
        </x:is>
      </x:c>
      <x:c r="I759" t="inlineStr">
        <x:is>
          <x:t xml:space="preserve">หยอดตาครั้งละ 1-2 หยด วันละ 2-3 ครั้ง ตามต้องการ</x:t>
        </x:is>
      </x:c>
      <x:c r="P759" t="inlineStr">
        <x:is>
          <x:t xml:space="preserve">Artificial tears / eye lubricants</x:t>
        </x:is>
      </x:c>
    </x:row>
    <x:row r="760">
      <x:c r="A760">
        <x:v>758</x:v>
      </x:c>
      <x:c r="B760" t="inlineStr">
        <x:is>
          <x:t xml:space="preserve">น้ำตาเทียม</x:t>
        </x:is>
      </x:c>
      <x:c r="C760">
        <x:v>1551</x:v>
      </x:c>
      <x:c r="D760" t="inlineStr">
        <x:is>
          <x:t xml:space="preserve">Clens 100 Lens Drops</x:t>
        </x:is>
      </x:c>
      <x:c r="E760" t="inlineStr">
        <x:is>
          <x:t xml:space="preserve">ขวด 8 ml.</x:t>
        </x:is>
      </x:c>
      <x:c r="F760" t="inlineStr">
        <x:is>
          <x:t xml:space="preserve">Citrate/Borate Buffer+Sodium Chloride+Edetate Disodium 0.05%+PEG-11 Lauryl ether Carboxylic acid+Tetronic t1304+Preservative (Edetate Disodium 0.05%+Polidronium Chloride 0.001%)</x:t>
        </x:is>
      </x:c>
      <x:c r="G760" t="inlineStr">
        <x:is>
          <x:t xml:space="preserve">BDS001551</x:t>
        </x:is>
      </x:c>
      <x:c r="H760" t="inlineStr">
        <x:is>
          <x:t xml:space="preserve">Clens 100 Lens Drops (8 ml.)</x:t>
        </x:is>
      </x:c>
      <x:c r="I760" t="inlineStr">
        <x:is>
          <x:t xml:space="preserve">หยดน้ำยา 2 หยด เข้าในตาแต่ละข้าง กะพริบตา 2-3 ครั้ง  </x:t>
        </x:is>
      </x:c>
      <x:c r="P760" t="inlineStr">
        <x:is>
          <x:t xml:space="preserve">Artificial tears / eye lubricants</x:t>
        </x:is>
      </x:c>
    </x:row>
    <x:row r="761">
      <x:c r="A761">
        <x:v>759</x:v>
      </x:c>
      <x:c r="B761" t="inlineStr">
        <x:is>
          <x:t xml:space="preserve">น้ำตาเทียม</x:t>
        </x:is>
      </x:c>
      <x:c r="C761">
        <x:v>2107</x:v>
      </x:c>
      <x:c r="D761" t="inlineStr">
        <x:is>
          <x:t xml:space="preserve">Genteal Eye Drop</x:t>
        </x:is>
      </x:c>
      <x:c r="E761" t="inlineStr">
        <x:is>
          <x:t xml:space="preserve">ขวด 10 ml.</x:t>
        </x:is>
      </x:c>
      <x:c r="F761" t="inlineStr">
        <x:is>
          <x:t xml:space="preserve">Hypromellose 3 mg. (0.3%)+Sodium Chloride+Boric Acid+Potassium Chloride+Hydrochloric Acid+Preservative (Sodium Perborate+Phosphonic Acid)</x:t>
        </x:is>
      </x:c>
      <x:c r="G761" t="inlineStr">
        <x:is>
          <x:t xml:space="preserve">BDS002107</x:t>
        </x:is>
      </x:c>
      <x:c r="H761" t="inlineStr">
        <x:is>
          <x:t xml:space="preserve">Genteal Eye Drop (10 ml.)</x:t>
        </x:is>
      </x:c>
      <x:c r="I761" t="inlineStr">
        <x:is>
          <x:t xml:space="preserve">หยอดตาข้างที่เป็นครั้งละ 1-2 หยด ตามต้องการ</x:t>
        </x:is>
      </x:c>
      <x:c r="P761" t="inlineStr">
        <x:is>
          <x:t xml:space="preserve">Artificial tears / eye lubricants</x:t>
        </x:is>
      </x:c>
    </x:row>
    <x:row r="762">
      <x:c r="A762">
        <x:v>760</x:v>
      </x:c>
      <x:c r="B762" t="inlineStr">
        <x:is>
          <x:t xml:space="preserve">น้ำตาเทียม</x:t>
        </x:is>
      </x:c>
      <x:c r="C762">
        <x:v>2031</x:v>
      </x:c>
      <x:c r="D762" t="inlineStr">
        <x:is>
          <x:t xml:space="preserve">Genteal Gel</x:t>
        </x:is>
      </x:c>
      <x:c r="E762" t="inlineStr">
        <x:is>
          <x:t xml:space="preserve">หลอด 10 g.</x:t>
        </x:is>
      </x:c>
      <x:c r="F762" t="inlineStr">
        <x:is>
          <x:t xml:space="preserve">Hypromellose 3 mg. (0.3%)+Carbomer 980 2.2 mg.+Sorbitol 35 mg.+Sodium hydroxide 0.787 mg.+Dequest 2060 0.06 mg.+Preservative (Sodium Perborate Tetrahydrate 0.28 mg.)/1 g.</x:t>
        </x:is>
      </x:c>
      <x:c r="G762" t="inlineStr">
        <x:is>
          <x:t xml:space="preserve">BDS002031</x:t>
        </x:is>
      </x:c>
      <x:c r="H762" t="inlineStr">
        <x:is>
          <x:t xml:space="preserve">Genteal Gel (10 g.)</x:t>
        </x:is>
      </x:c>
      <x:c r="I762" t="inlineStr">
        <x:is>
          <x:t xml:space="preserve">หยอดยาลงในเปลือกตาล่างแต่ละข้างครั้งละ 1 หยด และกะพริบตาหลายๆ ครั้ง</x:t>
        </x:is>
      </x:c>
      <x:c r="P762" t="inlineStr">
        <x:is>
          <x:t xml:space="preserve">Artificial tears / eye lubricants</x:t>
        </x:is>
      </x:c>
    </x:row>
    <x:row r="763">
      <x:c r="A763">
        <x:v>761</x:v>
      </x:c>
      <x:c r="B763" t="inlineStr">
        <x:is>
          <x:t xml:space="preserve">น้ำตาเทียม</x:t>
        </x:is>
      </x:c>
      <x:c r="C763">
        <x:v>43800</x:v>
      </x:c>
      <x:c r="D763" t="inlineStr">
        <x:is>
          <x:t xml:space="preserve">Hialid 0.1 Opthalmic Solution</x:t>
        </x:is>
      </x:c>
      <x:c r="E763" t="inlineStr">
        <x:is>
          <x:t xml:space="preserve">ขวด 5 ml.</x:t>
        </x:is>
      </x:c>
      <x:c r="F763" t="inlineStr">
        <x:is>
          <x:t xml:space="preserve">Sodium Hyaluronate 0.1%+6-Aminocaproic Acid/1 ml.</x:t>
        </x:is>
      </x:c>
      <x:c r="G763" t="inlineStr">
        <x:is>
          <x:t xml:space="preserve">BDS043800</x:t>
        </x:is>
      </x:c>
      <x:c r="H763" t="inlineStr">
        <x:is>
          <x:t xml:space="preserve">Hialid 0.1 Opthalmic Solution (5 ml.)</x:t>
        </x:is>
      </x:c>
      <x:c r="I763" t="inlineStr">
        <x:is>
          <x:t xml:space="preserve">หยอดครั้งละ 1 หยด วันละ 5-6 ครั้ง หรือตามแพทย์สั่ง </x:t>
        </x:is>
      </x:c>
      <x:c r="P763" t="inlineStr">
        <x:is>
          <x:t xml:space="preserve">Artificial tears / eye lubricants</x:t>
        </x:is>
      </x:c>
    </x:row>
    <x:row r="764">
      <x:c r="A764">
        <x:v>762</x:v>
      </x:c>
      <x:c r="B764" t="inlineStr">
        <x:is>
          <x:t xml:space="preserve">น้ำตาเทียม</x:t>
        </x:is>
      </x:c>
      <x:c r="C764">
        <x:v>43847</x:v>
      </x:c>
      <x:c r="D764" t="inlineStr">
        <x:is>
          <x:t xml:space="preserve">Hyatear</x:t>
        </x:is>
      </x:c>
      <x:c r="E764" t="inlineStr">
        <x:is>
          <x:t xml:space="preserve">กล่อง 20 หลอด</x:t>
        </x:is>
      </x:c>
      <x:c r="F764" t="inlineStr">
        <x:is>
          <x:t xml:space="preserve">Sodium Hyaluronate 0.18% (Sodium Hyaluronate 1.8 mg.+Sodium Chloride +Potassium Chloride +Trisodium citrate +Disodium Hydrogenphosphate +Sodium dihydrogen phosphate +Magnesium chloride hexahydrate +Calcium Chloride dihydrate)</x:t>
        </x:is>
      </x:c>
      <x:c r="G764" t="inlineStr">
        <x:is>
          <x:t xml:space="preserve">BDS043847</x:t>
        </x:is>
      </x:c>
      <x:c r="H764" t="inlineStr">
        <x:is>
          <x:t xml:space="preserve">Hyatear (20 tubes)</x:t>
        </x:is>
      </x:c>
      <x:c r="I764" t="inlineStr">
        <x:is>
          <x:t xml:space="preserve">เปิดหลอดโดยการบิดฝา หยอดตาครั้งละ 1-2 หยด ในตาข้างที่เป็น วันละ 4 ครั้ง หรือตามต้องการ</x:t>
        </x:is>
      </x:c>
      <x:c r="P764" t="inlineStr">
        <x:is>
          <x:t xml:space="preserve">Artificial tears / eye lubricants</x:t>
        </x:is>
      </x:c>
    </x:row>
    <x:row r="765">
      <x:c r="A765">
        <x:v>763</x:v>
      </x:c>
      <x:c r="B765" t="inlineStr">
        <x:is>
          <x:t xml:space="preserve">น้ำตาเทียม</x:t>
        </x:is>
      </x:c>
      <x:c r="C765">
        <x:v>2886</x:v>
      </x:c>
      <x:c r="D765" t="inlineStr">
        <x:is>
          <x:t xml:space="preserve">Natear</x:t>
        </x:is>
      </x:c>
      <x:c r="E765" t="inlineStr">
        <x:is>
          <x:t xml:space="preserve">ขวด 10 ml.</x:t>
        </x:is>
      </x:c>
      <x:c r="F765" t="inlineStr">
        <x:is>
          <x:t xml:space="preserve">Hydroxypropyl Methylcellulose USP 0.3%+Preservative (Sodium Perborate) </x:t>
        </x:is>
      </x:c>
      <x:c r="G765" t="inlineStr">
        <x:is>
          <x:t xml:space="preserve">BDS002886</x:t>
        </x:is>
      </x:c>
      <x:c r="H765" t="inlineStr">
        <x:is>
          <x:t xml:space="preserve">Natear (10 ml.)</x:t>
        </x:is>
      </x:c>
      <x:c r="I765" t="inlineStr">
        <x:is>
          <x:t xml:space="preserve">หยอดครั้งละ 1-2 หยด วันละ 2-3 ครั้ง หรือเมื่อมีอาการระคายเคืองตา </x:t>
        </x:is>
      </x:c>
      <x:c r="P765" t="inlineStr">
        <x:is>
          <x:t xml:space="preserve">Artificial tears / eye lubricants</x:t>
        </x:is>
      </x:c>
    </x:row>
    <x:row r="766">
      <x:c r="A766">
        <x:v>764</x:v>
      </x:c>
      <x:c r="B766" t="inlineStr">
        <x:is>
          <x:t xml:space="preserve">น้ำตาเทียม</x:t>
        </x:is>
      </x:c>
      <x:c r="C766">
        <x:v>45617</x:v>
      </x:c>
      <x:c r="D766" t="inlineStr">
        <x:is>
          <x:t xml:space="preserve">Natear UD Lubricant Eye Drops</x:t>
        </x:is>
      </x:c>
      <x:c r="E766" t="inlineStr">
        <x:is>
          <x:t xml:space="preserve">กล่อง 7 หลอด</x:t>
        </x:is>
      </x:c>
      <x:c r="F766" t="inlineStr">
        <x:is>
          <x:t xml:space="preserve">Hypromellose (Hydroxypropyl Methylcellulose) 0.3% w/v /0.8 ml.</x:t>
        </x:is>
      </x:c>
      <x:c r="G766" t="inlineStr">
        <x:is>
          <x:t xml:space="preserve">BDS045617</x:t>
        </x:is>
      </x:c>
      <x:c r="H766" t="inlineStr">
        <x:is>
          <x:t xml:space="preserve">Natear UD Lubricant Eye Drops (7 tubes)</x:t>
        </x:is>
      </x:c>
      <x:c r="I766" t="inlineStr">
        <x:is>
          <x:t xml:space="preserve">หยอดตาครั้งละ 1-2 หยด วันละ 2-3 ครั้ง หรือเมื่อรู้สึกระคายเคืองตา </x:t>
        </x:is>
      </x:c>
      <x:c r="P766" t="inlineStr">
        <x:is>
          <x:t xml:space="preserve">Artificial tears / eye lubricants</x:t>
        </x:is>
      </x:c>
    </x:row>
    <x:row r="767">
      <x:c r="A767">
        <x:v>765</x:v>
      </x:c>
      <x:c r="B767" t="inlineStr">
        <x:is>
          <x:t xml:space="preserve">น้ำตาเทียม</x:t>
        </x:is>
      </x:c>
      <x:c r="C767">
        <x:v>46204</x:v>
      </x:c>
      <x:c r="D767" t="inlineStr">
        <x:is>
          <x:t xml:space="preserve">OcuFreshs Tear Eye Drops</x:t>
        </x:is>
      </x:c>
      <x:c r="E767" t="inlineStr">
        <x:is>
          <x:t xml:space="preserve">ขวด 10 ml.</x:t>
        </x:is>
      </x:c>
      <x:c r="F767" t="inlineStr">
        <x:is>
          <x:t xml:space="preserve">Hypromellose 3 mg. (0.3%)+Preservative (Benzalkonium Chloride 0.02%)/1 ml.</x:t>
        </x:is>
      </x:c>
      <x:c r="G767" t="inlineStr">
        <x:is>
          <x:t xml:space="preserve">BDS046204</x:t>
        </x:is>
      </x:c>
      <x:c r="H767" t="inlineStr">
        <x:is>
          <x:t xml:space="preserve">OcuFreshs Tear Eye Drops (10 ml.)</x:t>
        </x:is>
      </x:c>
      <x:c r="I767" t="inlineStr">
        <x:is>
          <x:t xml:space="preserve">หยอดตาครั้งละ 1-2 หยด วันละ 3-4 ครั้ง หรือตามต้องการ</x:t>
        </x:is>
      </x:c>
      <x:c r="P767" t="inlineStr">
        <x:is>
          <x:t xml:space="preserve">Artificial tears / eye lubricants</x:t>
        </x:is>
      </x:c>
    </x:row>
    <x:row r="768">
      <x:c r="A768">
        <x:v>766</x:v>
      </x:c>
      <x:c r="B768" t="inlineStr">
        <x:is>
          <x:t xml:space="preserve">น้ำตาเทียม</x:t>
        </x:is>
      </x:c>
      <x:c r="C768">
        <x:v>3014</x:v>
      </x:c>
      <x:c r="D768" t="inlineStr">
        <x:is>
          <x:t xml:space="preserve">Opsil Tears 0.3%</x:t>
        </x:is>
      </x:c>
      <x:c r="E768" t="inlineStr">
        <x:is>
          <x:t xml:space="preserve">ขวด 10 ml.</x:t>
        </x:is>
      </x:c>
      <x:c r="F768" t="inlineStr">
        <x:is>
          <x:t xml:space="preserve">Hydroxypropyl Methylcellulose USP 0.3%+Preservative (Benzalkonium Chloride) </x:t>
        </x:is>
      </x:c>
      <x:c r="G768" t="inlineStr">
        <x:is>
          <x:t xml:space="preserve">BDS003014</x:t>
        </x:is>
      </x:c>
      <x:c r="H768" t="inlineStr">
        <x:is>
          <x:t xml:space="preserve">Opsil Tears 0.3% (10 ml.)</x:t>
        </x:is>
      </x:c>
      <x:c r="I768" t="inlineStr">
        <x:is>
          <x:t xml:space="preserve">หยอดตาครั้งละ 1-2 หยด วันละ 2-3 ครั้ง หรือเมื่อรู้สึกเคืองตา</x:t>
        </x:is>
      </x:c>
      <x:c r="P768" t="inlineStr">
        <x:is>
          <x:t xml:space="preserve">Artificial tears / eye lubricants</x:t>
        </x:is>
      </x:c>
    </x:row>
    <x:row r="769">
      <x:c r="A769">
        <x:v>767</x:v>
      </x:c>
      <x:c r="B769" t="inlineStr">
        <x:is>
          <x:t xml:space="preserve">น้ำตาเทียม</x:t>
        </x:is>
      </x:c>
      <x:c r="C769">
        <x:v>3102</x:v>
      </x:c>
      <x:c r="D769" t="inlineStr">
        <x:is>
          <x:t xml:space="preserve">Opti-Free Rewetting Drops</x:t>
        </x:is>
      </x:c>
      <x:c r="E769" t="inlineStr">
        <x:is>
          <x:t xml:space="preserve">ขวด 10 ml.</x:t>
        </x:is>
      </x:c>
      <x:c r="F769" t="inlineStr">
        <x:is>
          <x:t xml:space="preserve">Citrate buffer+Sodium chloride+Preservative (Edetate Disodium 0.05%+Polyquaternium-1 0.001%)</x:t>
        </x:is>
      </x:c>
      <x:c r="G769" t="inlineStr">
        <x:is>
          <x:t xml:space="preserve">BDS003102</x:t>
        </x:is>
      </x:c>
      <x:c r="H769" t="inlineStr">
        <x:is>
          <x:t xml:space="preserve">Opti-Free Rewetting Drops (10 ml.)</x:t>
        </x:is>
      </x:c>
      <x:c r="I769" t="inlineStr">
        <x:is>
          <x:t xml:space="preserve">หยอดตาครั้งละ 1-2 หยด และกะพริบตา 2-3 ครั้ง เมื่อมีอาการ </x:t>
        </x:is>
      </x:c>
      <x:c r="P769" t="inlineStr">
        <x:is>
          <x:t xml:space="preserve">Artificial tears / eye lubricants</x:t>
        </x:is>
      </x:c>
    </x:row>
    <x:row r="770">
      <x:c r="A770">
        <x:v>768</x:v>
      </x:c>
      <x:c r="B770" t="inlineStr">
        <x:is>
          <x:t xml:space="preserve">น้ำตาเทียม</x:t>
        </x:is>
      </x:c>
      <x:c r="C770">
        <x:v>1204</x:v>
      </x:c>
      <x:c r="D770" t="inlineStr">
        <x:is>
          <x:t xml:space="preserve">Renu Multiplus Lubricating &amp; Rewetting Drops</x:t>
        </x:is>
      </x:c>
      <x:c r="E770" t="inlineStr">
        <x:is>
          <x:t xml:space="preserve">ขวด 8 ml.</x:t>
        </x:is>
      </x:c>
      <x:c r="F770" t="inlineStr">
        <x:is>
          <x:t xml:space="preserve">Povidone+Boric acid+Potassium chloride+Sodium chloride+ Sodium borate+Edetate disodium+Sorbic acid+Preservative (Edetate disodium 0.1%+Sorbic acid 0.1%)</x:t>
        </x:is>
      </x:c>
      <x:c r="G770" t="inlineStr">
        <x:is>
          <x:t xml:space="preserve">BDS001204</x:t>
        </x:is>
      </x:c>
      <x:c r="H770" t="inlineStr">
        <x:is>
          <x:t xml:space="preserve">Renu Multiplus Lubricating &amp; Rewetting Drops (8 ml.)</x:t>
        </x:is>
      </x:c>
      <x:c r="I770" t="inlineStr">
        <x:is>
          <x:t xml:space="preserve">หยอดตาครั้งละ 2-3 หยด เมื่อต้องการ และกะพริบตาหลายๆ ครั้ง </x:t>
        </x:is>
      </x:c>
      <x:c r="P770" t="inlineStr">
        <x:is>
          <x:t xml:space="preserve">Artificial tears / eye lubricants</x:t>
        </x:is>
      </x:c>
    </x:row>
    <x:row r="771">
      <x:c r="A771">
        <x:v>769</x:v>
      </x:c>
      <x:c r="B771" t="inlineStr">
        <x:is>
          <x:t xml:space="preserve">น้ำตาเทียม</x:t>
        </x:is>
      </x:c>
      <x:c r="C771">
        <x:v>47663</x:v>
      </x:c>
      <x:c r="D771" t="inlineStr">
        <x:is>
          <x:t xml:space="preserve">Seeview Sofs</x:t>
        </x:is>
      </x:c>
      <x:c r="E771" t="inlineStr">
        <x:is>
          <x:t xml:space="preserve">ขวด 10 ml.</x:t>
        </x:is>
      </x:c>
      <x:c r="F771" t="inlineStr">
        <x:is>
          <x:t xml:space="preserve">Hypromellose 3 mg/1 ml.</x:t>
        </x:is>
      </x:c>
      <x:c r="G771" t="inlineStr">
        <x:is>
          <x:t xml:space="preserve">BDS047663</x:t>
        </x:is>
      </x:c>
      <x:c r="H771" t="inlineStr">
        <x:is>
          <x:t xml:space="preserve">Seeview Sofs (10 ml.)</x:t>
        </x:is>
      </x:c>
      <x:c r="I771" t="inlineStr">
        <x:is>
          <x:t xml:space="preserve">หยอดตาครั้งละ 1 หยด เมื่อรู้สึกเคืองตา </x:t>
        </x:is>
      </x:c>
      <x:c r="P771" t="inlineStr">
        <x:is>
          <x:t xml:space="preserve">Artificial tears / eye lubricants</x:t>
        </x:is>
      </x:c>
    </x:row>
    <x:row r="772">
      <x:c r="A772">
        <x:v>770</x:v>
      </x:c>
      <x:c r="B772" t="inlineStr">
        <x:is>
          <x:t xml:space="preserve">น้ำตาเทียม</x:t>
        </x:is>
      </x:c>
      <x:c r="C772">
        <x:v>47647</x:v>
      </x:c>
      <x:c r="D772" t="inlineStr">
        <x:is>
          <x:t xml:space="preserve">Sof Tear Eye Drops</x:t>
        </x:is>
      </x:c>
      <x:c r="E772" t="inlineStr">
        <x:is>
          <x:t xml:space="preserve">ขวด 5 ml.</x:t>
        </x:is>
      </x:c>
      <x:c r="F772" t="inlineStr">
        <x:is>
          <x:t xml:space="preserve">Hypromellose USP 3 mg. (0.3% w/v USP)+Preservative (Sodium Perborate 0.28 mg.)/1 ml.</x:t>
        </x:is>
      </x:c>
      <x:c r="G772" t="inlineStr">
        <x:is>
          <x:t xml:space="preserve">BDS047647</x:t>
        </x:is>
      </x:c>
      <x:c r="H772" t="inlineStr">
        <x:is>
          <x:t xml:space="preserve">Sof Tear Eye Drops (5 ml.)</x:t>
        </x:is>
      </x:c>
      <x:c r="I772" t="inlineStr">
        <x:is>
          <x:t xml:space="preserve">หยอดตาครั้งละ 1-2 หยด เมื่อรู้สึกเคืองตา </x:t>
        </x:is>
      </x:c>
      <x:c r="P772" t="inlineStr">
        <x:is>
          <x:t xml:space="preserve">Artificial tears / eye lubricants</x:t>
        </x:is>
      </x:c>
    </x:row>
    <x:row r="773">
      <x:c r="A773">
        <x:v>771</x:v>
      </x:c>
      <x:c r="B773" t="inlineStr">
        <x:is>
          <x:t xml:space="preserve">น้ำตาเทียม</x:t>
        </x:is>
      </x:c>
      <x:c r="C773">
        <x:v>47637</x:v>
      </x:c>
      <x:c r="D773" t="inlineStr">
        <x:is>
          <x:t xml:space="preserve">Systane Ultra (UD) Lubricant Eye Drops</x:t>
        </x:is>
      </x:c>
      <x:c r="E773" t="inlineStr">
        <x:is>
          <x:t xml:space="preserve">กล่อง 28 หลอด</x:t>
        </x:is>
      </x:c>
      <x:c r="F773" t="inlineStr">
        <x:is>
          <x:t xml:space="preserve">Polyethylene Glycol 400 0.4%+Propylene Glycol 0.3%+Aminomethylpropanol+Boric Acid+Hydroxypropyl Guar+Potassium Chloride+Sodium Chloride+Sorbitol+Hydrochloric Acid+Sodium Hydroxide/1 ml.</x:t>
        </x:is>
      </x:c>
      <x:c r="G773" t="inlineStr">
        <x:is>
          <x:t xml:space="preserve">BDS047637</x:t>
        </x:is>
      </x:c>
      <x:c r="H773" t="inlineStr">
        <x:is>
          <x:t xml:space="preserve">Systane Ultra (UD) Lubricant Eye Drops (28 tubes)</x:t>
        </x:is>
      </x:c>
      <x:c r="I773" t="inlineStr">
        <x:is>
          <x:t xml:space="preserve">หยอดตาข้างที่เป็น ครั้งละ 1-2 หยด แล้วกะพริบตาต่อเนื่องกันประมาณ 1 นาที </x:t>
        </x:is>
      </x:c>
      <x:c r="P773" t="inlineStr">
        <x:is>
          <x:t xml:space="preserve">Artificial tears / eye lubricants</x:t>
        </x:is>
      </x:c>
    </x:row>
    <x:row r="774">
      <x:c r="A774">
        <x:v>772</x:v>
      </x:c>
      <x:c r="B774" t="inlineStr">
        <x:is>
          <x:t xml:space="preserve">น้ำตาเทียม</x:t>
        </x:is>
      </x:c>
      <x:c r="C774">
        <x:v>3679</x:v>
      </x:c>
      <x:c r="D774" t="inlineStr">
        <x:is>
          <x:t xml:space="preserve">Systane Ultra Lubricant Eye Drops</x:t>
        </x:is>
      </x:c>
      <x:c r="E774" t="inlineStr">
        <x:is>
          <x:t xml:space="preserve">ขวด 10 ml.</x:t>
        </x:is>
      </x:c>
      <x:c r="F774" t="inlineStr">
        <x:is>
          <x:t xml:space="preserve">Polyethylene Glycol 400 0.4%+Propylene Glycol 0.3%+Aminomethylpropanol+//Boric Acid+Hydroxypropyl guar+Potassium Chloride+Sodium Chloride+Sorbitol+Hydrochloric Acid+Sodium Hydroxide+Preservative (Polyquaternium-1 0.001%)</x:t>
        </x:is>
      </x:c>
      <x:c r="G774" t="inlineStr">
        <x:is>
          <x:t xml:space="preserve">BDS003679</x:t>
        </x:is>
      </x:c>
      <x:c r="H774" t="inlineStr">
        <x:is>
          <x:t xml:space="preserve">Systane Ultra Lubricant Eye Drops (10 ml.)</x:t>
        </x:is>
      </x:c>
      <x:c r="I774" t="inlineStr">
        <x:is>
          <x:t xml:space="preserve">หยดน้ำยา 1-2 หยด เข้าในตาแต่ละข้าง กะพริบตาต่อเนื่องกันประมาณ 1 นาที </x:t>
        </x:is>
      </x:c>
      <x:c r="P774" t="inlineStr">
        <x:is>
          <x:t xml:space="preserve">Artificial tears / eye lubricants</x:t>
        </x:is>
      </x:c>
    </x:row>
    <x:row r="775">
      <x:c r="A775">
        <x:v>773</x:v>
      </x:c>
      <x:c r="B775" t="inlineStr">
        <x:is>
          <x:t xml:space="preserve">น้ำตาเทียม</x:t>
        </x:is>
      </x:c>
      <x:c r="C775">
        <x:v>3765</x:v>
      </x:c>
      <x:c r="D775" t="inlineStr">
        <x:is>
          <x:t xml:space="preserve">Tear Mac Eye Drops</x:t>
        </x:is>
      </x:c>
      <x:c r="E775" t="inlineStr">
        <x:is>
          <x:t xml:space="preserve">ขวด 10 ml.</x:t>
        </x:is>
      </x:c>
      <x:c r="F775" t="inlineStr">
        <x:is>
          <x:t xml:space="preserve">Carboxymethyl Cellulose Sodium (CMC) 0.5%w/v+Preservative (Stabilised Oxychloro Complex  0.005% w/v) </x:t>
        </x:is>
      </x:c>
      <x:c r="G775" t="inlineStr">
        <x:is>
          <x:t xml:space="preserve">BDS003765</x:t>
        </x:is>
      </x:c>
      <x:c r="H775" t="inlineStr">
        <x:is>
          <x:t xml:space="preserve">Tear Mac Eye Drops (10 ml.)</x:t>
        </x:is>
      </x:c>
      <x:c r="I775" t="inlineStr">
        <x:is>
          <x:t xml:space="preserve">หยอดครั้งละ 1-2 หยด วันละ 4 ครั้ง หรือตามต้องการ </x:t>
        </x:is>
      </x:c>
      <x:c r="P775" t="inlineStr">
        <x:is>
          <x:t xml:space="preserve">Artificial tears / eye lubricants</x:t>
        </x:is>
      </x:c>
    </x:row>
    <x:row r="776">
      <x:c r="A776">
        <x:v>774</x:v>
      </x:c>
      <x:c r="B776" t="inlineStr">
        <x:is>
          <x:t xml:space="preserve">น้ำตาเทียม</x:t>
        </x:is>
      </x:c>
      <x:c r="C776">
        <x:v>3709</x:v>
      </x:c>
      <x:c r="D776" t="inlineStr">
        <x:is>
          <x:t xml:space="preserve">Tear Natural</x:t>
        </x:is>
      </x:c>
      <x:c r="E776" t="inlineStr">
        <x:is>
          <x:t xml:space="preserve">ขวด 15 ml.</x:t>
        </x:is>
      </x:c>
      <x:c r="F776" t="inlineStr">
        <x:is>
          <x:t xml:space="preserve">Dextran 70 0.1%+Hydroxypropyl Methylcellulose 2910 0.3%+Borax+Potassium Chloride+Sodium Chloride+Hydrochloric acid+Preservative (Polyquaternium-1 0.0011%)/1 ml.</x:t>
        </x:is>
      </x:c>
      <x:c r="G776" t="inlineStr">
        <x:is>
          <x:t xml:space="preserve">BDS003709</x:t>
        </x:is>
      </x:c>
      <x:c r="H776" t="inlineStr">
        <x:is>
          <x:t xml:space="preserve">Tear Natural (15 ml.)</x:t>
        </x:is>
      </x:c>
      <x:c r="I776" t="inlineStr">
        <x:is>
          <x:t xml:space="preserve">หยอดตาข้างที่เป็นครั้งละ 1-2 หยด ตามต้องการ</x:t>
        </x:is>
      </x:c>
      <x:c r="P776" t="inlineStr">
        <x:is>
          <x:t xml:space="preserve">Artificial tears / eye lubricants</x:t>
        </x:is>
      </x:c>
    </x:row>
    <x:row r="777">
      <x:c r="A777">
        <x:v>775</x:v>
      </x:c>
      <x:c r="B777" t="inlineStr">
        <x:is>
          <x:t xml:space="preserve">น้ำตาเทียม</x:t>
        </x:is>
      </x:c>
      <x:c r="C777">
        <x:v>3714</x:v>
      </x:c>
      <x:c r="D777" t="inlineStr">
        <x:is>
          <x:t xml:space="preserve">Tears Naturale Free</x:t>
        </x:is>
      </x:c>
      <x:c r="E777" t="inlineStr">
        <x:is>
          <x:t xml:space="preserve">กล่อง 32 หลอด</x:t>
        </x:is>
      </x:c>
      <x:c r="F777" t="inlineStr">
        <x:is>
          <x:t xml:space="preserve">Dextran 70 0.1%+Hydroxypropyl Methylcellulose 2910 0.3%</x:t>
        </x:is>
      </x:c>
      <x:c r="G777" t="inlineStr">
        <x:is>
          <x:t xml:space="preserve">BDS003714</x:t>
        </x:is>
      </x:c>
      <x:c r="H777" t="inlineStr">
        <x:is>
          <x:t xml:space="preserve">Tears Naturale Free (32 tubes)</x:t>
        </x:is>
      </x:c>
      <x:c r="I777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77" t="inlineStr">
        <x:is>
          <x:t xml:space="preserve">Artificial tears / eye lubricants</x:t>
        </x:is>
      </x:c>
    </x:row>
    <x:row r="778">
      <x:c r="A778">
        <x:v>776</x:v>
      </x:c>
      <x:c r="B778" t="inlineStr">
        <x:is>
          <x:t xml:space="preserve">น้ำตาเทียม</x:t>
        </x:is>
      </x:c>
      <x:c r="C778">
        <x:v>4035</x:v>
      </x:c>
      <x:c r="D778" t="inlineStr">
        <x:is>
          <x:t xml:space="preserve">Vislube</x:t>
        </x:is>
      </x:c>
      <x:c r="E778" t="inlineStr">
        <x:is>
          <x:t xml:space="preserve">กล่อง 20 หลอด</x:t>
        </x:is>
      </x:c>
      <x:c r="F778" t="inlineStr">
        <x:is>
          <x:t xml:space="preserve">Sodium Hyaluronate 0.18% (Sodium Hyaluronate 1.8 mg.+Sodium Chloride 2.8 mg.+Potassium Chloride 1 mg.+Disodium Hydrogenphosphate 3.2 mg.+Sodium Citrate 0.3 mg.+Magnesium Chloride 0.09 mg.+Calcium Chloride 0.09 mg.)</x:t>
        </x:is>
      </x:c>
      <x:c r="G778" t="inlineStr">
        <x:is>
          <x:t xml:space="preserve">BDS004035</x:t>
        </x:is>
      </x:c>
      <x:c r="H778" t="inlineStr">
        <x:is>
          <x:t xml:space="preserve">Vislube (20 tubes)</x:t>
        </x:is>
      </x:c>
      <x:c r="I778" t="inlineStr">
        <x:is>
          <x:t xml:space="preserve">เปิดหลอดโดยการบิดฝา หยอดตาครั้งละ 1-2 หยด ในตาข้างที่เป็น ตามต้องการ</x:t>
        </x:is>
      </x:c>
      <x:c r="P778" t="inlineStr">
        <x:is>
          <x:t xml:space="preserve">Artificial tears / eye lubricants</x:t>
        </x:is>
      </x:c>
    </x:row>
    <x:row r="779">
      <x:c r="A779">
        <x:v>777</x:v>
      </x:c>
      <x:c r="B779" t="inlineStr">
        <x:is>
          <x:t xml:space="preserve">ยาทาฆ่าเชื้อแบคทีเรีย (D)</x:t>
        </x:is>
      </x:c>
      <x:c r="C779">
        <x:v>2003</x:v>
      </x:c>
      <x:c r="D779" t="inlineStr">
        <x:is>
          <x:t xml:space="preserve">Garamycin Cream</x:t>
        </x:is>
      </x:c>
      <x:c r="E779" t="inlineStr">
        <x:is>
          <x:t xml:space="preserve">หลอด 5 g.</x:t>
        </x:is>
      </x:c>
      <x:c r="F779" t="inlineStr">
        <x:is>
          <x:t xml:space="preserve">Gentamicin 1 mg./1 g.</x:t>
        </x:is>
      </x:c>
      <x:c r="G779" t="inlineStr">
        <x:is>
          <x:t xml:space="preserve">BDS002003</x:t>
        </x:is>
      </x:c>
      <x:c r="H779" t="inlineStr">
        <x:is>
          <x:t xml:space="preserve">Garamycin Cream (5 g.)</x:t>
        </x:is>
      </x:c>
      <x:c r="I779" t="inlineStr">
        <x:is>
          <x:t xml:space="preserve">ทาบางๆ บริเวณผิวหนังที่ติดเชื้อ วันละ 3-4 ครั้ง</x:t>
        </x:is>
      </x:c>
      <x:c r="P779" t="inlineStr">
        <x:is>
          <x:t xml:space="preserve">Topical antibiotic / wound care / burn care</x:t>
        </x:is>
      </x:c>
    </x:row>
    <x:row r="780">
      <x:c r="A780">
        <x:v>778</x:v>
      </x:c>
      <x:c r="B780" t="inlineStr">
        <x:is>
          <x:t xml:space="preserve">ยาทาฆ่าเชื้อแบคทีเรีย (D)</x:t>
        </x:is>
      </x:c>
      <x:c r="C780">
        <x:v>47636</x:v>
      </x:c>
      <x:c r="D780" t="inlineStr">
        <x:is>
          <x:t xml:space="preserve">Silverzine Cream</x:t>
        </x:is>
      </x:c>
      <x:c r="E780" t="inlineStr">
        <x:is>
          <x:t xml:space="preserve">หลอด 25 g.</x:t>
        </x:is>
      </x:c>
      <x:c r="F780" t="inlineStr">
        <x:is>
          <x:t xml:space="preserve">Micronized Silver Sulfadiazine 1%</x:t>
        </x:is>
      </x:c>
      <x:c r="G780" t="inlineStr">
        <x:is>
          <x:t xml:space="preserve">BDS047636</x:t>
        </x:is>
      </x:c>
      <x:c r="H780" t="inlineStr">
        <x:is>
          <x:t xml:space="preserve">Silverzine Cream (25 g.)</x:t>
        </x:is>
      </x:c>
      <x:c r="I780" t="inlineStr">
        <x:is>
          <x:t xml:space="preserve">ทาบริเวณที่เป็น วันละ 2 ครั้ง </x:t>
        </x:is>
      </x:c>
      <x:c r="P780" t="inlineStr">
        <x:is>
          <x:t xml:space="preserve">Topical antibiotic / wound care / burn care</x:t>
        </x:is>
      </x:c>
    </x:row>
    <x:row r="781">
      <x:c r="A781">
        <x:v>779</x:v>
      </x:c>
      <x:c r="B781" t="inlineStr">
        <x:is>
          <x:t xml:space="preserve">ยาล้างตา</x:t>
        </x:is>
      </x:c>
      <x:c r="C781">
        <x:v>46208</x:v>
      </x:c>
      <x:c r="D781" t="inlineStr">
        <x:is>
          <x:t xml:space="preserve">Op-Ize Eye Wash</x:t>
        </x:is>
      </x:c>
      <x:c r="E781" t="inlineStr">
        <x:is>
          <x:t xml:space="preserve">ขวด 110 ml.</x:t>
        </x:is>
      </x:c>
      <x:c r="F781" t="inlineStr">
        <x:is>
          <x:t xml:space="preserve">Boric Acid 2.0 g.+Sodium Borate 0.5 g.+Zinc Sulphate 0.004 g./100 ml.</x:t>
        </x:is>
      </x:c>
      <x:c r="G781" t="inlineStr">
        <x:is>
          <x:t xml:space="preserve">BDS046208</x:t>
        </x:is>
      </x:c>
      <x:c r="H781" t="inlineStr">
        <x:is>
          <x:t xml:space="preserve">Op-Ize Eye Wash (110 ml.)</x:t>
        </x:is>
      </x:c>
      <x:c r="I781" t="inlineStr">
        <x:is>
          <x:t xml:space="preserve">ใช้ล้างตา วันละ 2-3 ครั้ง หรือตามแพทย์สั่ง</x:t>
        </x:is>
      </x:c>
    </x:row>
    <x:row r="782">
      <x:c r="A782">
        <x:v>780</x:v>
      </x:c>
      <x:c r="B782" t="inlineStr">
        <x:is>
          <x:t xml:space="preserve">ยาล้างตา</x:t>
        </x:is>
      </x:c>
      <x:c r="C782">
        <x:v>3009</x:v>
      </x:c>
      <x:c r="D782" t="inlineStr">
        <x:is>
          <x:t xml:space="preserve">Opsar กลาง</x:t>
        </x:is>
      </x:c>
      <x:c r="E782" t="inlineStr">
        <x:is>
          <x:t xml:space="preserve">ขวด 120 ml.</x:t>
        </x:is>
      </x:c>
      <x:c r="F782" t="inlineStr">
        <x:is>
          <x:t xml:space="preserve">Sodium Borate 0.02 g.+Boric Acid 1.24 g.+Sodium Chloride+ 0.29 g.+Benzalkonium Chloride 2 mg./100 ml.</x:t>
        </x:is>
      </x:c>
      <x:c r="G782" t="inlineStr">
        <x:is>
          <x:t xml:space="preserve">BDS003009</x:t>
        </x:is>
      </x:c>
      <x:c r="H782" t="inlineStr">
        <x:is>
          <x:t xml:space="preserve">Opsar กลาง (120 ml.)</x:t>
        </x:is>
      </x:c>
      <x:c r="I782" t="inlineStr">
        <x:is>
          <x:t xml:space="preserve">เทน้ำยาล้างตาลงในถ้วยยาล้างตาประมาณ 5 ml. ล้างตา วันละ 1-2 ครั้ง หรือตามแพทย์สั่ง </x:t>
        </x:is>
      </x:c>
    </x:row>
    <x:row r="783">
      <x:c r="A783">
        <x:v>781</x:v>
      </x:c>
      <x:c r="B783" t="inlineStr">
        <x:is>
          <x:t xml:space="preserve">ยาล้างตา</x:t>
        </x:is>
      </x:c>
      <x:c r="C783">
        <x:v>3025</x:v>
      </x:c>
      <x:c r="D783" t="inlineStr">
        <x:is>
          <x:t xml:space="preserve">Opsar เล็ก</x:t>
        </x:is>
      </x:c>
      <x:c r="E783" t="inlineStr">
        <x:is>
          <x:t xml:space="preserve">ขวด 75 ml.</x:t>
        </x:is>
      </x:c>
      <x:c r="F783" t="inlineStr">
        <x:is>
          <x:t xml:space="preserve">Sodium Borate 0.02 g.+Boric Acid 1.24 g.+Sodium Chloride+ 0.29 g.+Benzalkonium Chloride 2 mg./100 ml.</x:t>
        </x:is>
      </x:c>
      <x:c r="G783" t="inlineStr">
        <x:is>
          <x:t xml:space="preserve">BDS003025</x:t>
        </x:is>
      </x:c>
      <x:c r="H783" t="inlineStr">
        <x:is>
          <x:t xml:space="preserve">Opsar เล็ก (75 ml.)</x:t>
        </x:is>
      </x:c>
      <x:c r="I783" t="inlineStr">
        <x:is>
          <x:t xml:space="preserve">เทน้ำยาล้างตาลงในถ้วยยาล้างตาประมาณ 5 ml. ล้างตา วันละ 1-2 ครั้ง หรือตามแพทย์สั่ง </x:t>
        </x:is>
      </x:c>
    </x:row>
    <x:row r="784">
      <x:c r="A784">
        <x:v>782</x:v>
      </x:c>
      <x:c r="B784" t="inlineStr">
        <x:is>
          <x:t xml:space="preserve">ยาล้างตา</x:t>
        </x:is>
      </x:c>
      <x:c r="C784">
        <x:v>3016</x:v>
      </x:c>
      <x:c r="D784" t="inlineStr">
        <x:is>
          <x:t xml:space="preserve">Optrex เล็ก</x:t>
        </x:is>
      </x:c>
      <x:c r="E784" t="inlineStr">
        <x:is>
          <x:t xml:space="preserve">ขวด 110 ml.</x:t>
        </x:is>
      </x:c>
      <x:c r="F784" t="inlineStr">
        <x:is>
          <x:t xml:space="preserve">Distilled Witch Hazel 13.0% v/v+Benzalkonium Chloride 0.005% w/v+Borax+Boric Acid/100 ml.</x:t>
        </x:is>
      </x:c>
      <x:c r="G784" t="inlineStr">
        <x:is>
          <x:t xml:space="preserve">BDS003016</x:t>
        </x:is>
      </x:c>
      <x:c r="H784" t="inlineStr">
        <x:is>
          <x:t xml:space="preserve">Optrex เล็ก (110 ml.)</x:t>
        </x:is>
      </x:c>
      <x:c r="I784" t="inlineStr">
        <x:is>
          <x:t xml:space="preserve">ล้างตา วันละ 3 ครั้ง หรือบ่อยตามต้องการ </x:t>
        </x:is>
      </x:c>
    </x:row>
    <x:row r="785">
      <x:c r="A785">
        <x:v>783</x:v>
      </x:c>
      <x:c r="B785" t="inlineStr">
        <x:is>
          <x:t xml:space="preserve">ยาทาฆ่าเชื้อไวรัส (D)</x:t>
        </x:is>
      </x:c>
      <x:c r="C785">
        <x:v>7001</x:v>
      </x:c>
      <x:c r="D785" t="inlineStr">
        <x:is>
          <x:t xml:space="preserve">Acevax Cream</x:t>
        </x:is>
      </x:c>
      <x:c r="E785" t="inlineStr">
        <x:is>
          <x:t xml:space="preserve">ซอง 1 g.</x:t>
        </x:is>
      </x:c>
      <x:c r="F785" t="inlineStr">
        <x:is>
          <x:t xml:space="preserve">Acyclovir 5 g./100 g.</x:t>
        </x:is>
      </x:c>
      <x:c r="G785" t="inlineStr">
        <x:is>
          <x:t xml:space="preserve">BDS007001</x:t>
        </x:is>
      </x:c>
      <x:c r="H785" t="inlineStr">
        <x:is>
          <x:t xml:space="preserve">Acevax Cream (1 g.)</x:t>
        </x:is>
      </x:c>
      <x:c r="I785" t="inlineStr">
        <x:is>
          <x:t xml:space="preserve">ทาครีมบางๆ บริเวณที่ติดเชื้อหรือบริเวณที่เริ่มแสดงอาการ ทุก 3-4 ชั่วโมง ต่อเนื่อง 5-7 วัน</x:t>
        </x:is>
      </x:c>
      <x:c r="P785" t="inlineStr">
        <x:is>
          <x:t xml:space="preserve">Antivirals (oral/topical)</x:t>
        </x:is>
      </x:c>
    </x:row>
    <x:row r="786">
      <x:c r="A786">
        <x:v>784</x:v>
      </x:c>
      <x:c r="B786" t="inlineStr">
        <x:is>
          <x:t xml:space="preserve">ยาทาฆ่าเชื้อไวรัส (D)</x:t>
        </x:is>
      </x:c>
      <x:c r="C786">
        <x:v>7719</x:v>
      </x:c>
      <x:c r="D786" t="inlineStr">
        <x:is>
          <x:t xml:space="preserve">Clinovir Cream</x:t>
        </x:is>
      </x:c>
      <x:c r="E786" t="inlineStr">
        <x:is>
          <x:t xml:space="preserve">หลอด 5 g.</x:t>
        </x:is>
      </x:c>
      <x:c r="F786" t="inlineStr">
        <x:is>
          <x:t xml:space="preserve">Acyclovir 5%w/w</x:t>
        </x:is>
      </x:c>
      <x:c r="G786" t="inlineStr">
        <x:is>
          <x:t xml:space="preserve">BDS007719</x:t>
        </x:is>
      </x:c>
      <x:c r="H786" t="inlineStr">
        <x:is>
          <x:t xml:space="preserve">Clinovir Cream (5 g.)</x:t>
        </x:is>
      </x:c>
      <x:c r="I786" t="inlineStr">
        <x:is>
          <x:t xml:space="preserve">ทาครีมบางๆ บริเวณที่ติดเชื้อหรือบริเวณที่เริ่มแสดงอาการ ทุก 4 ชั่วโมง (วันละ 5 ครั้ง) ต่อเนื่อง 5 วัน</x:t>
        </x:is>
      </x:c>
      <x:c r="P786" t="inlineStr">
        <x:is>
          <x:t xml:space="preserve">Antivirals (oral/topical)</x:t>
        </x:is>
      </x:c>
    </x:row>
    <x:row r="787">
      <x:c r="A787">
        <x:v>785</x:v>
      </x:c>
      <x:c r="B787" t="inlineStr">
        <x:is>
          <x:t xml:space="preserve">ยาทาฆ่าเชื้อไวรัส (D)</x:t>
        </x:is>
      </x:c>
      <x:c r="C787">
        <x:v>4046</x:v>
      </x:c>
      <x:c r="D787" t="inlineStr">
        <x:is>
          <x:t xml:space="preserve">Vilerm Cream 5 g</x:t>
        </x:is>
      </x:c>
      <x:c r="E787" t="inlineStr">
        <x:is>
          <x:t xml:space="preserve">หลอด 5 g.</x:t>
        </x:is>
      </x:c>
      <x:c r="F787" t="inlineStr">
        <x:is>
          <x:t xml:space="preserve">Acyclovir 5 g./100 g.</x:t>
        </x:is>
      </x:c>
      <x:c r="G787" t="inlineStr">
        <x:is>
          <x:t xml:space="preserve">BDS004046</x:t>
        </x:is>
      </x:c>
      <x:c r="H787" t="inlineStr">
        <x:is>
          <x:t xml:space="preserve">Vilerm Cream 5 g (5 g.)</x:t>
        </x:is>
      </x:c>
      <x:c r="I787" t="inlineStr">
        <x:is>
          <x:t xml:space="preserve">ทาบริเวณที่ติดเชื้อ วันละ 5 ครั้ง ทุก 4 ชั่วโมง</x:t>
        </x:is>
      </x:c>
      <x:c r="P787" t="inlineStr">
        <x:is>
          <x:t xml:space="preserve">Antivirals (oral/topical)</x:t>
        </x:is>
      </x:c>
    </x:row>
    <x:row r="788">
      <x:c r="A788">
        <x:v>786</x:v>
      </x:c>
      <x:c r="B788" t="inlineStr">
        <x:is>
          <x:t xml:space="preserve">ยาทาฆ่าเชื้อไวรัส (D)</x:t>
        </x:is>
      </x:c>
      <x:c r="C788">
        <x:v>4020</x:v>
      </x:c>
      <x:c r="D788" t="inlineStr">
        <x:is>
          <x:t xml:space="preserve">Vilerm Cream sachet 1 g</x:t>
        </x:is>
      </x:c>
      <x:c r="E788" t="inlineStr">
        <x:is>
          <x:t xml:space="preserve">ซอง 1 g.</x:t>
        </x:is>
      </x:c>
      <x:c r="F788" t="inlineStr">
        <x:is>
          <x:t xml:space="preserve">Acyclovir 5 g./100 g.</x:t>
        </x:is>
      </x:c>
      <x:c r="G788" t="inlineStr">
        <x:is>
          <x:t xml:space="preserve">BDS004020</x:t>
        </x:is>
      </x:c>
      <x:c r="H788" t="inlineStr">
        <x:is>
          <x:t xml:space="preserve">Vilerm Cream sachet 1 g (1 g.)</x:t>
        </x:is>
      </x:c>
      <x:c r="I788" t="inlineStr">
        <x:is>
          <x:t xml:space="preserve">ทาบริเวณที่ติดเชื้อ วันละ 5 ครั้ง ทุก 4 ชั่วโมง</x:t>
        </x:is>
      </x:c>
      <x:c r="P788" t="inlineStr">
        <x:is>
          <x:t xml:space="preserve">Antivirals (oral/topical)</x:t>
        </x:is>
      </x:c>
    </x:row>
    <x:row r="789">
      <x:c r="A789">
        <x:v>787</x:v>
      </x:c>
      <x:c r="B789" t="inlineStr">
        <x:is>
          <x:t xml:space="preserve">ยาทาฆ่าเชื้อไวรัส (D)</x:t>
        </x:is>
      </x:c>
      <x:c r="C789">
        <x:v>4216</x:v>
      </x:c>
      <x:c r="D789" t="inlineStr">
        <x:is>
          <x:t xml:space="preserve">Zevin Cream</x:t>
        </x:is>
      </x:c>
      <x:c r="E789" t="inlineStr">
        <x:is>
          <x:t xml:space="preserve">หลอด 3 g.</x:t>
        </x:is>
      </x:c>
      <x:c r="F789" t="inlineStr">
        <x:is>
          <x:t xml:space="preserve">Acyclovir 5 g./100 g.</x:t>
        </x:is>
      </x:c>
      <x:c r="G789" t="inlineStr">
        <x:is>
          <x:t xml:space="preserve">BDS004216</x:t>
        </x:is>
      </x:c>
      <x:c r="H789" t="inlineStr">
        <x:is>
          <x:t xml:space="preserve">Zevin Cream (3 g.)</x:t>
        </x:is>
      </x:c>
      <x:c r="I789" t="inlineStr">
        <x:is>
          <x:t xml:space="preserve">ทาบริเวณที่ติดเชื้อ วันละ 5 ครั้ง ทุก 4 ชั่วโมง</x:t>
        </x:is>
      </x:c>
      <x:c r="P789" t="inlineStr">
        <x:is>
          <x:t xml:space="preserve">Antivirals (oral/topical)</x:t>
        </x:is>
      </x:c>
    </x:row>
    <x:row r="790">
      <x:c r="A790">
        <x:v>788</x:v>
      </x:c>
      <x:c r="B790" t="inlineStr">
        <x:is>
          <x:t xml:space="preserve">ยาสอดช่องคลอด</x:t>
        </x:is>
      </x:c>
      <x:c r="C790">
        <x:v>1419</x:v>
      </x:c>
      <x:c r="D790" t="inlineStr">
        <x:is>
          <x:t xml:space="preserve">Canesten Vaginal tabs. 1s</x:t>
        </x:is>
      </x:c>
      <x:c r="E790" t="inlineStr">
        <x:is>
          <x:t xml:space="preserve">กล่อง 1 เม็ด</x:t>
        </x:is>
      </x:c>
      <x:c r="F790" t="inlineStr">
        <x:is>
          <x:t xml:space="preserve">Clotrimazole 500 mg.</x:t>
        </x:is>
      </x:c>
      <x:c r="G790" t="inlineStr">
        <x:is>
          <x:t xml:space="preserve">BDS001419</x:t>
        </x:is>
      </x:c>
      <x:c r="H790" t="inlineStr">
        <x:is>
          <x:t xml:space="preserve">Canesten Vaginal tabs. 1s (1 tab)</x:t>
        </x:is>
      </x:c>
      <x:c r="I790" t="inlineStr">
        <x:is>
          <x:t xml:space="preserve">สอดช่องคลอดครั้งละ 1 เม็ด วันละ 1 ครั้ง ก่อนนอน</x:t>
        </x:is>
      </x:c>
    </x:row>
    <x:row r="791">
      <x:c r="A791">
        <x:v>789</x:v>
      </x:c>
      <x:c r="B791" t="inlineStr">
        <x:is>
          <x:t xml:space="preserve">ยาสอดช่องคลอด</x:t>
        </x:is>
      </x:c>
      <x:c r="C791">
        <x:v>1420</x:v>
      </x:c>
      <x:c r="D791" t="inlineStr">
        <x:is>
          <x:t xml:space="preserve">Canesten Vaginal tabs. 6s</x:t>
        </x:is>
      </x:c>
      <x:c r="E791" t="inlineStr">
        <x:is>
          <x:t xml:space="preserve">กล่อง 6 เม็ด</x:t>
        </x:is>
      </x:c>
      <x:c r="F791" t="inlineStr">
        <x:is>
          <x:t xml:space="preserve">Clotrimazole 100 mg.</x:t>
        </x:is>
      </x:c>
      <x:c r="G791" t="inlineStr">
        <x:is>
          <x:t xml:space="preserve">BDS001420</x:t>
        </x:is>
      </x:c>
      <x:c r="H791" t="inlineStr">
        <x:is>
          <x:t xml:space="preserve">Canesten Vaginal tabs. 6s (6 tabs)</x:t>
        </x:is>
      </x:c>
      <x:c r="I791" t="inlineStr">
        <x:is>
          <x:t xml:space="preserve">สอดช่องคลอดครั้งละ 1 เม็ด วันละ 1 ครั้ง ก่อนนอน</x:t>
        </x:is>
      </x:c>
    </x:row>
    <x:row r="792">
      <x:c r="A792">
        <x:v>790</x:v>
      </x:c>
      <x:c r="B792" t="inlineStr">
        <x:is>
          <x:t xml:space="preserve">ยาสอดช่องคลอด</x:t>
        </x:is>
      </x:c>
      <x:c r="C792">
        <x:v>7056</x:v>
      </x:c>
      <x:c r="D792" t="inlineStr">
        <x:is>
          <x:t xml:space="preserve">Clomaz-Forte</x:t>
        </x:is>
      </x:c>
      <x:c r="E792" t="inlineStr">
        <x:is>
          <x:t xml:space="preserve">กล่อง 1 เม็ด</x:t>
        </x:is>
      </x:c>
      <x:c r="F792" t="inlineStr">
        <x:is>
          <x:t xml:space="preserve">Clotrimazole 500 mg.</x:t>
        </x:is>
      </x:c>
      <x:c r="G792" t="inlineStr">
        <x:is>
          <x:t xml:space="preserve">BDS007056</x:t>
        </x:is>
      </x:c>
      <x:c r="H792" t="inlineStr">
        <x:is>
          <x:t xml:space="preserve">Clomaz-Forte (1 tab)</x:t>
        </x:is>
      </x:c>
      <x:c r="I792" t="inlineStr">
        <x:is>
          <x:t xml:space="preserve">สอดช่องคลอดครั้งละ 1 เม็ด วันละ 1 ครั้ง ก่อนนอน</x:t>
        </x:is>
      </x:c>
    </x:row>
    <x:row r="793">
      <x:c r="A793">
        <x:v>791</x:v>
      </x:c>
      <x:c r="B793" t="inlineStr">
        <x:is>
          <x:t xml:space="preserve">ยาสอดช่องคลอด</x:t>
        </x:is>
      </x:c>
      <x:c r="C793">
        <x:v>7953</x:v>
      </x:c>
      <x:c r="D793" t="inlineStr">
        <x:is>
          <x:t xml:space="preserve">Gynosten-500</x:t>
        </x:is>
      </x:c>
      <x:c r="E793" t="inlineStr">
        <x:is>
          <x:t xml:space="preserve">กล่อง 1 เม็ด</x:t>
        </x:is>
      </x:c>
      <x:c r="F793" t="inlineStr">
        <x:is>
          <x:t xml:space="preserve">Clotrimazole 500 mg.</x:t>
        </x:is>
      </x:c>
      <x:c r="G793" t="inlineStr">
        <x:is>
          <x:t xml:space="preserve">BDS007953</x:t>
        </x:is>
      </x:c>
      <x:c r="H793" t="inlineStr">
        <x:is>
          <x:t xml:space="preserve">Gynosten-500 (1 tab)</x:t>
        </x:is>
      </x:c>
      <x:c r="I793" t="inlineStr">
        <x:is>
          <x:t xml:space="preserve">สอดช่องคลอดครั้งละ 1 เม็ด  วันละ 1 ครั้ง ก่อนนอน</x:t>
        </x:is>
      </x:c>
    </x:row>
    <x:row r="794">
      <x:c r="A794">
        <x:v>792</x:v>
      </x:c>
      <x:c r="B794" t="inlineStr">
        <x:is>
          <x:t xml:space="preserve">ยาสอดช่องคลอด</x:t>
        </x:is>
      </x:c>
      <x:c r="C794">
        <x:v>49779</x:v>
      </x:c>
      <x:c r="D794" t="inlineStr">
        <x:is>
          <x:t xml:space="preserve">Zalain Vaginal Suppository</x:t>
        </x:is>
      </x:c>
      <x:c r="E794" t="inlineStr">
        <x:is>
          <x:t xml:space="preserve">กล่อง 1 เม็ด</x:t>
        </x:is>
      </x:c>
      <x:c r="F794" t="inlineStr">
        <x:is>
          <x:t xml:space="preserve">Sertaconazole 300 mg.</x:t>
        </x:is>
      </x:c>
      <x:c r="G794" t="inlineStr">
        <x:is>
          <x:t xml:space="preserve">BDS049779</x:t>
        </x:is>
      </x:c>
      <x:c r="H794" t="inlineStr">
        <x:is>
          <x:t xml:space="preserve">Zalain Vaginal Suppository (1 tab)</x:t>
        </x:is>
      </x:c>
      <x:c r="I794" t="inlineStr">
        <x:is>
          <x:t xml:space="preserve">สอดช่องคลอดครั้งละ 1 เม็ด  วันละ 1 ครั้ง ก่อนนอน</x:t>
        </x:is>
      </x:c>
    </x:row>
    <x:row r="795">
      <x:c r="A795">
        <x:v>793</x:v>
      </x:c>
      <x:c r="B795" t="inlineStr">
        <x:is>
          <x:t xml:space="preserve">ยาใส่แผล</x:t>
        </x:is>
      </x:c>
      <x:c r="C795">
        <x:v>1280</x:v>
      </x:c>
      <x:c r="D795" t="inlineStr">
        <x:is>
          <x:t xml:space="preserve">Betadine Ointment</x:t>
        </x:is>
      </x:c>
      <x:c r="E795" t="inlineStr">
        <x:is>
          <x:t xml:space="preserve">กระปุก 50 g.</x:t>
        </x:is>
      </x:c>
      <x:c r="F795" t="inlineStr">
        <x:is>
          <x:t xml:space="preserve">Povidone Iodine 10 %</x:t>
        </x:is>
      </x:c>
      <x:c r="G795" t="inlineStr">
        <x:is>
          <x:t xml:space="preserve">BDS001280</x:t>
        </x:is>
      </x:c>
      <x:c r="H795" t="inlineStr">
        <x:is>
          <x:t xml:space="preserve">Betadine Ointment (50 g.)</x:t>
        </x:is>
      </x:c>
      <x:c r="I795" t="inlineStr">
        <x:is>
          <x:t xml:space="preserve">ทาบริเวณรอบๆ บาดแผล  </x:t>
        </x:is>
      </x:c>
    </x:row>
    <x:row r="796">
      <x:c r="A796">
        <x:v>794</x:v>
      </x:c>
      <x:c r="B796" t="inlineStr">
        <x:is>
          <x:t xml:space="preserve">ยาใส่แผล</x:t>
        </x:is>
      </x:c>
      <x:c r="C796">
        <x:v>1238</x:v>
      </x:c>
      <x:c r="D796" t="inlineStr">
        <x:is>
          <x:t xml:space="preserve">Betadine Solution 15 ml</x:t>
        </x:is>
      </x:c>
      <x:c r="E796" t="inlineStr">
        <x:is>
          <x:t xml:space="preserve">ขวด 15 ml.</x:t>
        </x:is>
      </x:c>
      <x:c r="F796" t="inlineStr">
        <x:is>
          <x:t xml:space="preserve">Povidone-Iodine USP 10 % w/v</x:t>
        </x:is>
      </x:c>
      <x:c r="G796" t="inlineStr">
        <x:is>
          <x:t xml:space="preserve">BDS001238</x:t>
        </x:is>
      </x:c>
      <x:c r="H796" t="inlineStr">
        <x:is>
          <x:t xml:space="preserve">Betadine Solution 15 ml (15 ml.)</x:t>
        </x:is>
      </x:c>
      <x:c r="I796" t="inlineStr">
        <x:is>
          <x:t xml:space="preserve">ทาบริเวณรอบๆ บาดแผล </x:t>
        </x:is>
      </x:c>
    </x:row>
    <x:row r="797">
      <x:c r="A797">
        <x:v>795</x:v>
      </x:c>
      <x:c r="B797" t="inlineStr">
        <x:is>
          <x:t xml:space="preserve">ยาใส่แผล</x:t>
        </x:is>
      </x:c>
      <x:c r="C797">
        <x:v>1239</x:v>
      </x:c>
      <x:c r="D797" t="inlineStr">
        <x:is>
          <x:t xml:space="preserve">Betadine Solution 30 ml</x:t>
        </x:is>
      </x:c>
      <x:c r="E797" t="inlineStr">
        <x:is>
          <x:t xml:space="preserve">ขวด 30 ml.</x:t>
        </x:is>
      </x:c>
      <x:c r="F797" t="inlineStr">
        <x:is>
          <x:t xml:space="preserve">Povidone-Iodine USP 10% w/v</x:t>
        </x:is>
      </x:c>
      <x:c r="G797" t="inlineStr">
        <x:is>
          <x:t xml:space="preserve">BDS001239</x:t>
        </x:is>
      </x:c>
      <x:c r="H797" t="inlineStr">
        <x:is>
          <x:t xml:space="preserve">Betadine Solution 30 ml (30 ml.)</x:t>
        </x:is>
      </x:c>
      <x:c r="I797" t="inlineStr">
        <x:is>
          <x:t xml:space="preserve">ทาบริเวณรอบๆ บาดแผล </x:t>
        </x:is>
      </x:c>
    </x:row>
    <x:row r="798">
      <x:c r="A798">
        <x:v>796</x:v>
      </x:c>
      <x:c r="B798" t="inlineStr">
        <x:is>
          <x:t xml:space="preserve">ยาใส่แผล</x:t>
        </x:is>
      </x:c>
      <x:c r="C798">
        <x:v>44520</x:v>
      </x:c>
      <x:c r="D798" t="inlineStr">
        <x:is>
          <x:t xml:space="preserve">LeoPovidone</x:t>
        </x:is>
      </x:c>
      <x:c r="E798" t="inlineStr">
        <x:is>
          <x:t xml:space="preserve">ขวด 15 ml.</x:t>
        </x:is>
      </x:c>
      <x:c r="F798" t="inlineStr">
        <x:is>
          <x:t xml:space="preserve">Povidone-Iodine 10% w/v</x:t>
        </x:is>
      </x:c>
      <x:c r="G798" t="inlineStr">
        <x:is>
          <x:t xml:space="preserve">BDS044520</x:t>
        </x:is>
      </x:c>
      <x:c r="H798" t="inlineStr">
        <x:is>
          <x:t xml:space="preserve">LeoPovidone (15 ml.)</x:t>
        </x:is>
      </x:c>
      <x:c r="I798" t="inlineStr">
        <x:is>
          <x:t xml:space="preserve">ใช้สำลีสะอาดชุบยาทาบริเวณรอบๆ บาดแผล </x:t>
        </x:is>
      </x:c>
    </x:row>
    <x:row r="799">
      <x:c r="A799">
        <x:v>797</x:v>
      </x:c>
      <x:c r="B799" t="inlineStr">
        <x:is>
          <x:t xml:space="preserve">ยาใส่แผล</x:t>
        </x:is>
      </x:c>
      <x:c r="C799">
        <x:v>44106</x:v>
      </x:c>
      <x:c r="D799" t="inlineStr">
        <x:is>
          <x:t xml:space="preserve">Povidone-Iodine</x:t>
        </x:is>
      </x:c>
      <x:c r="E799" t="inlineStr">
        <x:is>
          <x:t xml:space="preserve">ขวด 30 ml.</x:t>
        </x:is>
      </x:c>
      <x:c r="F799" t="inlineStr">
        <x:is>
          <x:t xml:space="preserve">Povidone-Iodine 10% w/v</x:t>
        </x:is>
      </x:c>
      <x:c r="G799" t="inlineStr">
        <x:is>
          <x:t xml:space="preserve">BDS044106</x:t>
        </x:is>
      </x:c>
      <x:c r="H799" t="inlineStr">
        <x:is>
          <x:t xml:space="preserve">Povidone-Iodine (30 ml.)</x:t>
        </x:is>
      </x:c>
      <x:c r="I799" t="inlineStr">
        <x:is>
          <x:t xml:space="preserve">ทาบริเวณรอบๆ บาดแผล </x:t>
        </x:is>
      </x:c>
    </x:row>
    <x:row r="800">
      <x:c r="A800">
        <x:v>798</x:v>
      </x:c>
      <x:c r="B800" t="inlineStr">
        <x:is>
          <x:t xml:space="preserve">ยาทาและยาพ่นแก้ปวดอักเสบ NSAIDs</x:t>
        </x:is>
      </x:c>
      <x:c r="C800">
        <x:v>1470</x:v>
      </x:c>
      <x:c r="D800" t="inlineStr">
        <x:is>
          <x:t xml:space="preserve">Counterpain Plus</x:t>
        </x:is>
      </x:c>
      <x:c r="E800" t="inlineStr">
        <x:is>
          <x:t xml:space="preserve">หลอด 25 g.</x:t>
        </x:is>
      </x:c>
      <x:c r="F800" t="inlineStr">
        <x:is>
          <x:t xml:space="preserve">Piroxicam 0.5%+Methyl salicylate 10.2%+Menthol 5.43%+Eugenol 1.37%</x:t>
        </x:is>
      </x:c>
      <x:c r="G800" t="inlineStr">
        <x:is>
          <x:t xml:space="preserve">BDS001470</x:t>
        </x:is>
      </x:c>
      <x:c r="H800" t="inlineStr">
        <x:is>
          <x:t xml:space="preserve">Counterpain Plus (25 g.)</x:t>
        </x:is>
      </x:c>
      <x:c r="I800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0" t="inlineStr">
        <x:is>
          <x:t xml:space="preserve">Topical pain relief / topical NSAIDs</x:t>
        </x:is>
      </x:c>
    </x:row>
    <x:row r="801">
      <x:c r="A801">
        <x:v>799</x:v>
      </x:c>
      <x:c r="B801" t="inlineStr">
        <x:is>
          <x:t xml:space="preserve">ยาทาและยาพ่นแก้ปวดอักเสบ NSAIDs</x:t>
        </x:is>
      </x:c>
      <x:c r="C801">
        <x:v>1656</x:v>
      </x:c>
      <x:c r="D801" t="inlineStr">
        <x:is>
          <x:t xml:space="preserve">Difelene Gel เล็ก</x:t>
        </x:is>
      </x:c>
      <x:c r="E801" t="inlineStr">
        <x:is>
          <x:t xml:space="preserve">หลอด 30 g.</x:t>
        </x:is>
      </x:c>
      <x:c r="F801" t="inlineStr">
        <x:is>
          <x:t xml:space="preserve">Diclofenac diethylammonium 1.16 g./100 g (eq. to Diclofenac Sodium 1.0 g)</x:t>
        </x:is>
      </x:c>
      <x:c r="G801" t="inlineStr">
        <x:is>
          <x:t xml:space="preserve">BDS001656</x:t>
        </x:is>
      </x:c>
      <x:c r="H801" t="inlineStr">
        <x:is>
          <x:t xml:space="preserve">Difelene Gel เล็ก (30 g.)</x:t>
        </x:is>
      </x:c>
      <x:c r="I801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1" t="inlineStr">
        <x:is>
          <x:t xml:space="preserve">Topical pain relief / topical NSAIDs</x:t>
        </x:is>
      </x:c>
    </x:row>
    <x:row r="802">
      <x:c r="A802">
        <x:v>800</x:v>
      </x:c>
      <x:c r="B802" t="inlineStr">
        <x:is>
          <x:t xml:space="preserve">ยาทาและยาพ่นแก้ปวดอักเสบ NSAIDs</x:t>
        </x:is>
      </x:c>
      <x:c r="C802">
        <x:v>1654</x:v>
      </x:c>
      <x:c r="D802" t="inlineStr">
        <x:is>
          <x:t xml:space="preserve">Difelene Gel ใหญ่</x:t>
        </x:is>
      </x:c>
      <x:c r="E802" t="inlineStr">
        <x:is>
          <x:t xml:space="preserve">หลอด 60 g.</x:t>
        </x:is>
      </x:c>
      <x:c r="F802" t="inlineStr">
        <x:is>
          <x:t xml:space="preserve">Diclofenac diethylammonium 1.16 g./100 g (eq. to Diclofenac Sodium 1.0 g).</x:t>
        </x:is>
      </x:c>
      <x:c r="G802" t="inlineStr">
        <x:is>
          <x:t xml:space="preserve">BDS001654</x:t>
        </x:is>
      </x:c>
      <x:c r="H802" t="inlineStr">
        <x:is>
          <x:t xml:space="preserve">Difelene Gel ใหญ่ (60 g.)</x:t>
        </x:is>
      </x:c>
      <x:c r="I802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2" t="inlineStr">
        <x:is>
          <x:t xml:space="preserve">Topical pain relief / topical NSAIDs</x:t>
        </x:is>
      </x:c>
    </x:row>
    <x:row r="803">
      <x:c r="A803">
        <x:v>801</x:v>
      </x:c>
      <x:c r="B803" t="inlineStr">
        <x:is>
          <x:t xml:space="preserve">ยาทาและยาพ่นแก้ปวดอักเสบ NSAIDs</x:t>
        </x:is>
      </x:c>
      <x:c r="C803">
        <x:v>1806</x:v>
      </x:c>
      <x:c r="D803" t="inlineStr">
        <x:is>
          <x:t xml:space="preserve">Elmetacin พ่นแก้ปวด</x:t>
        </x:is>
      </x:c>
      <x:c r="E803" t="inlineStr">
        <x:is>
          <x:t xml:space="preserve">ขวด 50 ml.</x:t>
        </x:is>
      </x:c>
      <x:c r="F803" t="inlineStr">
        <x:is>
          <x:t xml:space="preserve">Indomethacin 8 mg./0.8 g.</x:t>
        </x:is>
      </x:c>
      <x:c r="G803" t="inlineStr">
        <x:is>
          <x:t xml:space="preserve">BDS001806</x:t>
        </x:is>
      </x:c>
      <x:c r="H803" t="inlineStr">
        <x:is>
          <x:t xml:space="preserve">Elmetacin พ่นแก้ปวด (50 ml.)</x:t>
        </x:is>
      </x:c>
      <x:c r="I803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803" t="inlineStr">
        <x:is>
          <x:t xml:space="preserve">Topical pain relief / topical NSAIDs</x:t>
        </x:is>
      </x:c>
    </x:row>
    <x:row r="804">
      <x:c r="A804">
        <x:v>802</x:v>
      </x:c>
      <x:c r="B804" t="inlineStr">
        <x:is>
          <x:t xml:space="preserve">ยาทาและยาพ่นแก้ปวดอักเสบ NSAIDs</x:t>
        </x:is>
      </x:c>
      <x:c r="C804">
        <x:v>6242</x:v>
      </x:c>
      <x:c r="D804" t="inlineStr">
        <x:is>
          <x:t xml:space="preserve">Fastum Gel</x:t>
        </x:is>
      </x:c>
      <x:c r="E804" t="inlineStr">
        <x:is>
          <x:t xml:space="preserve">หลอด 30 g.</x:t>
        </x:is>
      </x:c>
      <x:c r="F804" t="inlineStr">
        <x:is>
          <x:t xml:space="preserve">Ketoprofen 2.5%</x:t>
        </x:is>
      </x:c>
      <x:c r="G804" t="inlineStr">
        <x:is>
          <x:t xml:space="preserve">BDS006242</x:t>
        </x:is>
      </x:c>
      <x:c r="H804" t="inlineStr">
        <x:is>
          <x:t xml:space="preserve">Fastum Gel (30 g.)</x:t>
        </x:is>
      </x:c>
      <x:c r="I804" t="inlineStr">
        <x:is>
          <x:t xml:space="preserve">ทาเจลบางๆ บริเวณที่มีอาการ วันละ 1-2 ครั้ง</x:t>
        </x:is>
      </x:c>
      <x:c r="P804" t="inlineStr">
        <x:is>
          <x:t xml:space="preserve">Topical pain relief / topical NSAIDs</x:t>
        </x:is>
      </x:c>
    </x:row>
    <x:row r="805">
      <x:c r="A805">
        <x:v>803</x:v>
      </x:c>
      <x:c r="B805" t="inlineStr">
        <x:is>
          <x:t xml:space="preserve">ยาทาและยาพ่นแก้ปวดอักเสบ NSAIDs</x:t>
        </x:is>
      </x:c>
      <x:c r="C805">
        <x:v>7952</x:v>
      </x:c>
      <x:c r="D805" t="inlineStr">
        <x:is>
          <x:t xml:space="preserve">Felgesic Gel</x:t>
        </x:is>
      </x:c>
      <x:c r="E805" t="inlineStr">
        <x:is>
          <x:t xml:space="preserve">หลอด 30 g.</x:t>
        </x:is>
      </x:c>
      <x:c r="F805" t="inlineStr">
        <x:is>
          <x:t xml:space="preserve">Piroxicam 0.5 g/100 ml.</x:t>
        </x:is>
      </x:c>
      <x:c r="G805" t="inlineStr">
        <x:is>
          <x:t xml:space="preserve">BDS007952</x:t>
        </x:is>
      </x:c>
      <x:c r="H805" t="inlineStr">
        <x:is>
          <x:t xml:space="preserve">Felgesic Gel (30 g.)</x:t>
        </x:is>
      </x:c>
      <x:c r="I805" t="inlineStr">
        <x:is>
          <x:t xml:space="preserve">ทาบริเวณที่มีอาการปวด วันละ 2-3 ครั้ง</x:t>
        </x:is>
      </x:c>
      <x:c r="P805" t="inlineStr">
        <x:is>
          <x:t xml:space="preserve">Topical pain relief / topical NSAIDs</x:t>
        </x:is>
      </x:c>
    </x:row>
    <x:row r="806">
      <x:c r="A806">
        <x:v>804</x:v>
      </x:c>
      <x:c r="B806" t="inlineStr">
        <x:is>
          <x:t xml:space="preserve">ยาทาและยาพ่นแก้ปวดอักเสบ NSAIDs</x:t>
        </x:is>
      </x:c>
      <x:c r="C806">
        <x:v>1917</x:v>
      </x:c>
      <x:c r="D806" t="inlineStr">
        <x:is>
          <x:t xml:space="preserve">Flamic Gel</x:t>
        </x:is>
      </x:c>
      <x:c r="E806" t="inlineStr">
        <x:is>
          <x:t xml:space="preserve">หลอด 25 g.</x:t>
        </x:is>
      </x:c>
      <x:c r="F806" t="inlineStr">
        <x:is>
          <x:t xml:space="preserve">Piroxicam 5 mg./1 g.</x:t>
        </x:is>
      </x:c>
      <x:c r="G806" t="inlineStr">
        <x:is>
          <x:t xml:space="preserve">BDS001917</x:t>
        </x:is>
      </x:c>
      <x:c r="H806" t="inlineStr">
        <x:is>
          <x:t xml:space="preserve">Flamic Gel (25 g.)</x:t>
        </x:is>
      </x:c>
      <x:c r="I806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06" t="inlineStr">
        <x:is>
          <x:t xml:space="preserve">Topical pain relief / topical NSAIDs</x:t>
        </x:is>
      </x:c>
    </x:row>
    <x:row r="807">
      <x:c r="A807">
        <x:v>805</x:v>
      </x:c>
      <x:c r="B807" t="inlineStr">
        <x:is>
          <x:t xml:space="preserve">ยาทาและยาพ่นแก้ปวดอักเสบ NSAIDs</x:t>
        </x:is>
      </x:c>
      <x:c r="C807">
        <x:v>2684</x:v>
      </x:c>
      <x:c r="D807" t="inlineStr">
        <x:is>
          <x:t xml:space="preserve">M-Cin</x:t>
        </x:is>
      </x:c>
      <x:c r="E807" t="inlineStr">
        <x:is>
          <x:t xml:space="preserve">ขวด 50 ml.</x:t>
        </x:is>
      </x:c>
      <x:c r="F807" t="inlineStr">
        <x:is>
          <x:t xml:space="preserve">Indomethacin 8 mg./1 ml.</x:t>
        </x:is>
      </x:c>
      <x:c r="G807" t="inlineStr">
        <x:is>
          <x:t xml:space="preserve">BDS002684</x:t>
        </x:is>
      </x:c>
      <x:c r="H807" t="inlineStr">
        <x:is>
          <x:t xml:space="preserve">M-Cin (50 ml.)</x:t>
        </x:is>
      </x:c>
      <x:c r="I807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P807" t="inlineStr">
        <x:is>
          <x:t xml:space="preserve">Topical pain relief / topical NSAIDs</x:t>
        </x:is>
      </x:c>
    </x:row>
    <x:row r="808">
      <x:c r="A808">
        <x:v>806</x:v>
      </x:c>
      <x:c r="B808" t="inlineStr">
        <x:is>
          <x:t xml:space="preserve">ยาทาและยาพ่นแก้ปวดอักเสบ NSAIDs</x:t>
        </x:is>
      </x:c>
      <x:c r="C808">
        <x:v>7574</x:v>
      </x:c>
      <x:c r="D808" t="inlineStr">
        <x:is>
          <x:t xml:space="preserve">Neofenac Gel เล็ก</x:t>
        </x:is>
      </x:c>
      <x:c r="E808" t="inlineStr">
        <x:is>
          <x:t xml:space="preserve">หลอด 20 g.</x:t>
        </x:is>
      </x:c>
      <x:c r="F808" t="inlineStr">
        <x:is>
          <x:t xml:space="preserve">Diclofenac Sodium 1 g./100 g.</x:t>
        </x:is>
      </x:c>
      <x:c r="G808" t="inlineStr">
        <x:is>
          <x:t xml:space="preserve">BDS007574</x:t>
        </x:is>
      </x:c>
      <x:c r="H808" t="inlineStr">
        <x:is>
          <x:t xml:space="preserve">Neofenac Gel เล็ก (20 g.)</x:t>
        </x:is>
      </x:c>
      <x:c r="I808" t="inlineStr">
        <x:is>
          <x:t xml:space="preserve">ทาเจลบางๆ บริเวณที่มีอาการ วันละ 2-4 ครั้ง</x:t>
        </x:is>
      </x:c>
      <x:c r="P808" t="inlineStr">
        <x:is>
          <x:t xml:space="preserve">Topical pain relief / topical NSAIDs</x:t>
        </x:is>
      </x:c>
    </x:row>
    <x:row r="809">
      <x:c r="A809">
        <x:v>807</x:v>
      </x:c>
      <x:c r="B809" t="inlineStr">
        <x:is>
          <x:t xml:space="preserve">ยาทาและยาพ่นแก้ปวดอักเสบ NSAIDs</x:t>
        </x:is>
      </x:c>
      <x:c r="C809">
        <x:v>7575</x:v>
      </x:c>
      <x:c r="D809" t="inlineStr">
        <x:is>
          <x:t xml:space="preserve">Neofenac Gel ใหญ่</x:t>
        </x:is>
      </x:c>
      <x:c r="E809" t="inlineStr">
        <x:is>
          <x:t xml:space="preserve">หลอด 50 g.</x:t>
        </x:is>
      </x:c>
      <x:c r="F809" t="inlineStr">
        <x:is>
          <x:t xml:space="preserve">Diclofenac Sodium 1 g./100 g.</x:t>
        </x:is>
      </x:c>
      <x:c r="G809" t="inlineStr">
        <x:is>
          <x:t xml:space="preserve">BDS007575</x:t>
        </x:is>
      </x:c>
      <x:c r="H809" t="inlineStr">
        <x:is>
          <x:t xml:space="preserve">Neofenac Gel ใหญ่ (50 g.)</x:t>
        </x:is>
      </x:c>
      <x:c r="I809" t="inlineStr">
        <x:is>
          <x:t xml:space="preserve">ทาเจลบางๆ บริเวณที่มีอาการ วันละ 2-4 ครั้ง</x:t>
        </x:is>
      </x:c>
      <x:c r="P809" t="inlineStr">
        <x:is>
          <x:t xml:space="preserve">Topical pain relief / topical NSAIDs</x:t>
        </x:is>
      </x:c>
    </x:row>
    <x:row r="810">
      <x:c r="A810">
        <x:v>808</x:v>
      </x:c>
      <x:c r="B810" t="inlineStr">
        <x:is>
          <x:t xml:space="preserve">ยาทาและยาพ่นแก้ปวดอักเสบ NSAIDs</x:t>
        </x:is>
      </x:c>
      <x:c r="C810">
        <x:v>45623</x:v>
      </x:c>
      <x:c r="D810" t="inlineStr">
        <x:is>
          <x:t xml:space="preserve">Neotica Cool</x:t>
        </x:is>
      </x:c>
      <x:c r="E810" t="inlineStr">
        <x:is>
          <x:t xml:space="preserve">หลอด 30 g.</x:t>
        </x:is>
      </x:c>
      <x:c r="F810" t="inlineStr">
        <x:is>
          <x:t xml:space="preserve">Piroxicam 5 mg./1 g.</x:t>
        </x:is>
      </x:c>
      <x:c r="G810" t="inlineStr">
        <x:is>
          <x:t xml:space="preserve">BDS045623</x:t>
        </x:is>
      </x:c>
      <x:c r="H810" t="inlineStr">
        <x:is>
          <x:t xml:space="preserve">Neotica Cool (30 g.)</x:t>
        </x:is>
      </x:c>
      <x:c r="I810" t="inlineStr">
        <x:is>
          <x:t xml:space="preserve">ทา (นวด) เบาๆ บริเวณที่มีอาการ จนกระทั่งยาซึมเข้าผิวหนัง วันละ 2-4 ครั้ง</x:t>
        </x:is>
      </x:c>
      <x:c r="P810" t="inlineStr">
        <x:is>
          <x:t xml:space="preserve">Topical pain relief / topical NSAIDs</x:t>
        </x:is>
      </x:c>
    </x:row>
    <x:row r="811">
      <x:c r="A811">
        <x:v>809</x:v>
      </x:c>
      <x:c r="B811" t="inlineStr">
        <x:is>
          <x:t xml:space="preserve">ยาทาและยาพ่นแก้ปวดอักเสบ NSAIDs</x:t>
        </x:is>
      </x:c>
      <x:c r="C811">
        <x:v>6730</x:v>
      </x:c>
      <x:c r="D811" t="inlineStr">
        <x:is>
          <x:t xml:space="preserve">N-Zen Gel ใหญ่</x:t>
        </x:is>
      </x:c>
      <x:c r="E811" t="inlineStr">
        <x:is>
          <x:t xml:space="preserve">หลอด 60 g.</x:t>
        </x:is>
      </x:c>
      <x:c r="F811" t="inlineStr">
        <x:is>
          <x:t xml:space="preserve">Diclofenac Sodium 1 g./100 g.</x:t>
        </x:is>
      </x:c>
      <x:c r="G811" t="inlineStr">
        <x:is>
          <x:t xml:space="preserve">BDS006730</x:t>
        </x:is>
      </x:c>
      <x:c r="H811" t="inlineStr">
        <x:is>
          <x:t xml:space="preserve">N-Zen Gel ใหญ่ (60 g.)</x:t>
        </x:is>
      </x:c>
      <x:c r="I811" t="inlineStr">
        <x:is>
          <x:t xml:space="preserve">ทาบริเวณที่เป็น แล้วนวดเบาๆ   วันละ 3-4 ครั้ง</x:t>
        </x:is>
      </x:c>
      <x:c r="P811" t="inlineStr">
        <x:is>
          <x:t xml:space="preserve">Topical pain relief / topical NSAIDs</x:t>
        </x:is>
      </x:c>
    </x:row>
    <x:row r="812">
      <x:c r="A812">
        <x:v>810</x:v>
      </x:c>
      <x:c r="B812" t="inlineStr">
        <x:is>
          <x:t xml:space="preserve">ยาทาและยาพ่นแก้ปวดอักเสบ NSAIDs</x:t>
        </x:is>
      </x:c>
      <x:c r="C812">
        <x:v>6814</x:v>
      </x:c>
      <x:c r="D812" t="inlineStr">
        <x:is>
          <x:t xml:space="preserve">Painelief Cool Gel</x:t>
        </x:is>
      </x:c>
      <x:c r="E812" t="inlineStr">
        <x:is>
          <x:t xml:space="preserve">หลอด 30 g.</x:t>
        </x:is>
      </x:c>
      <x:c r="F812" t="inlineStr">
        <x:is>
          <x:t xml:space="preserve">Diclofenac Sodium (as diethylammonium) 10 mg.</x:t>
        </x:is>
      </x:c>
      <x:c r="G812" t="inlineStr">
        <x:is>
          <x:t xml:space="preserve">BDS006814</x:t>
        </x:is>
      </x:c>
      <x:c r="H812" t="inlineStr">
        <x:is>
          <x:t xml:space="preserve">Painelief Cool Gel (30 g.)</x:t>
        </x:is>
      </x:c>
      <x:c r="I812" t="inlineStr">
        <x:is>
          <x:t xml:space="preserve">ทาบริเวณที่มีอาการ วันละ 3-4 ครั้ง</x:t>
        </x:is>
      </x:c>
      <x:c r="P812" t="inlineStr">
        <x:is>
          <x:t xml:space="preserve">Topical pain relief / topical NSAIDs</x:t>
        </x:is>
      </x:c>
    </x:row>
    <x:row r="813">
      <x:c r="A813">
        <x:v>811</x:v>
      </x:c>
      <x:c r="B813" t="inlineStr">
        <x:is>
          <x:t xml:space="preserve">ยาทาและยาพ่นแก้ปวดอักเสบ NSAIDs</x:t>
        </x:is>
      </x:c>
      <x:c r="C813">
        <x:v>46515</x:v>
      </x:c>
      <x:c r="D813" t="inlineStr">
        <x:is>
          <x:t xml:space="preserve">Painelief Cool Gel ใหญ่</x:t>
        </x:is>
      </x:c>
      <x:c r="E813" t="inlineStr">
        <x:is>
          <x:t xml:space="preserve">หลอด 60 g.</x:t>
        </x:is>
      </x:c>
      <x:c r="F813" t="inlineStr">
        <x:is>
          <x:t xml:space="preserve">Diclofenac Sodium (as diethylammonium) 10 mg.</x:t>
        </x:is>
      </x:c>
      <x:c r="G813" t="inlineStr">
        <x:is>
          <x:t xml:space="preserve">BDS046515</x:t>
        </x:is>
      </x:c>
      <x:c r="H813" t="inlineStr">
        <x:is>
          <x:t xml:space="preserve">Painelief Cool Gel ใหญ่ (60 g.)</x:t>
        </x:is>
      </x:c>
      <x:c r="I813" t="inlineStr">
        <x:is>
          <x:t xml:space="preserve">ทาบริเวณที่มีอาการ วันละ 3-4 ครั้ง</x:t>
        </x:is>
      </x:c>
      <x:c r="P813" t="inlineStr">
        <x:is>
          <x:t xml:space="preserve">Topical pain relief / topical NSAIDs</x:t>
        </x:is>
      </x:c>
    </x:row>
    <x:row r="814">
      <x:c r="A814">
        <x:v>812</x:v>
      </x:c>
      <x:c r="B814" t="inlineStr">
        <x:is>
          <x:t xml:space="preserve">ยาทาและยาพ่นแก้ปวดอักเสบ NSAIDs</x:t>
        </x:is>
      </x:c>
      <x:c r="C814">
        <x:v>7224</x:v>
      </x:c>
      <x:c r="D814" t="inlineStr">
        <x:is>
          <x:t xml:space="preserve">Piridene Gel</x:t>
        </x:is>
      </x:c>
      <x:c r="E814" t="inlineStr">
        <x:is>
          <x:t xml:space="preserve">หลอด 25 g.</x:t>
        </x:is>
      </x:c>
      <x:c r="F814" t="inlineStr">
        <x:is>
          <x:t xml:space="preserve">Piroxicam 0.5 g./100 g.</x:t>
        </x:is>
      </x:c>
      <x:c r="G814" t="inlineStr">
        <x:is>
          <x:t xml:space="preserve">BDS007224</x:t>
        </x:is>
      </x:c>
      <x:c r="H814" t="inlineStr">
        <x:is>
          <x:t xml:space="preserve">Piridene Gel (25 g.)</x:t>
        </x:is>
      </x:c>
      <x:c r="I814" t="inlineStr">
        <x:is>
          <x:t xml:space="preserve">ทาเจลบางๆ บริเวณที่มีอาการ วันละ 2-4 ครั้ง</x:t>
        </x:is>
      </x:c>
      <x:c r="P814" t="inlineStr">
        <x:is>
          <x:t xml:space="preserve">Topical pain relief / topical NSAIDs</x:t>
        </x:is>
      </x:c>
    </x:row>
    <x:row r="815">
      <x:c r="A815">
        <x:v>813</x:v>
      </x:c>
      <x:c r="B815" t="inlineStr">
        <x:is>
          <x:t xml:space="preserve">ยาทาและยาพ่นแก้ปวดอักเสบ NSAIDs</x:t>
        </x:is>
      </x:c>
      <x:c r="C815">
        <x:v>47729</x:v>
      </x:c>
      <x:c r="D815" t="inlineStr">
        <x:is>
          <x:t xml:space="preserve">Satogesic Gel</x:t>
        </x:is>
      </x:c>
      <x:c r="E815" t="inlineStr">
        <x:is>
          <x:t xml:space="preserve">หลอด 35 g.</x:t>
        </x:is>
      </x:c>
      <x:c r="F815" t="inlineStr">
        <x:is>
          <x:t xml:space="preserve">Indomethacin 0.75 g + L-menthol  0.3 g.</x:t>
        </x:is>
      </x:c>
      <x:c r="G815" t="inlineStr">
        <x:is>
          <x:t xml:space="preserve">BDS047729</x:t>
        </x:is>
      </x:c>
      <x:c r="H815" t="inlineStr">
        <x:is>
          <x:t xml:space="preserve">Satogesic Gel (35 g.)</x:t>
        </x:is>
      </x:c>
      <x:c r="I815" t="inlineStr">
        <x:is>
          <x:t xml:space="preserve">ทายาในปริมาณที่เหมาะสมบริเวณที่มีอาการ </x:t>
        </x:is>
      </x:c>
      <x:c r="P815" t="inlineStr">
        <x:is>
          <x:t xml:space="preserve">Topical pain relief / topical NSAIDs</x:t>
        </x:is>
      </x:c>
    </x:row>
    <x:row r="816">
      <x:c r="A816">
        <x:v>814</x:v>
      </x:c>
      <x:c r="B816" t="inlineStr">
        <x:is>
          <x:t xml:space="preserve">ยาทาและยาพ่นแก้ปวดอักเสบ NSAIDs</x:t>
        </x:is>
      </x:c>
      <x:c r="C816">
        <x:v>3914</x:v>
      </x:c>
      <x:c r="D816" t="inlineStr">
        <x:is>
          <x:t xml:space="preserve">Uniren Spray</x:t>
        </x:is>
      </x:c>
      <x:c r="E816" t="inlineStr">
        <x:is>
          <x:t xml:space="preserve">ขวด 60 ml.</x:t>
        </x:is>
      </x:c>
      <x:c r="F816" t="inlineStr">
        <x:is>
          <x:t xml:space="preserve">Diclofenac Sodium 1 % w/w</x:t>
        </x:is>
      </x:c>
      <x:c r="G816" t="inlineStr">
        <x:is>
          <x:t xml:space="preserve">BDS003914</x:t>
        </x:is>
      </x:c>
      <x:c r="H816" t="inlineStr">
        <x:is>
          <x:t xml:space="preserve">Uniren Spray (60 ml.)</x:t>
        </x:is>
      </x:c>
      <x:c r="I816" t="inlineStr">
        <x:is>
          <x:t xml:space="preserve">พ่นน้ำยาตรงบริเวณที่มีอาการในจำนวนที่เพียงพอ ไม่ต้องถูนวด วันละ 3-5 ครั้ง</x:t>
        </x:is>
      </x:c>
      <x:c r="K816">
        <x:v>346</x:v>
      </x:c>
      <x:c r="L816">
        <x:v>5.77</x:v>
      </x:c>
      <x:c r="M816" t="inlineStr">
        <x:is>
          <x:t xml:space="preserve">USER</x:t>
        </x:is>
      </x:c>
      <x:c r="N816" t="inlineStr">
        <x:is>
          <x:t xml:space="preserve">2026-02-07</x:t>
        </x:is>
      </x:c>
      <x:c r="O816" t="inlineStr">
        <x:is>
          <x:t xml:space="preserve">User provided price (Uniren Spray 60 ml).</x:t>
        </x:is>
      </x:c>
      <x:c r="P816" t="inlineStr">
        <x:is>
          <x:t xml:space="preserve">Topical pain relief / topical NSAIDs</x:t>
        </x:is>
      </x:c>
    </x:row>
    <x:row r="817">
      <x:c r="A817">
        <x:v>815</x:v>
      </x:c>
      <x:c r="B817" t="inlineStr">
        <x:is>
          <x:t xml:space="preserve">ยาทาและยาพ่นแก้ปวดอักเสบ NSAIDs</x:t>
        </x:is>
      </x:c>
      <x:c r="C817">
        <x:v>4043</x:v>
      </x:c>
      <x:c r="D817" t="inlineStr">
        <x:is>
          <x:t xml:space="preserve">Voltaren Emulgel กลาง</x:t>
        </x:is>
      </x:c>
      <x:c r="E817" t="inlineStr">
        <x:is>
          <x:t xml:space="preserve">หลอด 25 g.</x:t>
        </x:is>
      </x:c>
      <x:c r="F817" t="inlineStr">
        <x:is>
          <x:t xml:space="preserve">Diclofenac Sodium 1 g./100 g.</x:t>
        </x:is>
      </x:c>
      <x:c r="G817" t="inlineStr">
        <x:is>
          <x:t xml:space="preserve">BDS004043</x:t>
        </x:is>
      </x:c>
      <x:c r="H817" t="inlineStr">
        <x:is>
          <x:t xml:space="preserve">Voltaren Emulgel กลาง (25 g.)</x:t>
        </x:is>
      </x:c>
      <x:c r="I817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K817">
        <x:v>235</x:v>
      </x:c>
      <x:c r="L817">
        <x:v>235</x:v>
      </x:c>
      <x:c r="M817" t="inlineStr">
        <x:is>
          <x:t xml:space="preserve"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x:t>
        </x:is>
      </x:c>
      <x:c r="N817" t="inlineStr">
        <x:is>
          <x:t xml:space="preserve">2026-02-07</x:t>
        </x:is>
      </x:c>
      <x:c r="O817" t="inlineStr">
        <x:is>
          <x:t xml:space="preserve">Page shows 25 g variant; price fields are inconsistent—used 235 THB as best visible pack price.</x:t>
        </x:is>
      </x:c>
      <x:c r="P817" t="inlineStr">
        <x:is>
          <x:t xml:space="preserve">Topical pain relief / topical NSAIDs</x:t>
        </x:is>
      </x:c>
    </x:row>
    <x:row r="818">
      <x:c r="A818">
        <x:v>816</x:v>
      </x:c>
      <x:c r="B818" t="inlineStr">
        <x:is>
          <x:t xml:space="preserve">ยาทาและยาพ่นแก้ปวดอักเสบ NSAIDs</x:t>
        </x:is>
      </x:c>
      <x:c r="C818">
        <x:v>4042</x:v>
      </x:c>
      <x:c r="D818" t="inlineStr">
        <x:is>
          <x:t xml:space="preserve">Voltaren Emulgel เล็ก</x:t>
        </x:is>
      </x:c>
      <x:c r="E818" t="inlineStr">
        <x:is>
          <x:t xml:space="preserve">หลอด 10 g.</x:t>
        </x:is>
      </x:c>
      <x:c r="F818" t="inlineStr">
        <x:is>
          <x:t xml:space="preserve">Diclofenac Sodium 1 g./100 g.</x:t>
        </x:is>
      </x:c>
      <x:c r="G818" t="inlineStr">
        <x:is>
          <x:t xml:space="preserve">BDS004042</x:t>
        </x:is>
      </x:c>
      <x:c r="H818" t="inlineStr">
        <x:is>
          <x:t xml:space="preserve">Voltaren Emulgel เล็ก (10 g.)</x:t>
        </x:is>
      </x:c>
      <x:c r="I818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18" t="inlineStr">
        <x:is>
          <x:t xml:space="preserve">Topical pain relief / topical NSAIDs</x:t>
        </x:is>
      </x:c>
    </x:row>
    <x:row r="819">
      <x:c r="A819">
        <x:v>817</x:v>
      </x:c>
      <x:c r="B819" t="inlineStr">
        <x:is>
          <x:t xml:space="preserve">ยาทาและยาพ่นแก้ปวดอักเสบ NSAIDs</x:t>
        </x:is>
      </x:c>
      <x:c r="C819">
        <x:v>4044</x:v>
      </x:c>
      <x:c r="D819" t="inlineStr">
        <x:is>
          <x:t xml:space="preserve">Voltaren Emulgel ใหญ่</x:t>
        </x:is>
      </x:c>
      <x:c r="E819" t="inlineStr">
        <x:is>
          <x:t xml:space="preserve">หลอด 50 g.</x:t>
        </x:is>
      </x:c>
      <x:c r="F819" t="inlineStr">
        <x:is>
          <x:t xml:space="preserve">Diclofenac Sodium 1 g./100 g.</x:t>
        </x:is>
      </x:c>
      <x:c r="G819" t="inlineStr">
        <x:is>
          <x:t xml:space="preserve">BDS004044</x:t>
        </x:is>
      </x:c>
      <x:c r="H819" t="inlineStr">
        <x:is>
          <x:t xml:space="preserve">Voltaren Emulgel ใหญ่ (50 g.)</x:t>
        </x:is>
      </x:c>
      <x:c r="I819" t="inlineStr">
        <x:is>
          <x:t xml:space="preserve">ทา (นวด) เบาๆ บริเวณที่มีอาการ จนกระทั่งยาซึมเข้าผิวหนัง วันละ 2-3 ครั้ง</x:t>
        </x:is>
      </x:c>
      <x:c r="P819" t="inlineStr">
        <x:is>
          <x:t xml:space="preserve">Topical pain relief / topical NSAIDs</x:t>
        </x:is>
      </x:c>
    </x:row>
    <x:row r="820">
      <x:c r="A820">
        <x:v>818</x:v>
      </x:c>
      <x:c r="B820" t="inlineStr">
        <x:is>
          <x:t xml:space="preserve">ยาทาแผลในปาก (D)</x:t>
        </x:is>
      </x:c>
      <x:c r="C820">
        <x:v>2430</x:v>
      </x:c>
      <x:c r="D820" t="inlineStr">
        <x:is>
          <x:t xml:space="preserve">Kamistad-Gel N</x:t>
        </x:is>
      </x:c>
      <x:c r="E820" t="inlineStr">
        <x:is>
          <x:t xml:space="preserve">หลอด 10 g.</x:t>
        </x:is>
      </x:c>
      <x:c r="F820" t="inlineStr">
        <x:is>
          <x:t xml:space="preserve">Lidocaine HCl 20 mg.+Chamomile Flower Extract 185 mg.+Ethanol 50% v/v+Tromethamole 1.37% w/w+Preservative (Benzalkonium Chloride 1 mg.)/1 g.</x:t>
        </x:is>
      </x:c>
      <x:c r="G820" t="inlineStr">
        <x:is>
          <x:t xml:space="preserve">BDS002430</x:t>
        </x:is>
      </x:c>
      <x:c r="H820" t="inlineStr">
        <x:is>
          <x:t xml:space="preserve">Kamistad-Gel N (10 g.)</x:t>
        </x:is>
      </x:c>
      <x:c r="I820" t="inlineStr">
        <x:is>
          <x:t xml:space="preserve">ป้ายยาบริเวณที่เป็นแผล วันละ 2-3 ครั้ง หลังอาหาร และก่อนนอน</x:t>
        </x:is>
      </x:c>
      <x:c r="P820" t="inlineStr">
        <x:is>
          <x:t xml:space="preserve">Mouthwash / throat/oral care</x:t>
        </x:is>
      </x:c>
    </x:row>
    <x:row r="821">
      <x:c r="A821">
        <x:v>819</x:v>
      </x:c>
      <x:c r="B821" t="inlineStr">
        <x:is>
          <x:t xml:space="preserve">ยาทาแผลในปาก (D)</x:t>
        </x:is>
      </x:c>
      <x:c r="C821">
        <x:v>7549</x:v>
      </x:c>
      <x:c r="D821" t="inlineStr">
        <x:is>
          <x:t xml:space="preserve">Kenalone Oral Paste 5 g</x:t>
        </x:is>
      </x:c>
      <x:c r="E821" t="inlineStr">
        <x:is>
          <x:t xml:space="preserve">หลอด 5 g.</x:t>
        </x:is>
      </x:c>
      <x:c r="F821" t="inlineStr">
        <x:is>
          <x:t xml:space="preserve">Triamcinolone Acetonide 0.1%</x:t>
        </x:is>
      </x:c>
      <x:c r="G821" t="inlineStr">
        <x:is>
          <x:t xml:space="preserve">BDS007549</x:t>
        </x:is>
      </x:c>
      <x:c r="H821" t="inlineStr">
        <x:is>
          <x:t xml:space="preserve">Kenalone Oral Paste 5 g (5 g.)</x:t>
        </x:is>
      </x:c>
      <x:c r="I821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821" t="inlineStr">
        <x:is>
          <x:t xml:space="preserve">Mouthwash / throat/oral care</x:t>
        </x:is>
      </x:c>
    </x:row>
    <x:row r="822">
      <x:c r="A822">
        <x:v>820</x:v>
      </x:c>
      <x:c r="B822" t="inlineStr">
        <x:is>
          <x:t xml:space="preserve">ยาทาแผลในปาก (D)</x:t>
        </x:is>
      </x:c>
      <x:c r="C822">
        <x:v>7548</x:v>
      </x:c>
      <x:c r="D822" t="inlineStr">
        <x:is>
          <x:t xml:space="preserve">Kenalone Oral Paste sachet 1 g</x:t>
        </x:is>
      </x:c>
      <x:c r="E822" t="inlineStr">
        <x:is>
          <x:t xml:space="preserve">ซอง 1 g.</x:t>
        </x:is>
      </x:c>
      <x:c r="F822" t="inlineStr">
        <x:is>
          <x:t xml:space="preserve">Triamcinolone Acetonide 0.1%</x:t>
        </x:is>
      </x:c>
      <x:c r="G822" t="inlineStr">
        <x:is>
          <x:t xml:space="preserve">BDS007548</x:t>
        </x:is>
      </x:c>
      <x:c r="H822" t="inlineStr">
        <x:is>
          <x:t xml:space="preserve">Kenalone Oral Paste sachet 1 g (1 g.)</x:t>
        </x:is>
      </x:c>
      <x:c r="I822" t="inlineStr">
        <x:is>
          <x:t xml:space="preserve">ป้ายยาประมาณ 1/4 นิ้ว บริเวณที่มีอาการ วันละ 2-3 ครั้ง หลังอาหาร หรือตามแพทย์สั่ง </x:t>
        </x:is>
      </x:c>
      <x:c r="P822" t="inlineStr">
        <x:is>
          <x:t xml:space="preserve">Mouthwash / throat/oral care</x:t>
        </x:is>
      </x:c>
    </x:row>
    <x:row r="823">
      <x:c r="A823">
        <x:v>821</x:v>
      </x:c>
      <x:c r="B823" t="inlineStr">
        <x:is>
          <x:t xml:space="preserve">ยาทาแผลในปาก (D)</x:t>
        </x:is>
      </x:c>
      <x:c r="C823">
        <x:v>3751</x:v>
      </x:c>
      <x:c r="D823" t="inlineStr">
        <x:is>
          <x:t xml:space="preserve">Trinolone Oral Paste 5 g</x:t>
        </x:is>
      </x:c>
      <x:c r="E823" t="inlineStr">
        <x:is>
          <x:t xml:space="preserve">หลอด 5 g.</x:t>
        </x:is>
      </x:c>
      <x:c r="F823" t="inlineStr">
        <x:is>
          <x:t xml:space="preserve">Triamcinolone Acetonide 0.1%</x:t>
        </x:is>
      </x:c>
      <x:c r="G823" t="inlineStr">
        <x:is>
          <x:t xml:space="preserve">BDS003751</x:t>
        </x:is>
      </x:c>
      <x:c r="H823" t="inlineStr">
        <x:is>
          <x:t xml:space="preserve">Trinolone Oral Paste 5 g (5 g.)</x:t>
        </x:is>
      </x:c>
      <x:c r="I823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823" t="inlineStr">
        <x:is>
          <x:t xml:space="preserve">Mouthwash / throat/oral care</x:t>
        </x:is>
      </x:c>
    </x:row>
    <x:row r="824">
      <x:c r="A824">
        <x:v>822</x:v>
      </x:c>
      <x:c r="B824" t="inlineStr">
        <x:is>
          <x:t xml:space="preserve">ยาทาแผลในปาก (D)</x:t>
        </x:is>
      </x:c>
      <x:c r="C824">
        <x:v>3750</x:v>
      </x:c>
      <x:c r="D824" t="inlineStr">
        <x:is>
          <x:t xml:space="preserve">Trinolone Oral Paste sachet 1 g</x:t>
        </x:is>
      </x:c>
      <x:c r="E824" t="inlineStr">
        <x:is>
          <x:t xml:space="preserve">ซอง 1 g.</x:t>
        </x:is>
      </x:c>
      <x:c r="F824" t="inlineStr">
        <x:is>
          <x:t xml:space="preserve">Triamcinolone Acetonide 0.1%</x:t>
        </x:is>
      </x:c>
      <x:c r="G824" t="inlineStr">
        <x:is>
          <x:t xml:space="preserve">BDS003750</x:t>
        </x:is>
      </x:c>
      <x:c r="H824" t="inlineStr">
        <x:is>
          <x:t xml:space="preserve">Trinolone Oral Paste sachet 1 g (1 g.)</x:t>
        </x:is>
      </x:c>
      <x:c r="I824" t="inlineStr">
        <x:is>
          <x:t xml:space="preserve">ป้ายยาประมาณ 1/4 นิ้ว บริเวณที่เป็น วันละ 2-3 ครั้ง หลังอาหาร และก่อนนอน </x:t>
        </x:is>
      </x:c>
      <x:c r="P824" t="inlineStr">
        <x:is>
          <x:t xml:space="preserve">Mouthwash / throat/oral care</x:t>
        </x:is>
      </x:c>
    </x:row>
    <x:row r="825">
      <x:c r="A825">
        <x:v>823</x:v>
      </x:c>
      <x:c r="B825" t="inlineStr">
        <x:is>
          <x:t xml:space="preserve">ยาทาแก้แพ้, แก้คัน ชนิดน้ำ (D)</x:t>
        </x:is>
      </x:c>
      <x:c r="C825">
        <x:v>7547</x:v>
      </x:c>
      <x:c r="D825" t="inlineStr">
        <x:is>
          <x:t xml:space="preserve">Kanolone Lotion 30 ml</x:t>
        </x:is>
      </x:c>
      <x:c r="E825" t="inlineStr">
        <x:is>
          <x:t xml:space="preserve">ขวด 30 ml.</x:t>
        </x:is>
      </x:c>
      <x:c r="F825" t="inlineStr">
        <x:is>
          <x:t xml:space="preserve">Triamcinolone Acetonide 0.1 g/100 ml (0.1% w/v)</x:t>
        </x:is>
      </x:c>
      <x:c r="G825" t="inlineStr">
        <x:is>
          <x:t xml:space="preserve">BDS007547</x:t>
        </x:is>
      </x:c>
      <x:c r="H825" t="inlineStr">
        <x:is>
          <x:t xml:space="preserve">Kanolone Lotion 30 ml (30 ml.)</x:t>
        </x:is>
      </x:c>
      <x:c r="I825" t="inlineStr">
        <x:is>
          <x:t xml:space="preserve">ทาบางๆ บริเวณที่มีอาการ วันละ 2-3 ครั้ง</x:t>
        </x:is>
      </x:c>
      <x:c r="P825" t="inlineStr">
        <x:is>
          <x:t xml:space="preserve">Eczema/diaper rash / anti-itch topicals</x:t>
        </x:is>
      </x:c>
    </x:row>
    <x:row r="826">
      <x:c r="A826">
        <x:v>824</x:v>
      </x:c>
      <x:c r="B826" t="inlineStr">
        <x:is>
          <x:t xml:space="preserve">ยาทาแก้แพ้, แก้คัน ชนิดน้ำ (D)</x:t>
        </x:is>
      </x:c>
      <x:c r="C826">
        <x:v>7551</x:v>
      </x:c>
      <x:c r="D826" t="inlineStr">
        <x:is>
          <x:t xml:space="preserve">Kanolone Lotion 60 ml</x:t>
        </x:is>
      </x:c>
      <x:c r="E826" t="inlineStr">
        <x:is>
          <x:t xml:space="preserve">ขวด 60 ml.</x:t>
        </x:is>
      </x:c>
      <x:c r="F826" t="inlineStr">
        <x:is>
          <x:t xml:space="preserve">Triamcinolone Acetonide 0.1 g/100 ml (0.1% w/v)</x:t>
        </x:is>
      </x:c>
      <x:c r="G826" t="inlineStr">
        <x:is>
          <x:t xml:space="preserve">BDS007551</x:t>
        </x:is>
      </x:c>
      <x:c r="H826" t="inlineStr">
        <x:is>
          <x:t xml:space="preserve">Kanolone Lotion 60 ml (60 ml.)</x:t>
        </x:is>
      </x:c>
      <x:c r="I826" t="inlineStr">
        <x:is>
          <x:t xml:space="preserve">ทาบางๆ บริเวณที่มีอาการ วันละ 2-3 ครั้ง</x:t>
        </x:is>
      </x:c>
      <x:c r="P826" t="inlineStr">
        <x:is>
          <x:t xml:space="preserve">Eczema/diaper rash / anti-itch topicals</x:t>
        </x:is>
      </x:c>
    </x:row>
    <x:row r="827">
      <x:c r="A827">
        <x:v>825</x:v>
      </x:c>
      <x:c r="B827" t="inlineStr">
        <x:is>
          <x:t xml:space="preserve">ยาทาแก้แพ้, แก้คัน ชนิดน้ำ (D)</x:t>
        </x:is>
      </x:c>
      <x:c r="C827">
        <x:v>48630</x:v>
      </x:c>
      <x:c r="D827" t="inlineStr">
        <x:is>
          <x:t xml:space="preserve">TA 0.1% Lotion</x:t>
        </x:is>
      </x:c>
      <x:c r="E827" t="inlineStr">
        <x:is>
          <x:t xml:space="preserve">ขวด 30 g.</x:t>
        </x:is>
      </x:c>
      <x:c r="F827" t="inlineStr">
        <x:is>
          <x:t xml:space="preserve">Triamcinolone Acetonide 0.1 g/100 g (0.1 % w/w)</x:t>
        </x:is>
      </x:c>
      <x:c r="G827" t="inlineStr">
        <x:is>
          <x:t xml:space="preserve">BDS048630</x:t>
        </x:is>
      </x:c>
      <x:c r="H827" t="inlineStr">
        <x:is>
          <x:t xml:space="preserve">TA 0.1% Lotion (30 g.)</x:t>
        </x:is>
      </x:c>
      <x:c r="I827" t="inlineStr">
        <x:is>
          <x:t xml:space="preserve">ทาโลชั่นบางๆ บริเวณที่มีอาการ วันละ 2-4 ครั้ง </x:t>
        </x:is>
      </x:c>
      <x:c r="K827">
        <x:v>116</x:v>
      </x:c>
      <x:c r="L827">
        <x:v>3.87</x:v>
      </x:c>
      <x:c r="M827" t="inlineStr">
        <x:is>
          <x:t xml:space="preserve">USER</x:t>
        </x:is>
      </x:c>
      <x:c r="N827" t="inlineStr">
        <x:is>
          <x:t xml:space="preserve">2026-02-07</x:t>
        </x:is>
      </x:c>
      <x:c r="O827" t="inlineStr">
        <x:is>
          <x:t xml:space="preserve">User provided price (TA 0.1% Lotion 30 g).</x:t>
        </x:is>
      </x:c>
      <x:c r="P827" t="inlineStr">
        <x:is>
          <x:t xml:space="preserve">Eczema/diaper rash / anti-itch topicals</x:t>
        </x:is>
      </x:c>
    </x:row>
    <x:row r="828">
      <x:c r="A828">
        <x:v>826</x:v>
      </x:c>
      <x:c r="B828" t="inlineStr">
        <x:is>
          <x:t xml:space="preserve">ยาทาแก้แพ้, แก้คัน ชนิดน้ำ (D)</x:t>
        </x:is>
      </x:c>
      <x:c r="C828">
        <x:v>3799</x:v>
      </x:c>
      <x:c r="D828" t="inlineStr">
        <x:is>
          <x:t xml:space="preserve">Tram Lotion</x:t>
        </x:is>
      </x:c>
      <x:c r="E828" t="inlineStr">
        <x:is>
          <x:t xml:space="preserve">ขวด 30 ml.</x:t>
        </x:is>
      </x:c>
      <x:c r="F828" t="inlineStr">
        <x:is>
          <x:t xml:space="preserve">Triamcinolone Acetonide 0.1 % w/v</x:t>
        </x:is>
      </x:c>
      <x:c r="G828" t="inlineStr">
        <x:is>
          <x:t xml:space="preserve">BDS003799</x:t>
        </x:is>
      </x:c>
      <x:c r="H828" t="inlineStr">
        <x:is>
          <x:t xml:space="preserve">Tram Lotion (30 ml.)</x:t>
        </x:is>
      </x:c>
      <x:c r="I828" t="inlineStr">
        <x:is>
          <x:t xml:space="preserve">ทาบางๆ บริเวณที่มีอาการ วันละ 2-3 ครั้ง</x:t>
        </x:is>
      </x:c>
      <x:c r="P828" t="inlineStr">
        <x:is>
          <x:t xml:space="preserve">Eczema/diaper rash / anti-itch topicals</x:t>
        </x:is>
      </x:c>
    </x:row>
    <x:row r="829">
      <x:c r="A829">
        <x:v>827</x:v>
      </x:c>
      <x:c r="B829" t="inlineStr">
        <x:is>
          <x:t xml:space="preserve">ยาทาสมานแผล</x:t>
        </x:is>
      </x:c>
      <x:c r="C829">
        <x:v>1099</x:v>
      </x:c>
      <x:c r="D829" t="inlineStr">
        <x:is>
          <x:t xml:space="preserve">Intrasite Gel</x:t>
        </x:is>
      </x:c>
      <x:c r="E829" t="inlineStr">
        <x:is>
          <x:t xml:space="preserve">หลอด 25 g.</x:t>
        </x:is>
      </x:c>
      <x:c r="F829" t="inlineStr">
        <x:is>
          <x:t xml:space="preserve">Carboxymethyl Cellulose Polymer+Propylene Glycol+Water</x:t>
        </x:is>
      </x:c>
      <x:c r="G829" t="inlineStr">
        <x:is>
          <x:t xml:space="preserve">BDS001099</x:t>
        </x:is>
      </x:c>
      <x:c r="H829" t="inlineStr">
        <x:is>
          <x:t xml:space="preserve">Intrasite Gel (25 g.)</x:t>
        </x:is>
      </x:c>
      <x:c r="I829" t="inlineStr">
        <x:is>
          <x:t xml:space="preserve">เปิดจุกสีส้มออก ค่อยๆ บีบเจลเข้าไปในแผล ให้มีเจลหนาประมาณ 5 มิลลิเมตร </x:t>
        </x:is>
      </x:c>
      <x:c r="P829" t="inlineStr">
        <x:is>
          <x:t xml:space="preserve">Topical antibiotic / wound care / burn care</x:t>
        </x:is>
      </x:c>
    </x:row>
    <x:row r="830">
      <x:c r="A830">
        <x:v>828</x:v>
      </x:c>
      <x:c r="B830" t="inlineStr">
        <x:is>
          <x:t xml:space="preserve">ยาเหน็บแก้ปวด, ลดไข้</x:t>
        </x:is>
      </x:c>
      <x:c r="C830">
        <x:v>3753</x:v>
      </x:c>
      <x:c r="D830" t="inlineStr">
        <x:is>
          <x:t xml:space="preserve">Poro Suppository</x:t>
        </x:is>
      </x:c>
      <x:c r="E830" t="inlineStr">
        <x:is>
          <x:t xml:space="preserve">กล่อง 5 แท่ง</x:t>
        </x:is>
      </x:c>
      <x:c r="F830" t="inlineStr">
        <x:is>
          <x:t xml:space="preserve">Paracetamol 125 mg.</x:t>
        </x:is>
      </x:c>
      <x:c r="G830" t="inlineStr">
        <x:is>
          <x:t xml:space="preserve">BDS003753</x:t>
        </x:is>
      </x:c>
      <x:c r="H830" t="inlineStr">
        <x:is>
          <x:t xml:space="preserve">Poro Suppository (5 sticks)</x:t>
        </x:is>
      </x:c>
      <x:c r="I830" t="inlineStr">
        <x:is>
          <x:t xml:space="preserve">เหน็บยาเข้าทางทวารหนัก 1-2 แท่ง ทุก 4 ชั่วโมง</x:t>
        </x:is>
      </x:c>
    </x:row>
    <x:row r="831">
      <x:c r="A831">
        <x:v>829</x:v>
      </x:c>
      <x:c r="B831" t="inlineStr">
        <x:is>
          <x:t xml:space="preserve">ยาทาแผลไฟไหม้, น้ำร้อนลวก</x:t>
        </x:is>
      </x:c>
      <x:c r="C831">
        <x:v>1007</x:v>
      </x:c>
      <x:c r="D831" t="inlineStr">
        <x:is>
          <x:t xml:space="preserve">Aloe Gel</x:t>
        </x:is>
      </x:c>
      <x:c r="E831" t="inlineStr">
        <x:is>
          <x:t xml:space="preserve">หลอด 30 g.</x:t>
        </x:is>
      </x:c>
      <x:c r="F831" t="inlineStr">
        <x:is>
          <x:t xml:space="preserve">วุ้นจากว่านหางจระเข้ 87.399 %</x:t>
        </x:is>
      </x:c>
      <x:c r="G831" t="inlineStr">
        <x:is>
          <x:t xml:space="preserve">BDS001007</x:t>
        </x:is>
      </x:c>
      <x:c r="H831" t="inlineStr">
        <x:is>
          <x:t xml:space="preserve">Aloe Gel (30 g.)</x:t>
        </x:is>
      </x:c>
      <x:c r="I831" t="inlineStr">
        <x:is>
          <x:t xml:space="preserve">ทาเจลบริเวณที่มีอาการ วันละ 2-3 ครั้ง</x:t>
        </x:is>
      </x:c>
      <x:c r="P831" t="inlineStr">
        <x:is>
          <x:t xml:space="preserve">Topical antibiotic / wound care / burn care</x:t>
        </x:is>
      </x:c>
    </x:row>
    <x:row r="832">
      <x:c r="A832">
        <x:v>830</x:v>
      </x:c>
      <x:c r="B832" t="inlineStr">
        <x:is>
          <x:t xml:space="preserve">ยาทาแผลไฟไหม้, น้ำร้อนลวก</x:t>
        </x:is>
      </x:c>
      <x:c r="C832">
        <x:v>2801</x:v>
      </x:c>
      <x:c r="D832" t="inlineStr">
        <x:is>
          <x:t xml:space="preserve">Mebo</x:t>
        </x:is>
      </x:c>
      <x:c r="E832" t="inlineStr">
        <x:is>
          <x:t xml:space="preserve">หลอด 10 g.</x:t>
        </x:is>
      </x:c>
      <x:c r="F832" t="inlineStr">
        <x:is>
          <x:t xml:space="preserve">Beta-sitosterol 0.25%</x:t>
        </x:is>
      </x:c>
      <x:c r="G832" t="inlineStr">
        <x:is>
          <x:t xml:space="preserve">BDS002801</x:t>
        </x:is>
      </x:c>
      <x:c r="H832" t="inlineStr">
        <x:is>
          <x:t xml:space="preserve">Mebo (10 g.)</x:t>
        </x:is>
      </x:c>
      <x:c r="I832" t="inlineStr">
        <x:is>
          <x:t xml:space="preserve">ทาบริเวณที่มีอาการ วันละ 2-3 ครั้ง</x:t>
        </x:is>
      </x:c>
      <x:c r="P832" t="inlineStr">
        <x:is>
          <x:t xml:space="preserve">Topical antibiotic / wound care / burn care</x:t>
        </x:is>
      </x:c>
    </x:row>
    <x:row r="833">
      <x:c r="A833">
        <x:v>831</x:v>
      </x:c>
      <x:c r="B833" t="inlineStr">
        <x:is>
          <x:t xml:space="preserve">เจลและครีมรักษาเส้นเลือดขอด</x:t>
        </x:is>
      </x:c>
      <x:c r="C833">
        <x:v>2121</x:v>
      </x:c>
      <x:c r="D833" t="inlineStr">
        <x:is>
          <x:t xml:space="preserve">Hirudoid Cream เล็ก</x:t>
        </x:is>
      </x:c>
      <x:c r="E833" t="inlineStr">
        <x:is>
          <x:t xml:space="preserve">หลอด 10 g.</x:t>
        </x:is>
      </x:c>
      <x:c r="F833" t="inlineStr">
        <x:is>
          <x:t xml:space="preserve">Mucopolysaccharide polysulphate 0.3 g./100 g.</x:t>
        </x:is>
      </x:c>
      <x:c r="G833" t="inlineStr">
        <x:is>
          <x:t xml:space="preserve">BDS002121</x:t>
        </x:is>
      </x:c>
      <x:c r="H833" t="inlineStr">
        <x:is>
          <x:t xml:space="preserve">Hirudoid Cream เล็ก (10 g.)</x:t>
        </x:is>
      </x:c>
      <x:c r="I833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4">
      <x:c r="A834">
        <x:v>832</x:v>
      </x:c>
      <x:c r="B834" t="inlineStr">
        <x:is>
          <x:t xml:space="preserve">เจลและครีมรักษาเส้นเลือดขอด</x:t>
        </x:is>
      </x:c>
      <x:c r="C834">
        <x:v>2110</x:v>
      </x:c>
      <x:c r="D834" t="inlineStr">
        <x:is>
          <x:t xml:space="preserve">Hirudoid Cream ใหญ่</x:t>
        </x:is>
      </x:c>
      <x:c r="E834" t="inlineStr">
        <x:is>
          <x:t xml:space="preserve">หลอด 40 g.</x:t>
        </x:is>
      </x:c>
      <x:c r="F834" t="inlineStr">
        <x:is>
          <x:t xml:space="preserve">Mucopolysaccharide polysulphate 0.3 g./100 g.</x:t>
        </x:is>
      </x:c>
      <x:c r="G834" t="inlineStr">
        <x:is>
          <x:t xml:space="preserve">BDS002110</x:t>
        </x:is>
      </x:c>
      <x:c r="H834" t="inlineStr">
        <x:is>
          <x:t xml:space="preserve">Hirudoid Cream ใหญ่ (40 g.)</x:t>
        </x:is>
      </x:c>
      <x:c r="I834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5">
      <x:c r="A835">
        <x:v>833</x:v>
      </x:c>
      <x:c r="B835" t="inlineStr">
        <x:is>
          <x:t xml:space="preserve">เจลและครีมรักษาเส้นเลือดขอด</x:t>
        </x:is>
      </x:c>
      <x:c r="C835">
        <x:v>2130</x:v>
      </x:c>
      <x:c r="D835" t="inlineStr">
        <x:is>
          <x:t xml:space="preserve">Hirudoid Forte Cream เล็ก</x:t>
        </x:is>
      </x:c>
      <x:c r="E835" t="inlineStr">
        <x:is>
          <x:t xml:space="preserve">หลอด 10 g.</x:t>
        </x:is>
      </x:c>
      <x:c r="F835" t="inlineStr">
        <x:is>
          <x:t xml:space="preserve">Mucopolysaccharide polysulphate 0.445 g./100 g.</x:t>
        </x:is>
      </x:c>
      <x:c r="G835" t="inlineStr">
        <x:is>
          <x:t xml:space="preserve">BDS002130</x:t>
        </x:is>
      </x:c>
      <x:c r="H835" t="inlineStr">
        <x:is>
          <x:t xml:space="preserve">Hirudoid Forte Cream เล็ก (10 g.)</x:t>
        </x:is>
      </x:c>
      <x:c r="I835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6">
      <x:c r="A836">
        <x:v>834</x:v>
      </x:c>
      <x:c r="B836" t="inlineStr">
        <x:is>
          <x:t xml:space="preserve">เจลและครีมรักษาเส้นเลือดขอด</x:t>
        </x:is>
      </x:c>
      <x:c r="C836">
        <x:v>2113</x:v>
      </x:c>
      <x:c r="D836" t="inlineStr">
        <x:is>
          <x:t xml:space="preserve">Hirudoid Forte Cream ใหญ่</x:t>
        </x:is>
      </x:c>
      <x:c r="E836" t="inlineStr">
        <x:is>
          <x:t xml:space="preserve">หลอด 40 g.</x:t>
        </x:is>
      </x:c>
      <x:c r="F836" t="inlineStr">
        <x:is>
          <x:t xml:space="preserve">Mucopolysaccharide polysulphate 0.445 g./100 g.</x:t>
        </x:is>
      </x:c>
      <x:c r="G836" t="inlineStr">
        <x:is>
          <x:t xml:space="preserve">BDS002113</x:t>
        </x:is>
      </x:c>
      <x:c r="H836" t="inlineStr">
        <x:is>
          <x:t xml:space="preserve">Hirudoid Forte Cream ใหญ่ (40 g.)</x:t>
        </x:is>
      </x:c>
      <x:c r="I836" t="inlineStr">
        <x:is>
          <x:t xml:space="preserve">ใช้ยายาวประมาณ 3-5 cm. ทาบริเวณที่เป็นหรือถูนวดเบาๆ วันละ 1-2 ครั้ง </x:t>
        </x:is>
      </x:c>
    </x:row>
    <x:row r="837">
      <x:c r="A837">
        <x:v>835</x:v>
      </x:c>
      <x:c r="B837" t="inlineStr">
        <x:is>
          <x:t xml:space="preserve">ยาป้ายตา (D)</x:t>
        </x:is>
      </x:c>
      <x:c r="C837">
        <x:v>2649</x:v>
      </x:c>
      <x:c r="D837" t="inlineStr">
        <x:is>
          <x:t xml:space="preserve">Maxitrol Ophthalmic Ointment</x:t>
        </x:is>
      </x:c>
      <x:c r="E837" t="inlineStr">
        <x:is>
          <x:t xml:space="preserve">หลอด 3.5 g.</x:t>
        </x:is>
      </x:c>
      <x:c r="F837" t="inlineStr">
        <x:is>
          <x:t xml:space="preserve">Dexamethasone 0.1%+Neomycin Sulfate 3,500 I.U./g.+Polymyxin B Sulfate 6,000 I.U./g.+Preservative (Methylparaben 0.05%+Propylparaben 0.01%)/1 g.</x:t>
        </x:is>
      </x:c>
      <x:c r="G837" t="inlineStr">
        <x:is>
          <x:t xml:space="preserve">BDS002649</x:t>
        </x:is>
      </x:c>
      <x:c r="H837" t="inlineStr">
        <x:is>
          <x:t xml:space="preserve">Maxitrol Ophthalmic Ointment (3.5 g.)</x:t>
        </x:is>
      </x:c>
      <x:c r="I837" t="inlineStr">
        <x:is>
          <x:t xml:space="preserve">ป้ายตาข้างที่มีอาการครั้งละประมาณ 1.5 cm. วันละ 3-4 ครั้ง หรือตามแพทย์สั่ง </x:t>
        </x:is>
      </x:c>
    </x:row>
    <x:row r="838">
      <x:c r="A838">
        <x:v>836</x:v>
      </x:c>
      <x:c r="B838" t="inlineStr">
        <x:is>
          <x:t xml:space="preserve">ยาป้ายตา (D)</x:t>
        </x:is>
      </x:c>
      <x:c r="C838">
        <x:v>3637</x:v>
      </x:c>
      <x:c r="D838" t="inlineStr">
        <x:is>
          <x:t xml:space="preserve">Tobradex Ophthalmic Ointment</x:t>
        </x:is>
      </x:c>
      <x:c r="E838" t="inlineStr">
        <x:is>
          <x:t xml:space="preserve">หลอด 3.5 g.</x:t>
        </x:is>
      </x:c>
      <x:c r="F838" t="inlineStr">
        <x:is>
          <x:t xml:space="preserve">Tobramycin 0.3%+Dexamethasone 0.1%+Preservative (Chlorobutanol 0.5%)/1 g</x:t>
        </x:is>
      </x:c>
      <x:c r="G838" t="inlineStr">
        <x:is>
          <x:t xml:space="preserve">BDS003637</x:t>
        </x:is>
      </x:c>
      <x:c r="H838" t="inlineStr">
        <x:is>
          <x:t xml:space="preserve">Tobradex Ophthalmic Ointment (3.5 g.)</x:t>
        </x:is>
      </x:c>
      <x:c r="I838" t="inlineStr">
        <x:is>
          <x:t xml:space="preserve">ป้ายตาข้างที่มีอาการครั้งละประมาณ 1.5 cm. วันละ 3-4 ครั้ง หรือตามแพทย์สั่ง </x:t>
        </x:is>
      </x:c>
    </x:row>
    <x:row r="839">
      <x:c r="A839">
        <x:v>837</x:v>
      </x:c>
      <x:c r="B839" t="inlineStr">
        <x:is>
          <x:t xml:space="preserve">ยาทาและยาเหน็บริดสีดวงทวาร (D)</x:t>
        </x:is>
      </x:c>
      <x:c r="C839">
        <x:v>1685</x:v>
      </x:c>
      <x:c r="D839" t="inlineStr">
        <x:is>
          <x:t xml:space="preserve">Doproct Ointment</x:t>
        </x:is>
      </x:c>
      <x:c r="E839" t="inlineStr">
        <x:is>
          <x:t xml:space="preserve">หลอด 10 g.</x:t>
        </x:is>
      </x:c>
      <x:c r="F839" t="inlineStr">
        <x:is>
          <x:t xml:space="preserve">Hydrocortisone Acetate 5 mg+Zinc Oxide 200 mg+Benzocaine 10 mg/1 g</x:t>
        </x:is>
      </x:c>
      <x:c r="G839" t="inlineStr">
        <x:is>
          <x:t xml:space="preserve">BDS001685</x:t>
        </x:is>
      </x:c>
      <x:c r="H839" t="inlineStr">
        <x:is>
          <x:t xml:space="preserve">Doproct Ointment (10 g.)</x:t>
        </x:is>
      </x:c>
      <x:c r="I839" t="inlineStr">
        <x:is>
          <x:t xml:space="preserve">ทาบริเวณทวารหนัก วันละ 2 ครั้ง เช้าและเย็น</x:t>
        </x:is>
      </x:c>
    </x:row>
    <x:row r="840">
      <x:c r="A840">
        <x:v>838</x:v>
      </x:c>
      <x:c r="B840" t="inlineStr">
        <x:is>
          <x:t xml:space="preserve">ยาทาและยาเหน็บริดสีดวงทวาร (D)</x:t>
        </x:is>
      </x:c>
      <x:c r="C840">
        <x:v>1605</x:v>
      </x:c>
      <x:c r="D840" t="inlineStr">
        <x:is>
          <x:t xml:space="preserve">Doproct Suppository</x:t>
        </x:is>
      </x:c>
      <x:c r="E840" t="inlineStr">
        <x:is>
          <x:t xml:space="preserve">กล่อง 10 แท่ง</x:t>
        </x:is>
      </x:c>
      <x:c r="F840" t="inlineStr">
        <x:is>
          <x:t xml:space="preserve">Hydrocortisone Acetate 7.5 mg+Zinc Oxide 250 mg+Benzocaine 40 mg/1 Suppository</x:t>
        </x:is>
      </x:c>
      <x:c r="G840" t="inlineStr">
        <x:is>
          <x:t xml:space="preserve">BDS001605</x:t>
        </x:is>
      </x:c>
      <x:c r="H840" t="inlineStr">
        <x:is>
          <x:t xml:space="preserve">Doproct Suppository (10 sticks)</x:t>
        </x:is>
      </x:c>
      <x:c r="I840" t="inlineStr">
        <x:is>
          <x:t xml:space="preserve">เหน็บยาเข้าทางทวารหนัก 1 แท่ง วันละ 2 ครั้ง เช้า-เย็น</x:t>
        </x:is>
      </x:c>
    </x:row>
    <x:row r="841">
      <x:c r="A841">
        <x:v>839</x:v>
      </x:c>
      <x:c r="B841" t="inlineStr">
        <x:is>
          <x:t xml:space="preserve">ยาทาและยาเหน็บริดสีดวงทวาร (D)</x:t>
        </x:is>
      </x:c>
      <x:c r="C841">
        <x:v>3167</x:v>
      </x:c>
      <x:c r="D841" t="inlineStr">
        <x:is>
          <x:t xml:space="preserve">Proctosedyl Ointment</x:t>
        </x:is>
      </x:c>
      <x:c r="E841" t="inlineStr">
        <x:is>
          <x:t xml:space="preserve">หลอด 15 g.</x:t>
        </x:is>
      </x:c>
      <x:c r="F841" t="inlineStr">
        <x:is>
          <x:t xml:space="preserve">Hydrocortisone BP 5 mg+Cinchocaine HCl BP 5 mg+Aesculin 10 mg/1 g</x:t>
        </x:is>
      </x:c>
      <x:c r="G841" t="inlineStr">
        <x:is>
          <x:t xml:space="preserve">BDS003167</x:t>
        </x:is>
      </x:c>
      <x:c r="H841" t="inlineStr">
        <x:is>
          <x:t xml:space="preserve">Proctosedyl Ointment (15 g.)</x:t>
        </x:is>
      </x:c>
      <x:c r="I841" t="inlineStr">
        <x:is>
          <x:t xml:space="preserve">ทาขี้ผึ้งเล็กน้อยในบริเวณที่เจ็บหรือคัน วันละ 2 ครั้ง เช้า-เย็น และหลังจากการถ่ายอุจจาระ</x:t>
        </x:is>
      </x:c>
    </x:row>
    <x:row r="842">
      <x:c r="A842">
        <x:v>840</x:v>
      </x:c>
      <x:c r="B842" t="inlineStr">
        <x:is>
          <x:t xml:space="preserve">ยาทาและยาเหน็บริดสีดวงทวาร (D)</x:t>
        </x:is>
      </x:c>
      <x:c r="C842">
        <x:v>3162</x:v>
      </x:c>
      <x:c r="D842" t="inlineStr">
        <x:is>
          <x:t xml:space="preserve">Proctosedyl Suppositories</x:t>
        </x:is>
      </x:c>
      <x:c r="E842" t="inlineStr">
        <x:is>
          <x:t xml:space="preserve">กล่อง 12 แท่ง</x:t>
        </x:is>
      </x:c>
      <x:c r="F842" t="inlineStr">
        <x:is>
          <x:t xml:space="preserve">Hydrocortisone Micronized 5 mg+Cinchocaine HCl 5 mg/1 Suppository</x:t>
        </x:is>
      </x:c>
      <x:c r="G842" t="inlineStr">
        <x:is>
          <x:t xml:space="preserve">BDS003162</x:t>
        </x:is>
      </x:c>
      <x:c r="H842" t="inlineStr">
        <x:is>
          <x:t xml:space="preserve">Proctosedyl Suppositories (12 sticks)</x:t>
        </x:is>
      </x:c>
      <x:c r="I842" t="inlineStr">
        <x:is>
          <x:t xml:space="preserve">เหน็บยาเข้าทางทวารหนัก 1 แท่ง วันละ 2 ครั้ง เช้า-เย็น</x:t>
        </x:is>
      </x:c>
    </x:row>
    <x:row r="843">
      <x:c r="A843">
        <x:v>841</x:v>
      </x:c>
      <x:c r="B843" t="inlineStr">
        <x:is>
          <x:t xml:space="preserve">ยาหยอดหู</x:t>
        </x:is>
      </x:c>
      <x:c r="C843">
        <x:v>1712</x:v>
      </x:c>
      <x:c r="D843" t="inlineStr">
        <x:is>
          <x:t xml:space="preserve">Dewax Ear Drops</x:t>
        </x:is>
      </x:c>
      <x:c r="E843" t="inlineStr">
        <x:is>
          <x:t xml:space="preserve">ขวด 15 ml.</x:t>
        </x:is>
      </x:c>
      <x:c r="F843" t="inlineStr">
        <x:is>
          <x:t xml:space="preserve">Docusate Sodium 0.5% w/v (5 mg./1 ml.)</x:t>
        </x:is>
      </x:c>
      <x:c r="G843" t="inlineStr">
        <x:is>
          <x:t xml:space="preserve">BDS001712</x:t>
        </x:is>
      </x:c>
      <x:c r="H843" t="inlineStr">
        <x:is>
          <x:t xml:space="preserve">Dewax Ear Drops (15 ml.)</x:t>
        </x:is>
      </x:c>
      <x:c r="I843" t="inlineStr">
        <x:is>
          <x:t xml:space="preserve">หยอดยาลงในหู 5-10 หยด ทิ้งไว้ 15 นาที วันละ 2 ครั้ง หรือตามแพทย์สั่ง  </x:t>
        </x:is>
      </x:c>
    </x:row>
    <x:row r="844">
      <x:c r="A844">
        <x:v>842</x:v>
      </x:c>
      <x:c r="B844" t="inlineStr">
        <x:is>
          <x:t xml:space="preserve">ยาทารักษาหูด</x:t>
        </x:is>
      </x:c>
      <x:c r="C844">
        <x:v>1468</x:v>
      </x:c>
      <x:c r="D844" t="inlineStr">
        <x:is>
          <x:t xml:space="preserve">Con Con</x:t>
        </x:is>
      </x:c>
      <x:c r="E844" t="inlineStr">
        <x:is>
          <x:t xml:space="preserve">ขวด 15 ml.</x:t>
        </x:is>
      </x:c>
      <x:c r="F844" t="inlineStr">
        <x:is>
          <x:t xml:space="preserve">Salicylic Acid 25 g.+Liquified Phenol 1.5 ml./100 ml.</x:t>
        </x:is>
      </x:c>
      <x:c r="G844" t="inlineStr">
        <x:is>
          <x:t xml:space="preserve">BDS001468</x:t>
        </x:is>
      </x:c>
      <x:c r="H844" t="inlineStr">
        <x:is>
          <x:t xml:space="preserve">Con Con (15 ml.)</x:t>
        </x:is>
      </x:c>
      <x:c r="I844" t="inlineStr">
        <x:is>
          <x:t xml:space="preserve">ทายาบนตาปลาหรือหูด  วันละ  2-3 ครั้ง</x:t>
        </x:is>
      </x:c>
      <x:c r="P844" t="inlineStr">
        <x:is>
          <x:t xml:space="preserve">Wart treatment</x:t>
        </x:is>
      </x:c>
    </x:row>
    <x:row r="845">
      <x:c r="A845">
        <x:v>843</x:v>
      </x:c>
      <x:c r="B845" t="inlineStr">
        <x:is>
          <x:t xml:space="preserve">ยาทารักษาหูด</x:t>
        </x:is>
      </x:c>
      <x:c r="C845">
        <x:v>47738</x:v>
      </x:c>
      <x:c r="D845" t="inlineStr">
        <x:is>
          <x:t xml:space="preserve">SOS Plus Corn Plaster Removal</x:t>
        </x:is>
      </x:c>
      <x:c r="E845" t="inlineStr">
        <x:is>
          <x:t xml:space="preserve">กล่อง 4 ชิ้น </x:t>
        </x:is>
      </x:c>
      <x:c r="F845" t="inlineStr">
        <x:is>
          <x:t xml:space="preserve">Salicylic acid 40 g (40%w/w)+Titanium dioxide+Liquid paraffin+Polyvinyl alkyl ethers+อื่นๆ</x:t>
        </x:is>
      </x:c>
      <x:c r="G845" t="inlineStr">
        <x:is>
          <x:t xml:space="preserve">BDS047738</x:t>
        </x:is>
      </x:c>
      <x:c r="H845" t="inlineStr">
        <x:is>
          <x:t xml:space="preserve">SOS Plus Corn Plaster Removal (4 pieces)</x:t>
        </x:is>
      </x:c>
      <x:c r="I845" t="inlineStr">
        <x:is>
          <x:t xml:space="preserve">ดึงแถบพลาสติกออก แล้วปิดพลาสเตอร์โดยให้ผ้าก๊อซอยู่กึ่งกลางของแผล//เปลี่ยนแผ่นยาและพลาสเตอร์ทุกวันจนกว่าจะหาย</x:t>
        </x:is>
      </x:c>
      <x:c r="P845" t="inlineStr">
        <x:is>
          <x:t xml:space="preserve">Wart treatment</x:t>
        </x:is>
      </x:c>
    </x:row>
    <x:row r="846">
      <x:c r="A846">
        <x:v>844</x:v>
      </x:c>
      <x:c r="B846" t="inlineStr">
        <x:is>
          <x:t xml:space="preserve">ยาล้างแผล</x:t>
        </x:is>
      </x:c>
      <x:c r="C846">
        <x:v>1023</x:v>
      </x:c>
      <x:c r="D846" t="inlineStr">
        <x:is>
          <x:t xml:space="preserve">Alcohol Alsoff กลาง</x:t>
        </x:is>
      </x:c>
      <x:c r="E846" t="inlineStr">
        <x:is>
          <x:t xml:space="preserve">ขวด 180 ml.</x:t>
        </x:is>
      </x:c>
      <x:c r="F846" t="inlineStr">
        <x:is>
          <x:t xml:space="preserve">Ethyl Alcohol Solution 70% v/v</x:t>
        </x:is>
      </x:c>
      <x:c r="G846" t="inlineStr">
        <x:is>
          <x:t xml:space="preserve">BDS001023</x:t>
        </x:is>
      </x:c>
      <x:c r="H846" t="inlineStr">
        <x:is>
          <x:t xml:space="preserve">Alcohol Alsoff กลาง (180 ml.)</x:t>
        </x:is>
      </x:c>
      <x:c r="I846" t="inlineStr">
        <x:is>
          <x:t xml:space="preserve">ใช้สำลีชุบยา แล้วเช็ดบริเวณรอบบาดแผล หรือบริเวณที่ต้องการฆ่าเชื้อโรค</x:t>
        </x:is>
      </x:c>
    </x:row>
    <x:row r="847">
      <x:c r="A847">
        <x:v>845</x:v>
      </x:c>
      <x:c r="B847" t="inlineStr">
        <x:is>
          <x:t xml:space="preserve">ยาล้างแผล</x:t>
        </x:is>
      </x:c>
      <x:c r="C847">
        <x:v>1018</x:v>
      </x:c>
      <x:c r="D847" t="inlineStr">
        <x:is>
          <x:t xml:space="preserve">Alcohol Alsoff ใหญ่</x:t>
        </x:is>
      </x:c>
      <x:c r="E847" t="inlineStr">
        <x:is>
          <x:t xml:space="preserve">ขวด 450 ml.</x:t>
        </x:is>
      </x:c>
      <x:c r="F847" t="inlineStr">
        <x:is>
          <x:t xml:space="preserve">Ethyl Alcohol Solution 70% v/v</x:t>
        </x:is>
      </x:c>
      <x:c r="G847" t="inlineStr">
        <x:is>
          <x:t xml:space="preserve">BDS001018</x:t>
        </x:is>
      </x:c>
      <x:c r="H847" t="inlineStr">
        <x:is>
          <x:t xml:space="preserve">Alcohol Alsoff ใหญ่ (450 ml.)</x:t>
        </x:is>
      </x:c>
      <x:c r="I847" t="inlineStr">
        <x:is>
          <x:t xml:space="preserve">ใช้สำลีชุบยา แล้วเช็ดบริเวณรอบบาดแผล หรือบริเวณที่ต้องการฆ่าเชื้อโรค</x:t>
        </x:is>
      </x:c>
    </x:row>
    <x:row r="848">
      <x:c r="A848">
        <x:v>846</x:v>
      </x:c>
      <x:c r="B848" t="inlineStr">
        <x:is>
          <x:t xml:space="preserve">ครีมรักษาผิวแห้ง</x:t>
        </x:is>
      </x:c>
      <x:c r="C848">
        <x:v>1682</x:v>
      </x:c>
      <x:c r="D848" t="inlineStr">
        <x:is>
          <x:t xml:space="preserve">Diabederm Urea Cream 10%</x:t>
        </x:is>
      </x:c>
      <x:c r="E848" t="inlineStr">
        <x:is>
          <x:t xml:space="preserve">หลอด 35 g.</x:t>
        </x:is>
      </x:c>
      <x:c r="F848" t="inlineStr">
        <x:is>
          <x:t xml:space="preserve">10% Urea</x:t>
        </x:is>
      </x:c>
      <x:c r="G848" t="inlineStr">
        <x:is>
          <x:t xml:space="preserve">BDS001682</x:t>
        </x:is>
      </x:c>
      <x:c r="H848" t="inlineStr">
        <x:is>
          <x:t xml:space="preserve">Diabederm Urea Cream 10% (35 g.)</x:t>
        </x:is>
      </x:c>
      <x:c r="I848" t="inlineStr">
        <x:is>
          <x:t xml:space="preserve">ทาบริเวณที่เป็น วันละ 1-3 ครั้ง</x:t>
        </x:is>
      </x:c>
      <x:c r="P848" t="inlineStr">
        <x:is>
          <x:t xml:space="preserve">Dry skin creams</x:t>
        </x:is>
      </x:c>
    </x:row>
    <x:row r="849">
      <x:c r="A849">
        <x:v>847</x:v>
      </x:c>
      <x:c r="B849" t="inlineStr">
        <x:is>
          <x:t xml:space="preserve">ครีมรักษาผิวแห้ง</x:t>
        </x:is>
      </x:c>
      <x:c r="C849">
        <x:v>1683</x:v>
      </x:c>
      <x:c r="D849" t="inlineStr">
        <x:is>
          <x:t xml:space="preserve">Diabederm Urea Cream 20%</x:t>
        </x:is>
      </x:c>
      <x:c r="E849" t="inlineStr">
        <x:is>
          <x:t xml:space="preserve">หลอด 35 g.</x:t>
        </x:is>
      </x:c>
      <x:c r="F849" t="inlineStr">
        <x:is>
          <x:t xml:space="preserve">20% Urea</x:t>
        </x:is>
      </x:c>
      <x:c r="G849" t="inlineStr">
        <x:is>
          <x:t xml:space="preserve">BDS001683</x:t>
        </x:is>
      </x:c>
      <x:c r="H849" t="inlineStr">
        <x:is>
          <x:t xml:space="preserve">Diabederm Urea Cream 20% (35 g.)</x:t>
        </x:is>
      </x:c>
      <x:c r="I849" t="inlineStr">
        <x:is>
          <x:t xml:space="preserve">ทาบริเวณที่เป็น วันละ 1-3 ครั้ง</x:t>
        </x:is>
      </x:c>
      <x:c r="P849" t="inlineStr">
        <x:is>
          <x:t xml:space="preserve">Dry skin creams</x:t>
        </x:is>
      </x:c>
    </x:row>
    <x:row r="850">
      <x:c r="A850">
        <x:v>848</x:v>
      </x:c>
      <x:c r="B850" t="inlineStr">
        <x:is>
          <x:t xml:space="preserve">น้ำยาบ้วนปาก</x:t>
        </x:is>
      </x:c>
      <x:c r="C850">
        <x:v>40609</x:v>
      </x:c>
      <x:c r="D850" t="inlineStr">
        <x:is>
          <x:t xml:space="preserve">Betadine Gargle</x:t>
        </x:is>
      </x:c>
      <x:c r="E850" t="inlineStr">
        <x:is>
          <x:t xml:space="preserve">ขวด 30 ml.</x:t>
        </x:is>
      </x:c>
      <x:c r="F850" t="inlineStr">
        <x:is>
          <x:t xml:space="preserve">Povidone-Iodine 70 mg./1 ml.</x:t>
        </x:is>
      </x:c>
      <x:c r="G850" t="inlineStr">
        <x:is>
          <x:t xml:space="preserve">BDS040609</x:t>
        </x:is>
      </x:c>
      <x:c r="H850" t="inlineStr">
        <x:is>
          <x:t xml:space="preserve">Betadine Gargle (30 ml.)</x:t>
        </x:is>
      </x:c>
      <x:c r="I850" t="inlineStr">
        <x:is>
          <x:t xml:space="preserve">หยดน้ำยา 1-2 ml. ในถ้วยผสม เติมน้ำสะอาดจบครบ 30 ml. ใช้อมกลั้วคอ 30 วินาทีแล้วบ้วนทิ้ง  วันละ 2-3 ครั้ง</x:t>
        </x:is>
      </x:c>
      <x:c r="P850" t="inlineStr">
        <x:is>
          <x:t xml:space="preserve">Mouthwash / throat/oral care</x:t>
        </x:is>
      </x:c>
    </x:row>
    <x:row r="851">
      <x:c r="A851">
        <x:v>849</x:v>
      </x:c>
      <x:c r="B851" t="inlineStr">
        <x:is>
          <x:t xml:space="preserve">น้ำยาบ้วนปาก</x:t>
        </x:is>
      </x:c>
      <x:c r="C851">
        <x:v>1407</x:v>
      </x:c>
      <x:c r="D851" t="inlineStr">
        <x:is>
          <x:t xml:space="preserve">C-20 Blue Sally</x:t>
        </x:is>
      </x:c>
      <x:c r="E851" t="inlineStr">
        <x:is>
          <x:t xml:space="preserve">ขวด 180 ml.</x:t>
        </x:is>
      </x:c>
      <x:c r="F851" t="inlineStr">
        <x:is>
          <x:t xml:space="preserve">Chlorhexidine Gluconate 0.12 g./100 ml.</x:t>
        </x:is>
      </x:c>
      <x:c r="G851" t="inlineStr">
        <x:is>
          <x:t xml:space="preserve">BDS001407</x:t>
        </x:is>
      </x:c>
      <x:c r="H851" t="inlineStr">
        <x:is>
          <x:t xml:space="preserve">C-20 Blue Sally (180 ml.)</x:t>
        </x:is>
      </x:c>
      <x:c r="I851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</x:t>
        </x:is>
      </x:c>
      <x:c r="P851" t="inlineStr">
        <x:is>
          <x:t xml:space="preserve">Mouthwash / throat/oral care</x:t>
        </x:is>
      </x:c>
    </x:row>
    <x:row r="852">
      <x:c r="A852">
        <x:v>850</x:v>
      </x:c>
      <x:c r="B852" t="inlineStr">
        <x:is>
          <x:t xml:space="preserve">น้ำยาบ้วนปาก</x:t>
        </x:is>
      </x:c>
      <x:c r="C852">
        <x:v>1406</x:v>
      </x:c>
      <x:c r="D852" t="inlineStr">
        <x:is>
          <x:t xml:space="preserve">C-20 Original เล็ก</x:t>
        </x:is>
      </x:c>
      <x:c r="E852" t="inlineStr">
        <x:is>
          <x:t xml:space="preserve">ขวด 180 ml.</x:t>
        </x:is>
      </x:c>
      <x:c r="F852" t="inlineStr">
        <x:is>
          <x:t xml:space="preserve">Chlorhexidine Gluconate 0.12 g./100 ml.</x:t>
        </x:is>
      </x:c>
      <x:c r="G852" t="inlineStr">
        <x:is>
          <x:t xml:space="preserve">BDS001406</x:t>
        </x:is>
      </x:c>
      <x:c r="H852" t="inlineStr">
        <x:is>
          <x:t xml:space="preserve">C-20 Original เล็ก (180 ml.)</x:t>
        </x:is>
      </x:c>
      <x:c r="I852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852" t="inlineStr">
        <x:is>
          <x:t xml:space="preserve">Mouthwash / throat/oral care</x:t>
        </x:is>
      </x:c>
    </x:row>
    <x:row r="853">
      <x:c r="A853">
        <x:v>851</x:v>
      </x:c>
      <x:c r="B853" t="inlineStr">
        <x:is>
          <x:t xml:space="preserve">น้ำยาบ้วนปาก</x:t>
        </x:is>
      </x:c>
      <x:c r="C853">
        <x:v>1409</x:v>
      </x:c>
      <x:c r="D853" t="inlineStr">
        <x:is>
          <x:t xml:space="preserve">C-20 Original ใหญ่</x:t>
        </x:is>
      </x:c>
      <x:c r="E853" t="inlineStr">
        <x:is>
          <x:t xml:space="preserve">ขวด 360 ml.</x:t>
        </x:is>
      </x:c>
      <x:c r="F853" t="inlineStr">
        <x:is>
          <x:t xml:space="preserve">Chlorhexidine Gluconate 0.12 g./100 ml.</x:t>
        </x:is>
      </x:c>
      <x:c r="G853" t="inlineStr">
        <x:is>
          <x:t xml:space="preserve">BDS001409</x:t>
        </x:is>
      </x:c>
      <x:c r="H853" t="inlineStr">
        <x:is>
          <x:t xml:space="preserve">C-20 Original ใหญ่ (360 ml.)</x:t>
        </x:is>
      </x:c>
      <x:c r="I853" t="inlineStr">
        <x:is>
          <x: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x:t>
        </x:is>
      </x:c>
      <x:c r="P853" t="inlineStr">
        <x:is>
          <x:t xml:space="preserve">Mouthwash / throat/oral care</x:t>
        </x:is>
      </x:c>
    </x:row>
    <x:row r="854">
      <x:c r="A854">
        <x:v>852</x:v>
      </x:c>
      <x:c r="B854" t="inlineStr">
        <x:is>
          <x:t xml:space="preserve">น้ำยาบ้วนปาก</x:t>
        </x:is>
      </x:c>
      <x:c r="C854">
        <x:v>46547</x:v>
      </x:c>
      <x:c r="D854" t="inlineStr">
        <x:is>
          <x:t xml:space="preserve">Puvadon Gargle</x:t>
        </x:is>
      </x:c>
      <x:c r="E854" t="inlineStr">
        <x:is>
          <x:t xml:space="preserve">ขวด 30 ml.</x:t>
        </x:is>
      </x:c>
      <x:c r="F854" t="inlineStr">
        <x:is>
          <x:t xml:space="preserve">Povidone-Iodine 70 mg eq. to Iodine 7 mg/1 ml.</x:t>
        </x:is>
      </x:c>
      <x:c r="G854" t="inlineStr">
        <x:is>
          <x:t xml:space="preserve">BDS046547</x:t>
        </x:is>
      </x:c>
      <x:c r="H854" t="inlineStr">
        <x:is>
          <x:t xml:space="preserve">Puvadon Gargle (30 ml.)</x:t>
        </x:is>
      </x:c>
      <x:c r="I854" t="inlineStr">
        <x:is>
          <x:t xml:space="preserve">หยดน้ำยา 1 ml. ในถ้วยผสม เติมน้ำสะอาดจนครบ 30 ml. ใช้อมกลั้วคอ 30 วินาทีแล้วบ้วนทิ้ง  วันละ 3-4 ครั้ง</x:t>
        </x:is>
      </x:c>
      <x:c r="P854" t="inlineStr">
        <x:is>
          <x:t xml:space="preserve">Mouthwash / throat/oral care</x:t>
        </x:is>
      </x:c>
    </x:row>
    <x:row r="855">
      <x:c r="A855">
        <x:v>853</x:v>
      </x:c>
      <x:c r="B855" t="inlineStr">
        <x:is>
          <x:t xml:space="preserve">ยาหยอดตาฆ่าเชื้อ (D)</x:t>
        </x:is>
      </x:c>
      <x:c r="C855">
        <x:v>1462</x:v>
      </x:c>
      <x:c r="D855" t="inlineStr">
        <x:is>
          <x:t xml:space="preserve">Cravit Ophthalmic Solution</x:t>
        </x:is>
      </x:c>
      <x:c r="E855" t="inlineStr">
        <x:is>
          <x:t xml:space="preserve">ขวด 5 ml.</x:t>
        </x:is>
      </x:c>
      <x:c r="F855" t="inlineStr">
        <x:is>
          <x:t xml:space="preserve">Levofloxacin 0.5%/1 ml.</x:t>
        </x:is>
      </x:c>
      <x:c r="G855" t="inlineStr">
        <x:is>
          <x:t xml:space="preserve">BDS001462</x:t>
        </x:is>
      </x:c>
      <x:c r="H855" t="inlineStr">
        <x:is>
          <x:t xml:space="preserve">Cravit Ophthalmic Solution (5 ml.)</x:t>
        </x:is>
      </x:c>
      <x:c r="I855" t="inlineStr">
        <x:is>
          <x:t xml:space="preserve">หยอดตาครั้งละ 1 หยด วันละ 3 ครั้ง หรือตามแพทย์สั่ง </x:t>
        </x:is>
      </x:c>
    </x:row>
    <x:row r="856">
      <x:c r="A856">
        <x:v>854</x:v>
      </x:c>
      <x:c r="B856" t="inlineStr">
        <x:is>
          <x:t xml:space="preserve">ยาหยอดตาฆ่าเชื้อ (D)</x:t>
        </x:is>
      </x:c>
      <x:c r="C856">
        <x:v>1606</x:v>
      </x:c>
      <x:c r="D856" t="inlineStr">
        <x:is>
          <x:t xml:space="preserve">Grafadex</x:t>
        </x:is>
      </x:c>
      <x:c r="E856" t="inlineStr">
        <x:is>
          <x:t xml:space="preserve">ขวด 5 ml.</x:t>
        </x:is>
      </x:c>
      <x:c r="F856" t="inlineStr">
        <x:is>
          <x:t xml:space="preserve">Gentamicin 0.3 %w/v+Preservative (Benzalkonium Chloride)</x:t>
        </x:is>
      </x:c>
      <x:c r="G856" t="inlineStr">
        <x:is>
          <x:t xml:space="preserve">BDS001606</x:t>
        </x:is>
      </x:c>
      <x:c r="H856" t="inlineStr">
        <x:is>
          <x:t xml:space="preserve">Grafadex (5 ml.)</x:t>
        </x:is>
      </x:c>
      <x:c r="I856" t="inlineStr">
        <x:is>
          <x:t xml:space="preserve">หยอดตาครั้งละ 1-2 หยด ทุกๆ 4 ชั่วโมง หรือตามแพทย์สั่ง </x:t>
        </x:is>
      </x:c>
    </x:row>
    <x:row r="857">
      <x:c r="A857">
        <x:v>855</x:v>
      </x:c>
      <x:c r="B857" t="inlineStr">
        <x:is>
          <x:t xml:space="preserve">ยาหยอดตาฆ่าเชื้อ (D)</x:t>
        </x:is>
      </x:c>
      <x:c r="C857">
        <x:v>4018</x:v>
      </x:c>
      <x:c r="D857" t="inlineStr">
        <x:is>
          <x:t xml:space="preserve">Vigamox</x:t>
        </x:is>
      </x:c>
      <x:c r="E857" t="inlineStr">
        <x:is>
          <x:t xml:space="preserve">ขวด 5 ml.</x:t>
        </x:is>
      </x:c>
      <x:c r="F857" t="inlineStr">
        <x:is>
          <x:t xml:space="preserve">Moxifloxacin Hydrochloride 5.45 mg. (eq. to Moxifloxacin 5 mg.)+Boric Acid+Sodium Chloride+Hydrochloric Acid+Sodium Hydroxide/1 ml.</x:t>
        </x:is>
      </x:c>
      <x:c r="G857" t="inlineStr">
        <x:is>
          <x:t xml:space="preserve">BDS004018</x:t>
        </x:is>
      </x:c>
      <x:c r="H857" t="inlineStr">
        <x:is>
          <x:t xml:space="preserve">Vigamox (5 ml.)</x:t>
        </x:is>
      </x:c>
      <x:c r="I857" t="inlineStr">
        <x:is>
          <x:t xml:space="preserve">หยอดตาครั้งละ 1 หยด วันละ 3 ครั้ง ติดต่อกัน 4 วัน หรือตามแพทย์สั่ง </x:t>
        </x:is>
      </x:c>
    </x:row>
    <x:row r="858">
      <x:c r="A858">
        <x:v>856</x:v>
      </x:c>
      <x:c r="B858" t="inlineStr">
        <x:is>
          <x:t xml:space="preserve">ยาสอดช่องคลอด (D)</x:t>
        </x:is>
      </x:c>
      <x:c r="C858">
        <x:v>2034</x:v>
      </x:c>
      <x:c r="D858" t="inlineStr">
        <x:is>
          <x:t xml:space="preserve">Gynecon ยาสอด</x:t>
        </x:is>
      </x:c>
      <x:c r="E858" t="inlineStr">
        <x:is>
          <x:t xml:space="preserve">กล่อง 7 เม็ด</x:t>
        </x:is>
      </x:c>
      <x:c r="F858" t="inlineStr">
        <x:is>
          <x:t xml:space="preserve">Nystatin 100,000 Unit+Di-iodohydroxyquin 100 mg.+Benzalkonium Cl 7 mg.</x:t>
        </x:is>
      </x:c>
      <x:c r="G858" t="inlineStr">
        <x:is>
          <x:t xml:space="preserve">BDS002034</x:t>
        </x:is>
      </x:c>
      <x:c r="H858" t="inlineStr">
        <x:is>
          <x:t xml:space="preserve">Gynecon ยาสอด (7 tabs)</x:t>
        </x:is>
      </x:c>
      <x:c r="I858" t="inlineStr">
        <x:is>
          <x:t xml:space="preserve">สอดเข้าช่องคลอดครั้งละ 1 เม็ด วันละ 1-2 ครั้ง เช้าและก่อนนอน เป็นเวลา  6-7 วัน หรือตามแพทย์สั่ง</x:t>
        </x:is>
      </x:c>
    </x:row>
    <x:row r="859">
      <x:c r="A859">
        <x:v>857</x:v>
      </x:c>
      <x:c r="B859" t="inlineStr">
        <x:is>
          <x:t xml:space="preserve">ยาสอดช่องคลอด (D)</x:t>
        </x:is>
      </x:c>
      <x:c r="C859">
        <x:v>45605</x:v>
      </x:c>
      <x:c r="D859" t="inlineStr">
        <x:is>
          <x:t xml:space="preserve">Neo-Penotran Forte</x:t>
        </x:is>
      </x:c>
      <x:c r="E859" t="inlineStr">
        <x:is>
          <x:t xml:space="preserve">กล่อง 7 เม็ด</x:t>
        </x:is>
      </x:c>
      <x:c r="F859" t="inlineStr">
        <x:is>
          <x:t xml:space="preserve">Metronidazole 750 mg.+Miconazole Nitrate 200 mg.</x:t>
        </x:is>
      </x:c>
      <x:c r="G859" t="inlineStr">
        <x:is>
          <x:t xml:space="preserve">BDS045605</x:t>
        </x:is>
      </x:c>
      <x:c r="H859" t="inlineStr">
        <x:is>
          <x:t xml:space="preserve">Neo-Penotran Forte (7 tabs)</x:t>
        </x:is>
      </x:c>
      <x:c r="I859" t="inlineStr">
        <x:is>
          <x:t xml:space="preserve">สอดช่องคลอดครั้งละ 1 เม็ด วันละ 1 ครั้ง ก่อนนอน ติดต่อกันเป็นเวลา 7 วัน</x:t>
        </x:is>
      </x:c>
    </x:row>
    <x:row r="860">
      <x:c r="A860">
        <x:v>858</x:v>
      </x:c>
      <x:c r="B860" t="inlineStr">
        <x:is>
          <x:t xml:space="preserve">ยาสอดช่องคลอด (D)</x:t>
        </x:is>
      </x:c>
      <x:c r="C860">
        <x:v>8491</x:v>
      </x:c>
      <x:c r="D860" t="inlineStr">
        <x:is>
          <x:t xml:space="preserve">Vagicin</x:t>
        </x:is>
      </x:c>
      <x:c r="E860" t="inlineStr">
        <x:is>
          <x:t xml:space="preserve">กล่อง 1 แผง</x:t>
        </x:is>
      </x:c>
      <x:c r="F860" t="inlineStr">
        <x:is>
          <x:t xml:space="preserve">Nystatin 100,000 units.+Chloramphenicol 250 mg.+Diiodohydroxyguin 100 mg.</x:t>
        </x:is>
      </x:c>
      <x:c r="G860" t="inlineStr">
        <x:is>
          <x:t xml:space="preserve">BDS008491</x:t>
        </x:is>
      </x:c>
      <x:c r="H860" t="inlineStr">
        <x:is>
          <x:t xml:space="preserve">Vagicin (1 blister)</x:t>
        </x:is>
      </x:c>
      <x:c r="I860" t="inlineStr">
        <x:is>
          <x:t xml:space="preserve">สอดเข้าช่องคลอด ครั้งละ 1 เม็ด วันละ 1-2 ครั้ง เช้าและก่อนนอน ติดต่อกันครบ 14 วัน หรือตามแพทย์สั่ง </x:t>
        </x:is>
      </x:c>
    </x:row>
    <x:row r="861">
      <x:c r="A861">
        <x:v>859</x:v>
      </x:c>
      <x:c r="B861" t="inlineStr">
        <x:is>
          <x:t xml:space="preserve">ยาทาแก้แพ้, แก้คัน</x:t>
        </x:is>
      </x:c>
      <x:c r="C861">
        <x:v>8031</x:v>
      </x:c>
      <x:c r="D861" t="inlineStr">
        <x:is>
          <x:t xml:space="preserve">Cabana Lotion</x:t>
        </x:is>
      </x:c>
      <x:c r="E861" t="inlineStr">
        <x:is>
          <x:t xml:space="preserve">ขวด 60 ml.</x:t>
        </x:is>
      </x:c>
      <x:c r="F861" t="inlineStr">
        <x:is>
          <x:t xml:space="preserve">Diphenhydramine HCl 10 mg.+Calamine 100 mg.+Zinc Oxide 30 mg./1 ml.</x:t>
        </x:is>
      </x:c>
      <x:c r="G861" t="inlineStr">
        <x:is>
          <x:t xml:space="preserve">BDS008031</x:t>
        </x:is>
      </x:c>
      <x:c r="H861" t="inlineStr">
        <x:is>
          <x:t xml:space="preserve">Cabana Lotion (60 ml.)</x:t>
        </x:is>
      </x:c>
      <x:c r="I861" t="inlineStr">
        <x:is>
          <x:t xml:space="preserve">ทาบริเวณผิวหนังที่มีผื่นคัน หรือลมพิษ วันละ 2-3 ครั้ง หรือเมื่อมีอาการ</x:t>
        </x:is>
      </x:c>
      <x:c r="P861" t="inlineStr">
        <x:is>
          <x:t xml:space="preserve">Eczema/diaper rash / anti-itch topicals</x:t>
        </x:is>
      </x:c>
    </x:row>
    <x:row r="862">
      <x:c r="A862">
        <x:v>860</x:v>
      </x:c>
      <x:c r="B862" t="inlineStr">
        <x:is>
          <x:t xml:space="preserve">ยาทาแก้แพ้, แก้คัน</x:t>
        </x:is>
      </x:c>
      <x:c r="C862">
        <x:v>1402</x:v>
      </x:c>
      <x:c r="D862" t="inlineStr">
        <x:is>
          <x:t xml:space="preserve">Cadramine-V เล็ก</x:t>
        </x:is>
      </x:c>
      <x:c r="E862" t="inlineStr">
        <x:is>
          <x:t xml:space="preserve">ขวด 60 ml.</x:t>
        </x:is>
      </x:c>
      <x:c r="F862" t="inlineStr">
        <x:is>
          <x:t xml:space="preserve">Diphenhydramine HCl 10 mg.+Calamine 100 mg.+Zinc oxide 30 mg.+Camphor 15 mg./1 ml.</x:t>
        </x:is>
      </x:c>
      <x:c r="G862" t="inlineStr">
        <x:is>
          <x:t xml:space="preserve">BDS001402</x:t>
        </x:is>
      </x:c>
      <x:c r="H862" t="inlineStr">
        <x:is>
          <x:t xml:space="preserve">Cadramine-V เล็ก (60 ml.)</x:t>
        </x:is>
      </x:c>
      <x:c r="I862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862" t="inlineStr">
        <x:is>
          <x:t xml:space="preserve">Eczema/diaper rash / anti-itch topicals</x:t>
        </x:is>
      </x:c>
    </x:row>
    <x:row r="863">
      <x:c r="A863">
        <x:v>861</x:v>
      </x:c>
      <x:c r="B863" t="inlineStr">
        <x:is>
          <x:t xml:space="preserve">ยาทาแก้แพ้, แก้คัน</x:t>
        </x:is>
      </x:c>
      <x:c r="C863">
        <x:v>1403</x:v>
      </x:c>
      <x:c r="D863" t="inlineStr">
        <x:is>
          <x:t xml:space="preserve">Cadramine-V ใหญ่</x:t>
        </x:is>
      </x:c>
      <x:c r="E863" t="inlineStr">
        <x:is>
          <x:t xml:space="preserve">ขวด 120 ml.</x:t>
        </x:is>
      </x:c>
      <x:c r="F863" t="inlineStr">
        <x:is>
          <x:t xml:space="preserve">Diphenhydramine HCl 10 mg.+Calamine 100 mg.+Zinc oxide 30 mg.+Camphor 15 mg./1 ml.</x:t>
        </x:is>
      </x:c>
      <x:c r="G863" t="inlineStr">
        <x:is>
          <x:t xml:space="preserve">BDS001403</x:t>
        </x:is>
      </x:c>
      <x:c r="H863" t="inlineStr">
        <x:is>
          <x:t xml:space="preserve">Cadramine-V ใหญ่ (120 ml.)</x:t>
        </x:is>
      </x:c>
      <x:c r="I863" t="inlineStr">
        <x:is>
          <x:t xml:space="preserve">ทาบริเวณที่มีอาการในขนาดพอเหมาะ วันละ 2-3 ครั้ง หรือตามต้องการ</x:t>
        </x:is>
      </x:c>
      <x:c r="P863" t="inlineStr">
        <x:is>
          <x:t xml:space="preserve">Eczema/diaper rash / anti-itch topicals</x:t>
        </x:is>
      </x:c>
    </x:row>
    <x:row r="864">
      <x:c r="A864">
        <x:v>862</x:v>
      </x:c>
      <x:c r="B864" t="inlineStr">
        <x:is>
          <x:t xml:space="preserve">ยาทาแก้แพ้, แก้คัน</x:t>
        </x:is>
      </x:c>
      <x:c r="C864">
        <x:v>1846</x:v>
      </x:c>
      <x:c r="D864" t="inlineStr">
        <x:is>
          <x:t xml:space="preserve">Fenistil Gel</x:t>
        </x:is>
      </x:c>
      <x:c r="E864" t="inlineStr">
        <x:is>
          <x:t xml:space="preserve">หลอด 20 g.</x:t>
        </x:is>
      </x:c>
      <x:c r="F864" t="inlineStr">
        <x:is>
          <x:t xml:space="preserve">Dimethindene maleate 1 mg.</x:t>
        </x:is>
      </x:c>
      <x:c r="G864" t="inlineStr">
        <x:is>
          <x:t xml:space="preserve">BDS001846</x:t>
        </x:is>
      </x:c>
      <x:c r="H864" t="inlineStr">
        <x:is>
          <x:t xml:space="preserve">Fenistil Gel (20 g.)</x:t>
        </x:is>
      </x:c>
      <x:c r="I864" t="inlineStr">
        <x:is>
          <x:t xml:space="preserve">ทาบางๆ บริเวณที่มีอาการ วันละ 2-4 ครั้ง</x:t>
        </x:is>
      </x:c>
      <x:c r="P864" t="inlineStr">
        <x:is>
          <x:t xml:space="preserve">Eczema/diaper rash / anti-itch topicals</x:t>
        </x:is>
      </x:c>
    </x:row>
    <x:row r="865">
      <x:c r="A865">
        <x:v>863</x:v>
      </x:c>
      <x:c r="B865" t="inlineStr">
        <x:is>
          <x:t xml:space="preserve">ยาทาแก้แพ้, แก้คัน</x:t>
        </x:is>
      </x:c>
      <x:c r="C865">
        <x:v>3669</x:v>
      </x:c>
      <x:c r="D865" t="inlineStr">
        <x:is>
          <x:t xml:space="preserve">Systral Cream เล็ก</x:t>
        </x:is>
      </x:c>
      <x:c r="E865" t="inlineStr">
        <x:is>
          <x:t xml:space="preserve">หลอด 10 g.</x:t>
        </x:is>
      </x:c>
      <x:c r="F865" t="inlineStr">
        <x:is>
          <x:t xml:space="preserve">Chlorphenoxamine HCl 1.5 %</x:t>
        </x:is>
      </x:c>
      <x:c r="G865" t="inlineStr">
        <x:is>
          <x:t xml:space="preserve">BDS003669</x:t>
        </x:is>
      </x:c>
      <x:c r="H865" t="inlineStr">
        <x:is>
          <x:t xml:space="preserve">Systral Cream เล็ก (10 g.)</x:t>
        </x:is>
      </x:c>
      <x:c r="I865" t="inlineStr">
        <x:is>
          <x:t xml:space="preserve">ทาบางๆ บริเวณที่มีอาการ วันละ 3-4 ครั้ง</x:t>
        </x:is>
      </x:c>
      <x:c r="P865" t="inlineStr">
        <x:is>
          <x:t xml:space="preserve">Eczema/diaper rash / anti-itch topicals</x:t>
        </x:is>
      </x:c>
    </x:row>
    <x:row r="866">
      <x:c r="A866">
        <x:v>864</x:v>
      </x:c>
      <x:c r="B866" t="inlineStr">
        <x:is>
          <x:t xml:space="preserve">ยาทาแก้แพ้, แก้คัน</x:t>
        </x:is>
      </x:c>
      <x:c r="C866">
        <x:v>3681</x:v>
      </x:c>
      <x:c r="D866" t="inlineStr">
        <x:is>
          <x:t xml:space="preserve">Systral Cream ใหญ่</x:t>
        </x:is>
      </x:c>
      <x:c r="E866" t="inlineStr">
        <x:is>
          <x:t xml:space="preserve">หลอด 25 g.</x:t>
        </x:is>
      </x:c>
      <x:c r="F866" t="inlineStr">
        <x:is>
          <x:t xml:space="preserve">Chlorphenoxamine HCl 1.5 %</x:t>
        </x:is>
      </x:c>
      <x:c r="G866" t="inlineStr">
        <x:is>
          <x:t xml:space="preserve">BDS003681</x:t>
        </x:is>
      </x:c>
      <x:c r="H866" t="inlineStr">
        <x:is>
          <x:t xml:space="preserve">Systral Cream ใหญ่ (25 g.)</x:t>
        </x:is>
      </x:c>
      <x:c r="I866" t="inlineStr">
        <x:is>
          <x:t xml:space="preserve">ทาบางๆ บริเวณที่มีอาการ วันละ 3-4 ครั้ง</x:t>
        </x:is>
      </x:c>
      <x:c r="P866" t="inlineStr">
        <x:is>
          <x:t xml:space="preserve">Eczema/diaper rash / anti-itch topicals</x:t>
        </x:is>
      </x:c>
    </x:row>
    <x:row r="867">
      <x:c r="A867">
        <x:v>865</x:v>
      </x:c>
      <x:c r="B867" t="inlineStr">
        <x:is>
          <x:t xml:space="preserve">น้ำตาเทียม (D)</x:t>
        </x:is>
      </x:c>
      <x:c r="C867">
        <x:v>3904</x:v>
      </x:c>
      <x:c r="D867" t="inlineStr">
        <x:is>
          <x:t xml:space="preserve">Vidisic Gel</x:t>
        </x:is>
      </x:c>
      <x:c r="E867" t="inlineStr">
        <x:is>
          <x:t xml:space="preserve">หลอด 10 g.</x:t>
        </x:is>
      </x:c>
      <x:c r="F867" t="inlineStr">
        <x:is>
          <x:t xml:space="preserve">Carbomer 2 mg.+Cetrimide 0.1 mg.+Sorbitol+Sodium hydroxide +Water for injections/1 g.</x:t>
        </x:is>
      </x:c>
      <x:c r="G867" t="inlineStr">
        <x:is>
          <x:t xml:space="preserve">BDS003904</x:t>
        </x:is>
      </x:c>
      <x:c r="H867" t="inlineStr">
        <x:is>
          <x:t xml:space="preserve">Vidisic Gel (10 g.)</x:t>
        </x:is>
      </x:c>
      <x:c r="I867" t="inlineStr">
        <x:is>
          <x:t xml:space="preserve">ป้ายตา วันละ 3-5 ครั้ง</x:t>
        </x:is>
      </x:c>
      <x:c r="P867" t="inlineStr">
        <x:is>
          <x:t xml:space="preserve">Artificial tears / eye lubricants</x:t>
        </x:is>
      </x:c>
    </x:row>
    <x:row r="868">
      <x:c r="A868">
        <x:v>866</x:v>
      </x:c>
      <x:c r="B868" t="inlineStr">
        <x:is>
          <x:t xml:space="preserve">ยาหยอดหู (D)</x:t>
        </x:is>
      </x:c>
      <x:c r="C868">
        <x:v>42303</x:v>
      </x:c>
      <x:c r="D868" t="inlineStr">
        <x:is>
          <x:t xml:space="preserve">Docusate Earwax</x:t>
        </x:is>
      </x:c>
      <x:c r="E868" t="inlineStr">
        <x:is>
          <x:t xml:space="preserve">ขวด 15 ml.</x:t>
        </x:is>
      </x:c>
      <x:c r="F868" t="inlineStr">
        <x:is>
          <x:t xml:space="preserve">Docusate Sodium 5 mg./1 ml.</x:t>
        </x:is>
      </x:c>
      <x:c r="G868" t="inlineStr">
        <x:is>
          <x:t xml:space="preserve">BDS042303</x:t>
        </x:is>
      </x:c>
      <x:c r="H868" t="inlineStr">
        <x:is>
          <x:t xml:space="preserve">Docusate Earwax (15 ml.)</x:t>
        </x:is>
      </x:c>
      <x:c r="I868" t="inlineStr">
        <x:is>
          <x:t xml:space="preserve">หยอดยาลงในหู 5-10 หยด ทิ้งไว้ 15 นาที วันละ 2 ครั้ง หรือตามแพทย์สั่ง  </x:t>
        </x:is>
      </x:c>
    </x:row>
    <x:row r="869">
      <x:c r="A869">
        <x:v>867</x:v>
      </x:c>
      <x:c r="B869" t="inlineStr">
        <x:is>
          <x:t xml:space="preserve">ยาทารักษาหูด (D)</x:t>
        </x:is>
      </x:c>
      <x:c r="C869">
        <x:v>1102</x:v>
      </x:c>
      <x:c r="D869" t="inlineStr">
        <x:is>
          <x:t xml:space="preserve">Aldara</x:t>
        </x:is>
      </x:c>
      <x:c r="E869" t="inlineStr">
        <x:is>
          <x:t xml:space="preserve">ซอง 0.25 g.</x:t>
        </x:is>
      </x:c>
      <x:c r="F869" t="inlineStr">
        <x:is>
          <x:t xml:space="preserve">Imiquimod 5% w/w</x:t>
        </x:is>
      </x:c>
      <x:c r="G869" t="inlineStr">
        <x:is>
          <x:t xml:space="preserve">BDS001102</x:t>
        </x:is>
      </x:c>
      <x:c r="H869" t="inlineStr">
        <x:is>
          <x:t xml:space="preserve">Aldara (0.25 g.)</x:t>
        </x:is>
      </x:c>
      <x:c r="I869" t="inlineStr">
        <x:is>
          <x:t xml:space="preserve">ทาครีมที่หูด วันละ 1 ครั้ง ก่อนนอน สัปดาห์ละ 3 ครั้ง ต่อเนื่องจนกว่าหูดจะหลุด</x:t>
        </x:is>
      </x:c>
      <x:c r="P869" t="inlineStr">
        <x:is>
          <x:t xml:space="preserve">Wart treatment</x:t>
        </x:is>
      </x:c>
    </x:row>
    <x:row r="870">
      <x:c r="A870">
        <x:v>868</x:v>
      </x:c>
      <x:c r="B870" t="inlineStr">
        <x:is>
          <x:t xml:space="preserve">ยาทาแก้แพ้และฆ่าเชื้อแบคทีเรีย (D)</x:t>
        </x:is>
      </x:c>
      <x:c r="C870">
        <x:v>1236</x:v>
      </x:c>
      <x:c r="D870" t="inlineStr">
        <x:is>
          <x:t xml:space="preserve">Betagram ใหญ่</x:t>
        </x:is>
      </x:c>
      <x:c r="E870" t="inlineStr">
        <x:is>
          <x:t xml:space="preserve">หลอด 15 g.</x:t>
        </x:is>
      </x:c>
      <x:c r="F870" t="inlineStr">
        <x:is>
          <x:t xml:space="preserve">Betamethasone Valerate (eq. to Betamethasone 0.1%)+Gentamicin Sulfate (eq. to Gentamicin 0.1%)</x:t>
        </x:is>
      </x:c>
      <x:c r="G870" t="inlineStr">
        <x:is>
          <x:t xml:space="preserve">BDS001236</x:t>
        </x:is>
      </x:c>
      <x:c r="H870" t="inlineStr">
        <x:is>
          <x:t xml:space="preserve">Betagram ใหญ่ (15 g.)</x:t>
        </x:is>
      </x:c>
      <x:c r="I870" t="inlineStr">
        <x:is>
          <x:t xml:space="preserve">ทาครีมบางๆ บริเวณที่มีอาการวันละ 2-3 ครั้ง</x:t>
        </x:is>
      </x:c>
    </x:row>
    <x:row r="871">
      <x:c r="A871">
        <x:v>869</x:v>
      </x:c>
      <x:c r="B871" t="inlineStr">
        <x:is>
          <x:t xml:space="preserve">ยาทาแก้แพ้และฆ่าเชื้อแบคทีเรีย (D)</x:t>
        </x:is>
      </x:c>
      <x:c r="C871">
        <x:v>7505</x:v>
      </x:c>
      <x:c r="D871" t="inlineStr">
        <x:is>
          <x:t xml:space="preserve">Betatone-N Cream เล็ก</x:t>
        </x:is>
      </x:c>
      <x:c r="E871" t="inlineStr">
        <x:is>
          <x:t xml:space="preserve">หลอด 5 g.</x:t>
        </x:is>
      </x:c>
      <x:c r="F871" t="inlineStr">
        <x:is>
          <x:t xml:space="preserve">Betamethasone Valerate (eq. to Betamethasone 1 mg)+Neomycin Sulphate 5 mg (eq. to Neomycin 3 mg)/1 g</x:t>
        </x:is>
      </x:c>
      <x:c r="G871" t="inlineStr">
        <x:is>
          <x:t xml:space="preserve">BDS007505</x:t>
        </x:is>
      </x:c>
      <x:c r="H871" t="inlineStr">
        <x:is>
          <x:t xml:space="preserve">Betatone-N Cream เล็ก (5 g.)</x:t>
        </x:is>
      </x:c>
      <x:c r="I871" t="inlineStr">
        <x:is>
          <x:t xml:space="preserve">ทาครีมบางๆ บริเวณที่มีอาการ วันละ 2-3 ครั้ง</x:t>
        </x:is>
      </x:c>
    </x:row>
    <x:row r="872">
      <x:c r="A872">
        <x:v>870</x:v>
      </x:c>
      <x:c r="B872" t="inlineStr">
        <x:is>
          <x:t xml:space="preserve">ยาทาแก้แพ้และฆ่าเชื้อแบคทีเรีย (D)</x:t>
        </x:is>
      </x:c>
      <x:c r="C872">
        <x:v>7506</x:v>
      </x:c>
      <x:c r="D872" t="inlineStr">
        <x:is>
          <x:t xml:space="preserve">Betatone-N Cream ใหญ่</x:t>
        </x:is>
      </x:c>
      <x:c r="E872" t="inlineStr">
        <x:is>
          <x:t xml:space="preserve">หลอด 15 g.</x:t>
        </x:is>
      </x:c>
      <x:c r="F872" t="inlineStr">
        <x:is>
          <x:t xml:space="preserve">Betamethasone Valerate (eq. to Betamethasone 1 mg)+Neomycin Sulphate 5 mg (eq. to Neomycin 3 mg)/1 g</x:t>
        </x:is>
      </x:c>
      <x:c r="G872" t="inlineStr">
        <x:is>
          <x:t xml:space="preserve">BDS007506</x:t>
        </x:is>
      </x:c>
      <x:c r="H872" t="inlineStr">
        <x:is>
          <x:t xml:space="preserve">Betatone-N Cream ใหญ่ (15 g.)</x:t>
        </x:is>
      </x:c>
      <x:c r="I872" t="inlineStr">
        <x:is>
          <x:t xml:space="preserve">ทาครีมบางๆ บริเวณที่มีอาการ วันละ 2-3 ครั้ง</x:t>
        </x:is>
      </x:c>
    </x:row>
    <x:row r="873">
      <x:c r="A873">
        <x:v>871</x:v>
      </x:c>
      <x:c r="B873" t="inlineStr">
        <x:is>
          <x:t xml:space="preserve">ยาทาแก้แพ้และฆ่าเชื้อแบคทีเรีย (D)</x:t>
        </x:is>
      </x:c>
      <x:c r="C873">
        <x:v>1250</x:v>
      </x:c>
      <x:c r="D873" t="inlineStr">
        <x:is>
          <x:t xml:space="preserve">Betnovate-N Cream ใหญ่</x:t>
        </x:is>
      </x:c>
      <x:c r="E873" t="inlineStr">
        <x:is>
          <x:t xml:space="preserve">หลอด 15 g.</x:t>
        </x:is>
      </x:c>
      <x:c r="F873" t="inlineStr">
        <x:is>
          <x:t xml:space="preserve">Betamethasone 17-Valerate 0.1% w/w + Neomycin Sulphate 0.5% w/w</x:t>
        </x:is>
      </x:c>
      <x:c r="G873" t="inlineStr">
        <x:is>
          <x:t xml:space="preserve">BDS001250</x:t>
        </x:is>
      </x:c>
      <x:c r="H873" t="inlineStr">
        <x:is>
          <x:t xml:space="preserve">Betnovate-N Cream ใหญ่ (15 g.)</x:t>
        </x:is>
      </x:c>
      <x:c r="I873" t="inlineStr">
        <x:is>
          <x:t xml:space="preserve">ทาครีมบางๆ บริเวณที่มีอาการ วันละ 2-3 ครั้ง</x:t>
        </x:is>
      </x:c>
    </x:row>
    <x:row r="874">
      <x:c r="A874">
        <x:v>872</x:v>
      </x:c>
      <x:c r="B874" t="inlineStr">
        <x:is>
          <x:t xml:space="preserve">ยาทาแก้แพ้และฆ่าเชื้อแบคทีเรีย (D)</x:t>
        </x:is>
      </x:c>
      <x:c r="C874">
        <x:v>1908</x:v>
      </x:c>
      <x:c r="D874" t="inlineStr">
        <x:is>
          <x:t xml:space="preserve">Fucicort Cream</x:t>
        </x:is>
      </x:c>
      <x:c r="E874" t="inlineStr">
        <x:is>
          <x:t xml:space="preserve">หลอด 5 g.</x:t>
        </x:is>
      </x:c>
      <x:c r="F874" t="inlineStr">
        <x:is>
          <x:t xml:space="preserve">Fusidic acid 20 mg+Betamethasone Valerate (eq. to Betamethasone 1 mg)+Preservative (Chlorocresol)/1 g</x:t>
        </x:is>
      </x:c>
      <x:c r="G874" t="inlineStr">
        <x:is>
          <x:t xml:space="preserve">BDS001908</x:t>
        </x:is>
      </x:c>
      <x:c r="H874" t="inlineStr">
        <x:is>
          <x:t xml:space="preserve">Fucicort Cream (5 g.)</x:t>
        </x:is>
      </x:c>
      <x:c r="I874" t="inlineStr">
        <x:is>
          <x:t xml:space="preserve">ทาครีมบางๆ บริเวณที่มีอาการ วันละ 2-3 ครั้ง</x:t>
        </x:is>
      </x:c>
    </x:row>
    <x:row r="875">
      <x:c r="A875">
        <x:v>873</x:v>
      </x:c>
      <x:c r="B875" t="inlineStr">
        <x:is>
          <x:t xml:space="preserve">ยาทาแก้แพ้และฆ่าเชื้อแบคทีเรีย (D)</x:t>
        </x:is>
      </x:c>
      <x:c r="C875">
        <x:v>1910</x:v>
      </x:c>
      <x:c r="D875" t="inlineStr">
        <x:is>
          <x:t xml:space="preserve">Fucidin H Cream</x:t>
        </x:is>
      </x:c>
      <x:c r="E875" t="inlineStr">
        <x:is>
          <x:t xml:space="preserve">หลอด 5 g.</x:t>
        </x:is>
      </x:c>
      <x:c r="F875" t="inlineStr">
        <x:is>
          <x:t xml:space="preserve">Fusidic acid 20 mg+Hydrocortisone Acetate 10 mg+อื่นๆ/1 g</x:t>
        </x:is>
      </x:c>
      <x:c r="G875" t="inlineStr">
        <x:is>
          <x:t xml:space="preserve">BDS001910</x:t>
        </x:is>
      </x:c>
      <x:c r="H875" t="inlineStr">
        <x:is>
          <x:t xml:space="preserve">Fucidin H Cream (5 g.)</x:t>
        </x:is>
      </x:c>
      <x:c r="I875" t="inlineStr">
        <x:is>
          <x:t xml:space="preserve">ทาครีมบางๆ บริเวณที่มีอาการ วันละ 2-3 ครั้ง</x:t>
        </x:is>
      </x:c>
    </x:row>
    <x:row r="876">
      <x:c r="A876">
        <x:v>874</x:v>
      </x:c>
      <x:c r="B876" t="inlineStr">
        <x:is>
          <x:t xml:space="preserve">ยาทาแก้แพ้สูตรผสม (D)</x:t>
        </x:is>
      </x:c>
      <x:c r="C876">
        <x:v>1678</x:v>
      </x:c>
      <x:c r="D876" t="inlineStr">
        <x:is>
          <x:t xml:space="preserve">Dermacombin Cream</x:t>
        </x:is>
      </x:c>
      <x:c r="E876" t="inlineStr">
        <x:is>
          <x:t xml:space="preserve">หลอด 5 g.</x:t>
        </x:is>
      </x:c>
      <x:c r="F876" t="inlineStr">
        <x:is>
          <x:t xml:space="preserve">Nystatin 100,000 Units+Neomycin Sulphate (eq. to Neomycin 2.5 mg)+Gramicidin 0.25 mg+Triamcinolone Acetonide 1 mg/1 g</x:t>
        </x:is>
      </x:c>
      <x:c r="G876" t="inlineStr">
        <x:is>
          <x:t xml:space="preserve">BDS001678</x:t>
        </x:is>
      </x:c>
      <x:c r="H876" t="inlineStr">
        <x:is>
          <x:t xml:space="preserve">Dermacombin Cream (5 g.)</x:t>
        </x:is>
      </x:c>
      <x:c r="I876" t="inlineStr">
        <x:is>
          <x:t xml:space="preserve">ทาครีมบางๆ บริเวณผิวหนังที่เป็น วันละ 2-3 ครั้ง</x:t>
        </x:is>
      </x:c>
    </x:row>
    <x:row r="877">
      <x:c r="A877">
        <x:v>875</x:v>
      </x:c>
      <x:c r="B877" t="inlineStr">
        <x:is>
          <x:t xml:space="preserve">ยาทาแก้แพ้สูตรผสม (D)</x:t>
        </x:is>
      </x:c>
      <x:c r="C877">
        <x:v>1628</x:v>
      </x:c>
      <x:c r="D877" t="inlineStr">
        <x:is>
          <x:t xml:space="preserve">Dermaheu Cream เล็ก</x:t>
        </x:is>
      </x:c>
      <x:c r="E877" t="inlineStr">
        <x:is>
          <x:t xml:space="preserve">หลอด 5 g.</x:t>
        </x:is>
      </x:c>
      <x:c r="F877" t="inlineStr">
        <x:is>
          <x:t xml:space="preserve">Betamethasone Dipropionate (eq. to Betamethasone 0.05 g+Gentamicin Sulfate (eq. to Gentamicin 0.1 g)+Tolnaftate 1 g+Iodochlorhydroxyquin 1 g/100 g</x:t>
        </x:is>
      </x:c>
      <x:c r="G877" t="inlineStr">
        <x:is>
          <x:t xml:space="preserve">BDS001628</x:t>
        </x:is>
      </x:c>
      <x:c r="H877" t="inlineStr">
        <x:is>
          <x:t xml:space="preserve">Dermaheu Cream เล็ก (5 g.)</x:t>
        </x:is>
      </x:c>
      <x:c r="I877" t="inlineStr">
        <x:is>
          <x:t xml:space="preserve">ทาครีมบางๆ บริเวณผิวหนังที่เป็น วันละ 2-3 ครั้ง</x:t>
        </x:is>
      </x:c>
    </x:row>
    <x:row r="878">
      <x:c r="A878">
        <x:v>876</x:v>
      </x:c>
      <x:c r="B878" t="inlineStr">
        <x:is>
          <x:t xml:space="preserve">ยาทาแก้แพ้สูตรผสม (D)</x:t>
        </x:is>
      </x:c>
      <x:c r="C878">
        <x:v>1629</x:v>
      </x:c>
      <x:c r="D878" t="inlineStr">
        <x:is>
          <x:t xml:space="preserve">Dermaheu Cream ใหญ่</x:t>
        </x:is>
      </x:c>
      <x:c r="E878" t="inlineStr">
        <x:is>
          <x:t xml:space="preserve">หลอด 15 g.</x:t>
        </x:is>
      </x:c>
      <x:c r="F878" t="inlineStr">
        <x:is>
          <x:t xml:space="preserve">Betamethasone Dipropionate (eq. to Betamethasone 0.05 g+Gentamicin Sulfate (eq. to Gentamicin 0.1 g)+Tolnaftate 1 g+Iodochlorhydroxyquin 1 g/100 g</x:t>
        </x:is>
      </x:c>
      <x:c r="G878" t="inlineStr">
        <x:is>
          <x:t xml:space="preserve">BDS001629</x:t>
        </x:is>
      </x:c>
      <x:c r="H878" t="inlineStr">
        <x:is>
          <x:t xml:space="preserve">Dermaheu Cream ใหญ่ (15 g.)</x:t>
        </x:is>
      </x:c>
      <x:c r="I878" t="inlineStr">
        <x:is>
          <x:t xml:space="preserve">ทาครีมบางๆ บริเวณผิวหนังที่เป็น วันละ 2-3 ครั้ง</x:t>
        </x:is>
      </x:c>
    </x:row>
    <x:row r="879">
      <x:c r="A879">
        <x:v>877</x:v>
      </x:c>
      <x:c r="B879" t="inlineStr">
        <x:is>
          <x:t xml:space="preserve">ยาทาแก้แพ้สูตรผสม (D)</x:t>
        </x:is>
      </x:c>
      <x:c r="C879">
        <x:v>6718</x:v>
      </x:c>
      <x:c r="D879" t="inlineStr">
        <x:is>
          <x:t xml:space="preserve">Dertec Cream เล็ก</x:t>
        </x:is>
      </x:c>
      <x:c r="E879" t="inlineStr">
        <x:is>
          <x:t xml:space="preserve">หลอด 5 g.</x:t>
        </x:is>
      </x:c>
      <x:c r="F879" t="inlineStr">
        <x:is>
          <x:t xml:space="preserve">Betamethasone Valerate (eq. to Betamethasone 0.5 mg)+Gentamicin Sulfate (eq. to Gentamicin 1 mg)+Tolnaftate 10 mg+Iodochlorhydroxyquin 10 mg/1 g</x:t>
        </x:is>
      </x:c>
      <x:c r="G879" t="inlineStr">
        <x:is>
          <x:t xml:space="preserve">BDS006718</x:t>
        </x:is>
      </x:c>
      <x:c r="H879" t="inlineStr">
        <x:is>
          <x:t xml:space="preserve">Dertec Cream เล็ก (5 g.)</x:t>
        </x:is>
      </x:c>
      <x:c r="I879" t="inlineStr">
        <x:is>
          <x:t xml:space="preserve">ทาบางๆ บริเวณที่มีอาการ วันละ 2-3 ครั้ง หรือตามแพทย์สั่ง</x:t>
        </x:is>
      </x:c>
    </x:row>
    <x:row r="880">
      <x:c r="A880">
        <x:v>878</x:v>
      </x:c>
      <x:c r="B880" t="inlineStr">
        <x:is>
          <x:t xml:space="preserve">ยาทาแก้แพ้สูตรผสม (D)</x:t>
        </x:is>
      </x:c>
      <x:c r="C880">
        <x:v>6011</x:v>
      </x:c>
      <x:c r="D880" t="inlineStr">
        <x:is>
          <x:t xml:space="preserve">Dertec Cream ใหญ่</x:t>
        </x:is>
      </x:c>
      <x:c r="E880" t="inlineStr">
        <x:is>
          <x:t xml:space="preserve">หลอด 15 g.</x:t>
        </x:is>
      </x:c>
      <x:c r="F880" t="inlineStr">
        <x:is>
          <x:t xml:space="preserve">Betamethasone Valerate (eq. to Betamethasone 0.5 mg)+Gentamicin Sulfate (eq. to Gentamicin 1 mg)+Tolnaftate 10 mg+Iodochlorhydroxyquin 10 mg/1 g</x:t>
        </x:is>
      </x:c>
      <x:c r="G880" t="inlineStr">
        <x:is>
          <x:t xml:space="preserve">BDS006011</x:t>
        </x:is>
      </x:c>
      <x:c r="H880" t="inlineStr">
        <x:is>
          <x:t xml:space="preserve">Dertec Cream ใหญ่ (15 g.)</x:t>
        </x:is>
      </x:c>
      <x:c r="I880" t="inlineStr">
        <x:is>
          <x:t xml:space="preserve">ทาบางๆ บริเวณที่มีอาการ วันละ 2-3 ครั้ง หรือตามแพทย์สั่ง</x:t>
        </x:is>
      </x:c>
    </x:row>
    <x:row r="881">
      <x:c r="A881">
        <x:v>879</x:v>
      </x:c>
      <x:c r="B881" t="inlineStr">
        <x:is>
          <x:t xml:space="preserve">ยาทาแก้แพ้สูตรผสม (D)</x:t>
        </x:is>
      </x:c>
      <x:c r="C881">
        <x:v>3301</x:v>
      </x:c>
      <x:c r="D881" t="inlineStr">
        <x:is>
          <x:t xml:space="preserve">Quadriderm Cream เล็ก</x:t>
        </x:is>
      </x:c>
      <x:c r="E881" t="inlineStr">
        <x:is>
          <x:t xml:space="preserve">หลอด 5 g.</x:t>
        </x:is>
      </x:c>
      <x:c r="F881" t="inlineStr">
        <x:is>
          <x:t xml:space="preserve">Betamethasone Valerate (eq. to Betamethasone 0.5 mg)+Gentamicin Sulfate (eq. to Gentamicin 1 mg)+Tolnaftate 10 mg+Iodochlorhydroxyquin 10 mg/1 g</x:t>
        </x:is>
      </x:c>
      <x:c r="G881" t="inlineStr">
        <x:is>
          <x:t xml:space="preserve">BDS003301</x:t>
        </x:is>
      </x:c>
      <x:c r="H881" t="inlineStr">
        <x:is>
          <x:t xml:space="preserve">Quadriderm Cream เล็ก (5 g.)</x:t>
        </x:is>
      </x:c>
      <x:c r="I881" t="inlineStr">
        <x:is>
          <x:t xml:space="preserve">ทาครีมบางๆ บริเวณผิวหนังที่เป็น วันละ 2-3 ครั้ง</x:t>
        </x:is>
      </x:c>
    </x:row>
    <x:row r="882">
      <x:c r="A882">
        <x:v>880</x:v>
      </x:c>
      <x:c r="B882" t="inlineStr">
        <x:is>
          <x:t xml:space="preserve">ยาทาแก้แพ้สูตรผสม (D)</x:t>
        </x:is>
      </x:c>
      <x:c r="C882">
        <x:v>3302</x:v>
      </x:c>
      <x:c r="D882" t="inlineStr">
        <x:is>
          <x:t xml:space="preserve">Quadriderm Cream ใหญ่</x:t>
        </x:is>
      </x:c>
      <x:c r="E882" t="inlineStr">
        <x:is>
          <x:t xml:space="preserve">หลอด 15 g.</x:t>
        </x:is>
      </x:c>
      <x:c r="F882" t="inlineStr">
        <x:is>
          <x:t xml:space="preserve">Betamethasone Valerate (eq. to Betamethasone 0.5 mg)+Gentamicin Sulfate (eq. to Gentamicin 1 mg)+Tolnaftate 10 mg+Iodochlorhydroxyquin 10 mg/1 g</x:t>
        </x:is>
      </x:c>
      <x:c r="G882" t="inlineStr">
        <x:is>
          <x:t xml:space="preserve">BDS003302</x:t>
        </x:is>
      </x:c>
      <x:c r="H882" t="inlineStr">
        <x:is>
          <x:t xml:space="preserve">Quadriderm Cream ใหญ่ (15 g.)</x:t>
        </x:is>
      </x:c>
      <x:c r="I882" t="inlineStr">
        <x:is>
          <x:t xml:space="preserve">ทาครีมบางๆ บริเวณผิวหนังที่เป็น วันละ 2-3 ครั้ง</x:t>
        </x:is>
      </x:c>
    </x:row>
    <x:row r="883">
      <x:c r="A883">
        <x:v>881</x:v>
      </x:c>
      <x:c r="B883" t="inlineStr">
        <x:is>
          <x:t xml:space="preserve">ยาทาแก้แพ้, ผื่นผ้าอ้อม</x:t>
        </x:is>
      </x:c>
      <x:c r="C883">
        <x:v>1219</x:v>
      </x:c>
      <x:c r="D883" t="inlineStr">
        <x:is>
          <x:t xml:space="preserve">Bepanthen Ointment</x:t>
        </x:is>
      </x:c>
      <x:c r="E883" t="inlineStr">
        <x:is>
          <x:t xml:space="preserve">หลอด 30 g.</x:t>
        </x:is>
      </x:c>
      <x:c r="F883" t="inlineStr">
        <x:is>
          <x:t xml:space="preserve">Dexpanthenol 50 mg.</x:t>
        </x:is>
      </x:c>
      <x:c r="G883" t="inlineStr">
        <x:is>
          <x:t xml:space="preserve">BDS001219</x:t>
        </x:is>
      </x:c>
      <x:c r="H883" t="inlineStr">
        <x:is>
          <x:t xml:space="preserve">Bepanthen Ointment (30 g.)</x:t>
        </x:is>
      </x:c>
      <x:c r="I883" t="inlineStr">
        <x:is>
          <x:t xml:space="preserve">ทาทุกครั้งที่เปลี่ยนผ้าอ้อม ภายหลังจากได้ทำความสะอาดก้นเด็กด้วยการใช้น้ำ แล้วซับให้แห้ง </x:t>
        </x:is>
      </x:c>
      <x:c r="P883" t="inlineStr">
        <x:is>
          <x:t xml:space="preserve">Eczema/diaper rash / anti-itch topicals</x:t>
        </x:is>
      </x:c>
    </x:row>
    <x:row r="884">
      <x:c r="A884">
        <x:v>882</x:v>
      </x:c>
      <x:c r="B884" t="inlineStr">
        <x:is>
          <x:t xml:space="preserve">ยาทาแก้แพ้, ผื่นผ้าอ้อม</x:t>
        </x:is>
      </x:c>
      <x:c r="C884">
        <x:v>2806</x:v>
      </x:c>
      <x:c r="D884" t="inlineStr">
        <x:is>
          <x:t xml:space="preserve">Nappy-Hippo</x:t>
        </x:is>
      </x:c>
      <x:c r="E884" t="inlineStr">
        <x:is>
          <x:t xml:space="preserve">หลอด 25 g.</x:t>
        </x:is>
      </x:c>
      <x:c r="F884" t="inlineStr">
        <x:is>
          <x:t xml:space="preserve">Zinc Oxide 7.5 g./100 g.</x:t>
        </x:is>
      </x:c>
      <x:c r="G884" t="inlineStr">
        <x:is>
          <x:t xml:space="preserve">BDS002806</x:t>
        </x:is>
      </x:c>
      <x:c r="H884" t="inlineStr">
        <x:is>
          <x:t xml:space="preserve">Nappy-Hippo (25 g.)</x:t>
        </x:is>
      </x:c>
      <x:c r="I884" t="inlineStr">
        <x:is>
          <x:t xml:space="preserve">ทาครีมบางๆ บริเวณที่มีอาการ วันละ 3-4 ครั้ง</x:t>
        </x:is>
      </x:c>
      <x:c r="P884" t="inlineStr">
        <x:is>
          <x:t xml:space="preserve">Eczema/diaper rash / anti-itch topicals</x:t>
        </x:is>
      </x:c>
    </x:row>
    <x:row r="885">
      <x:c r="A885">
        <x:v>883</x:v>
      </x:c>
      <x:c r="B885" t="inlineStr">
        <x:is>
          <x:t xml:space="preserve">ยาพ่นและยาหยอดจมูก (D)</x:t>
        </x:is>
      </x:c>
      <x:c r="C885">
        <x:v>1009</x:v>
      </x:c>
      <x:c r="D885" t="inlineStr">
        <x:is>
          <x:t xml:space="preserve">Avamys</x:t>
        </x:is>
      </x:c>
      <x:c r="E885" t="inlineStr">
        <x:is>
          <x:t xml:space="preserve">ขวด 120 doses</x:t>
        </x:is>
      </x:c>
      <x:c r="F885" t="inlineStr">
        <x:is>
          <x:t xml:space="preserve">Fluticasone furoate 27.5 mcg/spray+Preservative (Benzalkonium Chloride)+อื่นๆ</x:t>
        </x:is>
      </x:c>
      <x:c r="G885" t="inlineStr">
        <x:is>
          <x:t xml:space="preserve">BDS001009</x:t>
        </x:is>
      </x:c>
      <x:c r="H885" t="inlineStr">
        <x:is>
          <x:t xml:space="preserve">Avamys (120 doses)</x:t>
        </x:is>
      </x:c>
      <x:c r="I885" t="inlineStr">
        <x:is>
          <x:t xml:space="preserve">พ่นเข้าจมูกข้างละ 1-2 ครั้ง วันละ 1 ครั้ง หรือตามแพทย์สั่ง </x:t>
        </x:is>
      </x:c>
    </x:row>
    <x:row r="886">
      <x:c r="A886">
        <x:v>884</x:v>
      </x:c>
      <x:c r="B886" t="inlineStr">
        <x:is>
          <x:t xml:space="preserve">ยาพ่นและยาหยอดจมูก (D)</x:t>
        </x:is>
      </x:c>
      <x:c r="C886">
        <x:v>40624</x:v>
      </x:c>
      <x:c r="D886" t="inlineStr">
        <x:is>
          <x:t xml:space="preserve">Busonase</x:t>
        </x:is>
      </x:c>
      <x:c r="E886" t="inlineStr">
        <x:is>
          <x:t xml:space="preserve">ขวด 6 ml.</x:t>
        </x:is>
      </x:c>
      <x:c r="F886" t="inlineStr">
        <x:is>
          <x:t xml:space="preserve">budesonide 1.28 mg/1 ml (64 mcg/dose)</x:t>
        </x:is>
      </x:c>
      <x:c r="G886" t="inlineStr">
        <x:is>
          <x:t xml:space="preserve">BDS040624</x:t>
        </x:is>
      </x:c>
      <x:c r="H886" t="inlineStr">
        <x:is>
          <x:t xml:space="preserve">Busonase (6 ml.)</x:t>
        </x:is>
      </x:c>
      <x:c r="I886" t="inlineStr">
        <x:is>
          <x:t xml:space="preserve">พ่นเข้าจมูกแต่ละข้าง 1-2 สเปรย์ วันละ 2 ครั้ง หรือตามแพทย์สั่ง </x:t>
        </x:is>
      </x:c>
    </x:row>
    <x:row r="887">
      <x:c r="A887">
        <x:v>885</x:v>
      </x:c>
      <x:c r="B887" t="inlineStr">
        <x:is>
          <x:t xml:space="preserve">ยาพ่นและยาหยอดจมูก (D)</x:t>
        </x:is>
      </x:c>
      <x:c r="C887">
        <x:v>2874</x:v>
      </x:c>
      <x:c r="D887" t="inlineStr">
        <x:is>
          <x:t xml:space="preserve">Nasacort AQ Spray Suspension</x:t>
        </x:is>
      </x:c>
      <x:c r="E887" t="inlineStr">
        <x:is>
          <x:t xml:space="preserve">ขวด 120 doses</x:t>
        </x:is>
      </x:c>
      <x:c r="F887" t="inlineStr">
        <x:is>
          <x:t xml:space="preserve">Triamcinolone Acetonide 9.075 mg/16.5 g (55 mcg/dose)+Preservative (Benzalkonium Chloride)+อื่นๆ</x:t>
        </x:is>
      </x:c>
      <x:c r="G887" t="inlineStr">
        <x:is>
          <x:t xml:space="preserve">BDS002874</x:t>
        </x:is>
      </x:c>
      <x:c r="H887" t="inlineStr">
        <x:is>
          <x:t xml:space="preserve">Nasacort AQ Spray Suspension (120 doses)</x:t>
        </x:is>
      </x:c>
      <x:c r="I887" t="inlineStr">
        <x:is>
          <x:t xml:space="preserve">พ่นเข้าจมูกข้างละ 1-2 ครั้ง วันละ 2 ครั้ง หรือตามแพทย์สั่ง </x:t>
        </x:is>
      </x:c>
    </x:row>
    <x:row r="888">
      <x:c r="A888">
        <x:v>886</x:v>
      </x:c>
      <x:c r="B888" t="inlineStr">
        <x:is>
          <x:t xml:space="preserve">ยาพ่นและยาหยอดจมูก (D)</x:t>
        </x:is>
      </x:c>
      <x:c r="C888">
        <x:v>45641</x:v>
      </x:c>
      <x:c r="D888" t="inlineStr">
        <x:is>
          <x:t xml:space="preserve">Nasol Nebuliser</x:t>
        </x:is>
      </x:c>
      <x:c r="E888" t="inlineStr">
        <x:is>
          <x:t xml:space="preserve">ขวด 15 ml.</x:t>
        </x:is>
      </x:c>
      <x:c r="F888" t="inlineStr">
        <x:is>
          <x:t xml:space="preserve">Naphazoline HCl 1 mg+Chlorpheniramine Maleate 2.5 mg/1 ml</x:t>
        </x:is>
      </x:c>
      <x:c r="G888" t="inlineStr">
        <x:is>
          <x:t xml:space="preserve">BDS045641</x:t>
        </x:is>
      </x:c>
      <x:c r="H888" t="inlineStr">
        <x:is>
          <x:t xml:space="preserve">Nasol Nebuliser (15 ml.)</x:t>
        </x:is>
      </x:c>
      <x:c r="I888" t="inlineStr">
        <x:is>
          <x:t xml:space="preserve">พ่นเข้าช่องจมูกข้างละ 1-2 สเปรย์ ทุก 4-6 ชั่วโมง หรือตามแพทย์สั่ง </x:t>
        </x:is>
      </x:c>
    </x:row>
    <x:row r="889">
      <x:c r="A889">
        <x:v>887</x:v>
      </x:c>
      <x:c r="B889" t="inlineStr">
        <x:is>
          <x:t xml:space="preserve">ยาพ่นและยาหยอดจมูก (D)</x:t>
        </x:is>
      </x:c>
      <x:c r="C889">
        <x:v>2807</x:v>
      </x:c>
      <x:c r="D889" t="inlineStr">
        <x:is>
          <x:t xml:space="preserve">Nasonex 140 doses</x:t>
        </x:is>
      </x:c>
      <x:c r="E889" t="inlineStr">
        <x:is>
          <x:t xml:space="preserve">ขวด 140 doses</x:t>
        </x:is>
      </x:c>
      <x:c r="F889" t="inlineStr">
        <x:is>
          <x:t xml:space="preserve">Mometasone Furoate Monohydrate (eq. to Mometasone Furoate 50 mcg/dose)+Preservative (Benzalkonium Chloride 0.2 mg/g)</x:t>
        </x:is>
      </x:c>
      <x:c r="G889" t="inlineStr">
        <x:is>
          <x:t xml:space="preserve">BDS002807</x:t>
        </x:is>
      </x:c>
      <x:c r="H889" t="inlineStr">
        <x:is>
          <x:t xml:space="preserve">Nasonex 140 doses (140 doses)</x:t>
        </x:is>
      </x:c>
      <x:c r="I889" t="inlineStr">
        <x:is>
          <x:t xml:space="preserve">ผู้ใหญ่พ่นเข้าจมูกข้างละ 2-4 สเปรย์ วันละ 1-2 ครั้ง หรือตามแพทย์สั่ง </x:t>
        </x:is>
      </x:c>
    </x:row>
    <x:row r="890">
      <x:c r="A890">
        <x:v>888</x:v>
      </x:c>
      <x:c r="B890" t="inlineStr">
        <x:is>
          <x:t xml:space="preserve">ยาพ่นและยาหยอดจมูก (D)</x:t>
        </x:is>
      </x:c>
      <x:c r="C890">
        <x:v>2805</x:v>
      </x:c>
      <x:c r="D890" t="inlineStr">
        <x:is>
          <x:t xml:space="preserve">Nasonex 60 doses</x:t>
        </x:is>
      </x:c>
      <x:c r="E890" t="inlineStr">
        <x:is>
          <x:t xml:space="preserve">ขวด 60 doses</x:t>
        </x:is>
      </x:c>
      <x:c r="F890" t="inlineStr">
        <x:is>
          <x:t xml:space="preserve">Mometasone Furoate Monohydrate (eq. to Mometasone Furoate 50 mcg/dose)+Preservative (Benzalkonium Chloride 0.2 mg/g)</x:t>
        </x:is>
      </x:c>
      <x:c r="G890" t="inlineStr">
        <x:is>
          <x:t xml:space="preserve">BDS002805</x:t>
        </x:is>
      </x:c>
      <x:c r="H890" t="inlineStr">
        <x:is>
          <x:t xml:space="preserve">Nasonex 60 doses (60 doses)</x:t>
        </x:is>
      </x:c>
      <x:c r="I890" t="inlineStr">
        <x:is>
          <x:t xml:space="preserve">ผู้ใหญ่พ่นเข้าจมูกข้างละ 2-4 สเปรย์ วันละ 1-2 ครั้ง หรือตามแพทย์สั่ง </x:t>
        </x:is>
      </x:c>
    </x:row>
    <x:row r="891">
      <x:c r="A891">
        <x:v>889</x:v>
      </x:c>
      <x:c r="B891" t="inlineStr">
        <x:is>
          <x:t xml:space="preserve">ยาพ่นและยาหยอดจมูก (D)</x:t>
        </x:is>
      </x:c>
      <x:c r="C891">
        <x:v>3432</x:v>
      </x:c>
      <x:c r="D891" t="inlineStr">
        <x:is>
          <x:t xml:space="preserve">Rhinocort Aqua</x:t>
        </x:is>
      </x:c>
      <x:c r="E891" t="inlineStr">
        <x:is>
          <x:t xml:space="preserve">ขวด 120 doses</x:t>
        </x:is>
      </x:c>
      <x:c r="F891" t="inlineStr">
        <x:is>
          <x:t xml:space="preserve">Budesonide 1.28 mg/1 ml (64 mcg/dose)</x:t>
        </x:is>
      </x:c>
      <x:c r="G891" t="inlineStr">
        <x:is>
          <x:t xml:space="preserve">BDS003432</x:t>
        </x:is>
      </x:c>
      <x:c r="H891" t="inlineStr">
        <x:is>
          <x:t xml:space="preserve">Rhinocort Aqua (120 doses)</x:t>
        </x:is>
      </x:c>
      <x:c r="I891" t="inlineStr">
        <x:is>
          <x:t xml:space="preserve">พ่นเข้าจมูกแต่ละข้าง 1-2 สเปรย์ วันละ 2 ครั้ง หรือตามแพทย์สั่ง </x:t>
        </x:is>
      </x:c>
    </x:row>
    <x:row r="892">
      <x:c r="A892">
        <x:v>890</x:v>
      </x:c>
      <x:c r="B892" t="inlineStr">
        <x:is>
          <x:t xml:space="preserve">ยาพ่นและยาหยอดจมูก</x:t>
        </x:is>
      </x:c>
      <x:c r="C892">
        <x:v>40080</x:v>
      </x:c>
      <x:c r="D892" t="inlineStr">
        <x:is>
          <x:t xml:space="preserve">Actavia</x:t>
        </x:is>
      </x:c>
      <x:c r="E892" t="inlineStr">
        <x:is>
          <x:t xml:space="preserve">ขวด 10 ml.</x:t>
        </x:is>
      </x:c>
      <x:c r="F892" t="inlineStr">
        <x:is>
          <x:t xml:space="preserve">Xylometazoline Hydrochloride 0.1% (1 mg./1 ml.)</x:t>
        </x:is>
      </x:c>
      <x:c r="G892" t="inlineStr">
        <x:is>
          <x:t xml:space="preserve">BDS040080</x:t>
        </x:is>
      </x:c>
      <x:c r="H892" t="inlineStr">
        <x:is>
          <x:t xml:space="preserve">Actavia (10 ml.)</x:t>
        </x:is>
      </x:c>
      <x:c r="I892" t="inlineStr">
        <x:is>
          <x:t xml:space="preserve">พ่นเข้าจมูก 1-2 สเปรย์ในจมูกแต่ละข้าง ทุก 8-10 ชั่วโมง </x:t>
        </x:is>
      </x:c>
    </x:row>
    <x:row r="893">
      <x:c r="A893">
        <x:v>891</x:v>
      </x:c>
      <x:c r="B893" t="inlineStr">
        <x:is>
          <x:t xml:space="preserve">ยาพ่นและยาหยอดจมูก</x:t>
        </x:is>
      </x:c>
      <x:c r="C893">
        <x:v>43102</x:v>
      </x:c>
      <x:c r="D893" t="inlineStr">
        <x:is>
          <x:t xml:space="preserve">Feenoze</x:t>
        </x:is>
      </x:c>
      <x:c r="E893" t="inlineStr">
        <x:is>
          <x:t xml:space="preserve">ขวด 20 ml.</x:t>
        </x:is>
      </x:c>
      <x:c r="F893" t="inlineStr">
        <x:is>
          <x:t xml:space="preserve">Oxymetazoline Hydrochloride 0.05% (0.5 mg./1 ml.).</x:t>
        </x:is>
      </x:c>
      <x:c r="G893" t="inlineStr">
        <x:is>
          <x:t xml:space="preserve">BDS043102</x:t>
        </x:is>
      </x:c>
      <x:c r="H893" t="inlineStr">
        <x:is>
          <x:t xml:space="preserve">Feenoze (20 ml.)</x:t>
        </x:is>
      </x:c>
      <x:c r="I893" t="inlineStr">
        <x:is>
          <x:t xml:space="preserve">พ่นจมูกข้างละ 1 ครั้ง วันละ 2-3 ครั้ง</x:t>
        </x:is>
      </x:c>
    </x:row>
    <x:row r="894">
      <x:c r="A894">
        <x:v>892</x:v>
      </x:c>
      <x:c r="B894" t="inlineStr">
        <x:is>
          <x:t xml:space="preserve">ยาพ่นและยาหยอดจมูก</x:t>
        </x:is>
      </x:c>
      <x:c r="C894">
        <x:v>2228</x:v>
      </x:c>
      <x:c r="D894" t="inlineStr">
        <x:is>
          <x:t xml:space="preserve">Iliadin 0.025% ชนิดหยด</x:t>
        </x:is>
      </x:c>
      <x:c r="E894" t="inlineStr">
        <x:is>
          <x:t xml:space="preserve">ขวด 10 ml.</x:t>
        </x:is>
      </x:c>
      <x:c r="F894" t="inlineStr">
        <x:is>
          <x:t xml:space="preserve">Oxymetazoline Hydrochloride 0.025% (0.25 mg./1 ml.)</x:t>
        </x:is>
      </x:c>
      <x:c r="G894" t="inlineStr">
        <x:is>
          <x:t xml:space="preserve">BDS002228</x:t>
        </x:is>
      </x:c>
      <x:c r="H894" t="inlineStr">
        <x:is>
          <x:t xml:space="preserve">Iliadin 0.025% ชนิดหยด (10 ml.)</x:t>
        </x:is>
      </x:c>
      <x:c r="I894" t="inlineStr">
        <x:is>
          <x:t xml:space="preserve">หยอดลงในช่องจมูกแต่ละข้างครั้งละ 1-2 หยด  วันละ 2-3 ครั้ง หรือตามแพทย์สั่ง </x:t>
        </x:is>
      </x:c>
    </x:row>
    <x:row r="895">
      <x:c r="A895">
        <x:v>893</x:v>
      </x:c>
      <x:c r="B895" t="inlineStr">
        <x:is>
          <x:t xml:space="preserve">ยาพ่นและยาหยอดจมูก</x:t>
        </x:is>
      </x:c>
      <x:c r="C895">
        <x:v>2209</x:v>
      </x:c>
      <x:c r="D895" t="inlineStr">
        <x:is>
          <x:t xml:space="preserve">Iliadin 0.05% ชนิดหยด</x:t>
        </x:is>
      </x:c>
      <x:c r="E895" t="inlineStr">
        <x:is>
          <x:t xml:space="preserve">ขวด 10 ml.</x:t>
        </x:is>
      </x:c>
      <x:c r="F895" t="inlineStr">
        <x:is>
          <x:t xml:space="preserve">Oxymetazoline Hydrochloride 0.05% (0.5 mg./1 ml.)</x:t>
        </x:is>
      </x:c>
      <x:c r="G895" t="inlineStr">
        <x:is>
          <x:t xml:space="preserve">BDS002209</x:t>
        </x:is>
      </x:c>
      <x:c r="H895" t="inlineStr">
        <x:is>
          <x:t xml:space="preserve">Iliadin 0.05% ชนิดหยด (10 ml.)</x:t>
        </x:is>
      </x:c>
      <x:c r="I895" t="inlineStr">
        <x:is>
          <x:t xml:space="preserve">หยอดลงในช่องจมูกแต่ละข้างครั้งละ 1-2 หยด  วันละ 2-3 ครั้ง หรือตามแพทย์สั่ง </x:t>
        </x:is>
      </x:c>
    </x:row>
    <x:row r="896">
      <x:c r="A896">
        <x:v>894</x:v>
      </x:c>
      <x:c r="B896" t="inlineStr">
        <x:is>
          <x:t xml:space="preserve">ยาพ่นและยาหยอดจมูก</x:t>
        </x:is>
      </x:c>
      <x:c r="C896">
        <x:v>2215</x:v>
      </x:c>
      <x:c r="D896" t="inlineStr">
        <x:is>
          <x:t xml:space="preserve">Iliadin Spray</x:t>
        </x:is>
      </x:c>
      <x:c r="E896" t="inlineStr">
        <x:is>
          <x:t xml:space="preserve">ขวด 10 ml.</x:t>
        </x:is>
      </x:c>
      <x:c r="F896" t="inlineStr">
        <x:is>
          <x:t xml:space="preserve">Oxymetazoline Hydrochloride 0.05% (0.5 mg./1 ml.)</x:t>
        </x:is>
      </x:c>
      <x:c r="G896" t="inlineStr">
        <x:is>
          <x:t xml:space="preserve">BDS002215</x:t>
        </x:is>
      </x:c>
      <x:c r="H896" t="inlineStr">
        <x:is>
          <x:t xml:space="preserve">Iliadin Spray (10 ml.)</x:t>
        </x:is>
      </x:c>
      <x:c r="I896" t="inlineStr">
        <x:is>
          <x:t xml:space="preserve">พ่นเข้าช่องจมูกข้างละ 1-2 สเปรย์ วันละ 2-3 ครั้ง หรือตามแพทย์สั่ง </x:t>
        </x:is>
      </x:c>
      <x:c r="K896">
        <x:v>262</x:v>
      </x:c>
      <x:c r="L896">
        <x:v>26.2</x:v>
      </x:c>
      <x:c r="M896" t="inlineStr">
        <x:is>
          <x:t xml:space="preserve">USER</x:t>
        </x:is>
      </x:c>
      <x:c r="N896" t="inlineStr">
        <x:is>
          <x:t xml:space="preserve">2026-02-07</x:t>
        </x:is>
      </x:c>
      <x:c r="O896" t="inlineStr">
        <x:is>
          <x:t xml:space="preserve">User provided price (online). Unit price is per mL (10 mL bottle).</x:t>
        </x:is>
      </x:c>
    </x:row>
    <x:row r="897">
      <x:c r="A897">
        <x:v>895</x:v>
      </x:c>
      <x:c r="B897" t="inlineStr">
        <x:is>
          <x:t xml:space="preserve">ยาพ่นและยาหยอดจมูก</x:t>
        </x:is>
      </x:c>
      <x:c r="C897">
        <x:v>2605</x:v>
      </x:c>
      <x:c r="D897" t="inlineStr">
        <x:is>
          <x:t xml:space="preserve">Mar Plus 5% Nasal Spray</x:t>
        </x:is>
      </x:c>
      <x:c r="E897" t="inlineStr">
        <x:is>
          <x:t xml:space="preserve">ขวด 20 ml.</x:t>
        </x:is>
      </x:c>
      <x:c r="F897" t="inlineStr">
        <x:is>
          <x:t xml:space="preserve">Dexpanthenol 50 mg.+Sodium Chloride 9 mg./1 ml.</x:t>
        </x:is>
      </x:c>
      <x:c r="G897" t="inlineStr">
        <x:is>
          <x:t xml:space="preserve">BDS002605</x:t>
        </x:is>
      </x:c>
      <x:c r="H897" t="inlineStr">
        <x:is>
          <x:t xml:space="preserve">Mar Plus 5% Nasal Spray (20 ml.)</x:t>
        </x:is>
      </x:c>
      <x:c r="I897" t="inlineStr">
        <x:is>
          <x:t xml:space="preserve">พ่นเข้าจมูกแต่ละข้าง 1-2 สเปรย์ วันละ 1 ครั้ง หรือตามแพทย์สั่ง</x:t>
        </x:is>
      </x:c>
    </x:row>
    <x:row r="898">
      <x:c r="A898">
        <x:v>896</x:v>
      </x:c>
      <x:c r="B898" t="inlineStr">
        <x:is>
          <x:t xml:space="preserve">ยาพ่นและยาหยอดจมูก</x:t>
        </x:is>
      </x:c>
      <x:c r="C898">
        <x:v>7191</x:v>
      </x:c>
      <x:c r="D898" t="inlineStr">
        <x:is>
          <x:t xml:space="preserve">Metzodin</x:t>
        </x:is>
      </x:c>
      <x:c r="E898" t="inlineStr">
        <x:is>
          <x:t xml:space="preserve">ขวด 10 ml.</x:t>
        </x:is>
      </x:c>
      <x:c r="F898" t="inlineStr">
        <x:is>
          <x:t xml:space="preserve">Oxymetazoline Hydrochloride 0.05% (0.05 g./100 ml.)</x:t>
        </x:is>
      </x:c>
      <x:c r="G898" t="inlineStr">
        <x:is>
          <x:t xml:space="preserve">BDS007191</x:t>
        </x:is>
      </x:c>
      <x:c r="H898" t="inlineStr">
        <x:is>
          <x:t xml:space="preserve">Metzodin (10 ml.)</x:t>
        </x:is>
      </x:c>
      <x:c r="I898" t="inlineStr">
        <x:is>
          <x:t xml:space="preserve">พ่นจมูกข้างละ 2-3 สเปรย์ วันละ ทุก 10-12 ชั่วโมง หรือตามแพทย์สั่ง  </x:t>
        </x:is>
      </x:c>
    </x:row>
    <x:row r="899">
      <x:c r="A899">
        <x:v>897</x:v>
      </x:c>
      <x:c r="B899" t="inlineStr">
        <x:is>
          <x:t xml:space="preserve">ยาพ่นและยาหยอดจมูก</x:t>
        </x:is>
      </x:c>
      <x:c r="C899">
        <x:v>2813</x:v>
      </x:c>
      <x:c r="D899" t="inlineStr">
        <x:is>
          <x:t xml:space="preserve">Nasaline-ISO</x:t>
        </x:is>
      </x:c>
      <x:c r="E899" t="inlineStr">
        <x:is>
          <x:t xml:space="preserve">ขวด 30 ml.</x:t>
        </x:is>
      </x:c>
      <x:c r="F899" t="inlineStr">
        <x:is>
          <x:t xml:space="preserve">Dexpanthenol 10 mg.+Sodium Chloride 9 mg./1 ml.</x:t>
        </x:is>
      </x:c>
      <x:c r="G899" t="inlineStr">
        <x:is>
          <x:t xml:space="preserve">BDS002813</x:t>
        </x:is>
      </x:c>
      <x:c r="H899" t="inlineStr">
        <x:is>
          <x:t xml:space="preserve">Nasaline-ISO (30 ml.)</x:t>
        </x:is>
      </x:c>
      <x:c r="I899" t="inlineStr">
        <x:is>
          <x:t xml:space="preserve">พ่นเข้าจมูกแต่ละข้าง ข้างละ 1-2 สเปรย์ วันละ 1-2 ครั้ง หรือตามแพทย์สั่ง</x:t>
        </x:is>
      </x:c>
      <x:c r="K899">
        <x:v>96</x:v>
      </x:c>
      <x:c r="L899">
        <x:v>96</x:v>
      </x:c>
      <x:c r="M899" t="inlineStr">
        <x:is>
          <x:t xml:space="preserve">https://vcare-plus.com/nasaline-iso-30-ml/</x:t>
        </x:is>
      </x:c>
      <x:c r="N899" t="inlineStr">
        <x:is>
          <x:t xml:space="preserve">2026-02-07</x:t>
        </x:is>
      </x:c>
      <x:c r="O899" t="inlineStr">
        <x:is>
          <x:t xml:space="preserve">Retail price shown (30 ml bottle).</x:t>
        </x:is>
      </x:c>
    </x:row>
    <x:row r="900">
      <x:c r="A900">
        <x:v>898</x:v>
      </x:c>
      <x:c r="B900" t="inlineStr">
        <x:is>
          <x:t xml:space="preserve">ยาพ่นและยาหยอดจมูก</x:t>
        </x:is>
      </x:c>
      <x:c r="C900">
        <x:v>3019</x:v>
      </x:c>
      <x:c r="D900" t="inlineStr">
        <x:is>
          <x:t xml:space="preserve">Otrivin 0.1%</x:t>
        </x:is>
      </x:c>
      <x:c r="E900" t="inlineStr">
        <x:is>
          <x:t xml:space="preserve">ขวด 10 ml.</x:t>
        </x:is>
      </x:c>
      <x:c r="F900" t="inlineStr">
        <x:is>
          <x:t xml:space="preserve">Xylometazoline Hydrochloride 0.1% (1 mg./1 ml.)</x:t>
        </x:is>
      </x:c>
      <x:c r="G900" t="inlineStr">
        <x:is>
          <x:t xml:space="preserve">BDS003019</x:t>
        </x:is>
      </x:c>
      <x:c r="H900" t="inlineStr">
        <x:is>
          <x:t xml:space="preserve">Otrivin 0.1% (10 ml.)</x:t>
        </x:is>
      </x:c>
      <x:c r="I900" t="inlineStr">
        <x:is>
          <x:t xml:space="preserve">พ่นเข้าจมูกแต่ละข้าง 1 สเปรย์ วันละ 3 ครั้ง หรือตามแพทย์สั่ง </x:t>
        </x:is>
      </x:c>
      <x:c r="K900">
        <x:v>244</x:v>
      </x:c>
      <x:c r="L900">
        <x:v>24.4</x:v>
      </x:c>
      <x:c r="M900" t="inlineStr">
        <x:is>
          <x:t xml:space="preserve">USER</x:t>
        </x:is>
      </x:c>
      <x:c r="N900" t="inlineStr">
        <x:is>
          <x:t xml:space="preserve">2026-02-07</x:t>
        </x:is>
      </x:c>
      <x:c r="O900" t="inlineStr">
        <x:is>
          <x:t xml:space="preserve">User provided price (online). Unit price per mL (10 mL bottle).</x:t>
        </x:is>
      </x:c>
    </x:row>
    <x:row r="901">
      <x:c r="A901">
        <x:v>899</x:v>
      </x:c>
      <x:c r="B901" t="inlineStr">
        <x:is>
          <x:t xml:space="preserve">ยาพ่นและยาหยอดจมูก</x:t>
        </x:is>
      </x:c>
      <x:c r="C901">
        <x:v>3105</x:v>
      </x:c>
      <x:c r="D901" t="inlineStr">
        <x:is>
          <x:t xml:space="preserve">Otrivin Child Spray 0.05%</x:t>
        </x:is>
      </x:c>
      <x:c r="E901" t="inlineStr">
        <x:is>
          <x:t xml:space="preserve">ขวด 10 ml.</x:t>
        </x:is>
      </x:c>
      <x:c r="F901" t="inlineStr">
        <x:is>
          <x:t xml:space="preserve">Xylometazoline Hydrochloride 0.05% (0.5 mg./1 ml.)</x:t>
        </x:is>
      </x:c>
      <x:c r="G901" t="inlineStr">
        <x:is>
          <x:t xml:space="preserve">BDS003105</x:t>
        </x:is>
      </x:c>
      <x:c r="H901" t="inlineStr">
        <x:is>
          <x:t xml:space="preserve">Otrivin Child Spray 0.05% (10 ml.)</x:t>
        </x:is>
      </x:c>
      <x:c r="I901" t="inlineStr">
        <x:is>
          <x:t xml:space="preserve">พ่นเข้าจมูกแต่ละข้าง 1 สเปรย์ วันละ 1-2 ครั้ง หรือตามแพทย์สั่ง </x:t>
        </x:is>
      </x:c>
      <x:c r="K901">
        <x:v>244</x:v>
      </x:c>
      <x:c r="L901">
        <x:v>24.4</x:v>
      </x:c>
      <x:c r="M901" t="inlineStr">
        <x:is>
          <x:t xml:space="preserve">USER</x:t>
        </x:is>
      </x:c>
      <x:c r="N901" t="inlineStr">
        <x:is>
          <x:t xml:space="preserve">2026-02-07</x:t>
        </x:is>
      </x:c>
      <x:c r="O901" t="inlineStr">
        <x:is>
          <x:t xml:space="preserve">User provided price (Otrivin Child Spray 10 ml).</x:t>
        </x:is>
      </x:c>
    </x:row>
    <x:row r="902">
      <x:c r="A902">
        <x:v>900</x:v>
      </x:c>
      <x:c r="B902" t="inlineStr">
        <x:is>
          <x:t xml:space="preserve">ยาพ่นคอ</x:t>
        </x:is>
      </x:c>
      <x:c r="C902">
        <x:v>40610</x:v>
      </x:c>
      <x:c r="D902" t="inlineStr">
        <x:is>
          <x:t xml:space="preserve">Betadine Throat Spray 12 ml</x:t>
        </x:is>
      </x:c>
      <x:c r="E902" t="inlineStr">
        <x:is>
          <x:t xml:space="preserve">ขวด 12 ml.</x:t>
        </x:is>
      </x:c>
      <x:c r="F902" t="inlineStr">
        <x:is>
          <x:t xml:space="preserve">Povidone-Iodine 4.5 mg./1 ml.</x:t>
        </x:is>
      </x:c>
      <x:c r="G902" t="inlineStr">
        <x:is>
          <x:t xml:space="preserve">BDS040610</x:t>
        </x:is>
      </x:c>
      <x:c r="H902" t="inlineStr">
        <x:is>
          <x:t xml:space="preserve">Betadine Throat Spray 12 ml (12 ml.)</x:t>
        </x:is>
      </x:c>
      <x:c r="I902" t="inlineStr">
        <x:is>
          <x:t xml:space="preserve">ฉีดพ่น 2-3 ครั้ง ที่บริเวณช่องปากและลำคอ เมื่อมีอาการ </x:t>
        </x:is>
      </x:c>
      <x:c r="J902" t="inlineStr">
        <x:is>
          <x:t xml:space="preserve">Spray 2-3 times on the mouth and throat area. </x:t>
        </x:is>
      </x:c>
    </x:row>
    <x:row r="903">
      <x:c r="A903">
        <x:v>901</x:v>
      </x:c>
      <x:c r="B903" t="inlineStr">
        <x:is>
          <x:t xml:space="preserve">ยาพ่นคอ</x:t>
        </x:is>
      </x:c>
      <x:c r="C903">
        <x:v>40617</x:v>
      </x:c>
      <x:c r="D903" t="inlineStr">
        <x:is>
          <x:t xml:space="preserve">Betadine Throat Spray 25 ml</x:t>
        </x:is>
      </x:c>
      <x:c r="E903" t="inlineStr">
        <x:is>
          <x:t xml:space="preserve">ขวด 25 ml.</x:t>
        </x:is>
      </x:c>
      <x:c r="F903" t="inlineStr">
        <x:is>
          <x:t xml:space="preserve">Povidone-Iodine 4.5 mg./1 ml.</x:t>
        </x:is>
      </x:c>
      <x:c r="G903" t="inlineStr">
        <x:is>
          <x:t xml:space="preserve">BDS040617</x:t>
        </x:is>
      </x:c>
      <x:c r="H903" t="inlineStr">
        <x:is>
          <x:t xml:space="preserve">Betadine Throat Spray 25 ml (25 ml.)</x:t>
        </x:is>
      </x:c>
      <x:c r="I903" t="inlineStr">
        <x:is>
          <x:t xml:space="preserve">ฉีดพ่น 2-3 ครั้ง ที่บริเวณช่องปากและลำคอ เมื่อมีอาการ </x:t>
        </x:is>
      </x:c>
      <x:c r="J903" t="inlineStr">
        <x:is>
          <x:t xml:space="preserve">Spray 2-3 times on the mouth and throat area. </x:t>
        </x:is>
      </x:c>
    </x:row>
    <x:row r="904">
      <x:c r="A904">
        <x:v>902</x:v>
      </x:c>
      <x:c r="B904" t="inlineStr">
        <x:is>
          <x:t xml:space="preserve">ยาพ่นคอ</x:t>
        </x:is>
      </x:c>
      <x:c r="C904">
        <x:v>2411</x:v>
      </x:c>
      <x:c r="D904" t="inlineStr">
        <x:is>
          <x:t xml:space="preserve">Kamillosan-M Spray</x:t>
        </x:is>
      </x:c>
      <x:c r="E904" t="inlineStr">
        <x:is>
          <x:t xml:space="preserve">ขวด 15 ml.</x:t>
        </x:is>
      </x:c>
      <x:c r="F904" t="inlineStr">
        <x:is>
          <x:t xml:space="preserve">ดอกหญ้าหอม+เพเพอร์มิ้นต์+เซจ ออยล์+เทียนสัตบุษย์+ไพน์ นีดเดิล ออยล์+เบอร์กามอต ออยล์+ยูคาลิปทอล</x:t>
        </x:is>
      </x:c>
      <x:c r="G904" t="inlineStr">
        <x:is>
          <x:t xml:space="preserve">BDS002411</x:t>
        </x:is>
      </x:c>
      <x:c r="H904" t="inlineStr">
        <x:is>
          <x:t xml:space="preserve">Kamillosan-M Spray (15 ml.)</x:t>
        </x:is>
      </x:c>
      <x:c r="I904" t="inlineStr">
        <x:is>
          <x:t xml:space="preserve">กดหัวพ่นฉีดครั้งละ 2 ที ในบริเวณช่องปากและลำคอ วันละ 3 ครั้ง</x:t>
        </x:is>
      </x:c>
      <x:c r="K904">
        <x:v>163.5</x:v>
      </x:c>
      <x:c r="L904">
        <x:v>10.9</x:v>
      </x:c>
      <x:c r="M904" t="inlineStr">
        <x:is>
          <x:t xml:space="preserve">USER</x:t>
        </x:is>
      </x:c>
      <x:c r="N904" t="inlineStr">
        <x:is>
          <x:t xml:space="preserve">2026-02-07</x:t>
        </x:is>
      </x:c>
      <x:c r="O904" t="inlineStr">
        <x:is>
          <x:t xml:space="preserve">User provided price (online). Unit price per mL (15 mL bottle).</x:t>
        </x:is>
      </x:c>
    </x:row>
    <x:row r="905">
      <x:c r="A905">
        <x:v>903</x:v>
      </x:c>
      <x:c r="B905" t="inlineStr">
        <x:is>
          <x:t xml:space="preserve">ยาพ่นคอ</x:t>
        </x:is>
      </x:c>
      <x:c r="C905">
        <x:v>68420</x:v>
      </x:c>
      <x:c r="D905" t="inlineStr">
        <x:is>
          <x:t xml:space="preserve">สเปรย์แก้ไอตราตะขาบ 5 ตัว</x:t>
        </x:is>
      </x:c>
      <x:c r="E905" t="inlineStr">
        <x:is>
          <x:t xml:space="preserve">ขวด 20 ml.</x:t>
        </x:is>
      </x:c>
      <x:c r="F905" t="inlineStr">
        <x:is>
          <x:t xml:space="preserve">โง้วปวยจี้+ชะเอมเทศ+รากบัวหลวง+เฮ้งยิ้ง+เง็กเต็ก+แบะตงและอื่นๆ</x:t>
        </x:is>
      </x:c>
      <x:c r="G905" t="inlineStr">
        <x:is>
          <x:t xml:space="preserve">BDS068420</x:t>
        </x:is>
      </x:c>
      <x:c r="H905" t="inlineStr">
        <x:is>
          <x:t xml:space="preserve">สเปรย์แก้ไอตราตะขาบ 5 ตัว (20 ml.)</x:t>
        </x:is>
      </x:c>
      <x:c r="I905" t="inlineStr">
        <x:is>
          <x:t xml:space="preserve">พ่นสเปรย์บริเวณช่องปาก วันละ 2-3 ครั้ง หรือตามต้องการ </x:t>
        </x:is>
      </x:c>
    </x:row>
    <x:row r="906">
      <x:c r="A906">
        <x:v>904</x:v>
      </x:c>
      <x:c r="B906" t="inlineStr">
        <x:is>
          <x:t xml:space="preserve">ยาพ่นขยายหลอดลม (D)</x:t>
        </x:is>
      </x:c>
      <x:c r="C906">
        <x:v>40000</x:v>
      </x:c>
      <x:c r="D906" t="inlineStr">
        <x:is>
          <x:t xml:space="preserve">Aerobidol Inhaler</x:t>
        </x:is>
      </x:c>
      <x:c r="E906" t="inlineStr">
        <x:is>
          <x:t xml:space="preserve">ขวด 200 doses</x:t>
        </x:is>
      </x:c>
      <x:c r="F906" t="inlineStr">
        <x:is>
          <x:t xml:space="preserve">Ipratropium Bromide Monohydrate (eq. to Ipratropium Bromide Anhydrous 20 ug.+Fenoterol Hydrobromide 50 ug./dose</x:t>
        </x:is>
      </x:c>
      <x:c r="G906" t="inlineStr">
        <x:is>
          <x:t xml:space="preserve">BDS040000</x:t>
        </x:is>
      </x:c>
      <x:c r="H906" t="inlineStr">
        <x:is>
          <x:t xml:space="preserve">Aerobidol Inhaler (200 doses)</x:t>
        </x:is>
      </x:c>
      <x:c r="I906" t="inlineStr">
        <x:is>
          <x:t xml:space="preserve">พ่นยาเข้าทางปากครั้งละ 1-2 ครั้ง เมื่อมีอาการหอบหืด หรือตามแพทย์สั่ง</x:t>
        </x:is>
      </x:c>
    </x:row>
    <x:row r="907">
      <x:c r="A907">
        <x:v>905</x:v>
      </x:c>
      <x:c r="B907" t="inlineStr">
        <x:is>
          <x:t xml:space="preserve">ยาพ่นขยายหลอดลม (D)</x:t>
        </x:is>
      </x:c>
      <x:c r="C907">
        <x:v>1033</x:v>
      </x:c>
      <x:c r="D907" t="inlineStr">
        <x:is>
          <x:t xml:space="preserve">Aerotamol 100 mcg</x:t>
        </x:is>
      </x:c>
      <x:c r="E907" t="inlineStr">
        <x:is>
          <x:t xml:space="preserve">ขวด 200 doses</x:t>
        </x:is>
      </x:c>
      <x:c r="F907" t="inlineStr">
        <x:is>
          <x:t xml:space="preserve">Salbutamol Sulphate (eq. to Salbutamol 100 mcg./dose)</x:t>
        </x:is>
      </x:c>
      <x:c r="G907" t="inlineStr">
        <x:is>
          <x:t xml:space="preserve">BDS001033</x:t>
        </x:is>
      </x:c>
      <x:c r="H907" t="inlineStr">
        <x:is>
          <x:t xml:space="preserve">Aerotamol 100 mcg (200 doses)</x:t>
        </x:is>
      </x:c>
      <x:c r="I907" t="inlineStr">
        <x:is>
          <x:t xml:space="preserve">พ่นเข้าทางปากครั้งละ 1-2 สเปรย์ วันละ 1-3 ครั้ง หรือตามแพทย์สั่ง</x:t>
        </x:is>
      </x:c>
    </x:row>
    <x:row r="908">
      <x:c r="A908">
        <x:v>906</x:v>
      </x:c>
      <x:c r="B908" t="inlineStr">
        <x:is>
          <x:t xml:space="preserve">ยาพ่นขยายหลอดลม (D)</x:t>
        </x:is>
      </x:c>
      <x:c r="C908">
        <x:v>1235</x:v>
      </x:c>
      <x:c r="D908" t="inlineStr">
        <x:is>
          <x:t xml:space="preserve">Berodual Metered Doses</x:t>
        </x:is>
      </x:c>
      <x:c r="E908" t="inlineStr">
        <x:is>
          <x:t xml:space="preserve">ขวด 10 ml.</x:t>
        </x:is>
      </x:c>
      <x:c r="F908" t="inlineStr">
        <x:is>
          <x:t xml:space="preserve">Ipratropium Bromide Monohydrate 21 mcg. (eq. to Ipratropium Bromide Anhydrous 20 ug.+Fenoterol Hydrobromide 50 mcg./dose</x:t>
        </x:is>
      </x:c>
      <x:c r="G908" t="inlineStr">
        <x:is>
          <x:t xml:space="preserve">BDS001235</x:t>
        </x:is>
      </x:c>
      <x:c r="H908" t="inlineStr">
        <x:is>
          <x:t xml:space="preserve">Berodual Metered Doses (10 ml.)</x:t>
        </x:is>
      </x:c>
      <x:c r="I908" t="inlineStr">
        <x:is>
          <x:t xml:space="preserve">พ่นเข้าทางปากครั้งละ 1-2 ครั้ง เมื่อมีอาการหอบหืด หรือตามแพทย์สั่ง</x:t>
        </x:is>
      </x:c>
    </x:row>
    <x:row r="909">
      <x:c r="A909">
        <x:v>907</x:v>
      </x:c>
      <x:c r="B909" t="inlineStr">
        <x:is>
          <x:t xml:space="preserve">ยาพ่นขยายหลอดลม (D)</x:t>
        </x:is>
      </x:c>
      <x:c r="C909">
        <x:v>4009</x:v>
      </x:c>
      <x:c r="D909" t="inlineStr">
        <x:is>
          <x:t xml:space="preserve">Ventolin Evohaler</x:t>
        </x:is>
      </x:c>
      <x:c r="E909" t="inlineStr">
        <x:is>
          <x:t xml:space="preserve">ขวด 200 MET</x:t>
        </x:is>
      </x:c>
      <x:c r="F909" t="inlineStr">
        <x:is>
          <x:t xml:space="preserve">Salbutamol Sulphate (eq. to Salbutamol 100 mcg./dose)</x:t>
        </x:is>
      </x:c>
      <x:c r="G909" t="inlineStr">
        <x:is>
          <x:t xml:space="preserve">BDS004009</x:t>
        </x:is>
      </x:c>
      <x:c r="H909" t="inlineStr">
        <x:is>
          <x:t xml:space="preserve">Ventolin Evohaler (200 doses)</x:t>
        </x:is>
      </x:c>
      <x:c r="I909" t="inlineStr">
        <x:is>
          <x:t xml:space="preserve">พ่นเข้าทางปากครั้งละ 1-2 สเปรย์ วันละ 1-3 ครั้ง หรือตามแพทย์สั่ง </x:t>
        </x:is>
      </x:c>
    </x:row>
    <x:row r="910">
      <x:c r="A910">
        <x:v>908</x:v>
      </x:c>
      <x:c r="B910" t="inlineStr">
        <x:is>
          <x:t xml:space="preserve">ยาพ่นคอ (D)</x:t>
        </x:is>
      </x:c>
      <x:c r="C910">
        <x:v>6462</x:v>
      </x:c>
      <x:c r="D910" t="inlineStr">
        <x:is>
          <x:t xml:space="preserve">Difflam Forte Spray</x:t>
        </x:is>
      </x:c>
      <x:c r="E910" t="inlineStr">
        <x:is>
          <x:t xml:space="preserve">ขวด 15 ml.</x:t>
        </x:is>
      </x:c>
      <x:c r="F910" t="inlineStr">
        <x:is>
          <x:t xml:space="preserve">Benzydamine Hydrochloride 3 mg.+Ethanol+Saccharin Sodium+Methyl Hydroxybenzoate+Glycerol+PEG-40 Hydrogenated castor oil/ml.</x:t>
        </x:is>
      </x:c>
      <x:c r="G910" t="inlineStr">
        <x:is>
          <x:t xml:space="preserve">BDS006462</x:t>
        </x:is>
      </x:c>
      <x:c r="H910" t="inlineStr">
        <x:is>
          <x:t xml:space="preserve">Difflam Forte Spray (15 ml.)</x:t>
        </x:is>
      </x:c>
      <x:c r="I910" t="inlineStr">
        <x:is>
          <x:t xml:space="preserve">พ่นยาครั้งละ 2-4 ที บริเวณที่ปวดหรืออักเสบโดยตรงและกลืนเบาๆ หรือตามแพทย์สั่ง  </x:t>
        </x:is>
      </x:c>
      <x:c r="K910">
        <x:v>529</x:v>
      </x:c>
      <x:c r="L910">
        <x:v>35.27</x:v>
      </x:c>
      <x:c r="M910" t="inlineStr">
        <x:is>
          <x:t xml:space="preserve">USER</x:t>
        </x:is>
      </x:c>
      <x:c r="N910" t="inlineStr">
        <x:is>
          <x:t xml:space="preserve">2026-02-07</x:t>
        </x:is>
      </x:c>
      <x:c r="O910" t="inlineStr">
        <x:is>
          <x:t xml:space="preserve">User provided price (online). Unit price is per mL (15 mL bottle).</x:t>
        </x:is>
      </x:c>
    </x:row>
    <x:row r="911">
      <x:c r="A911">
        <x:v>909</x:v>
      </x:c>
      <x:c r="B911" t="inlineStr">
        <x:is>
          <x:t xml:space="preserve">เจลและครีมรักษาอาการฟกช้ำ</x:t>
        </x:is>
      </x:c>
      <x:c r="C911">
        <x:v>3439</x:v>
      </x:c>
      <x:c r="D911" t="inlineStr">
        <x:is>
          <x:t xml:space="preserve">Reparil-Gel N เล็ก</x:t>
        </x:is>
      </x:c>
      <x:c r="E911" t="inlineStr">
        <x:is>
          <x:t xml:space="preserve">หลอด 20 g.</x:t>
        </x:is>
      </x:c>
      <x:c r="F911" t="inlineStr">
        <x:is>
          <x:t xml:space="preserve">Aescin 1.0 g.+Diethylamine Salicylate 5.0 g./100 g.</x:t>
        </x:is>
      </x:c>
      <x:c r="G911" t="inlineStr">
        <x:is>
          <x:t xml:space="preserve">BDS003439</x:t>
        </x:is>
      </x:c>
      <x:c r="H911" t="inlineStr">
        <x:is>
          <x:t xml:space="preserve">Reparil-Gel N เล็ก (20 g.)</x:t>
        </x:is>
      </x:c>
      <x:c r="I911" t="inlineStr">
        <x:is>
          <x:t xml:space="preserve">ทาหรือนวดบริเวณที่มีอาการ วันละ 2-3 ครั้ง หรือตามแพทย์สั่ง</x:t>
        </x:is>
      </x:c>
    </x:row>
    <x:row r="912">
      <x:c r="A912">
        <x:v>910</x:v>
      </x:c>
      <x:c r="B912" t="inlineStr">
        <x:is>
          <x:t xml:space="preserve">เจลและครีมรักษาอาการฟกช้ำ</x:t>
        </x:is>
      </x:c>
      <x:c r="C912">
        <x:v>3408</x:v>
      </x:c>
      <x:c r="D912" t="inlineStr">
        <x:is>
          <x:t xml:space="preserve">Reparil-Gel N ใหญ่</x:t>
        </x:is>
      </x:c>
      <x:c r="E912" t="inlineStr">
        <x:is>
          <x:t xml:space="preserve">หลอด 40 g.</x:t>
        </x:is>
      </x:c>
      <x:c r="F912" t="inlineStr">
        <x:is>
          <x:t xml:space="preserve">Aescin 1.0 g.+Diethylamine Salicylate 5.0 g./100 g.</x:t>
        </x:is>
      </x:c>
      <x:c r="G912" t="inlineStr">
        <x:is>
          <x:t xml:space="preserve">BDS003408</x:t>
        </x:is>
      </x:c>
      <x:c r="H912" t="inlineStr">
        <x:is>
          <x:t xml:space="preserve">Reparil-Gel N ใหญ่ (40 g.)</x:t>
        </x:is>
      </x:c>
      <x:c r="I912" t="inlineStr">
        <x:is>
          <x:t xml:space="preserve">ทาหรือนวดบริเวณที่มีอาการ วันละ 2-3 ครั้ง หรือตามแพทย์สั่ง</x:t>
        </x:is>
      </x:c>
    </x:row>
  </x:sheetData>
  <x:pageMargins left="0.7" right="0.7" top="0.75" bottom="0.75" header="0.3" footer="0.3"/>
</x:worksheet>
</file>