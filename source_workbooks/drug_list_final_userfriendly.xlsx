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mmon_Doctor_Picks" sheetId="2" state="visible" r:id="rId2"/>
    <sheet xmlns:r="http://schemas.openxmlformats.org/officeDocument/2006/relationships" name="Final approved " sheetId="3" state="visible" r:id="rId3"/>
    <sheet xmlns:r="http://schemas.openxmlformats.org/officeDocument/2006/relationships" name="Price_Estimates_Online" sheetId="4" state="visible" r:id="rId4"/>
    <sheet xmlns:r="http://schemas.openxmlformats.org/officeDocument/2006/relationships" name="Headache_NeckPain_Options" sheetId="5" state="visible" r:id="rId5"/>
    <sheet xmlns:r="http://schemas.openxmlformats.org/officeDocument/2006/relationships" name="Respiratory Antibiotics" sheetId="6" state="visible" r:id="rId6"/>
    <sheet xmlns:r="http://schemas.openxmlformats.org/officeDocument/2006/relationships" name="General Analgesics" sheetId="7" state="visible" r:id="rId7"/>
    <sheet xmlns:r="http://schemas.openxmlformats.org/officeDocument/2006/relationships" name="Cough &amp; Expectorants" sheetId="8" state="visible" r:id="rId8"/>
    <sheet xmlns:r="http://schemas.openxmlformats.org/officeDocument/2006/relationships" name="Bronchodilators" sheetId="9" state="visible" r:id="rId9"/>
    <sheet xmlns:r="http://schemas.openxmlformats.org/officeDocument/2006/relationships" name="Carminatives" sheetId="10" state="visible" r:id="rId10"/>
    <sheet xmlns:r="http://schemas.openxmlformats.org/officeDocument/2006/relationships" name="Antifungals" sheetId="11" state="visible" r:id="rId11"/>
    <sheet xmlns:r="http://schemas.openxmlformats.org/officeDocument/2006/relationships" name="Antivirals" sheetId="12" state="visible" r:id="rId12"/>
    <sheet xmlns:r="http://schemas.openxmlformats.org/officeDocument/2006/relationships" name="Antiparasitics" sheetId="13" state="visible" r:id="rId13"/>
    <sheet xmlns:r="http://schemas.openxmlformats.org/officeDocument/2006/relationships" name="Adsorbents" sheetId="14" state="visible" r:id="rId14"/>
    <sheet xmlns:r="http://schemas.openxmlformats.org/officeDocument/2006/relationships" name="Other Antibiotics" sheetId="15" state="visible" r:id="rId15"/>
    <sheet xmlns:r="http://schemas.openxmlformats.org/officeDocument/2006/relationships" name="NSAIDs" sheetId="16" state="visible" r:id="rId16"/>
    <sheet xmlns:r="http://schemas.openxmlformats.org/officeDocument/2006/relationships" name="Migraine Drugs" sheetId="17" state="visible" r:id="rId17"/>
    <sheet xmlns:r="http://schemas.openxmlformats.org/officeDocument/2006/relationships" name="Strong Pain Meds" sheetId="18" state="visible" r:id="rId18"/>
    <sheet xmlns:r="http://schemas.openxmlformats.org/officeDocument/2006/relationships" name="Antispasmodics" sheetId="19" state="visible" r:id="rId19"/>
    <sheet xmlns:r="http://schemas.openxmlformats.org/officeDocument/2006/relationships" name="Muscle Relaxants" sheetId="20" state="visible" r:id="rId20"/>
    <sheet xmlns:r="http://schemas.openxmlformats.org/officeDocument/2006/relationships" name="UTI Antibiotics" sheetId="21" state="visible" r:id="rId21"/>
    <sheet xmlns:r="http://schemas.openxmlformats.org/officeDocument/2006/relationships" name="ORS-Electrolytes" sheetId="22" state="visible" r:id="rId22"/>
    <sheet xmlns:r="http://schemas.openxmlformats.org/officeDocument/2006/relationships" name="Digestive Aids" sheetId="23" state="visible" r:id="rId23"/>
    <sheet xmlns:r="http://schemas.openxmlformats.org/officeDocument/2006/relationships" name="Vaginal Antiparasitic" sheetId="24" state="visible" r:id="rId24"/>
    <sheet xmlns:r="http://schemas.openxmlformats.org/officeDocument/2006/relationships" name="Normal Saline" sheetId="25" state="visible" r:id="rId25"/>
    <sheet xmlns:r="http://schemas.openxmlformats.org/officeDocument/2006/relationships" name="Topical Pain Relief" sheetId="26" state="visible" r:id="rId26"/>
    <sheet xmlns:r="http://schemas.openxmlformats.org/officeDocument/2006/relationships" name="Eczema &amp; Anti-itch" sheetId="27" state="visible" r:id="rId27"/>
    <sheet xmlns:r="http://schemas.openxmlformats.org/officeDocument/2006/relationships" name="Artificial Tears" sheetId="28" state="visible" r:id="rId28"/>
    <sheet xmlns:r="http://schemas.openxmlformats.org/officeDocument/2006/relationships" name="Topical Antibiotics" sheetId="29" state="visible" r:id="rId29"/>
    <sheet xmlns:r="http://schemas.openxmlformats.org/officeDocument/2006/relationships" name="Mouthwash" sheetId="30" state="visible" r:id="rId30"/>
    <sheet xmlns:r="http://schemas.openxmlformats.org/officeDocument/2006/relationships" name="Wart Treatment" sheetId="31" state="visible" r:id="rId31"/>
    <sheet xmlns:r="http://schemas.openxmlformats.org/officeDocument/2006/relationships" name="Dry Skin Creams" sheetId="32" state="visible" r:id="rId32"/>
  </sheets>
  <definedNames>
    <definedName name="_xlnm._FilterDatabase" localSheetId="0" hidden="1">'Index'!$A$1:$C$28</definedName>
    <definedName name="_xlnm._FilterDatabase" localSheetId="1" hidden="1">'Common_Doctor_Picks'!$A$1:$I$54</definedName>
    <definedName name="_xlnm._FilterDatabase" localSheetId="3" hidden="1">'Price_Estimates_Online'!$A$1:$I$45</definedName>
    <definedName name="_xlnm._FilterDatabase" localSheetId="4" hidden="1">'Headache_NeckPain_Options'!$A$1:$M$159</definedName>
    <definedName name="_xlnm._FilterDatabase" localSheetId="5" hidden="1">'Respiratory Antibiotics'!$A$1:$P$24</definedName>
    <definedName name="_xlnm._FilterDatabase" localSheetId="6" hidden="1">'General Analgesics'!$A$1:$P$46</definedName>
    <definedName name="_xlnm._FilterDatabase" localSheetId="7" hidden="1">'Cough &amp; Expectorants'!$A$1:$P$46</definedName>
    <definedName name="_xlnm._FilterDatabase" localSheetId="8" hidden="1">'Bronchodilators'!$A$1:$P$10</definedName>
    <definedName name="_xlnm._FilterDatabase" localSheetId="9" hidden="1">'Carminatives'!$A$1:$P$19</definedName>
    <definedName name="_xlnm._FilterDatabase" localSheetId="10" hidden="1">'Antifungals'!$A$1:$P$19</definedName>
    <definedName name="_xlnm._FilterDatabase" localSheetId="11" hidden="1">'Antivirals'!$A$1:$P$14</definedName>
    <definedName name="_xlnm._FilterDatabase" localSheetId="12" hidden="1">'Antiparasitics'!$A$1:$P$9</definedName>
    <definedName name="_xlnm._FilterDatabase" localSheetId="13" hidden="1">'Adsorbents'!$A$1:$P$5</definedName>
    <definedName name="_xlnm._FilterDatabase" localSheetId="14" hidden="1">'Other Antibiotics'!$A$1:$P$20</definedName>
    <definedName name="_xlnm._FilterDatabase" localSheetId="15" hidden="1">'NSAIDs'!$A$1:$P$34</definedName>
    <definedName name="_xlnm._FilterDatabase" localSheetId="16" hidden="1">'Migraine Drugs'!$A$1:$P$6</definedName>
    <definedName name="_xlnm._FilterDatabase" localSheetId="17" hidden="1">'Strong Pain Meds'!$A$1:$P$2</definedName>
    <definedName name="_xlnm._FilterDatabase" localSheetId="18" hidden="1">'Antispasmodics'!$A$1:$P$10</definedName>
    <definedName name="_xlnm._FilterDatabase" localSheetId="19" hidden="1">'Muscle Relaxants'!$A$1:$P$15</definedName>
    <definedName name="_xlnm._FilterDatabase" localSheetId="20" hidden="1">'UTI Antibiotics'!$A$1:$P$15</definedName>
    <definedName name="_xlnm._FilterDatabase" localSheetId="21" hidden="1">'ORS-Electrolytes'!$A$1:$P$2</definedName>
    <definedName name="_xlnm._FilterDatabase" localSheetId="22" hidden="1">'Digestive Aids'!$A$1:$P$6</definedName>
    <definedName name="_xlnm._FilterDatabase" localSheetId="23" hidden="1">'Vaginal Antiparasitic'!$A$1:$P$3</definedName>
    <definedName name="_xlnm._FilterDatabase" localSheetId="24" hidden="1">'Normal Saline'!$A$1:$P$9</definedName>
    <definedName name="_xlnm._FilterDatabase" localSheetId="25" hidden="1">'Topical Pain Relief'!$A$1:$P$42</definedName>
    <definedName name="_xlnm._FilterDatabase" localSheetId="26" hidden="1">'Eczema &amp; Anti-itch'!$A$1:$P$49</definedName>
    <definedName name="_xlnm._FilterDatabase" localSheetId="27" hidden="1">'Artificial Tears'!$A$1:$P$24</definedName>
    <definedName name="_xlnm._FilterDatabase" localSheetId="28" hidden="1">'Topical Antibiotics'!$A$1:$P$6</definedName>
    <definedName name="_xlnm._FilterDatabase" localSheetId="29" hidden="1">'Mouthwash'!$A$1:$P$11</definedName>
    <definedName name="_xlnm._FilterDatabase" localSheetId="30" hidden="1">'Wart Treatment'!$A$1:$P$4</definedName>
    <definedName name="_xlnm._FilterDatabase" localSheetId="31" hidden="1">'Dry Skin Creams'!$A$1:$P$3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 Count</t>
        </is>
      </c>
      <c r="C1" s="1" t="inlineStr">
        <is>
          <t>Link</t>
        </is>
      </c>
    </row>
    <row r="2">
      <c r="A2" t="inlineStr">
        <is>
          <t>Adsorbents</t>
        </is>
      </c>
      <c r="B2" t="n">
        <v>4</v>
      </c>
      <c r="C2">
        <f>HYPERLINK("#'Adsorbents'!A1","Adsorbents")</f>
        <v/>
      </c>
    </row>
    <row r="3">
      <c r="A3" t="inlineStr">
        <is>
          <t>Antifungals</t>
        </is>
      </c>
      <c r="B3" t="n">
        <v>18</v>
      </c>
      <c r="C3">
        <f>HYPERLINK("#'Antifungals'!A1","Antifungals")</f>
        <v/>
      </c>
    </row>
    <row r="4">
      <c r="A4" t="inlineStr">
        <is>
          <t>Antiparasitics</t>
        </is>
      </c>
      <c r="B4" t="n">
        <v>8</v>
      </c>
      <c r="C4">
        <f>HYPERLINK("#'Antiparasitics'!A1","Antiparasitics")</f>
        <v/>
      </c>
    </row>
    <row r="5">
      <c r="A5" t="inlineStr">
        <is>
          <t>Antispasmodics</t>
        </is>
      </c>
      <c r="B5" t="n">
        <v>9</v>
      </c>
      <c r="C5">
        <f>HYPERLINK("#'Antispasmodics'!A1","Antispasmodics")</f>
        <v/>
      </c>
    </row>
    <row r="6">
      <c r="A6" t="inlineStr">
        <is>
          <t>Antivirals</t>
        </is>
      </c>
      <c r="B6" t="n">
        <v>13</v>
      </c>
      <c r="C6">
        <f>HYPERLINK("#'Antivirals'!A1","Antivirals")</f>
        <v/>
      </c>
    </row>
    <row r="7">
      <c r="A7" t="inlineStr">
        <is>
          <t>Artificial Tears</t>
        </is>
      </c>
      <c r="B7" t="n">
        <v>23</v>
      </c>
      <c r="C7">
        <f>HYPERLINK("#'Artificial Tears'!A1","Artificial Tears")</f>
        <v/>
      </c>
    </row>
    <row r="8">
      <c r="A8" t="inlineStr">
        <is>
          <t>Bronchodilators</t>
        </is>
      </c>
      <c r="B8" t="n">
        <v>9</v>
      </c>
      <c r="C8">
        <f>HYPERLINK("#'Bronchodilators'!A1","Bronchodilators")</f>
        <v/>
      </c>
    </row>
    <row r="9">
      <c r="A9" t="inlineStr">
        <is>
          <t>Carminatives</t>
        </is>
      </c>
      <c r="B9" t="n">
        <v>18</v>
      </c>
      <c r="C9">
        <f>HYPERLINK("#'Carminatives'!A1","Carminatives")</f>
        <v/>
      </c>
    </row>
    <row r="10">
      <c r="A10" t="inlineStr">
        <is>
          <t>Cough &amp; Expectorants</t>
        </is>
      </c>
      <c r="B10" t="n">
        <v>45</v>
      </c>
      <c r="C10">
        <f>HYPERLINK("#'Cough &amp; Expectorants'!A1","Cough &amp; Expectorants")</f>
        <v/>
      </c>
    </row>
    <row r="11">
      <c r="A11" t="inlineStr">
        <is>
          <t>Digestive Aids</t>
        </is>
      </c>
      <c r="B11" t="n">
        <v>5</v>
      </c>
      <c r="C11">
        <f>HYPERLINK("#'Digestive Aids'!A1","Digestive Aids")</f>
        <v/>
      </c>
    </row>
    <row r="12">
      <c r="A12" t="inlineStr">
        <is>
          <t>Dry Skin Creams</t>
        </is>
      </c>
      <c r="B12" t="n">
        <v>2</v>
      </c>
      <c r="C12">
        <f>HYPERLINK("#'Dry Skin Creams'!A1","Dry Skin Creams")</f>
        <v/>
      </c>
    </row>
    <row r="13">
      <c r="A13" t="inlineStr">
        <is>
          <t>Eczema &amp; Anti-itch</t>
        </is>
      </c>
      <c r="B13" t="n">
        <v>48</v>
      </c>
      <c r="C13">
        <f>HYPERLINK("#'Eczema &amp; Anti-itch'!A1","Eczema &amp; Anti-itch")</f>
        <v/>
      </c>
    </row>
    <row r="14">
      <c r="A14" t="inlineStr">
        <is>
          <t>General Analgesics</t>
        </is>
      </c>
      <c r="B14" t="n">
        <v>45</v>
      </c>
      <c r="C14">
        <f>HYPERLINK("#'General Analgesics'!A1","General Analgesics")</f>
        <v/>
      </c>
    </row>
    <row r="15">
      <c r="A15" t="inlineStr">
        <is>
          <t>Migraine Drugs</t>
        </is>
      </c>
      <c r="B15" t="n">
        <v>5</v>
      </c>
      <c r="C15">
        <f>HYPERLINK("#'Migraine Drugs'!A1","Migraine Drugs")</f>
        <v/>
      </c>
    </row>
    <row r="16">
      <c r="A16" t="inlineStr">
        <is>
          <t>Mouthwash</t>
        </is>
      </c>
      <c r="B16" t="n">
        <v>10</v>
      </c>
      <c r="C16">
        <f>HYPERLINK("#'Mouthwash'!A1","Mouthwash")</f>
        <v/>
      </c>
    </row>
    <row r="17">
      <c r="A17" t="inlineStr">
        <is>
          <t>Muscle Relaxants</t>
        </is>
      </c>
      <c r="B17" t="n">
        <v>14</v>
      </c>
      <c r="C17">
        <f>HYPERLINK("#'Muscle Relaxants'!A1","Muscle Relaxants")</f>
        <v/>
      </c>
    </row>
    <row r="18">
      <c r="A18" t="inlineStr">
        <is>
          <t>NSAIDs</t>
        </is>
      </c>
      <c r="B18" t="n">
        <v>33</v>
      </c>
      <c r="C18">
        <f>HYPERLINK("#'NSAIDs'!A1","NSAIDs")</f>
        <v/>
      </c>
    </row>
    <row r="19">
      <c r="A19" t="inlineStr">
        <is>
          <t>Normal Saline</t>
        </is>
      </c>
      <c r="B19" t="n">
        <v>8</v>
      </c>
      <c r="C19">
        <f>HYPERLINK("#'Normal Saline'!A1","Normal Saline")</f>
        <v/>
      </c>
    </row>
    <row r="20">
      <c r="A20" t="inlineStr">
        <is>
          <t>ORS-Electrolytes</t>
        </is>
      </c>
      <c r="B20" t="n">
        <v>1</v>
      </c>
      <c r="C20">
        <f>HYPERLINK("#'ORS-Electrolytes'!A1","ORS-Electrolytes")</f>
        <v/>
      </c>
    </row>
    <row r="21">
      <c r="A21" t="inlineStr">
        <is>
          <t>Other Antibiotics</t>
        </is>
      </c>
      <c r="B21" t="n">
        <v>19</v>
      </c>
      <c r="C21">
        <f>HYPERLINK("#'Other Antibiotics'!A1","Other Antibiotics")</f>
        <v/>
      </c>
    </row>
    <row r="22">
      <c r="A22" t="inlineStr">
        <is>
          <t>Respiratory Antibiotics</t>
        </is>
      </c>
      <c r="B22" t="n">
        <v>23</v>
      </c>
      <c r="C22">
        <f>HYPERLINK("#'Respiratory Antibiotics'!A1","Respiratory Antibiotics")</f>
        <v/>
      </c>
    </row>
    <row r="23">
      <c r="A23" t="inlineStr">
        <is>
          <t>Strong Pain Meds</t>
        </is>
      </c>
      <c r="B23" t="n">
        <v>1</v>
      </c>
      <c r="C23">
        <f>HYPERLINK("#'Strong Pain Meds'!A1","Strong Pain Meds")</f>
        <v/>
      </c>
    </row>
    <row r="24">
      <c r="A24" t="inlineStr">
        <is>
          <t>Topical Antibiotics</t>
        </is>
      </c>
      <c r="B24" t="n">
        <v>5</v>
      </c>
      <c r="C24">
        <f>HYPERLINK("#'Topical Antibiotics'!A1","Topical Antibiotics")</f>
        <v/>
      </c>
    </row>
    <row r="25">
      <c r="A25" t="inlineStr">
        <is>
          <t>Topical Pain Relief</t>
        </is>
      </c>
      <c r="B25" t="n">
        <v>41</v>
      </c>
      <c r="C25">
        <f>HYPERLINK("#'Topical Pain Relief'!A1","Topical Pain Relief")</f>
        <v/>
      </c>
    </row>
    <row r="26">
      <c r="A26" t="inlineStr">
        <is>
          <t>UTI Antibiotics</t>
        </is>
      </c>
      <c r="B26" t="n">
        <v>14</v>
      </c>
      <c r="C26">
        <f>HYPERLINK("#'UTI Antibiotics'!A1","UTI Antibiotics")</f>
        <v/>
      </c>
    </row>
    <row r="27">
      <c r="A27" t="inlineStr">
        <is>
          <t>Vaginal Antiparasitic</t>
        </is>
      </c>
      <c r="B27" t="n">
        <v>2</v>
      </c>
      <c r="C27">
        <f>HYPERLINK("#'Vaginal Antiparasitic'!A1","Vaginal Antiparasitic")</f>
        <v/>
      </c>
    </row>
    <row r="28">
      <c r="A28" t="inlineStr">
        <is>
          <t>Wart Treatment</t>
        </is>
      </c>
      <c r="B28" t="n">
        <v>3</v>
      </c>
      <c r="C28">
        <f>HYPERLINK("#'Wart Treatment'!A1","Wart Treatment")</f>
        <v/>
      </c>
    </row>
  </sheetData>
  <autoFilter ref="A1:C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Market name</t>
        </is>
      </c>
      <c r="C1" s="1" t="inlineStr">
        <is>
          <t>Generic/Active</t>
        </is>
      </c>
      <c r="D1" s="1" t="inlineStr">
        <is>
          <t>BDS code</t>
        </is>
      </c>
      <c r="E1" s="1" t="inlineStr">
        <is>
          <t>Pack</t>
        </is>
      </c>
      <c r="F1" s="1" t="inlineStr">
        <is>
          <t>Price (THB/pack)</t>
        </is>
      </c>
      <c r="G1" s="1" t="inlineStr">
        <is>
          <t>When to choose</t>
        </is>
      </c>
      <c r="H1" s="1" t="inlineStr">
        <is>
          <t>Key cautions</t>
        </is>
      </c>
      <c r="I1" s="1" t="inlineStr">
        <is>
          <t>Notes/limits</t>
        </is>
      </c>
    </row>
    <row r="2">
      <c r="A2" t="inlineStr">
        <is>
          <t>Paracetamol</t>
        </is>
      </c>
      <c r="B2" t="inlineStr">
        <is>
          <t>Tylenol 500 mg strip 10s</t>
        </is>
      </c>
      <c r="C2" t="inlineStr">
        <is>
          <t>Paracetamol 500 mg.</t>
        </is>
      </c>
      <c r="D2" t="inlineStr">
        <is>
          <t>BDS003762</t>
        </is>
      </c>
      <c r="E2" t="inlineStr">
        <is>
          <t>แผง 10 เม็ด</t>
        </is>
      </c>
      <c r="F2" t="n">
        <v>36</v>
      </c>
      <c r="G2" t="inlineStr">
        <is>
          <t>Pain/fever; first-line analgesic/antipyretic.</t>
        </is>
      </c>
      <c r="H2" t="inlineStr">
        <is>
          <t>Max 4 g/day adult; avoid duplicate paracetamol; caution liver dz/heavy EtOH.</t>
        </is>
      </c>
    </row>
    <row r="3">
      <c r="A3" t="inlineStr">
        <is>
          <t>Paracetamol</t>
        </is>
      </c>
      <c r="B3" t="inlineStr">
        <is>
          <t>Tylenol 8 Hour</t>
        </is>
      </c>
      <c r="C3" t="inlineStr">
        <is>
          <t>Paracetamol 650 mg.</t>
        </is>
      </c>
      <c r="D3" t="inlineStr">
        <is>
          <t>BDS003748</t>
        </is>
      </c>
      <c r="E3" t="inlineStr">
        <is>
          <t>กล่อง 10 เม็ด</t>
        </is>
      </c>
      <c r="G3" t="inlineStr">
        <is>
          <t>Pain/fever; first-line analgesic/antipyretic.</t>
        </is>
      </c>
      <c r="H3" t="inlineStr">
        <is>
          <t>Max 4 g/day adult; avoid duplicate paracetamol; caution liver dz/heavy EtOH.</t>
        </is>
      </c>
    </row>
    <row r="4">
      <c r="A4" t="inlineStr">
        <is>
          <t>Paracetamol</t>
        </is>
      </c>
      <c r="B4" t="inlineStr">
        <is>
          <t xml:space="preserve">Panadol Actifast </t>
        </is>
      </c>
      <c r="C4" t="inlineStr">
        <is>
          <t>Paracetamol 500 mg.</t>
        </is>
      </c>
      <c r="D4" t="inlineStr">
        <is>
          <t>BDS046505</t>
        </is>
      </c>
      <c r="E4" t="inlineStr">
        <is>
          <t>กล่อง 10 เม็ด</t>
        </is>
      </c>
      <c r="G4" t="inlineStr">
        <is>
          <t>Pain/fever; first-line analgesic/antipyretic.</t>
        </is>
      </c>
      <c r="H4" t="inlineStr">
        <is>
          <t>Max 4 g/day adult; avoid duplicate paracetamol; caution liver dz/heavy EtOH.</t>
        </is>
      </c>
    </row>
    <row r="5">
      <c r="A5" t="inlineStr">
        <is>
          <t>Throat spray</t>
        </is>
      </c>
      <c r="B5" t="inlineStr">
        <is>
          <t>Kamillosan-M Spray</t>
        </is>
      </c>
      <c r="C5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D5" t="inlineStr">
        <is>
          <t>BDS002411</t>
        </is>
      </c>
      <c r="E5" t="inlineStr">
        <is>
          <t>ขวด 15 ml.</t>
        </is>
      </c>
      <c r="F5" t="n">
        <v>163.5</v>
      </c>
      <c r="G5" t="inlineStr">
        <is>
          <t>Sore throat/irritation; symptom relief.</t>
        </is>
      </c>
      <c r="H5" t="inlineStr">
        <is>
          <t>Local stinging/numbness; avoid if allergy; do not swallow large amounts.</t>
        </is>
      </c>
    </row>
    <row r="6">
      <c r="A6" t="inlineStr">
        <is>
          <t>Throat spray</t>
        </is>
      </c>
      <c r="B6" t="inlineStr">
        <is>
          <t>Difflam Forte Spray</t>
        </is>
      </c>
      <c r="C6" t="inlineStr">
        <is>
          <t>Benzydamine Hydrochloride 3 mg.+Ethanol+Saccharin Sodium+Methyl Hydroxybenzoate+Glycerol+PEG-40 Hydrogenated castor oil/ml.</t>
        </is>
      </c>
      <c r="D6" t="inlineStr">
        <is>
          <t>BDS006462</t>
        </is>
      </c>
      <c r="E6" t="inlineStr">
        <is>
          <t>ขวด 15 ml.</t>
        </is>
      </c>
      <c r="F6" t="n">
        <v>529</v>
      </c>
      <c r="G6" t="inlineStr">
        <is>
          <t>Sore throat/irritation; symptom relief.</t>
        </is>
      </c>
      <c r="H6" t="inlineStr">
        <is>
          <t>Local stinging/numbness; avoid if allergy; do not swallow large amounts.</t>
        </is>
      </c>
    </row>
    <row r="7">
      <c r="A7" t="inlineStr">
        <is>
          <t>Throat spray</t>
        </is>
      </c>
      <c r="B7" t="inlineStr">
        <is>
          <t>Betadine Throat Spray 12 ml</t>
        </is>
      </c>
      <c r="C7" t="inlineStr">
        <is>
          <t>Povidone-Iodine 4.5 mg./1 ml.</t>
        </is>
      </c>
      <c r="D7" t="inlineStr">
        <is>
          <t>BDS040610</t>
        </is>
      </c>
      <c r="E7" t="inlineStr">
        <is>
          <t>ขวด 12 ml.</t>
        </is>
      </c>
      <c r="G7" t="inlineStr">
        <is>
          <t>Sore throat/irritation; symptom relief.</t>
        </is>
      </c>
      <c r="H7" t="inlineStr">
        <is>
          <t>Local stinging/numbness; avoid if allergy; do not swallow large amounts.</t>
        </is>
      </c>
    </row>
    <row r="8">
      <c r="A8" t="inlineStr">
        <is>
          <t>Gargle</t>
        </is>
      </c>
      <c r="B8" t="inlineStr">
        <is>
          <t>Betadine Gargle</t>
        </is>
      </c>
      <c r="C8" t="inlineStr">
        <is>
          <t>Povidone-Iodine 70 mg./1 ml.</t>
        </is>
      </c>
      <c r="D8" t="inlineStr">
        <is>
          <t>BDS040609</t>
        </is>
      </c>
      <c r="E8" t="inlineStr">
        <is>
          <t>ขวด 30 ml.</t>
        </is>
      </c>
      <c r="G8" t="inlineStr">
        <is>
          <t>Sore throat/tonsillitis adjunct; antiseptic gargle/spit.</t>
        </is>
      </c>
      <c r="H8" t="inlineStr">
        <is>
          <t>Iodine caution: thyroid dz/iodine allergy/pregnancy; spit out.</t>
        </is>
      </c>
    </row>
    <row r="9">
      <c r="A9" t="inlineStr">
        <is>
          <t>Lozenge</t>
        </is>
      </c>
      <c r="B9" t="inlineStr">
        <is>
          <t>Difflam รสน้ำผึ้งมะนาวผสมโพรโพลิส</t>
        </is>
      </c>
      <c r="C9" t="inlineStr">
        <is>
          <t>2,4-Dichlorobenzyl alcohol 1.2 mg.+Amylmetacresol 0.6 mg.</t>
        </is>
      </c>
      <c r="D9" t="inlineStr">
        <is>
          <t>BDS042357</t>
        </is>
      </c>
      <c r="E9" t="inlineStr">
        <is>
          <t>ซอง 8 เม็ด</t>
        </is>
      </c>
      <c r="G9" t="inlineStr">
        <is>
          <t>Sore throat/irritation; PRN.</t>
        </is>
      </c>
      <c r="H9" t="inlineStr">
        <is>
          <t>Sugar content; choking risk in small children.</t>
        </is>
      </c>
    </row>
    <row r="10">
      <c r="A10" t="inlineStr">
        <is>
          <t>Lozenge</t>
        </is>
      </c>
      <c r="B10" t="inlineStr">
        <is>
          <t>Strepsils Honey &amp; Lemon HHR ซอง 8s</t>
        </is>
      </c>
      <c r="C10" t="inlineStr">
        <is>
          <t>2,4-Dichlorobenzyl Alcohol 1.2 mg.+Amylmetacresol 0.6 mg.</t>
        </is>
      </c>
      <c r="D10" t="inlineStr">
        <is>
          <t>BDS003590</t>
        </is>
      </c>
      <c r="E10" t="inlineStr">
        <is>
          <t>ซอง 8 เม็ด</t>
        </is>
      </c>
      <c r="F10" t="n">
        <v>120</v>
      </c>
      <c r="G10" t="inlineStr">
        <is>
          <t>Sore throat/irritation; PRN.</t>
        </is>
      </c>
      <c r="H10" t="inlineStr">
        <is>
          <t>Sugar content; choking risk in small children.</t>
        </is>
      </c>
    </row>
    <row r="11">
      <c r="A11" t="inlineStr">
        <is>
          <t>Lozenge</t>
        </is>
      </c>
      <c r="B11" t="inlineStr">
        <is>
          <t>Mybacin OTC Mint</t>
        </is>
      </c>
      <c r="C11" t="inlineStr">
        <is>
          <t>2,4-ไดคลอโรเบนซิล แอลกอฮอล์ 1.2 มก.+เอมิลเมเทครีซอล 0.6 มก.</t>
        </is>
      </c>
      <c r="D11" t="inlineStr">
        <is>
          <t>BDS044922</t>
        </is>
      </c>
      <c r="E11" t="inlineStr">
        <is>
          <t>ซอง 8 เม็ด</t>
        </is>
      </c>
      <c r="G11" t="inlineStr">
        <is>
          <t>Sore throat/irritation; PRN.</t>
        </is>
      </c>
      <c r="H11" t="inlineStr">
        <is>
          <t>Sugar content; choking risk in small children.</t>
        </is>
      </c>
    </row>
    <row r="12">
      <c r="A12" t="inlineStr">
        <is>
          <t>Cough/Mucolytic</t>
        </is>
      </c>
      <c r="B12" t="inlineStr">
        <is>
          <t>Nac Long</t>
        </is>
      </c>
      <c r="C12" t="inlineStr">
        <is>
          <t>Acetylcysteine 600 mg.</t>
        </is>
      </c>
      <c r="D12" t="inlineStr">
        <is>
          <t>BDS002901</t>
        </is>
      </c>
      <c r="E12" t="inlineStr">
        <is>
          <t>หลอด 10 เม็ด</t>
        </is>
      </c>
      <c r="F12" t="n">
        <v>270</v>
      </c>
      <c r="G12" t="inlineStr">
        <is>
          <t>Productive cough/sputum; help expectoration.</t>
        </is>
      </c>
      <c r="H12" t="inlineStr">
        <is>
          <t>GI upset; avoid unnecessary in very young; encourage hydration.</t>
        </is>
      </c>
    </row>
    <row r="13">
      <c r="A13" t="inlineStr">
        <is>
          <t>Cough/Mucolytic</t>
        </is>
      </c>
      <c r="B13" t="inlineStr">
        <is>
          <t>Bisolvon</t>
        </is>
      </c>
      <c r="C13" t="inlineStr">
        <is>
          <t>Bromhexine HCl 8 mg.</t>
        </is>
      </c>
      <c r="D13" t="inlineStr">
        <is>
          <t>BDS001255</t>
        </is>
      </c>
      <c r="E13" t="inlineStr">
        <is>
          <t>แผง 10 เม็ด</t>
        </is>
      </c>
      <c r="G13" t="inlineStr">
        <is>
          <t>Productive cough/sputum; help expectoration.</t>
        </is>
      </c>
      <c r="H13" t="inlineStr">
        <is>
          <t>GI upset; avoid unnecessary in very young; encourage hydration.</t>
        </is>
      </c>
    </row>
    <row r="14">
      <c r="A14" t="inlineStr">
        <is>
          <t>Cough/Mucolytic</t>
        </is>
      </c>
      <c r="B14" t="inlineStr">
        <is>
          <t>Mucolid</t>
        </is>
      </c>
      <c r="C14" t="inlineStr">
        <is>
          <t>Ambroxol HCl 30 mg.</t>
        </is>
      </c>
      <c r="D14" t="inlineStr">
        <is>
          <t>BDS002655</t>
        </is>
      </c>
      <c r="E14" t="inlineStr">
        <is>
          <t>แผง 10 เม็ด</t>
        </is>
      </c>
      <c r="F14" t="n">
        <v>90</v>
      </c>
      <c r="G14" t="inlineStr">
        <is>
          <t>Productive cough/sputum; help expectoration.</t>
        </is>
      </c>
      <c r="H14" t="inlineStr">
        <is>
          <t>GI upset; avoid unnecessary in very young; encourage hydration.</t>
        </is>
      </c>
    </row>
    <row r="15">
      <c r="A15" t="inlineStr">
        <is>
          <t>Cough antitussive (limit 2 packs)</t>
        </is>
      </c>
      <c r="B15" t="inlineStr">
        <is>
          <t>Icolid (ควบคุมจำนวน)</t>
        </is>
      </c>
      <c r="C15" t="inlineStr">
        <is>
          <t>Dextromethorphan HBr 15 mg.</t>
        </is>
      </c>
      <c r="D15" t="inlineStr">
        <is>
          <t>BDS002211</t>
        </is>
      </c>
      <c r="E15" t="inlineStr">
        <is>
          <t>แผง 10 เม็ด</t>
        </is>
      </c>
      <c r="F15" t="n">
        <v>50</v>
      </c>
      <c r="G15" t="inlineStr">
        <is>
          <t>Dry cough / cough disturbing sleep; limit qty.</t>
        </is>
      </c>
      <c r="H15" t="inlineStr">
        <is>
          <t>Drowsy/dizzy; avoid with serotonergic meds; don't suppress heavy sputum.</t>
        </is>
      </c>
      <c r="I15" t="inlineStr">
        <is>
          <t>Limit order ≤2 แผง per your rule.</t>
        </is>
      </c>
    </row>
    <row r="16">
      <c r="A16" t="inlineStr">
        <is>
          <t>Cough combo (limit 2 packs)</t>
        </is>
      </c>
      <c r="B16" t="inlineStr">
        <is>
          <t>Fartussin (ควบคุมจำนวน)</t>
        </is>
      </c>
      <c r="C16" t="inlineStr">
        <is>
          <t>Dextromethorphan HBr 15 mg.+Glyceryl Guaiacolate 100 mg.+Terpin Hydrate 130 mg.</t>
        </is>
      </c>
      <c r="D16" t="inlineStr">
        <is>
          <t>BDS007973</t>
        </is>
      </c>
      <c r="E16" t="inlineStr">
        <is>
          <t>แผง 10 เม็ด</t>
        </is>
      </c>
      <c r="G16" t="inlineStr">
        <is>
          <t>Cough ± mucus; limit qty.</t>
        </is>
      </c>
      <c r="H16" t="inlineStr">
        <is>
          <t>As above + GI upset.</t>
        </is>
      </c>
      <c r="I16" t="inlineStr">
        <is>
          <t>Limit order ≤2 แผง per your rule.</t>
        </is>
      </c>
    </row>
    <row r="17">
      <c r="A17" t="inlineStr">
        <is>
          <t>Allergy/rhinitis</t>
        </is>
      </c>
      <c r="B17" t="inlineStr">
        <is>
          <t>Zyrtec</t>
        </is>
      </c>
      <c r="C17" t="inlineStr">
        <is>
          <t>Cetirizine dihydrochloride 10 mg.</t>
        </is>
      </c>
      <c r="D17" t="inlineStr">
        <is>
          <t>BDS004213</t>
        </is>
      </c>
      <c r="E17" t="inlineStr">
        <is>
          <t>กล่อง 10 เม็ด</t>
        </is>
      </c>
      <c r="F17" t="n">
        <v>216</v>
      </c>
      <c r="G17" t="inlineStr">
        <is>
          <t>Runny nose/sneezing/allergy; avoid sedating if daytime.</t>
        </is>
      </c>
      <c r="H17" t="inlineStr">
        <is>
          <t>Some cause drowsiness/dry mouth; separate fexofenadine/bilastine from fruit juice/antacids as appropriate.</t>
        </is>
      </c>
    </row>
    <row r="18">
      <c r="A18" t="inlineStr">
        <is>
          <t>Allergy/rhinitis</t>
        </is>
      </c>
      <c r="B18" t="inlineStr">
        <is>
          <t>Telfast 180 mg</t>
        </is>
      </c>
      <c r="C18" t="inlineStr">
        <is>
          <t>Fexofenadine HCl 180 mg.</t>
        </is>
      </c>
      <c r="D18" t="inlineStr">
        <is>
          <t>BDS003747</t>
        </is>
      </c>
      <c r="E18" t="inlineStr">
        <is>
          <t>กล่อง 10 เม็ด</t>
        </is>
      </c>
      <c r="F18" t="n">
        <v>500</v>
      </c>
      <c r="G18" t="inlineStr">
        <is>
          <t>Runny nose/sneezing/allergy; avoid sedating if daytime.</t>
        </is>
      </c>
      <c r="H18" t="inlineStr">
        <is>
          <t>Some cause drowsiness/dry mouth; separate fexofenadine/bilastine from fruit juice/antacids as appropriate.</t>
        </is>
      </c>
    </row>
    <row r="19">
      <c r="A19" t="inlineStr">
        <is>
          <t>Allergy/rhinitis</t>
        </is>
      </c>
      <c r="B19" t="inlineStr">
        <is>
          <t>Bilaxten</t>
        </is>
      </c>
      <c r="C19" t="inlineStr">
        <is>
          <t>Bilastine 20 mg.</t>
        </is>
      </c>
      <c r="D19" t="inlineStr">
        <is>
          <t>BDS040630</t>
        </is>
      </c>
      <c r="E19" t="inlineStr">
        <is>
          <t>กล่อง 10 เม็ด</t>
        </is>
      </c>
      <c r="G19" t="inlineStr">
        <is>
          <t>Runny nose/sneezing/allergy; avoid sedating if daytime.</t>
        </is>
      </c>
      <c r="H19" t="inlineStr">
        <is>
          <t>Some cause drowsiness/dry mouth; separate fexofenadine/bilastine from fruit juice/antacids as appropriate.</t>
        </is>
      </c>
    </row>
    <row r="20">
      <c r="A20" t="inlineStr">
        <is>
          <t>Allergy/rhinitis</t>
        </is>
      </c>
      <c r="B20" t="inlineStr">
        <is>
          <t>Aerius tabslet</t>
        </is>
      </c>
      <c r="C20" t="inlineStr">
        <is>
          <t>Desloratadine 5 mg.</t>
        </is>
      </c>
      <c r="D20" t="inlineStr">
        <is>
          <t>BDS001010</t>
        </is>
      </c>
      <c r="E20" t="inlineStr">
        <is>
          <t>กล่อง 10 เม็ด</t>
        </is>
      </c>
      <c r="F20" t="n">
        <v>620</v>
      </c>
      <c r="G20" t="inlineStr">
        <is>
          <t>Runny nose/sneezing/allergy; avoid sedating if daytime.</t>
        </is>
      </c>
      <c r="H20" t="inlineStr">
        <is>
          <t>Some cause drowsiness/dry mouth; separate fexofenadine/bilastine from fruit juice/antacids as appropriate.</t>
        </is>
      </c>
    </row>
    <row r="21">
      <c r="A21" t="inlineStr">
        <is>
          <t>Allergy/rhinitis</t>
        </is>
      </c>
      <c r="B21" t="inlineStr">
        <is>
          <t>Alerest</t>
        </is>
      </c>
      <c r="C21" t="inlineStr">
        <is>
          <t>Cetirizine dihydrochloride 10 mg.</t>
        </is>
      </c>
      <c r="D21" t="inlineStr">
        <is>
          <t>BDS040029</t>
        </is>
      </c>
      <c r="E21" t="inlineStr">
        <is>
          <t>แผง 10 เม็ด</t>
        </is>
      </c>
      <c r="G21" t="inlineStr">
        <is>
          <t>Runny nose/sneezing/allergy; avoid sedating if daytime.</t>
        </is>
      </c>
      <c r="H21" t="inlineStr">
        <is>
          <t>Some cause drowsiness/dry mouth; separate fexofenadine/bilastine from fruit juice/antacids as appropriate.</t>
        </is>
      </c>
    </row>
    <row r="22">
      <c r="A22" t="inlineStr">
        <is>
          <t>Allergy/rhinitis</t>
        </is>
      </c>
      <c r="B22" t="inlineStr">
        <is>
          <t>Nasotapp</t>
        </is>
      </c>
      <c r="C22" t="inlineStr">
        <is>
          <t>Brompheniramine Maleate 4 mg.+Phenylephrine HCl 10 mg.</t>
        </is>
      </c>
      <c r="D22" t="inlineStr">
        <is>
          <t>BDS045630</t>
        </is>
      </c>
      <c r="E22" t="inlineStr">
        <is>
          <t>แผง 10 เม็ด</t>
        </is>
      </c>
      <c r="F22" t="n">
        <v>116</v>
      </c>
      <c r="G22" t="inlineStr">
        <is>
          <t>Runny nose/sneezing/allergy; avoid sedating if daytime.</t>
        </is>
      </c>
      <c r="H22" t="inlineStr">
        <is>
          <t>Some cause drowsiness/dry mouth; separate fexofenadine/bilastine from fruit juice/antacids as appropriate.</t>
        </is>
      </c>
    </row>
    <row r="23">
      <c r="A23" t="inlineStr">
        <is>
          <t>Allergy/rhinitis</t>
        </is>
      </c>
      <c r="B23" t="inlineStr">
        <is>
          <t>Sulidine CP</t>
        </is>
      </c>
      <c r="C23" t="inlineStr">
        <is>
          <t>Chlorpheniramine maleate 4.0 mg.+Phenylephrine hydrochloride 10.0 mg.</t>
        </is>
      </c>
      <c r="D23" t="inlineStr">
        <is>
          <t>BDS003562</t>
        </is>
      </c>
      <c r="E23" t="inlineStr">
        <is>
          <t>แผง 10 เม็ด</t>
        </is>
      </c>
      <c r="G23" t="inlineStr">
        <is>
          <t>Runny nose/sneezing/allergy; avoid sedating if daytime.</t>
        </is>
      </c>
      <c r="H23" t="inlineStr">
        <is>
          <t>Some cause drowsiness/dry mouth; separate fexofenadine/bilastine from fruit juice/antacids as appropriate.</t>
        </is>
      </c>
    </row>
    <row r="24">
      <c r="A24" t="inlineStr">
        <is>
          <t>Nasal decongestant spray</t>
        </is>
      </c>
      <c r="B24" t="inlineStr">
        <is>
          <t>Iliadin Spray</t>
        </is>
      </c>
      <c r="C24" t="inlineStr">
        <is>
          <t>Oxymetazoline Hydrochloride 0.05% (0.5 mg./1 ml.)</t>
        </is>
      </c>
      <c r="D24" t="inlineStr">
        <is>
          <t>BDS002215</t>
        </is>
      </c>
      <c r="E24" t="inlineStr">
        <is>
          <t>ขวด 10 ml.</t>
        </is>
      </c>
      <c r="F24" t="n">
        <v>262</v>
      </c>
      <c r="G24" t="inlineStr">
        <is>
          <t>Nasal blockage; use ≤3 days (rebound).</t>
        </is>
      </c>
      <c r="H24" t="inlineStr">
        <is>
          <t>≤3 days; caution HTN/IHD/hyperthyroid/glaucoma/BPH; rebound congestion.</t>
        </is>
      </c>
    </row>
    <row r="25">
      <c r="A25" t="inlineStr">
        <is>
          <t>Nasal steroid spray</t>
        </is>
      </c>
      <c r="B25" t="inlineStr">
        <is>
          <t>Nasonex 60 doses</t>
        </is>
      </c>
      <c r="C25" t="inlineStr">
        <is>
          <t>Mometasone Furoate Monohydrate (eq. to Mometasone Furoate 50 mcg/dose)+Preservative (Benzalkonium Chloride 0.2 mg/g)</t>
        </is>
      </c>
      <c r="D25" t="inlineStr">
        <is>
          <t>BDS002805</t>
        </is>
      </c>
      <c r="E25" t="inlineStr">
        <is>
          <t>ขวด 60 doses</t>
        </is>
      </c>
      <c r="G25" t="inlineStr">
        <is>
          <t>Allergic rhinitis/nasal inflammation; daily use; slower onset.</t>
        </is>
      </c>
      <c r="H25" t="inlineStr">
        <is>
          <t>Nasal dryness/epistaxis; daily use; onset days.</t>
        </is>
      </c>
    </row>
    <row r="26">
      <c r="A26" t="inlineStr">
        <is>
          <t>Nasal steroid spray</t>
        </is>
      </c>
      <c r="B26" t="inlineStr">
        <is>
          <t>Rhinocort Aqua</t>
        </is>
      </c>
      <c r="C26" t="inlineStr">
        <is>
          <t>Budesonide 1.28 mg/1 ml (64 mcg/dose)</t>
        </is>
      </c>
      <c r="D26" t="inlineStr">
        <is>
          <t>BDS003432</t>
        </is>
      </c>
      <c r="E26" t="inlineStr">
        <is>
          <t>ขวด 120 doses</t>
        </is>
      </c>
      <c r="G26" t="inlineStr">
        <is>
          <t>Allergic rhinitis/nasal inflammation; daily use; slower onset.</t>
        </is>
      </c>
      <c r="H26" t="inlineStr">
        <is>
          <t>Nasal dryness/epistaxis; daily use; onset days.</t>
        </is>
      </c>
    </row>
    <row r="27">
      <c r="A27" t="inlineStr">
        <is>
          <t>Nasal steroid spray</t>
        </is>
      </c>
      <c r="B27" t="inlineStr">
        <is>
          <t>Avamys</t>
        </is>
      </c>
      <c r="C27" t="inlineStr">
        <is>
          <t>Fluticasone furoate 27.5 mcg/spray+Preservative (Benzalkonium Chloride)+อื่นๆ</t>
        </is>
      </c>
      <c r="D27" t="inlineStr">
        <is>
          <t>BDS001009</t>
        </is>
      </c>
      <c r="E27" t="inlineStr">
        <is>
          <t>ขวด 120 doses</t>
        </is>
      </c>
      <c r="G27" t="inlineStr">
        <is>
          <t>Allergic rhinitis/nasal inflammation; daily use; slower onset.</t>
        </is>
      </c>
      <c r="H27" t="inlineStr">
        <is>
          <t>Nasal dryness/epistaxis; daily use; onset days.</t>
        </is>
      </c>
    </row>
    <row r="28">
      <c r="A28" t="inlineStr">
        <is>
          <t>Nasal decongestant spray</t>
        </is>
      </c>
      <c r="B28" t="inlineStr">
        <is>
          <t>Otrivin 0.1%</t>
        </is>
      </c>
      <c r="C28" t="inlineStr">
        <is>
          <t>Xylometazoline Hydrochloride 0.1% (1 mg./1 ml.)</t>
        </is>
      </c>
      <c r="D28" t="inlineStr">
        <is>
          <t>BDS003019</t>
        </is>
      </c>
      <c r="E28" t="inlineStr">
        <is>
          <t>ขวด 10 ml.</t>
        </is>
      </c>
      <c r="F28" t="n">
        <v>244</v>
      </c>
      <c r="G28" t="inlineStr">
        <is>
          <t>Nasal blockage; use ≤3 days (rebound).</t>
        </is>
      </c>
      <c r="H28" t="inlineStr">
        <is>
          <t>≤3 days; caution HTN/IHD/hyperthyroid/glaucoma/BPH; rebound congestion.</t>
        </is>
      </c>
    </row>
    <row r="29">
      <c r="A29" t="inlineStr">
        <is>
          <t>Saline</t>
        </is>
      </c>
      <c r="B29" t="inlineStr">
        <is>
          <t>Klean &amp; Kare Saline เล็ก</t>
        </is>
      </c>
      <c r="C29" t="inlineStr">
        <is>
          <t>Sodium Chloride 0.9 g./100 ml.</t>
        </is>
      </c>
      <c r="D29" t="inlineStr">
        <is>
          <t>BDS044320</t>
        </is>
      </c>
      <c r="E29" t="inlineStr">
        <is>
          <t>ขวด 100 ml.</t>
        </is>
      </c>
      <c r="G29" t="inlineStr">
        <is>
          <t>Nasal irrigation; safe adjunct.</t>
        </is>
      </c>
      <c r="H29" t="inlineStr">
        <is>
          <t>Sterile technique; stop if severe ear pain/otitis suspected.</t>
        </is>
      </c>
    </row>
    <row r="30">
      <c r="A30" t="inlineStr">
        <is>
          <t>ATB</t>
        </is>
      </c>
      <c r="B30" t="inlineStr">
        <is>
          <t>Ibiamox 500 mg</t>
        </is>
      </c>
      <c r="C30" t="inlineStr">
        <is>
          <t>Amoxicillin 500 mg.</t>
        </is>
      </c>
      <c r="D30" t="inlineStr">
        <is>
          <t>BDS002201</t>
        </is>
      </c>
      <c r="E30" t="inlineStr">
        <is>
          <t>แผง 10 แคปซูล</t>
        </is>
      </c>
      <c r="G30" t="inlineStr">
        <is>
          <t>Use only when bacterial indication likely (AOM, sinusitis, etc.).</t>
        </is>
      </c>
      <c r="H30" t="inlineStr">
        <is>
          <t>Check allergy; counsel diarrhea; avoid for viral URI.</t>
        </is>
      </c>
    </row>
    <row r="31">
      <c r="A31" t="inlineStr">
        <is>
          <t>ATB</t>
        </is>
      </c>
      <c r="B31" t="inlineStr">
        <is>
          <t>Uramox 500</t>
        </is>
      </c>
      <c r="C31" t="inlineStr">
        <is>
          <t>Amoxicillin 500 mg.</t>
        </is>
      </c>
      <c r="D31" t="inlineStr">
        <is>
          <t>BDS007007</t>
        </is>
      </c>
      <c r="E31" t="inlineStr">
        <is>
          <t>แผง 10 แคปซูล</t>
        </is>
      </c>
      <c r="G31" t="inlineStr">
        <is>
          <t>Use only when bacterial indication likely (AOM, sinusitis, etc.).</t>
        </is>
      </c>
      <c r="H31" t="inlineStr">
        <is>
          <t>Check allergy; counsel diarrhea; avoid for viral URI.</t>
        </is>
      </c>
    </row>
    <row r="32">
      <c r="A32" t="inlineStr">
        <is>
          <t>ATB</t>
        </is>
      </c>
      <c r="B32" t="inlineStr">
        <is>
          <t>Augmentin 1 g.</t>
        </is>
      </c>
      <c r="C32" t="inlineStr">
        <is>
          <t>Amoxicillin Trihydrate (eq. to Amoxicillin 875 mg.)+Clavulanic Potassium (eq. to Clavulanic Acid 125 mg.)</t>
        </is>
      </c>
      <c r="D32" t="inlineStr">
        <is>
          <t>BDS040017</t>
        </is>
      </c>
      <c r="E32" t="inlineStr">
        <is>
          <t>กล่อง 10 เม็ด</t>
        </is>
      </c>
      <c r="G32" t="inlineStr">
        <is>
          <t>Use only when bacterial indication likely (AOM, sinusitis, etc.).</t>
        </is>
      </c>
      <c r="H32" t="inlineStr">
        <is>
          <t>Check allergy; counsel diarrhea; avoid for viral URI.</t>
        </is>
      </c>
    </row>
    <row r="33">
      <c r="A33" t="inlineStr">
        <is>
          <t>ATB</t>
        </is>
      </c>
      <c r="B33" t="inlineStr">
        <is>
          <t>AMK 1000 mg</t>
        </is>
      </c>
      <c r="C33" t="inlineStr">
        <is>
          <t>Amoxicillin 875 mg.+Clavulanic Acid 125 mg.</t>
        </is>
      </c>
      <c r="D33" t="inlineStr">
        <is>
          <t>BDS001103</t>
        </is>
      </c>
      <c r="E33" t="inlineStr">
        <is>
          <t>กล่อง 10 เม็ด</t>
        </is>
      </c>
      <c r="G33" t="inlineStr">
        <is>
          <t>Use only when bacterial indication likely (AOM, sinusitis, etc.).</t>
        </is>
      </c>
      <c r="H33" t="inlineStr">
        <is>
          <t>Check allergy; counsel diarrhea; avoid for viral URI.</t>
        </is>
      </c>
    </row>
    <row r="34">
      <c r="A34" t="inlineStr">
        <is>
          <t>ATB</t>
        </is>
      </c>
      <c r="B34" t="inlineStr">
        <is>
          <t>B.Roxi</t>
        </is>
      </c>
      <c r="C34" t="inlineStr">
        <is>
          <t>Roxithromycin 150 mg.</t>
        </is>
      </c>
      <c r="D34" t="inlineStr">
        <is>
          <t>BDS007066</t>
        </is>
      </c>
      <c r="E34" t="inlineStr">
        <is>
          <t>แผง 10 เม็ด</t>
        </is>
      </c>
      <c r="G34" t="inlineStr">
        <is>
          <t>Use only when bacterial indication likely (AOM, sinusitis, etc.).</t>
        </is>
      </c>
      <c r="H34" t="inlineStr">
        <is>
          <t>Check allergy; counsel diarrhea; avoid for viral URI.</t>
        </is>
      </c>
    </row>
    <row r="35">
      <c r="A35" t="inlineStr">
        <is>
          <t>ATB</t>
        </is>
      </c>
      <c r="B35" t="inlineStr">
        <is>
          <t>Noflox-400</t>
        </is>
      </c>
      <c r="C35" t="inlineStr">
        <is>
          <t>Norfloxacin 400 mg.</t>
        </is>
      </c>
      <c r="D35" t="inlineStr">
        <is>
          <t>BDS007591</t>
        </is>
      </c>
      <c r="E35" t="inlineStr">
        <is>
          <t>แผง 10 เม็ด</t>
        </is>
      </c>
      <c r="G35" t="inlineStr">
        <is>
          <t>Use only when bacterial indication likely (AOM, sinusitis, etc.).</t>
        </is>
      </c>
      <c r="H35" t="inlineStr">
        <is>
          <t>Check allergy; counsel diarrhea; avoid for viral URI.</t>
        </is>
      </c>
    </row>
    <row r="36">
      <c r="A36" t="inlineStr">
        <is>
          <t>Diarrhea</t>
        </is>
      </c>
      <c r="B36" t="inlineStr">
        <is>
          <t>Hidrasec 100 mg.</t>
        </is>
      </c>
      <c r="C36" t="inlineStr">
        <is>
          <t>Racecadotril 100 mg.</t>
        </is>
      </c>
      <c r="D36" t="inlineStr">
        <is>
          <t>BDS043842</t>
        </is>
      </c>
      <c r="E36" t="inlineStr">
        <is>
          <t>กล่อง 10 แคปซูล</t>
        </is>
      </c>
      <c r="G36" t="inlineStr">
        <is>
          <t>Acute diarrhea symptom control + ORS.</t>
        </is>
      </c>
      <c r="H36" t="inlineStr">
        <is>
          <t>Assess dehydration/bloody stool/high fever; avoid antimotility in dysentery.</t>
        </is>
      </c>
      <c r="I36" t="inlineStr">
        <is>
          <t>Currently out of stock (per your note).</t>
        </is>
      </c>
    </row>
    <row r="37">
      <c r="A37" t="inlineStr">
        <is>
          <t>Diarrhea</t>
        </is>
      </c>
      <c r="B37" t="inlineStr">
        <is>
          <t>Bioflor</t>
        </is>
      </c>
      <c r="C37" t="inlineStr">
        <is>
          <t>Lyophilized Saccharomyces boulardii 250 mg.</t>
        </is>
      </c>
      <c r="D37" t="inlineStr">
        <is>
          <t>BDS001248</t>
        </is>
      </c>
      <c r="E37" t="inlineStr">
        <is>
          <t>ซอง</t>
        </is>
      </c>
      <c r="G37" t="inlineStr">
        <is>
          <t>Acute diarrhea symptom control + ORS.</t>
        </is>
      </c>
      <c r="H37" t="inlineStr">
        <is>
          <t>Assess dehydration/bloody stool/high fever; avoid antimotility in dysentery.</t>
        </is>
      </c>
    </row>
    <row r="38">
      <c r="A38" t="inlineStr">
        <is>
          <t>Diarrhea</t>
        </is>
      </c>
      <c r="B38" t="inlineStr">
        <is>
          <t>Dehecta</t>
        </is>
      </c>
      <c r="C38" t="inlineStr">
        <is>
          <t>Dioctahedral Smectite 3 g./20 ml.</t>
        </is>
      </c>
      <c r="D38" t="inlineStr">
        <is>
          <t>BDS042304</t>
        </is>
      </c>
      <c r="E38" t="inlineStr">
        <is>
          <t>ซอง 20 ml.</t>
        </is>
      </c>
      <c r="G38" t="inlineStr">
        <is>
          <t>Acute diarrhea symptom control + ORS.</t>
        </is>
      </c>
      <c r="H38" t="inlineStr">
        <is>
          <t>Assess dehydration/bloody stool/high fever; avoid antimotility in dysentery.</t>
        </is>
      </c>
    </row>
    <row r="39">
      <c r="A39" t="inlineStr">
        <is>
          <t>ORS</t>
        </is>
      </c>
      <c r="B39" t="inlineStr">
        <is>
          <t>Cera ORS รสส้ม</t>
        </is>
      </c>
      <c r="C39" t="inlineStr">
        <is>
          <t>Glucose Anhydrous 3 g.+Sodium Chloride 0.53 g.+Potassium Chloride 0.23 g.+Sodium Citrate Dihydrate 0.44 g.</t>
        </is>
      </c>
      <c r="D39" t="inlineStr">
        <is>
          <t>BDS008282</t>
        </is>
      </c>
      <c r="E39" t="inlineStr">
        <is>
          <t>กล่อง 5 ซอง</t>
        </is>
      </c>
      <c r="G39" t="inlineStr">
        <is>
          <t>Rehydration in diarrhea/vomiting.</t>
        </is>
      </c>
      <c r="H39" t="inlineStr">
        <is>
          <t>Mix correctly; small frequent sips.</t>
        </is>
      </c>
    </row>
    <row r="40">
      <c r="A40" t="inlineStr">
        <is>
          <t>Artificial tears</t>
        </is>
      </c>
      <c r="B40" t="inlineStr">
        <is>
          <t>Vislube</t>
        </is>
      </c>
      <c r="C4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D40" t="inlineStr">
        <is>
          <t>BDS004035</t>
        </is>
      </c>
      <c r="E40" t="inlineStr">
        <is>
          <t>กล่อง 20 หลอด</t>
        </is>
      </c>
      <c r="G40" t="inlineStr">
        <is>
          <t>Dry eye/irritation.</t>
        </is>
      </c>
      <c r="H40" t="inlineStr">
        <is>
          <t>Contact lens precautions; preservative sensitivity.</t>
        </is>
      </c>
    </row>
    <row r="41">
      <c r="A41" t="inlineStr">
        <is>
          <t>Artificial tears</t>
        </is>
      </c>
      <c r="B41" t="inlineStr">
        <is>
          <t>Cellufresh</t>
        </is>
      </c>
      <c r="C41" t="inlineStr">
        <is>
          <t>Carboxymethylcellulose Sodium (CMC) 0.5%+Calcium Chloride+Magnesium Chloride+Potassium Chloride+Sodium Chloride+Sodium Lactate+Hydrochloric Acid+Sodium Hydroxide</t>
        </is>
      </c>
      <c r="D41" t="inlineStr">
        <is>
          <t>BDS001552</t>
        </is>
      </c>
      <c r="E41" t="inlineStr">
        <is>
          <t>กล่อง 30 หลอด</t>
        </is>
      </c>
      <c r="G41" t="inlineStr">
        <is>
          <t>Dry eye/irritation.</t>
        </is>
      </c>
      <c r="H41" t="inlineStr">
        <is>
          <t>Contact lens precautions; preservative sensitivity.</t>
        </is>
      </c>
    </row>
    <row r="42">
      <c r="A42" t="inlineStr">
        <is>
          <t>Artificial tears</t>
        </is>
      </c>
      <c r="B42" t="inlineStr">
        <is>
          <t>Systane Ultra Lubricant Eye Drops</t>
        </is>
      </c>
      <c r="C42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D42" t="inlineStr">
        <is>
          <t>BDS003679</t>
        </is>
      </c>
      <c r="E42" t="inlineStr">
        <is>
          <t>ขวด 10 ml.</t>
        </is>
      </c>
      <c r="G42" t="inlineStr">
        <is>
          <t>Dry eye/irritation.</t>
        </is>
      </c>
      <c r="H42" t="inlineStr">
        <is>
          <t>Contact lens precautions; preservative sensitivity.</t>
        </is>
      </c>
    </row>
    <row r="43">
      <c r="A43" t="inlineStr">
        <is>
          <t>Eye wash</t>
        </is>
      </c>
      <c r="B43" t="inlineStr">
        <is>
          <t>Op-Ize Eye Wash</t>
        </is>
      </c>
      <c r="C43" t="inlineStr">
        <is>
          <t>Boric Acid 2.0 g.+Sodium Borate 0.5 g.+Zinc Sulphate 0.004 g./100 ml.</t>
        </is>
      </c>
      <c r="D43" t="inlineStr">
        <is>
          <t>BDS046208</t>
        </is>
      </c>
      <c r="E43" t="inlineStr">
        <is>
          <t>ขวด 110 ml.</t>
        </is>
      </c>
      <c r="G43" t="inlineStr">
        <is>
          <t>Eye irrigation for irritant/dust; not for chemical burn (urgent).</t>
        </is>
      </c>
      <c r="H43" t="inlineStr">
        <is>
          <t>Chemical exposure → irrigate and urgent ER; pain/vision loss → urgent.</t>
        </is>
      </c>
    </row>
    <row r="44">
      <c r="A44" t="inlineStr">
        <is>
          <t>Eye wash</t>
        </is>
      </c>
      <c r="B44" t="inlineStr">
        <is>
          <t>Opsar กลาง</t>
        </is>
      </c>
      <c r="C44" t="inlineStr">
        <is>
          <t>Sodium Borate 0.02 g.+Boric Acid 1.24 g.+Sodium Chloride+ 0.29 g.+Benzalkonium Chloride 2 mg./100 ml.</t>
        </is>
      </c>
      <c r="D44" t="inlineStr">
        <is>
          <t>BDS003009</t>
        </is>
      </c>
      <c r="E44" t="inlineStr">
        <is>
          <t>ขวด 120 ml.</t>
        </is>
      </c>
      <c r="G44" t="inlineStr">
        <is>
          <t>Eye irrigation for irritant/dust; not for chemical burn (urgent).</t>
        </is>
      </c>
      <c r="H44" t="inlineStr">
        <is>
          <t>Chemical exposure → irrigate and urgent ER; pain/vision loss → urgent.</t>
        </is>
      </c>
    </row>
    <row r="45">
      <c r="A45" t="inlineStr">
        <is>
          <t>NSAID</t>
        </is>
      </c>
      <c r="B45" t="inlineStr">
        <is>
          <t>Gofen 400</t>
        </is>
      </c>
      <c r="C45" t="inlineStr">
        <is>
          <t>Ibuprofen 400 mg.+Polyethylene 400+Porpylene Glycol</t>
        </is>
      </c>
      <c r="D45" t="inlineStr">
        <is>
          <t>BDS002042</t>
        </is>
      </c>
      <c r="E45" t="inlineStr">
        <is>
          <t>กล่อง 10 แคปซูล</t>
        </is>
      </c>
      <c r="F45" t="n">
        <v>177</v>
      </c>
      <c r="G45" t="inlineStr">
        <is>
          <t>Inflammatory pain; choose based on GI/CV/renal risk.</t>
        </is>
      </c>
      <c r="H45" t="inlineStr">
        <is>
          <t>Avoid PUD/GI bleed, CKD, anticoag, uncontrolled HTN; pregnancy 3rd tri; COX-2 CV risk.</t>
        </is>
      </c>
    </row>
    <row r="46">
      <c r="A46" t="inlineStr">
        <is>
          <t>NSAID</t>
        </is>
      </c>
      <c r="B46" t="inlineStr">
        <is>
          <t>Arcoxia 60 mg</t>
        </is>
      </c>
      <c r="C46" t="inlineStr">
        <is>
          <t>Etoricoxib 60 mg.</t>
        </is>
      </c>
      <c r="D46" t="inlineStr">
        <is>
          <t>BDS001078</t>
        </is>
      </c>
      <c r="E46" t="inlineStr">
        <is>
          <t>แผง 5 เม็ด</t>
        </is>
      </c>
      <c r="G46" t="inlineStr">
        <is>
          <t>Inflammatory pain; choose based on GI/CV/renal risk.</t>
        </is>
      </c>
      <c r="H46" t="inlineStr">
        <is>
          <t>Avoid PUD/GI bleed, CKD, anticoag, uncontrolled HTN; pregnancy 3rd tri; COX-2 CV risk.</t>
        </is>
      </c>
    </row>
    <row r="47">
      <c r="A47" t="inlineStr">
        <is>
          <t>NSAID</t>
        </is>
      </c>
      <c r="B47" t="inlineStr">
        <is>
          <t>Synflex</t>
        </is>
      </c>
      <c r="C47" t="inlineStr">
        <is>
          <t>Naproxen sodium 275 mg.</t>
        </is>
      </c>
      <c r="D47" t="inlineStr">
        <is>
          <t>BDS003568</t>
        </is>
      </c>
      <c r="E47" t="inlineStr">
        <is>
          <t>แผง 6 เม็ด</t>
        </is>
      </c>
      <c r="G47" t="inlineStr">
        <is>
          <t>Inflammatory pain; choose based on GI/CV/renal risk.</t>
        </is>
      </c>
      <c r="H47" t="inlineStr">
        <is>
          <t>Avoid PUD/GI bleed, CKD, anticoag, uncontrolled HTN; pregnancy 3rd tri; COX-2 CV risk.</t>
        </is>
      </c>
    </row>
    <row r="48">
      <c r="A48" t="inlineStr">
        <is>
          <t>NSAID</t>
        </is>
      </c>
      <c r="B48" t="inlineStr">
        <is>
          <t>Celebrex 200 mg</t>
        </is>
      </c>
      <c r="C48" t="inlineStr">
        <is>
          <t>Celecoxib 200 mg.</t>
        </is>
      </c>
      <c r="D48" t="inlineStr">
        <is>
          <t>BDS001509</t>
        </is>
      </c>
      <c r="E48" t="inlineStr">
        <is>
          <t>กล่อง 10 แคปซูล</t>
        </is>
      </c>
      <c r="G48" t="inlineStr">
        <is>
          <t>Inflammatory pain; choose based on GI/CV/renal risk.</t>
        </is>
      </c>
      <c r="H48" t="inlineStr">
        <is>
          <t>Avoid PUD/GI bleed, CKD, anticoag, uncontrolled HTN; pregnancy 3rd tri; COX-2 CV risk.</t>
        </is>
      </c>
    </row>
    <row r="49">
      <c r="A49" t="inlineStr">
        <is>
          <t>Pain spray/topical</t>
        </is>
      </c>
      <c r="B49" t="inlineStr">
        <is>
          <t>Uniren Spray</t>
        </is>
      </c>
      <c r="C49" t="inlineStr">
        <is>
          <t>Diclofenac Sodium 1 % w/w</t>
        </is>
      </c>
      <c r="D49" t="inlineStr">
        <is>
          <t>BDS003914</t>
        </is>
      </c>
      <c r="E49" t="inlineStr">
        <is>
          <t>ขวด 60 ml.</t>
        </is>
      </c>
      <c r="F49" t="n">
        <v>346</v>
      </c>
      <c r="G49" t="inlineStr">
        <is>
          <t>Local muscle/joint pain; topical analgesic/NSAID.</t>
        </is>
      </c>
      <c r="H49" t="inlineStr">
        <is>
          <t>Skin irritation; avoid broken skin; NSAID allergy.</t>
        </is>
      </c>
    </row>
    <row r="50">
      <c r="A50" t="inlineStr">
        <is>
          <t>Pain spray/topical</t>
        </is>
      </c>
      <c r="B50" t="inlineStr">
        <is>
          <t>Perskindol Classic Spray</t>
        </is>
      </c>
      <c r="C50" t="inlineStr">
        <is>
          <t>Menthol 1.5%+Pine Needle Oil 1.35%+Wintergreen Oil 0.35%+Orange Oil 0.4%+Lemon Oil 0.1%</t>
        </is>
      </c>
      <c r="D50" t="inlineStr">
        <is>
          <t>BDS003119</t>
        </is>
      </c>
      <c r="E50" t="inlineStr">
        <is>
          <t>กระป๋อง 150 ml.</t>
        </is>
      </c>
      <c r="G50" t="inlineStr">
        <is>
          <t>Local muscle/joint pain; topical analgesic/NSAID.</t>
        </is>
      </c>
      <c r="H50" t="inlineStr">
        <is>
          <t>Skin irritation; avoid broken skin; NSAID allergy.</t>
        </is>
      </c>
    </row>
    <row r="51">
      <c r="A51" t="inlineStr">
        <is>
          <t>Others</t>
        </is>
      </c>
      <c r="B51" t="inlineStr">
        <is>
          <t>Serc 24 mg</t>
        </is>
      </c>
      <c r="C51" t="inlineStr">
        <is>
          <t>Betahistine dihydrochloride 24 mg.</t>
        </is>
      </c>
      <c r="D51" t="inlineStr">
        <is>
          <t>BDS006571</t>
        </is>
      </c>
      <c r="E51" t="inlineStr">
        <is>
          <t>กล่อง 20 เม็ด</t>
        </is>
      </c>
      <c r="G51" t="inlineStr">
        <is>
          <t>Condition-specific (vertigo/migraine/aphthous/HSV).</t>
        </is>
      </c>
      <c r="H51" t="inlineStr">
        <is>
          <t>Follow condition-specific dosing; watch interactions (e.g., eletriptan).</t>
        </is>
      </c>
    </row>
    <row r="52">
      <c r="A52" t="inlineStr">
        <is>
          <t>Others</t>
        </is>
      </c>
      <c r="B52" t="inlineStr">
        <is>
          <t>Relpax 40 mg</t>
        </is>
      </c>
      <c r="C52" t="inlineStr">
        <is>
          <t>Eletriptan 40 mg.</t>
        </is>
      </c>
      <c r="D52" t="inlineStr">
        <is>
          <t>BDS006840</t>
        </is>
      </c>
      <c r="E52" t="inlineStr">
        <is>
          <t>กล่อง 2 เม็ด</t>
        </is>
      </c>
      <c r="G52" t="inlineStr">
        <is>
          <t>Condition-specific (vertigo/migraine/aphthous/HSV).</t>
        </is>
      </c>
      <c r="H52" t="inlineStr">
        <is>
          <t>Follow condition-specific dosing; watch interactions (e.g., eletriptan).</t>
        </is>
      </c>
    </row>
    <row r="53">
      <c r="A53" t="inlineStr">
        <is>
          <t>Others</t>
        </is>
      </c>
      <c r="B53" t="inlineStr">
        <is>
          <t>Kamistad-Gel N</t>
        </is>
      </c>
      <c r="C53" t="inlineStr">
        <is>
          <t>Lidocaine HCl 20 mg.+Chamomile Flower Extract 185 mg.+Ethanol 50% v/v+Tromethamole 1.37% w/w+Preservative (Benzalkonium Chloride 1 mg.)/1 g.</t>
        </is>
      </c>
      <c r="D53" t="inlineStr">
        <is>
          <t>BDS002430</t>
        </is>
      </c>
      <c r="E53" t="inlineStr">
        <is>
          <t>หลอด 10 g.</t>
        </is>
      </c>
      <c r="G53" t="inlineStr">
        <is>
          <t>Condition-specific (vertigo/migraine/aphthous/HSV).</t>
        </is>
      </c>
      <c r="H53" t="inlineStr">
        <is>
          <t>Follow condition-specific dosing; watch interactions (e.g., eletriptan).</t>
        </is>
      </c>
    </row>
    <row r="54">
      <c r="A54" t="inlineStr">
        <is>
          <t>Others</t>
        </is>
      </c>
      <c r="B54" t="inlineStr">
        <is>
          <t>Vilerm 800 mg 5s</t>
        </is>
      </c>
      <c r="C54" t="inlineStr">
        <is>
          <t>Acyclovir 800 mg.</t>
        </is>
      </c>
      <c r="D54" t="inlineStr">
        <is>
          <t>BDS004011</t>
        </is>
      </c>
      <c r="E54" t="inlineStr">
        <is>
          <t>แผง 5 เม็ด</t>
        </is>
      </c>
      <c r="G54" t="inlineStr">
        <is>
          <t>Condition-specific (vertigo/migraine/aphthous/HSV).</t>
        </is>
      </c>
      <c r="H54" t="inlineStr">
        <is>
          <t>Follow condition-specific dosing; watch interactions (e.g., eletriptan).</t>
        </is>
      </c>
    </row>
  </sheetData>
  <autoFilter ref="A1:I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inlineStr">
        <is>
          <t>#</t>
        </is>
      </c>
      <c r="B2" t="inlineStr">
        <is>
          <t>ประเภทย่อย</t>
        </is>
      </c>
      <c r="C2" t="inlineStr">
        <is>
          <t>รหัสสินค้า</t>
        </is>
      </c>
      <c r="D2" t="inlineStr">
        <is>
          <t>ชื่อสินค้า</t>
        </is>
      </c>
      <c r="E2" t="inlineStr">
        <is>
          <t>ขนาด</t>
        </is>
      </c>
      <c r="F2" t="inlineStr">
        <is>
          <t>ส่วนประกอบ</t>
        </is>
      </c>
      <c r="G2" t="inlineStr">
        <is>
          <t>Medicine code</t>
        </is>
      </c>
      <c r="H2" t="inlineStr">
        <is>
          <t>Medicine name</t>
        </is>
      </c>
      <c r="I2" t="inlineStr">
        <is>
          <t>วิธีใช้ (Med-Links)</t>
        </is>
      </c>
      <c r="J2" t="inlineStr">
        <is>
          <t>วิธีใช้ (Med-Links)</t>
        </is>
      </c>
      <c r="K2" t="inlineStr">
        <is>
          <t>Online price (THB/pack) – estimate</t>
        </is>
      </c>
      <c r="L2" t="inlineStr">
        <is>
          <t>Online price (THB/unit) – estimate</t>
        </is>
      </c>
      <c r="M2" t="inlineStr">
        <is>
          <t>Price source URL</t>
        </is>
      </c>
      <c r="N2" t="inlineStr">
        <is>
          <t>Price checked (YYYY-MM-DD)</t>
        </is>
      </c>
      <c r="O2" t="inlineStr">
        <is>
          <t>Price notes</t>
        </is>
      </c>
    </row>
    <row r="3">
      <c r="A3" t="n">
        <v>1</v>
      </c>
      <c r="B3" t="inlineStr">
        <is>
          <t>ยาฆ่าเชื้อแบคทีเรียทางเดินหายใจ (D)</t>
        </is>
      </c>
      <c r="C3" t="n">
        <v>40078</v>
      </c>
      <c r="D3" t="inlineStr">
        <is>
          <t>A.M.Mox 500</t>
        </is>
      </c>
      <c r="E3" t="inlineStr">
        <is>
          <t>แผง 10 แคปซูล</t>
        </is>
      </c>
      <c r="F3" t="inlineStr">
        <is>
          <t>Amoxicillin 500 mg.</t>
        </is>
      </c>
      <c r="G3" t="inlineStr">
        <is>
          <t>BDS040078</t>
        </is>
      </c>
      <c r="H3" t="inlineStr">
        <is>
          <t>A.M.Mox 500 (10 cap)</t>
        </is>
      </c>
      <c r="I3" t="inlineStr">
        <is>
          <t>รับประทานครั้งละ 1 แคปซูล วันละ 4 ครั้ง</t>
        </is>
      </c>
      <c r="J3" t="inlineStr">
        <is>
          <t>Take 1 capsule 4 times daily.</t>
        </is>
      </c>
      <c r="P3" t="inlineStr">
        <is>
          <t>Respiratory antibiotics</t>
        </is>
      </c>
    </row>
    <row r="4">
      <c r="A4" t="n">
        <v>2</v>
      </c>
      <c r="B4" t="inlineStr">
        <is>
          <t>ยาฆ่าเชื้อแบคทีเรียทางเดินหายใจ (D)</t>
        </is>
      </c>
      <c r="C4" t="n">
        <v>1103</v>
      </c>
      <c r="D4" t="inlineStr">
        <is>
          <t>AMK 1000 mg</t>
        </is>
      </c>
      <c r="E4" t="inlineStr">
        <is>
          <t>กล่อง 10 เม็ด</t>
        </is>
      </c>
      <c r="F4" t="inlineStr">
        <is>
          <t>Amoxicillin 875 mg.+Clavulanic Acid 125 mg.</t>
        </is>
      </c>
      <c r="G4" t="inlineStr">
        <is>
          <t>BDS001103</t>
        </is>
      </c>
      <c r="H4" t="inlineStr">
        <is>
          <t>AMK 1000 mg (10 tabs)</t>
        </is>
      </c>
      <c r="I4" t="inlineStr">
        <is>
          <t>รับประทานครั้งละ 1 เม็ด วันละ 2 ครั้ง หรือตามแพทย์สั่ง</t>
        </is>
      </c>
      <c r="J4" t="inlineStr">
        <is>
          <t>Take 1 tablet 2 times daily or as directed by a doctor.</t>
        </is>
      </c>
      <c r="P4" t="inlineStr">
        <is>
          <t>Respiratory antibiotics</t>
        </is>
      </c>
    </row>
    <row r="5">
      <c r="A5" t="n">
        <v>3</v>
      </c>
      <c r="B5" t="inlineStr">
        <is>
          <t>ยาฆ่าเชื้อแบคทีเรียทางเดินหายใจ (D)</t>
        </is>
      </c>
      <c r="C5" t="n">
        <v>1035</v>
      </c>
      <c r="D5" t="inlineStr">
        <is>
          <t>Amoksiklav 1000 mg</t>
        </is>
      </c>
      <c r="E5" t="inlineStr">
        <is>
          <t>กล่อง 10 เม็ด</t>
        </is>
      </c>
      <c r="F5" t="inlineStr">
        <is>
          <t>Amoxicillin 875 mg.+Clavulanic Acid 125 mg.</t>
        </is>
      </c>
      <c r="G5" t="inlineStr">
        <is>
          <t>BDS001035</t>
        </is>
      </c>
      <c r="H5" t="inlineStr">
        <is>
          <t>Amoksiklav 1000 mg (10 tabs)</t>
        </is>
      </c>
      <c r="I5" t="inlineStr">
        <is>
          <t>รับประทานครั้งละ 1 เม็ด วันละ 2 ครั้ง หรือตามแพทย์สั่ง</t>
        </is>
      </c>
      <c r="J5" t="inlineStr">
        <is>
          <t>Take 1 tablet 2 times daily or as directed by a doctor.</t>
        </is>
      </c>
      <c r="P5" t="inlineStr">
        <is>
          <t>Respiratory antibiotics</t>
        </is>
      </c>
    </row>
    <row r="6">
      <c r="A6" t="n">
        <v>4</v>
      </c>
      <c r="B6" t="inlineStr">
        <is>
          <t>ยาฆ่าเชื้อแบคทีเรียทางเดินหายใจ (D)</t>
        </is>
      </c>
      <c r="C6" t="n">
        <v>40017</v>
      </c>
      <c r="D6" t="inlineStr">
        <is>
          <t>Augmentin 1 g.</t>
        </is>
      </c>
      <c r="E6" t="inlineStr">
        <is>
          <t>กล่อง 10 เม็ด</t>
        </is>
      </c>
      <c r="F6" t="inlineStr">
        <is>
          <t>Amoxicillin Trihydrate (eq. to Amoxicillin 875 mg.)+Clavulanic Potassium (eq. to Clavulanic Acid 125 mg.)</t>
        </is>
      </c>
      <c r="G6" t="inlineStr">
        <is>
          <t>BDS040017</t>
        </is>
      </c>
      <c r="H6" t="inlineStr">
        <is>
          <t>Augmentin 1 g. (10 tabs)</t>
        </is>
      </c>
      <c r="I6" t="inlineStr">
        <is>
          <t xml:space="preserve">รับประทานครั้งละ 1 เม็ด  วันละ 2 ครั้ง </t>
        </is>
      </c>
      <c r="J6" t="inlineStr">
        <is>
          <t xml:space="preserve">Take 1 tablet 2 times daily. </t>
        </is>
      </c>
      <c r="P6" t="inlineStr">
        <is>
          <t>Respiratory antibiotics</t>
        </is>
      </c>
    </row>
    <row r="7">
      <c r="A7" t="n">
        <v>5</v>
      </c>
      <c r="B7" t="inlineStr">
        <is>
          <t>ยาฆ่าเชื้อแบคทีเรียทางเดินหายใจ (D)</t>
        </is>
      </c>
      <c r="C7" t="n">
        <v>1494</v>
      </c>
      <c r="D7" t="inlineStr">
        <is>
          <t>Azithro 250 mg</t>
        </is>
      </c>
      <c r="E7" t="inlineStr">
        <is>
          <t>กล่อง 6 แคปซูล</t>
        </is>
      </c>
      <c r="F7" t="inlineStr">
        <is>
          <t>Azithromycin 250 mg.</t>
        </is>
      </c>
      <c r="G7" t="inlineStr">
        <is>
          <t>BDS001494</t>
        </is>
      </c>
      <c r="H7" t="inlineStr">
        <is>
          <t>Azithro 250 mg (6 cap)</t>
        </is>
      </c>
      <c r="I7" t="inlineStr">
        <is>
          <t>รับประทานครั้งละ 2 แคปซูล วันละ 1 ครั้ง ก่อนอาหาร</t>
        </is>
      </c>
      <c r="J7" t="inlineStr">
        <is>
          <t>Take 2 capsules 1 time daily before meals.</t>
        </is>
      </c>
      <c r="P7" t="inlineStr">
        <is>
          <t>Respiratory antibiotics</t>
        </is>
      </c>
    </row>
    <row r="8">
      <c r="A8" t="n">
        <v>6</v>
      </c>
      <c r="B8" t="inlineStr">
        <is>
          <t>ยาฆ่าเชื้อแบคทีเรียทางเดินหายใจ (D)</t>
        </is>
      </c>
      <c r="C8" t="n">
        <v>6115</v>
      </c>
      <c r="D8" t="inlineStr">
        <is>
          <t>Azycin 250 mg (GPO)</t>
        </is>
      </c>
      <c r="E8" t="inlineStr">
        <is>
          <t>กล่อง 6 แคปซูล</t>
        </is>
      </c>
      <c r="F8" t="inlineStr">
        <is>
          <t>Azithromycin 250 mg.</t>
        </is>
      </c>
      <c r="G8" t="inlineStr">
        <is>
          <t>BDS006115</t>
        </is>
      </c>
      <c r="H8" t="inlineStr">
        <is>
          <t>Azycin 250 mg (GPO) (6 cap)</t>
        </is>
      </c>
      <c r="I8" t="inlineStr">
        <is>
          <t>รับประทานครั้งละ 2 แคปซูล วันละ 1 ครั้ง ก่อนอาหาร</t>
        </is>
      </c>
      <c r="J8" t="inlineStr">
        <is>
          <t>Take 2 capsules 1 time daily before meals.</t>
        </is>
      </c>
      <c r="P8" t="inlineStr">
        <is>
          <t>Respiratory antibiotics</t>
        </is>
      </c>
    </row>
    <row r="9">
      <c r="A9" t="n">
        <v>7</v>
      </c>
      <c r="B9" t="inlineStr">
        <is>
          <t>ยาฆ่าเชื้อแบคทีเรียทางเดินหายใจ (D)</t>
        </is>
      </c>
      <c r="C9" t="n">
        <v>7066</v>
      </c>
      <c r="D9" t="inlineStr">
        <is>
          <t>B.Roxi</t>
        </is>
      </c>
      <c r="E9" t="inlineStr">
        <is>
          <t>แผง 10 เม็ด</t>
        </is>
      </c>
      <c r="F9" t="inlineStr">
        <is>
          <t>Roxithromycin 150 mg.</t>
        </is>
      </c>
      <c r="G9" t="inlineStr">
        <is>
          <t>BDS007066</t>
        </is>
      </c>
      <c r="H9" t="inlineStr">
        <is>
          <t>B.Roxi (10 tabs)</t>
        </is>
      </c>
      <c r="I9" t="inlineStr">
        <is>
          <t>รับประทานครั้งละ 1 เม็ด วันละ 2 ครั้ง ก่อนอาหาร เช้า-เย็น</t>
        </is>
      </c>
      <c r="J9" t="inlineStr">
        <is>
          <t>Take 1 tablet 2 times a day before meals, morning and evening.</t>
        </is>
      </c>
      <c r="P9" t="inlineStr">
        <is>
          <t>Respiratory antibiotics</t>
        </is>
      </c>
    </row>
    <row r="10">
      <c r="A10" t="n">
        <v>8</v>
      </c>
      <c r="B10" t="inlineStr">
        <is>
          <t>ยาฆ่าเชื้อแบคทีเรียทางเดินหายใจ (D)</t>
        </is>
      </c>
      <c r="C10" t="n">
        <v>1545</v>
      </c>
      <c r="D10" t="inlineStr">
        <is>
          <t>Cavumox 1 g</t>
        </is>
      </c>
      <c r="E10" t="inlineStr">
        <is>
          <t>แผง 3 เม็ด</t>
        </is>
      </c>
      <c r="F10" t="inlineStr">
        <is>
          <t>Amoxicillin 875 mg.+Clavulanic Acid 125 mg.</t>
        </is>
      </c>
      <c r="G10" t="inlineStr">
        <is>
          <t>BDS001545</t>
        </is>
      </c>
      <c r="H10" t="inlineStr">
        <is>
          <t>Cavumox 1 g (3 tabs)</t>
        </is>
      </c>
      <c r="I10" t="inlineStr">
        <is>
          <t xml:space="preserve">รับประทานครั้งละ 1 เม็ด  วันละ 2 ครั้ง </t>
        </is>
      </c>
      <c r="J10" t="inlineStr">
        <is>
          <t xml:space="preserve">Take 1 tablet 2 times daily. </t>
        </is>
      </c>
      <c r="P10" t="inlineStr">
        <is>
          <t>Respiratory antibiotics</t>
        </is>
      </c>
    </row>
    <row r="11">
      <c r="A11" t="n">
        <v>9</v>
      </c>
      <c r="B11" t="inlineStr">
        <is>
          <t>ยาฆ่าเชื้อแบคทีเรียทางเดินหายใจ (D)</t>
        </is>
      </c>
      <c r="C11" t="n">
        <v>7784</v>
      </c>
      <c r="D11" t="inlineStr">
        <is>
          <t>Cephalex-500</t>
        </is>
      </c>
      <c r="E11" t="inlineStr">
        <is>
          <t>แผง 10 แคปซูล</t>
        </is>
      </c>
      <c r="F11" t="inlineStr">
        <is>
          <t>Cephalexin 500 mg.</t>
        </is>
      </c>
      <c r="G11" t="inlineStr">
        <is>
          <t>BDS007784</t>
        </is>
      </c>
      <c r="H11" t="inlineStr">
        <is>
          <t>Cephalex-500 (10 cap)</t>
        </is>
      </c>
      <c r="I11" t="inlineStr">
        <is>
          <t>รับประทานครั้งละ 1 แคปซูล วันละ 4 ครั้ง</t>
        </is>
      </c>
      <c r="J11" t="inlineStr">
        <is>
          <t>Take 1 capsule 4 times daily.</t>
        </is>
      </c>
      <c r="P11" t="inlineStr">
        <is>
          <t>Respiratory antibiotics</t>
        </is>
      </c>
    </row>
    <row r="12">
      <c r="A12" t="n">
        <v>10</v>
      </c>
      <c r="B12" t="inlineStr">
        <is>
          <t>ยาฆ่าเชื้อแบคทีเรียทางเดินหายใจ (D)</t>
        </is>
      </c>
      <c r="C12" t="n">
        <v>1452</v>
      </c>
      <c r="D12" t="inlineStr">
        <is>
          <t>Clarith 500</t>
        </is>
      </c>
      <c r="E12" t="inlineStr">
        <is>
          <t>แผง 7 เม็ด</t>
        </is>
      </c>
      <c r="F12" t="inlineStr">
        <is>
          <t>Clarithromycin 500 mg.</t>
        </is>
      </c>
      <c r="G12" t="inlineStr">
        <is>
          <t>BDS001452</t>
        </is>
      </c>
      <c r="H12" t="inlineStr">
        <is>
          <t>Clarith 500 (7 tabs)</t>
        </is>
      </c>
      <c r="I12" t="inlineStr">
        <is>
          <t xml:space="preserve">รับประทานตามแพทย์สั่ง </t>
        </is>
      </c>
      <c r="J12" t="inlineStr">
        <is>
          <t xml:space="preserve">Take as directed by your doctor. </t>
        </is>
      </c>
      <c r="P12" t="inlineStr">
        <is>
          <t>Respiratory antibiotics</t>
        </is>
      </c>
    </row>
    <row r="13">
      <c r="A13" t="n">
        <v>11</v>
      </c>
      <c r="B13" t="inlineStr">
        <is>
          <t>ยาฆ่าเชื้อแบคทีเรียทางเดินหายใจ (D)</t>
        </is>
      </c>
      <c r="C13" t="n">
        <v>8652</v>
      </c>
      <c r="D13" t="inlineStr">
        <is>
          <t>Dicloxilin-500</t>
        </is>
      </c>
      <c r="E13" t="inlineStr">
        <is>
          <t>แผง 10 แคปซูล</t>
        </is>
      </c>
      <c r="F13" t="inlineStr">
        <is>
          <t>Dicloxacillin 500 mg.</t>
        </is>
      </c>
      <c r="G13" t="inlineStr">
        <is>
          <t>BDS008652</t>
        </is>
      </c>
      <c r="H13" t="inlineStr">
        <is>
          <t>Dicloxilin-500 (10 cap)</t>
        </is>
      </c>
      <c r="I13" t="inlineStr">
        <is>
          <t>รับประทานครั้งละ 1 แคปซูลวันละ 4 ครั้ง ก่อนอาหาร</t>
        </is>
      </c>
      <c r="J13" t="inlineStr">
        <is>
          <t>Take 1 capsule 4 times daily before meals</t>
        </is>
      </c>
      <c r="P13" t="inlineStr">
        <is>
          <t>Respiratory antibiotics</t>
        </is>
      </c>
    </row>
    <row r="14">
      <c r="A14" t="n">
        <v>12</v>
      </c>
      <c r="B14" t="inlineStr">
        <is>
          <t>ยาฆ่าเชื้อแบคทีเรียทางเดินหายใจ (D)</t>
        </is>
      </c>
      <c r="C14" t="n">
        <v>8702</v>
      </c>
      <c r="D14" t="inlineStr">
        <is>
          <t>Dicloxman-500</t>
        </is>
      </c>
      <c r="E14" t="inlineStr">
        <is>
          <t>แผง 10 แคปซูล</t>
        </is>
      </c>
      <c r="F14" t="inlineStr">
        <is>
          <t>Dicloxacillin 500 mg.</t>
        </is>
      </c>
      <c r="G14" t="inlineStr">
        <is>
          <t>BDS008702</t>
        </is>
      </c>
      <c r="H14" t="inlineStr">
        <is>
          <t>Dicloxman-500 (10 cap)</t>
        </is>
      </c>
      <c r="I14" t="inlineStr">
        <is>
          <t>รับประทานครั้งละ 1 แคปซูล วันละ 4 ครั้ง ก่อนอาหาร</t>
        </is>
      </c>
      <c r="J14" t="inlineStr">
        <is>
          <t>Take 1 capsule 4 times daily before meals</t>
        </is>
      </c>
      <c r="P14" t="inlineStr">
        <is>
          <t>Respiratory antibiotics</t>
        </is>
      </c>
    </row>
    <row r="15">
      <c r="A15" t="n">
        <v>13</v>
      </c>
      <c r="B15" t="inlineStr">
        <is>
          <t>ยาฆ่าเชื้อแบคทีเรียทางเดินหายใจ (D)</t>
        </is>
      </c>
      <c r="C15" t="n">
        <v>1943</v>
      </c>
      <c r="D15" t="inlineStr">
        <is>
          <t>Floctil 250</t>
        </is>
      </c>
      <c r="E15" t="inlineStr">
        <is>
          <t>กล่อง 6 แคปซูล</t>
        </is>
      </c>
      <c r="F15" t="inlineStr">
        <is>
          <t>Azithromycin 250 mg.</t>
        </is>
      </c>
      <c r="G15" t="inlineStr">
        <is>
          <t>BDS001943</t>
        </is>
      </c>
      <c r="H15" t="inlineStr">
        <is>
          <t>Floctil 250 (6 cap)</t>
        </is>
      </c>
      <c r="I15" t="inlineStr">
        <is>
          <t>รับประทานครั้งละ 2 แคปซูล วันละ 1 ครั้ง ก่อนอาหาร</t>
        </is>
      </c>
      <c r="J15" t="inlineStr">
        <is>
          <t>Take 2 capsules 1 time daily before meals</t>
        </is>
      </c>
      <c r="P15" t="inlineStr">
        <is>
          <t>Respiratory antibiotics</t>
        </is>
      </c>
    </row>
    <row r="16">
      <c r="A16" t="n">
        <v>14</v>
      </c>
      <c r="B16" t="inlineStr">
        <is>
          <t>ยาฆ่าเชื้อแบคทีเรียทางเดินหายใจ (D)</t>
        </is>
      </c>
      <c r="C16" t="n">
        <v>2201</v>
      </c>
      <c r="D16" t="inlineStr">
        <is>
          <t>Ibiamox 500 mg</t>
        </is>
      </c>
      <c r="E16" t="inlineStr">
        <is>
          <t>แผง 10 แคปซูล</t>
        </is>
      </c>
      <c r="F16" t="inlineStr">
        <is>
          <t>Amoxicillin 500 mg.</t>
        </is>
      </c>
      <c r="G16" t="inlineStr">
        <is>
          <t>BDS002201</t>
        </is>
      </c>
      <c r="H16" t="inlineStr">
        <is>
          <t>Ibiamox 500 mg (10 cap)</t>
        </is>
      </c>
      <c r="I16" t="inlineStr">
        <is>
          <t>รับประทานครั้งละ 1 แคปซูล วันละ 3 ครั้ง หรือตามแพทย์สั่ง</t>
        </is>
      </c>
      <c r="J16" t="inlineStr">
        <is>
          <t>Take 1 capsule 3 times daily or as directed by a doctor</t>
        </is>
      </c>
      <c r="P16" t="inlineStr">
        <is>
          <t>Respiratory antibiotics</t>
        </is>
      </c>
    </row>
    <row r="17">
      <c r="A17" t="n">
        <v>15</v>
      </c>
      <c r="B17" t="inlineStr">
        <is>
          <t>ยาฆ่าเชื้อแบคทีเรียทางเดินหายใจ (D)</t>
        </is>
      </c>
      <c r="C17" t="n">
        <v>2447</v>
      </c>
      <c r="D17" t="inlineStr">
        <is>
          <t>Klacid MR 500 mg</t>
        </is>
      </c>
      <c r="E17" t="inlineStr">
        <is>
          <t>กล่อง 7 เม็ด</t>
        </is>
      </c>
      <c r="F17" t="inlineStr">
        <is>
          <t>Clarithromycin 500 mg.</t>
        </is>
      </c>
      <c r="G17" t="inlineStr">
        <is>
          <t>BDS002447</t>
        </is>
      </c>
      <c r="H17" t="inlineStr">
        <is>
          <t>Klacid MR 500 mg (7 tabs)</t>
        </is>
      </c>
      <c r="I17" t="inlineStr">
        <is>
          <t>ผู้ใหญ่รับประทานครั้งละ 1 เม็ด วันละ 1 ครั้ง หลังอาหาร</t>
        </is>
      </c>
      <c r="J17" t="inlineStr">
        <is>
          <t>Adults take 1 tablet 1 time daily after meals</t>
        </is>
      </c>
      <c r="P17" t="inlineStr">
        <is>
          <t>Respiratory antibiotics</t>
        </is>
      </c>
    </row>
    <row r="18">
      <c r="A18" t="n">
        <v>16</v>
      </c>
      <c r="B18" t="inlineStr">
        <is>
          <t>ยาฆ่าเชื้อแบคทีเรียทางเดินหายใจ (D)</t>
        </is>
      </c>
      <c r="C18" t="n">
        <v>2692</v>
      </c>
      <c r="D18" t="inlineStr">
        <is>
          <t>Meiact tabslet</t>
        </is>
      </c>
      <c r="E18" t="inlineStr">
        <is>
          <t>แผง 10 เม็ด</t>
        </is>
      </c>
      <c r="F18" t="inlineStr">
        <is>
          <t>Cefditoren 100 mg.</t>
        </is>
      </c>
      <c r="G18" t="inlineStr">
        <is>
          <t>BDS002692</t>
        </is>
      </c>
      <c r="H18" t="inlineStr">
        <is>
          <t>Meiact tabslet (10 tabs)</t>
        </is>
      </c>
      <c r="I18" t="inlineStr">
        <is>
          <t xml:space="preserve">รับประทานตามแพทย์สั่ง </t>
        </is>
      </c>
      <c r="J18" t="inlineStr">
        <is>
          <t xml:space="preserve">Take as directed by your doctor. </t>
        </is>
      </c>
      <c r="P18" t="inlineStr">
        <is>
          <t>Respiratory antibiotics</t>
        </is>
      </c>
    </row>
    <row r="19">
      <c r="A19" t="n">
        <v>17</v>
      </c>
      <c r="B19" t="inlineStr">
        <is>
          <t>ยาฆ่าเชื้อแบคทีเรียทางเดินหายใจ (D)</t>
        </is>
      </c>
      <c r="C19" t="n">
        <v>3078</v>
      </c>
      <c r="D19" t="inlineStr">
        <is>
          <t>Omnicef 100 mg</t>
        </is>
      </c>
      <c r="E19" t="inlineStr">
        <is>
          <t>แผง 10 แคปซูล</t>
        </is>
      </c>
      <c r="F19" t="inlineStr">
        <is>
          <t>Cefdinir 100 mg.</t>
        </is>
      </c>
      <c r="G19" t="inlineStr">
        <is>
          <t>BDS003078</t>
        </is>
      </c>
      <c r="H19" t="inlineStr">
        <is>
          <t>Omnicef 100 mg (10 cap)</t>
        </is>
      </c>
      <c r="I19" t="inlineStr">
        <is>
          <t xml:space="preserve">รับประทานตามแพทย์สั่ง </t>
        </is>
      </c>
      <c r="J19" t="inlineStr">
        <is>
          <t xml:space="preserve">Take as directed by your doctor. </t>
        </is>
      </c>
      <c r="P19" t="inlineStr">
        <is>
          <t>Respiratory antibiotics</t>
        </is>
      </c>
    </row>
    <row r="20">
      <c r="A20" t="n">
        <v>18</v>
      </c>
      <c r="B20" t="inlineStr">
        <is>
          <t>ยาฆ่าเชื้อแบคทีเรียทางเดินหายใจ (D)</t>
        </is>
      </c>
      <c r="C20" t="n">
        <v>8121</v>
      </c>
      <c r="D20" t="inlineStr">
        <is>
          <t>Rintacin</t>
        </is>
      </c>
      <c r="E20" t="inlineStr">
        <is>
          <t>แผง 10 เม็ด</t>
        </is>
      </c>
      <c r="F20" t="inlineStr">
        <is>
          <t>Erythromycin stearate 250 mg.</t>
        </is>
      </c>
      <c r="G20" t="inlineStr">
        <is>
          <t>BDS008121</t>
        </is>
      </c>
      <c r="H20" t="inlineStr">
        <is>
          <t>Rintacin (10 tabs)</t>
        </is>
      </c>
      <c r="I20" t="inlineStr">
        <is>
          <t>รับประทานครั้งละ 1 เม็ด วันละ 4 ครั้ง ก่อนอาหาร</t>
        </is>
      </c>
      <c r="J20" t="inlineStr">
        <is>
          <t>Take 1 tablet 4 times daily before meals</t>
        </is>
      </c>
      <c r="P20" t="inlineStr">
        <is>
          <t>Respiratory antibiotics</t>
        </is>
      </c>
    </row>
    <row r="21">
      <c r="A21" t="n">
        <v>19</v>
      </c>
      <c r="B21" t="inlineStr">
        <is>
          <t>ยาฆ่าเชื้อแบคทีเรียทางเดินหายใจ (D)</t>
        </is>
      </c>
      <c r="C21" t="n">
        <v>3423</v>
      </c>
      <c r="D21" t="inlineStr">
        <is>
          <t>Rothricin 150 mg</t>
        </is>
      </c>
      <c r="E21" t="inlineStr">
        <is>
          <t>แผง 10 เม็ด</t>
        </is>
      </c>
      <c r="F21" t="inlineStr">
        <is>
          <t>Roxithromycin 150 mg.</t>
        </is>
      </c>
      <c r="G21" t="inlineStr">
        <is>
          <t>BDS003423</t>
        </is>
      </c>
      <c r="H21" t="inlineStr">
        <is>
          <t>Rothricin 150 mg (10 tabs)</t>
        </is>
      </c>
      <c r="I21" t="inlineStr">
        <is>
          <t>รับประทานครั้งละ 1 เม็ด วันละ 2 ครั้ง ก่อนอาหาร เช้า-เย็น</t>
        </is>
      </c>
      <c r="J21" t="inlineStr">
        <is>
          <t>Take 1 tablet 2 times a day before meals, morning and evening</t>
        </is>
      </c>
      <c r="P21" t="inlineStr">
        <is>
          <t>Respiratory antibiotics</t>
        </is>
      </c>
    </row>
    <row r="22">
      <c r="A22" t="n">
        <v>20</v>
      </c>
      <c r="B22" t="inlineStr">
        <is>
          <t>ยาฆ่าเชื้อแบคทีเรียทางเดินหายใจ (D)</t>
        </is>
      </c>
      <c r="C22" t="n">
        <v>7976</v>
      </c>
      <c r="D22" t="inlineStr">
        <is>
          <t>Roxitop 300</t>
        </is>
      </c>
      <c r="E22" t="inlineStr">
        <is>
          <t>แผง 10 เม็ด</t>
        </is>
      </c>
      <c r="F22" t="inlineStr">
        <is>
          <t>Roxithromycin 300 mg.</t>
        </is>
      </c>
      <c r="G22" t="inlineStr">
        <is>
          <t>BDS007976</t>
        </is>
      </c>
      <c r="H22" t="inlineStr">
        <is>
          <t>Roxitop 300 (10 tabs)</t>
        </is>
      </c>
      <c r="I22" t="inlineStr">
        <is>
          <t>รับประทานครั้งละ 1 เม็ด วันละ 1 ครั้ง ก่อนอาหาร</t>
        </is>
      </c>
      <c r="J22" t="inlineStr">
        <is>
          <t>Take 1 tablet 1 time daily before meals</t>
        </is>
      </c>
      <c r="P22" t="inlineStr">
        <is>
          <t>Respiratory antibiotics</t>
        </is>
      </c>
    </row>
    <row r="23">
      <c r="A23" t="n">
        <v>21</v>
      </c>
      <c r="B23" t="inlineStr">
        <is>
          <t>ยาฆ่าเชื้อแบคทีเรียทางเดินหายใจ (D)</t>
        </is>
      </c>
      <c r="C23" t="n">
        <v>3428</v>
      </c>
      <c r="D23" t="inlineStr">
        <is>
          <t>Rulid 150 mg</t>
        </is>
      </c>
      <c r="E23" t="inlineStr">
        <is>
          <t>กล่อง 10 เม็ด</t>
        </is>
      </c>
      <c r="F23" t="inlineStr">
        <is>
          <t>Roxithromycin 150 mg.</t>
        </is>
      </c>
      <c r="G23" t="inlineStr">
        <is>
          <t>BDS003428</t>
        </is>
      </c>
      <c r="H23" t="inlineStr">
        <is>
          <t>Rulid 150 mg (10 tabs)</t>
        </is>
      </c>
      <c r="I23" t="inlineStr">
        <is>
          <t>รับประทานครั้งละ 1 เม็ด วันละ 2 ครั้ง ก่อนอาหาร เช้า-เย็น</t>
        </is>
      </c>
      <c r="J23" t="inlineStr">
        <is>
          <t>Take 1 tablet 2 times a day before meals, morning and evening</t>
        </is>
      </c>
      <c r="P23" t="inlineStr">
        <is>
          <t>Respiratory antibiotics</t>
        </is>
      </c>
    </row>
    <row r="24">
      <c r="A24" t="n">
        <v>22</v>
      </c>
      <c r="B24" t="inlineStr">
        <is>
          <t>ยาฆ่าเชื้อแบคทีเรียทางเดินหายใจ (D)</t>
        </is>
      </c>
      <c r="C24" t="n">
        <v>7007</v>
      </c>
      <c r="D24" t="inlineStr">
        <is>
          <t>Uramox 500</t>
        </is>
      </c>
      <c r="E24" t="inlineStr">
        <is>
          <t>แผง 10 แคปซูล</t>
        </is>
      </c>
      <c r="F24" t="inlineStr">
        <is>
          <t>Amoxicillin 500 mg.</t>
        </is>
      </c>
      <c r="G24" t="inlineStr">
        <is>
          <t>BDS007007</t>
        </is>
      </c>
      <c r="H24" t="inlineStr">
        <is>
          <t>Uramox 500 (10 cap)</t>
        </is>
      </c>
      <c r="I24" t="inlineStr">
        <is>
          <t>รับประทานครั้งละ 1 แคปซูล วันละ 4 ครั้ง</t>
        </is>
      </c>
      <c r="P24" t="inlineStr">
        <is>
          <t>Respiratory antibiotics</t>
        </is>
      </c>
    </row>
    <row r="25">
      <c r="A25" t="n">
        <v>23</v>
      </c>
      <c r="B25" t="inlineStr">
        <is>
          <t>ยาฆ่าเชื้อแบคทีเรียทางเดินหายใจ (D)</t>
        </is>
      </c>
      <c r="C25" t="n">
        <v>49776</v>
      </c>
      <c r="D25" t="inlineStr">
        <is>
          <t>Zithromax tabslet 250 mg</t>
        </is>
      </c>
      <c r="E25" t="inlineStr">
        <is>
          <t>กล่อง 6 เม็ด</t>
        </is>
      </c>
      <c r="F25" t="inlineStr">
        <is>
          <t>Azithromycin 250 mg.</t>
        </is>
      </c>
      <c r="G25" t="inlineStr">
        <is>
          <t>BDS049776</t>
        </is>
      </c>
      <c r="H25" t="inlineStr">
        <is>
          <t>Zithromax tabslet 250 mg (6 tabs)</t>
        </is>
      </c>
      <c r="I25" t="inlineStr">
        <is>
          <t>รับประทานครั้งละ 2 เม็ด วันละ 1 ครั้ง ก่อนอาหาร</t>
        </is>
      </c>
      <c r="P25" t="inlineStr">
        <is>
          <t>Respiratory antibiotics</t>
        </is>
      </c>
    </row>
    <row r="26">
      <c r="A26" t="n">
        <v>24</v>
      </c>
      <c r="B26" t="inlineStr">
        <is>
          <t>ยาแก้ปวด, ลดไข้</t>
        </is>
      </c>
      <c r="C26" t="n">
        <v>40614</v>
      </c>
      <c r="D26" t="inlineStr">
        <is>
          <t>Bakamol 500 mg bottle 100s</t>
        </is>
      </c>
      <c r="E26" t="inlineStr">
        <is>
          <t>กระปุก 100 เม็ด</t>
        </is>
      </c>
      <c r="F26" t="inlineStr">
        <is>
          <t>Paracetamol 500 mg.</t>
        </is>
      </c>
      <c r="G26" t="inlineStr">
        <is>
          <t>BDS040614</t>
        </is>
      </c>
      <c r="H26" t="inlineStr">
        <is>
          <t>Bakamol 500 mg bottle 100s (100 tabs)</t>
        </is>
      </c>
      <c r="I26" t="inlineStr">
        <is>
          <t>รับประทานครั้งละ 1-2 เม็ด ทุก 4-6 ชั่วโมง</t>
        </is>
      </c>
      <c r="P26" t="inlineStr">
        <is>
          <t>General analgesics/antipyretics</t>
        </is>
      </c>
    </row>
    <row r="27">
      <c r="A27" t="n">
        <v>25</v>
      </c>
      <c r="B27" t="inlineStr">
        <is>
          <t>ยาแก้ปวด, ลดไข้</t>
        </is>
      </c>
      <c r="C27" t="n">
        <v>7047</v>
      </c>
      <c r="D27" t="inlineStr">
        <is>
          <t>Cemol 500 mg bottle 100s ฟ้า-ขาว</t>
        </is>
      </c>
      <c r="E27" t="inlineStr">
        <is>
          <t>กระปุก 100 เม็ด</t>
        </is>
      </c>
      <c r="F27" t="inlineStr">
        <is>
          <t>Paracetamol 500 mg.</t>
        </is>
      </c>
      <c r="G27" t="inlineStr">
        <is>
          <t>BDS007047</t>
        </is>
      </c>
      <c r="H27" t="inlineStr">
        <is>
          <t>Cemol 500 mg bottle 100s ฟ้า-ขาว (100 tabs)</t>
        </is>
      </c>
      <c r="I27" t="inlineStr">
        <is>
          <t>รับประทานครั้งละ 1-2 เม็ด ทุก 4 ชั่วโมง หรือเมื่อมีอาการ</t>
        </is>
      </c>
      <c r="P27" t="inlineStr">
        <is>
          <t>General analgesics/antipyretics</t>
        </is>
      </c>
    </row>
    <row r="28">
      <c r="A28" t="n">
        <v>26</v>
      </c>
      <c r="B28" t="inlineStr">
        <is>
          <t>ยาแก้ปวด, ลดไข้</t>
        </is>
      </c>
      <c r="C28" t="n">
        <v>7041</v>
      </c>
      <c r="D28" t="inlineStr">
        <is>
          <t>Cemol 500 mg bottle 100s เม็ดกลม</t>
        </is>
      </c>
      <c r="E28" t="inlineStr">
        <is>
          <t>กระปุก 100 เม็ด</t>
        </is>
      </c>
      <c r="F28" t="inlineStr">
        <is>
          <t>Paracetamol 500 mg.</t>
        </is>
      </c>
      <c r="G28" t="inlineStr">
        <is>
          <t>BDS007041</t>
        </is>
      </c>
      <c r="H28" t="inlineStr">
        <is>
          <t>Cemol 500 mg bottle 100s เม็ดกลม (100 tabs)</t>
        </is>
      </c>
      <c r="I28" t="inlineStr">
        <is>
          <t>รับประทานครั้งละ 1-2 เม็ด ทุก 4 ชั่วโมง หรือเมื่อมีอาการ</t>
        </is>
      </c>
      <c r="P28" t="inlineStr">
        <is>
          <t>General analgesics/antipyretics</t>
        </is>
      </c>
    </row>
    <row r="29">
      <c r="A29" t="n">
        <v>27</v>
      </c>
      <c r="B29" t="inlineStr">
        <is>
          <t>ยาแก้ปวด, ลดไข้</t>
        </is>
      </c>
      <c r="C29" t="n">
        <v>46505</v>
      </c>
      <c r="D29" t="inlineStr">
        <is>
          <t xml:space="preserve">Panadol Actifast </t>
        </is>
      </c>
      <c r="E29" t="inlineStr">
        <is>
          <t>กล่อง 10 เม็ด</t>
        </is>
      </c>
      <c r="F29" t="inlineStr">
        <is>
          <t>Paracetamol 500 mg.</t>
        </is>
      </c>
      <c r="G29" t="inlineStr">
        <is>
          <t>BDS046505</t>
        </is>
      </c>
      <c r="H29" t="inlineStr">
        <is>
          <t>Panadol Actifast  (10 tabs)</t>
        </is>
      </c>
      <c r="I29" t="inlineStr">
        <is>
          <t>รับประทานครั้งละ 1-2  เม็ด ทุก 4-6 ชั่วโมง เมื่อมีอาการ</t>
        </is>
      </c>
      <c r="P29" t="inlineStr">
        <is>
          <t>General analgesics/antipyretics</t>
        </is>
      </c>
    </row>
    <row r="30">
      <c r="A30" t="n">
        <v>28</v>
      </c>
      <c r="B30" t="inlineStr">
        <is>
          <t>ยาแก้ปวด, ลดไข้</t>
        </is>
      </c>
      <c r="C30" t="n">
        <v>3109</v>
      </c>
      <c r="D30" t="inlineStr">
        <is>
          <t>Para Cap bottle 100s</t>
        </is>
      </c>
      <c r="E30" t="inlineStr">
        <is>
          <t>กระปุก 100 เม็ด</t>
        </is>
      </c>
      <c r="F30" t="inlineStr">
        <is>
          <t>Paracetamol 500 mg.</t>
        </is>
      </c>
      <c r="G30" t="inlineStr">
        <is>
          <t>BDS003109</t>
        </is>
      </c>
      <c r="H30" t="inlineStr">
        <is>
          <t>Para Cap bottle 100s (100 tabs)</t>
        </is>
      </c>
      <c r="I30" t="inlineStr">
        <is>
          <t>รับประทานครั้งละ 1-2 เม็ด ทุก 4-6 ชั่วโมง</t>
        </is>
      </c>
      <c r="P30" t="inlineStr">
        <is>
          <t>General analgesics/antipyretics</t>
        </is>
      </c>
    </row>
    <row r="31">
      <c r="A31" t="n">
        <v>29</v>
      </c>
      <c r="B31" t="inlineStr">
        <is>
          <t>ยาแก้ปวด, ลดไข้</t>
        </is>
      </c>
      <c r="C31" t="n">
        <v>3595</v>
      </c>
      <c r="D31" t="inlineStr">
        <is>
          <t>Sara เม็ดรี กระปุก 100s</t>
        </is>
      </c>
      <c r="E31" t="inlineStr">
        <is>
          <t>กระปุก 100 เม็ด</t>
        </is>
      </c>
      <c r="F31" t="inlineStr">
        <is>
          <t>Paracetamol 500 mg.</t>
        </is>
      </c>
      <c r="G31" t="inlineStr">
        <is>
          <t>BDS003595</t>
        </is>
      </c>
      <c r="H31" t="inlineStr">
        <is>
          <t>Sara เม็ดรี กระปุก 100s (100 tabs)</t>
        </is>
      </c>
      <c r="I31" t="inlineStr">
        <is>
          <t>รับประทานครั้งละ 1-2 เม็ด ทุก 4-6 ชั่วโมง</t>
        </is>
      </c>
      <c r="P31" t="inlineStr">
        <is>
          <t>General analgesics/antipyretics</t>
        </is>
      </c>
    </row>
    <row r="32">
      <c r="A32" t="n">
        <v>30</v>
      </c>
      <c r="B32" t="inlineStr">
        <is>
          <t>ยาแก้ปวด, ลดไข้</t>
        </is>
      </c>
      <c r="C32" t="n">
        <v>3764</v>
      </c>
      <c r="D32" t="inlineStr">
        <is>
          <t>Tylenol 500 mg bottle 100s</t>
        </is>
      </c>
      <c r="E32" t="inlineStr">
        <is>
          <t>กระปุก 100 เม็ด</t>
        </is>
      </c>
      <c r="F32" t="inlineStr">
        <is>
          <t>Paracetamol 500 mg.</t>
        </is>
      </c>
      <c r="G32" t="inlineStr">
        <is>
          <t>BDS003764</t>
        </is>
      </c>
      <c r="H32" t="inlineStr">
        <is>
          <t>Tylenol 500 mg bottle 100s (100 tabs)</t>
        </is>
      </c>
      <c r="I32" t="inlineStr">
        <is>
          <t>รับประทานครั้งละ 1-2 เม็ด ทุก 4-6 ชั่วโมง</t>
        </is>
      </c>
      <c r="P32" t="inlineStr">
        <is>
          <t>General analgesics/antipyretics</t>
        </is>
      </c>
    </row>
    <row r="33">
      <c r="A33" t="n">
        <v>31</v>
      </c>
      <c r="B33" t="inlineStr">
        <is>
          <t>ยาแก้ปวด, ลดไข้</t>
        </is>
      </c>
      <c r="C33" t="n">
        <v>3748</v>
      </c>
      <c r="D33" t="inlineStr">
        <is>
          <t>Tylenol 8 Hour</t>
        </is>
      </c>
      <c r="E33" t="inlineStr">
        <is>
          <t>กล่อง 10 เม็ด</t>
        </is>
      </c>
      <c r="F33" t="inlineStr">
        <is>
          <t>Paracetamol 650 mg.</t>
        </is>
      </c>
      <c r="G33" t="inlineStr">
        <is>
          <t>BDS003748</t>
        </is>
      </c>
      <c r="H33" t="inlineStr">
        <is>
          <t>Tylenol 8 Hour (10 tabs)</t>
        </is>
      </c>
      <c r="I33" t="inlineStr">
        <is>
          <t>รับประทานครั้งละ 2 เม็ด ทุก 8 ชั่วโมง หรือเมื่อมีอาการ</t>
        </is>
      </c>
      <c r="P33" t="inlineStr">
        <is>
          <t>General analgesics/antipyretics</t>
        </is>
      </c>
    </row>
    <row r="34">
      <c r="A34" t="n">
        <v>32</v>
      </c>
      <c r="B34" t="inlineStr">
        <is>
          <t>ยาแก้แพ้, ลดน้ำมูก (D)</t>
        </is>
      </c>
      <c r="C34" t="n">
        <v>1010</v>
      </c>
      <c r="D34" t="inlineStr">
        <is>
          <t>Aerius tabslet</t>
        </is>
      </c>
      <c r="E34" t="inlineStr">
        <is>
          <t>กล่อง 10 เม็ด</t>
        </is>
      </c>
      <c r="F34" t="inlineStr">
        <is>
          <t>Desloratadine 5 mg.</t>
        </is>
      </c>
      <c r="G34" t="inlineStr">
        <is>
          <t>BDS001010</t>
        </is>
      </c>
      <c r="H34" t="inlineStr">
        <is>
          <t>Aerius tabslet (10 tabs)</t>
        </is>
      </c>
      <c r="I34" t="inlineStr">
        <is>
          <t>ผู้ใหญ่รับประทานครั้งละ 1 เม็ด วันละ 1 ครั้ง</t>
        </is>
      </c>
      <c r="K34" t="n">
        <v>620</v>
      </c>
      <c r="L34" t="n">
        <v>62</v>
      </c>
      <c r="M34" t="inlineStr">
        <is>
          <t>USER</t>
        </is>
      </c>
      <c r="N34" t="inlineStr">
        <is>
          <t>2026-02-07</t>
        </is>
      </c>
      <c r="O34" t="inlineStr">
        <is>
          <t>User provided price (Aerius tabslet 10 tabs).</t>
        </is>
      </c>
    </row>
    <row r="35">
      <c r="A35" t="n">
        <v>33</v>
      </c>
      <c r="B35" t="inlineStr">
        <is>
          <t>ยาแก้แพ้, ลดน้ำมูก (D)</t>
        </is>
      </c>
      <c r="C35" t="n">
        <v>40029</v>
      </c>
      <c r="D35" t="inlineStr">
        <is>
          <t>Alerest</t>
        </is>
      </c>
      <c r="E35" t="inlineStr">
        <is>
          <t>แผง 10 เม็ด</t>
        </is>
      </c>
      <c r="F35" t="inlineStr">
        <is>
          <t>Cetirizine dihydrochloride 10 mg.</t>
        </is>
      </c>
      <c r="G35" t="inlineStr">
        <is>
          <t>BDS040029</t>
        </is>
      </c>
      <c r="H35" t="inlineStr">
        <is>
          <t>Alerest (10 tabs)</t>
        </is>
      </c>
      <c r="I35" t="inlineStr">
        <is>
          <t>รับประทานครั้งละ 1 เม็ด วันละ 1 ครั้ง</t>
        </is>
      </c>
    </row>
    <row r="36">
      <c r="A36" t="n">
        <v>34</v>
      </c>
      <c r="B36" t="inlineStr">
        <is>
          <t>ยาแก้แพ้, ลดน้ำมูก (D)</t>
        </is>
      </c>
      <c r="C36" t="n">
        <v>7702</v>
      </c>
      <c r="D36" t="inlineStr">
        <is>
          <t>Allerax-FC</t>
        </is>
      </c>
      <c r="E36" t="inlineStr">
        <is>
          <t>แผง 10 เม็ด</t>
        </is>
      </c>
      <c r="F36" t="inlineStr">
        <is>
          <t>Hydroxyzine HCl 10 mg.</t>
        </is>
      </c>
      <c r="G36" t="inlineStr">
        <is>
          <t>BDS007702</t>
        </is>
      </c>
      <c r="H36" t="inlineStr">
        <is>
          <t>Allerax-FC (10 tabs)</t>
        </is>
      </c>
      <c r="I36" t="inlineStr">
        <is>
          <t>รับประทานครั้งละ 1-2 เม็ด วันละ 3 ครั้ง หรือเมื่อมีอาการ</t>
        </is>
      </c>
    </row>
    <row r="37">
      <c r="A37" t="n">
        <v>35</v>
      </c>
      <c r="B37" t="inlineStr">
        <is>
          <t>ยาแก้แพ้, ลดน้ำมูก (D)</t>
        </is>
      </c>
      <c r="C37" t="n">
        <v>40033</v>
      </c>
      <c r="D37" t="inlineStr">
        <is>
          <t>Allernix</t>
        </is>
      </c>
      <c r="E37" t="inlineStr">
        <is>
          <t>กล่อง 10 เม็ด</t>
        </is>
      </c>
      <c r="F37" t="inlineStr">
        <is>
          <t>Loratadine 10 mg.</t>
        </is>
      </c>
      <c r="G37" t="inlineStr">
        <is>
          <t>BDS040033</t>
        </is>
      </c>
      <c r="H37" t="inlineStr">
        <is>
          <t>Allernix (10 tabs)</t>
        </is>
      </c>
      <c r="I37" t="inlineStr">
        <is>
          <t>รับประทานครั้งละ 1 เม็ด วันละ 1 ครั้ง</t>
        </is>
      </c>
    </row>
    <row r="38">
      <c r="A38" t="n">
        <v>36</v>
      </c>
      <c r="B38" t="inlineStr">
        <is>
          <t>ยาแก้แพ้, ลดน้ำมูก (D)</t>
        </is>
      </c>
      <c r="C38" t="n">
        <v>40028</v>
      </c>
      <c r="D38" t="inlineStr">
        <is>
          <t>Allora 5 mg</t>
        </is>
      </c>
      <c r="E38" t="inlineStr">
        <is>
          <t>กล่อง 10 เม็ด</t>
        </is>
      </c>
      <c r="F38" t="inlineStr">
        <is>
          <t>Desloratadine 5 mg.</t>
        </is>
      </c>
      <c r="G38" t="inlineStr">
        <is>
          <t>BDS040028</t>
        </is>
      </c>
      <c r="H38" t="inlineStr">
        <is>
          <t>Allora 5 mg (10 tabs)</t>
        </is>
      </c>
      <c r="I38" t="inlineStr">
        <is>
          <t>ผู้ใหญ่รับประทานครั้งละ 1 เม็ด วันละ 1 ครั้ง</t>
        </is>
      </c>
    </row>
    <row r="39">
      <c r="A39" t="n">
        <v>37</v>
      </c>
      <c r="B39" t="inlineStr">
        <is>
          <t>ยาแก้แพ้, ลดน้ำมูก (D)</t>
        </is>
      </c>
      <c r="C39" t="n">
        <v>40630</v>
      </c>
      <c r="D39" t="inlineStr">
        <is>
          <t>Bilaxten</t>
        </is>
      </c>
      <c r="E39" t="inlineStr">
        <is>
          <t>กล่อง 10 เม็ด</t>
        </is>
      </c>
      <c r="F39" t="inlineStr">
        <is>
          <t>Bilastine 20 mg.</t>
        </is>
      </c>
      <c r="G39" t="inlineStr">
        <is>
          <t>BDS040630</t>
        </is>
      </c>
      <c r="H39" t="inlineStr">
        <is>
          <t>Bilaxten (10 tabs)</t>
        </is>
      </c>
      <c r="I39" t="inlineStr">
        <is>
          <t>รับประทานครั้งละ 1 เม็ด วันละ 1 ครั้ง ก่อนอาหาร</t>
        </is>
      </c>
    </row>
    <row r="40">
      <c r="A40" t="n">
        <v>38</v>
      </c>
      <c r="B40" t="inlineStr">
        <is>
          <t>ยาแก้แพ้, ลดน้ำมูก (D)</t>
        </is>
      </c>
      <c r="C40" t="n">
        <v>41454</v>
      </c>
      <c r="D40" t="inlineStr">
        <is>
          <t>Carinose</t>
        </is>
      </c>
      <c r="E40" t="inlineStr">
        <is>
          <t>แผง 10 เม็ด</t>
        </is>
      </c>
      <c r="F40" t="inlineStr">
        <is>
          <t>Micronized Loratadine 10 mg.</t>
        </is>
      </c>
      <c r="G40" t="inlineStr">
        <is>
          <t>BDS041454</t>
        </is>
      </c>
      <c r="H40" t="inlineStr">
        <is>
          <t>Carinose (10 tabs)</t>
        </is>
      </c>
      <c r="I40" t="inlineStr">
        <is>
          <t>รับประทานครั้งละ 1 เม็ด วันละ 1 ครั้ง</t>
        </is>
      </c>
    </row>
    <row r="41">
      <c r="A41" t="n">
        <v>39</v>
      </c>
      <c r="B41" t="inlineStr">
        <is>
          <t>ยาแก้แพ้, ลดน้ำมูก (D)</t>
        </is>
      </c>
      <c r="C41" t="n">
        <v>41510</v>
      </c>
      <c r="D41" t="inlineStr">
        <is>
          <t>Clarid</t>
        </is>
      </c>
      <c r="E41" t="inlineStr">
        <is>
          <t>แผง 10 เม็ด</t>
        </is>
      </c>
      <c r="F41" t="inlineStr">
        <is>
          <t>Loratadine (Micronized) 10 mg</t>
        </is>
      </c>
      <c r="G41" t="inlineStr">
        <is>
          <t>BDS041510</t>
        </is>
      </c>
      <c r="H41" t="inlineStr">
        <is>
          <t>Clarid (10 tabs)</t>
        </is>
      </c>
      <c r="I41" t="inlineStr">
        <is>
          <t xml:space="preserve">รับประทานครั้งละ 1 เม็ด วันละ 1 ครั้ง </t>
        </is>
      </c>
    </row>
    <row r="42">
      <c r="A42" t="n">
        <v>40</v>
      </c>
      <c r="B42" t="inlineStr">
        <is>
          <t>ยาแก้แพ้, ลดน้ำมูก (D)</t>
        </is>
      </c>
      <c r="C42" t="n">
        <v>41499</v>
      </c>
      <c r="D42" t="inlineStr">
        <is>
          <t xml:space="preserve">Clarityne </t>
        </is>
      </c>
      <c r="E42" t="inlineStr">
        <is>
          <t>กล่อง 5 เม็ด</t>
        </is>
      </c>
      <c r="F42" t="inlineStr">
        <is>
          <t>Micronized loratadine 10 mg.</t>
        </is>
      </c>
      <c r="G42" t="inlineStr">
        <is>
          <t>BDS041499</t>
        </is>
      </c>
      <c r="H42" t="inlineStr">
        <is>
          <t>Clarityne  (5 tabs)</t>
        </is>
      </c>
      <c r="I42" t="inlineStr">
        <is>
          <t xml:space="preserve">รับประทานครั้งละ 1 เม็ด วันละ 1 ครั้ง </t>
        </is>
      </c>
    </row>
    <row r="43">
      <c r="A43" t="n">
        <v>41</v>
      </c>
      <c r="B43" t="inlineStr">
        <is>
          <t>ยาแก้แพ้, ลดน้ำมูก (D)</t>
        </is>
      </c>
      <c r="C43" t="n">
        <v>1978</v>
      </c>
      <c r="D43" t="inlineStr">
        <is>
          <t>Fenafex 180 mg</t>
        </is>
      </c>
      <c r="E43" t="inlineStr">
        <is>
          <t>กล่อง 10 เม็ด</t>
        </is>
      </c>
      <c r="F43" t="inlineStr">
        <is>
          <t>Fexofenadine HCl 180 mg.</t>
        </is>
      </c>
      <c r="G43" t="inlineStr">
        <is>
          <t>BDS001978</t>
        </is>
      </c>
      <c r="H43" t="inlineStr">
        <is>
          <t>Fenafex 180 mg (10 tabs)</t>
        </is>
      </c>
      <c r="I43" t="inlineStr">
        <is>
          <t>รับประทานครั้งละ 1 เม็ด วันละ 1 ครั้ง</t>
        </is>
      </c>
    </row>
    <row r="44">
      <c r="A44" t="n">
        <v>42</v>
      </c>
      <c r="B44" t="inlineStr">
        <is>
          <t>ยาแก้แพ้, ลดน้ำมูก (D)</t>
        </is>
      </c>
      <c r="C44" t="n">
        <v>1953</v>
      </c>
      <c r="D44" t="inlineStr">
        <is>
          <t>Fenafex 60 mg</t>
        </is>
      </c>
      <c r="E44" t="inlineStr">
        <is>
          <t>กล่อง 10 เม็ด</t>
        </is>
      </c>
      <c r="F44" t="inlineStr">
        <is>
          <t>Fexofenadine HCl 60 mg.</t>
        </is>
      </c>
      <c r="G44" t="inlineStr">
        <is>
          <t>BDS001953</t>
        </is>
      </c>
      <c r="H44" t="inlineStr">
        <is>
          <t>Fenafex 60 mg (10 tabs)</t>
        </is>
      </c>
      <c r="I44" t="inlineStr">
        <is>
          <t xml:space="preserve">รับประทานครั้งละ 1 เม็ด  วันละ 2 ครั้ง </t>
        </is>
      </c>
    </row>
    <row r="45">
      <c r="A45" t="n">
        <v>43</v>
      </c>
      <c r="B45" t="inlineStr">
        <is>
          <t>ยาแก้แพ้, ลดน้ำมูก (D)</t>
        </is>
      </c>
      <c r="C45" t="n">
        <v>7975</v>
      </c>
      <c r="D45" t="inlineStr">
        <is>
          <t>Fexotine</t>
        </is>
      </c>
      <c r="E45" t="inlineStr">
        <is>
          <t>กล่อง 10 เม็ด</t>
        </is>
      </c>
      <c r="F45" t="inlineStr">
        <is>
          <t>Fexofenadine HCl 60 mg.</t>
        </is>
      </c>
      <c r="G45" t="inlineStr">
        <is>
          <t>BDS007975</t>
        </is>
      </c>
      <c r="H45" t="inlineStr">
        <is>
          <t>Fexotine (10 tabs)</t>
        </is>
      </c>
      <c r="I45" t="inlineStr">
        <is>
          <t>รับประทานครั้งละ 1 เม็ด วันละ 2 ครั้ง</t>
        </is>
      </c>
    </row>
    <row r="46">
      <c r="A46" t="n">
        <v>44</v>
      </c>
      <c r="B46" t="inlineStr">
        <is>
          <t>ยาแก้แพ้, ลดน้ำมูก (D)</t>
        </is>
      </c>
      <c r="C46" t="n">
        <v>7145</v>
      </c>
      <c r="D46" t="inlineStr">
        <is>
          <t>Histatabs</t>
        </is>
      </c>
      <c r="E46" t="inlineStr">
        <is>
          <t>กระปุก 100 เม็ด</t>
        </is>
      </c>
      <c r="F46" t="inlineStr">
        <is>
          <t>Chlorpheniramine Maleate 4 mg.</t>
        </is>
      </c>
      <c r="G46" t="inlineStr">
        <is>
          <t>BDS007145</t>
        </is>
      </c>
      <c r="H46" t="inlineStr">
        <is>
          <t>Histatabs (100 tabs)</t>
        </is>
      </c>
      <c r="I46" t="inlineStr">
        <is>
          <t>รับประทานครั้งละ 1 เม็ด วันละ 3 ครั้ง หรือเมื่อมีอาการ</t>
        </is>
      </c>
    </row>
    <row r="47">
      <c r="A47" t="n">
        <v>45</v>
      </c>
      <c r="B47" t="inlineStr">
        <is>
          <t>ยาแก้แพ้, ลดน้ำมูก (D)</t>
        </is>
      </c>
      <c r="C47" t="n">
        <v>8701</v>
      </c>
      <c r="D47" t="inlineStr">
        <is>
          <t>Hydrox-25</t>
        </is>
      </c>
      <c r="E47" t="inlineStr">
        <is>
          <t>แผง 10 เม็ด</t>
        </is>
      </c>
      <c r="F47" t="inlineStr">
        <is>
          <t>Hydroxyzine HCl 25 mg.</t>
        </is>
      </c>
      <c r="G47" t="inlineStr">
        <is>
          <t>BDS008701</t>
        </is>
      </c>
      <c r="H47" t="inlineStr">
        <is>
          <t>Hydrox-25 (10 tabs)</t>
        </is>
      </c>
      <c r="I47" t="inlineStr">
        <is>
          <t>รับประทานครั้งละ 1-2 เม็ด วันละ 1 ครั้ง ก่อนนอน</t>
        </is>
      </c>
    </row>
    <row r="48">
      <c r="A48" t="n">
        <v>46</v>
      </c>
      <c r="B48" t="inlineStr">
        <is>
          <t>ยาแก้แพ้, ลดน้ำมูก (D)</t>
        </is>
      </c>
      <c r="C48" t="n">
        <v>44553</v>
      </c>
      <c r="D48" t="inlineStr">
        <is>
          <t>Levocet</t>
        </is>
      </c>
      <c r="E48" t="inlineStr">
        <is>
          <t>กล่อง 10 เม็ด</t>
        </is>
      </c>
      <c r="F48" t="inlineStr">
        <is>
          <t>Levocetirizine dihydrochloride 5 mg.</t>
        </is>
      </c>
      <c r="G48" t="inlineStr">
        <is>
          <t>BDS044553</t>
        </is>
      </c>
      <c r="H48" t="inlineStr">
        <is>
          <t>Levocet (10 tabs)</t>
        </is>
      </c>
      <c r="I48" t="inlineStr">
        <is>
          <t>ผู้ใหญ่และเด็กอายุ 12 ปีขึ้นไป รับประทานครั้งละ 1 เม็ด วันละ 1 ครั้ง โดยไม่ต้องคำนึงถึงมื้ออาหาร</t>
        </is>
      </c>
    </row>
    <row r="49">
      <c r="A49" t="n">
        <v>47</v>
      </c>
      <c r="B49" t="inlineStr">
        <is>
          <t>ยาแก้แพ้, ลดน้ำมูก (D)</t>
        </is>
      </c>
      <c r="C49" t="n">
        <v>6046</v>
      </c>
      <c r="D49" t="inlineStr">
        <is>
          <t>Loreze</t>
        </is>
      </c>
      <c r="E49" t="inlineStr">
        <is>
          <t>กล่อง 10 แคปซูล</t>
        </is>
      </c>
      <c r="F49" t="inlineStr">
        <is>
          <t>Loratadine 10 mg.</t>
        </is>
      </c>
      <c r="G49" t="inlineStr">
        <is>
          <t>BDS006046</t>
        </is>
      </c>
      <c r="H49" t="inlineStr">
        <is>
          <t>Loreze (10 cap)</t>
        </is>
      </c>
      <c r="I49" t="inlineStr">
        <is>
          <t>รับประทานครั้งละ 1 แคปซูล วันละ 1 ครั้ง หรือตามแพทย์สั่ง</t>
        </is>
      </c>
    </row>
    <row r="50">
      <c r="A50" t="n">
        <v>48</v>
      </c>
      <c r="B50" t="inlineStr">
        <is>
          <t>ยาแก้แพ้, ลดน้ำมูก (D)</t>
        </is>
      </c>
      <c r="C50" t="n">
        <v>8241</v>
      </c>
      <c r="D50" t="inlineStr">
        <is>
          <t>Manotabs</t>
        </is>
      </c>
      <c r="E50" t="inlineStr">
        <is>
          <t>แผง 10 เม็ด</t>
        </is>
      </c>
      <c r="F50" t="inlineStr">
        <is>
          <t>Cyproheptadine HCI 4 mg.</t>
        </is>
      </c>
      <c r="G50" t="inlineStr">
        <is>
          <t>BDS008241</t>
        </is>
      </c>
      <c r="H50" t="inlineStr">
        <is>
          <t>Manotabs (10 tabs)</t>
        </is>
      </c>
      <c r="I50" t="inlineStr">
        <is>
          <t>รับประทานครั้งละ 1 เม็ด วันละ 3 ครั้ง ก่อนอาหาร 30 นาที</t>
        </is>
      </c>
    </row>
    <row r="51">
      <c r="A51" t="n">
        <v>49</v>
      </c>
      <c r="B51" t="inlineStr">
        <is>
          <t>ยาแก้แพ้, ลดน้ำมูก (D)</t>
        </is>
      </c>
      <c r="C51" t="n">
        <v>3427</v>
      </c>
      <c r="D51" t="inlineStr">
        <is>
          <t>Montek 10 mg</t>
        </is>
      </c>
      <c r="E51" t="inlineStr">
        <is>
          <t>แผง 7 เม็ด</t>
        </is>
      </c>
      <c r="F51" t="inlineStr">
        <is>
          <t>Montelukast Sodium 10.4 mg.</t>
        </is>
      </c>
      <c r="G51" t="inlineStr">
        <is>
          <t>BDS003427</t>
        </is>
      </c>
      <c r="H51" t="inlineStr">
        <is>
          <t>Montek 10 mg (7 tabs)</t>
        </is>
      </c>
      <c r="I51" t="inlineStr">
        <is>
          <t>รับประทานครั้งละ 1 เม็ด วันละ 1 ครั้ง ก่อนนอน</t>
        </is>
      </c>
    </row>
    <row r="52">
      <c r="A52" t="n">
        <v>50</v>
      </c>
      <c r="B52" t="inlineStr">
        <is>
          <t>ยาแก้แพ้, ลดน้ำมูก (D)</t>
        </is>
      </c>
      <c r="C52" t="n">
        <v>44924</v>
      </c>
      <c r="D52" t="inlineStr">
        <is>
          <t xml:space="preserve">Montulair 10 mg </t>
        </is>
      </c>
      <c r="E52" t="inlineStr">
        <is>
          <t>แผง 10 เม็ด</t>
        </is>
      </c>
      <c r="F52" t="inlineStr">
        <is>
          <t>Montelukast 10 mg.</t>
        </is>
      </c>
      <c r="G52" t="inlineStr">
        <is>
          <t>BDS044924</t>
        </is>
      </c>
      <c r="H52" t="inlineStr">
        <is>
          <t>Montulair 10 mg  (10 tabs)</t>
        </is>
      </c>
      <c r="I52" t="inlineStr">
        <is>
          <t>รับประทานครั้งละ 1 เม็ด วันละ 1 ครั้ง ก่อนนอน</t>
        </is>
      </c>
    </row>
    <row r="53">
      <c r="A53" t="n">
        <v>51</v>
      </c>
      <c r="B53" t="inlineStr">
        <is>
          <t>ยาแก้แพ้, ลดน้ำมูก (D)</t>
        </is>
      </c>
      <c r="C53" t="n">
        <v>45630</v>
      </c>
      <c r="D53" t="inlineStr">
        <is>
          <t>Nasotapp</t>
        </is>
      </c>
      <c r="E53" t="inlineStr">
        <is>
          <t>แผง 10 เม็ด</t>
        </is>
      </c>
      <c r="F53" t="inlineStr">
        <is>
          <t>Brompheniramine Maleate 4 mg.+Phenylephrine HCl 10 mg.</t>
        </is>
      </c>
      <c r="G53" t="inlineStr">
        <is>
          <t>BDS045630</t>
        </is>
      </c>
      <c r="H53" t="inlineStr">
        <is>
          <t>Nasotapp (10 tabs)</t>
        </is>
      </c>
      <c r="I53" t="inlineStr">
        <is>
          <t>ผู้ใหญ่รับประทานครั้งละ 1 เม็ด ทุก 4-6 ชั่วโมง</t>
        </is>
      </c>
      <c r="K53" t="n">
        <v>116</v>
      </c>
      <c r="L53" t="n">
        <v>11.6</v>
      </c>
      <c r="M53" t="inlineStr">
        <is>
          <t>USER</t>
        </is>
      </c>
      <c r="N53" t="inlineStr">
        <is>
          <t>2026-02-07</t>
        </is>
      </c>
      <c r="O53" t="inlineStr">
        <is>
          <t>User provided price (Nasotapp 10 tabs).</t>
        </is>
      </c>
    </row>
    <row r="54">
      <c r="A54" t="n">
        <v>52</v>
      </c>
      <c r="B54" t="inlineStr">
        <is>
          <t>ยาแก้แพ้, ลดน้ำมูก (D)</t>
        </is>
      </c>
      <c r="C54" t="n">
        <v>47430</v>
      </c>
      <c r="D54" t="inlineStr">
        <is>
          <t>Rhinotapp</t>
        </is>
      </c>
      <c r="E54" t="inlineStr">
        <is>
          <t>แผง 10 เม็ด</t>
        </is>
      </c>
      <c r="F54" t="inlineStr">
        <is>
          <t>Brompheniramine Maleate 4 mg.+Phenylephrine HCl 10 mg.</t>
        </is>
      </c>
      <c r="G54" t="inlineStr">
        <is>
          <t>BDS047430</t>
        </is>
      </c>
      <c r="H54" t="inlineStr">
        <is>
          <t>Rhinotapp (10 tabs)</t>
        </is>
      </c>
      <c r="I54" t="inlineStr">
        <is>
          <t>รับประทานครั้งละ 1 เม็ด ทุก 4-6 ชั่วโมง</t>
        </is>
      </c>
    </row>
    <row r="55">
      <c r="A55" t="n">
        <v>53</v>
      </c>
      <c r="B55" t="inlineStr">
        <is>
          <t>ยาแก้แพ้, ลดน้ำมูก (D)</t>
        </is>
      </c>
      <c r="C55" t="n">
        <v>3511</v>
      </c>
      <c r="D55" t="inlineStr">
        <is>
          <t>Singulair 10 mg 7s</t>
        </is>
      </c>
      <c r="E55" t="inlineStr">
        <is>
          <t>แผง 7 เม็ด</t>
        </is>
      </c>
      <c r="F55" t="inlineStr">
        <is>
          <t>Montelukast Sodium 10.4 mg.</t>
        </is>
      </c>
      <c r="G55" t="inlineStr">
        <is>
          <t>BDS003511</t>
        </is>
      </c>
      <c r="H55" t="inlineStr">
        <is>
          <t>Singulair 10 mg 7s (7 tabs)</t>
        </is>
      </c>
      <c r="I55" t="inlineStr">
        <is>
          <t>รับประทานครั้งละ 1 เม็ด วันละ 1 ครั้ง ก่อนนอน</t>
        </is>
      </c>
    </row>
    <row r="56">
      <c r="A56" t="n">
        <v>54</v>
      </c>
      <c r="B56" t="inlineStr">
        <is>
          <t>ยาแก้แพ้, ลดน้ำมูก (D)</t>
        </is>
      </c>
      <c r="C56" t="n">
        <v>47722</v>
      </c>
      <c r="D56" t="inlineStr">
        <is>
          <t>Singulair 5 mg Box 28s</t>
        </is>
      </c>
      <c r="E56" t="inlineStr">
        <is>
          <t>กล่อง 4 แผง</t>
        </is>
      </c>
      <c r="F56" t="inlineStr">
        <is>
          <t>Montelukast Sodium 5.2 mg.</t>
        </is>
      </c>
      <c r="G56" t="inlineStr">
        <is>
          <t>BDS047722</t>
        </is>
      </c>
      <c r="H56" t="inlineStr">
        <is>
          <t>Singulair 5 mg Box 28s (4 blister)</t>
        </is>
      </c>
      <c r="I56" t="inlineStr">
        <is>
          <t>รับประทาน (เคี้ยว) ครั้งละ 1 เม็ดวันละ 1 ครั้ง ก่อนนอน</t>
        </is>
      </c>
    </row>
    <row r="57">
      <c r="A57" t="n">
        <v>55</v>
      </c>
      <c r="B57" t="inlineStr">
        <is>
          <t>ยาแก้แพ้, ลดน้ำมูก (D)</t>
        </is>
      </c>
      <c r="C57" t="n">
        <v>47643</v>
      </c>
      <c r="D57" t="inlineStr">
        <is>
          <t>Singulair Granules 4 mg</t>
        </is>
      </c>
      <c r="E57" t="inlineStr">
        <is>
          <t>กล่อง 28 ซอง</t>
        </is>
      </c>
      <c r="F57" t="inlineStr">
        <is>
          <t>Montelukast Sodium 4.2 mg.</t>
        </is>
      </c>
      <c r="G57" t="inlineStr">
        <is>
          <t>BDS047643</t>
        </is>
      </c>
      <c r="H57" t="inlineStr">
        <is>
          <t>Singulair Granules 4 mg (28 sachets)</t>
        </is>
      </c>
      <c r="I57" t="inlineStr">
        <is>
          <t>รับประทานครั้งละ 1 ซองวันละ 1 ครั้ง</t>
        </is>
      </c>
    </row>
    <row r="58">
      <c r="A58" t="n">
        <v>56</v>
      </c>
      <c r="B58" t="inlineStr">
        <is>
          <t>ยาแก้แพ้, ลดน้ำมูก (D)</t>
        </is>
      </c>
      <c r="C58" t="n">
        <v>3575</v>
      </c>
      <c r="D58" t="inlineStr">
        <is>
          <t>Sinufen</t>
        </is>
      </c>
      <c r="E58" t="inlineStr">
        <is>
          <t>แผง 10 เม็ด</t>
        </is>
      </c>
      <c r="F58" t="inlineStr">
        <is>
          <t>Brompheniramine Maleate 4 mg.+Phenylephrine HCl 10 mg.</t>
        </is>
      </c>
      <c r="G58" t="inlineStr">
        <is>
          <t>BDS003575</t>
        </is>
      </c>
      <c r="H58" t="inlineStr">
        <is>
          <t>Sinufen (10 tabs)</t>
        </is>
      </c>
      <c r="I58" t="inlineStr">
        <is>
          <t>ผู้ใหญ่รับประทานครั้งละ 1 เม็ด ทุก 4-6 ชั่วโมง</t>
        </is>
      </c>
    </row>
    <row r="59">
      <c r="A59" t="n">
        <v>57</v>
      </c>
      <c r="B59" t="inlineStr">
        <is>
          <t>ยาแก้แพ้, ลดน้ำมูก (D)</t>
        </is>
      </c>
      <c r="C59" t="n">
        <v>8481</v>
      </c>
      <c r="D59" t="inlineStr">
        <is>
          <t>Sominar</t>
        </is>
      </c>
      <c r="E59" t="inlineStr">
        <is>
          <t>แผง 10 เม็ด</t>
        </is>
      </c>
      <c r="F59" t="inlineStr">
        <is>
          <t>Doxylamine Succinate 25 mg.</t>
        </is>
      </c>
      <c r="G59" t="inlineStr">
        <is>
          <t>BDS008481</t>
        </is>
      </c>
      <c r="H59" t="inlineStr">
        <is>
          <t>Sominar (10 tabs)</t>
        </is>
      </c>
      <c r="I59" t="inlineStr">
        <is>
          <t>รับประทานครั้งละ 1-2 เม็ด วันละ 1 ครั้ง ก่อนนอน 1 ชั่วโมง</t>
        </is>
      </c>
    </row>
    <row r="60">
      <c r="A60" t="n">
        <v>58</v>
      </c>
      <c r="B60" t="inlineStr">
        <is>
          <t>ยาแก้แพ้, ลดน้ำมูก (D)</t>
        </is>
      </c>
      <c r="C60" t="n">
        <v>3562</v>
      </c>
      <c r="D60" t="inlineStr">
        <is>
          <t>Sulidine CP</t>
        </is>
      </c>
      <c r="E60" t="inlineStr">
        <is>
          <t>แผง 10 เม็ด</t>
        </is>
      </c>
      <c r="F60" t="inlineStr">
        <is>
          <t>Chlorpheniramine maleate 4.0 mg.+Phenylephrine hydrochloride 10.0 mg.</t>
        </is>
      </c>
      <c r="G60" t="inlineStr">
        <is>
          <t>BDS003562</t>
        </is>
      </c>
      <c r="H60" t="inlineStr">
        <is>
          <t>Sulidine CP (10 tabs)</t>
        </is>
      </c>
      <c r="I60" t="inlineStr">
        <is>
          <t>รับประทานครั้งละ 1 เม็ด วันละ 4 ครั้ง</t>
        </is>
      </c>
    </row>
    <row r="61">
      <c r="A61" t="n">
        <v>59</v>
      </c>
      <c r="B61" t="inlineStr">
        <is>
          <t>ยาแก้แพ้, ลดน้ำมูก (D)</t>
        </is>
      </c>
      <c r="C61" t="n">
        <v>3747</v>
      </c>
      <c r="D61" t="inlineStr">
        <is>
          <t>Telfast 180 mg</t>
        </is>
      </c>
      <c r="E61" t="inlineStr">
        <is>
          <t>กล่อง 10 เม็ด</t>
        </is>
      </c>
      <c r="F61" t="inlineStr">
        <is>
          <t>Fexofenadine HCl 180 mg.</t>
        </is>
      </c>
      <c r="G61" t="inlineStr">
        <is>
          <t>BDS003747</t>
        </is>
      </c>
      <c r="H61" t="inlineStr">
        <is>
          <t>Telfast 180 mg (10 tabs)</t>
        </is>
      </c>
      <c r="I61" t="inlineStr">
        <is>
          <t xml:space="preserve">รับประทานครั้งละ 1 เม็ด วันละ 1 ครั้ง </t>
        </is>
      </c>
      <c r="K61" t="n">
        <v>500</v>
      </c>
      <c r="L61" t="n">
        <v>50</v>
      </c>
      <c r="M61" t="inlineStr">
        <is>
          <t>USER</t>
        </is>
      </c>
      <c r="N61" t="inlineStr">
        <is>
          <t>2026-02-07</t>
        </is>
      </c>
      <c r="O61" t="inlineStr">
        <is>
          <t>User provided price (online). Unit price per tablet (10 tabs pack).</t>
        </is>
      </c>
    </row>
    <row r="62">
      <c r="A62" t="n">
        <v>60</v>
      </c>
      <c r="B62" t="inlineStr">
        <is>
          <t>ยาแก้แพ้, ลดน้ำมูก (D)</t>
        </is>
      </c>
      <c r="C62" t="n">
        <v>3769</v>
      </c>
      <c r="D62" t="inlineStr">
        <is>
          <t>Telfast 60 mg</t>
        </is>
      </c>
      <c r="E62" t="inlineStr">
        <is>
          <t>กล่อง 10 เม็ด</t>
        </is>
      </c>
      <c r="F62" t="inlineStr">
        <is>
          <t>Fexofenadine HCl 60 mg.</t>
        </is>
      </c>
      <c r="G62" t="inlineStr">
        <is>
          <t>BDS003769</t>
        </is>
      </c>
      <c r="H62" t="inlineStr">
        <is>
          <t>Telfast 60 mg (10 tabs)</t>
        </is>
      </c>
      <c r="I62" t="inlineStr">
        <is>
          <t>รับประทานครั้งละ 1 เม็ด วันละ 2 ครั้ง</t>
        </is>
      </c>
    </row>
    <row r="63">
      <c r="A63" t="n">
        <v>61</v>
      </c>
      <c r="B63" t="inlineStr">
        <is>
          <t>ยาแก้แพ้, ลดน้ำมูก (D)</t>
        </is>
      </c>
      <c r="C63" t="n">
        <v>49255</v>
      </c>
      <c r="D63" t="inlineStr">
        <is>
          <t>Vifas 180 mg.</t>
        </is>
      </c>
      <c r="E63" t="inlineStr">
        <is>
          <t>กล่อง 10 เม็ด</t>
        </is>
      </c>
      <c r="F63" t="inlineStr">
        <is>
          <t>Fexofenadine HCl 180 mg.</t>
        </is>
      </c>
      <c r="G63" t="inlineStr">
        <is>
          <t>BDS049255</t>
        </is>
      </c>
      <c r="H63" t="inlineStr">
        <is>
          <t>Vifas 180 mg. (10 tabs)</t>
        </is>
      </c>
      <c r="I63" t="inlineStr">
        <is>
          <t>รับประทานครั้งละ 1 เม็ดวันละ 1 ครั้ง</t>
        </is>
      </c>
    </row>
    <row r="64">
      <c r="A64" t="n">
        <v>62</v>
      </c>
      <c r="B64" t="inlineStr">
        <is>
          <t>ยาแก้แพ้, ลดน้ำมูก (D)</t>
        </is>
      </c>
      <c r="C64" t="n">
        <v>49254</v>
      </c>
      <c r="D64" t="inlineStr">
        <is>
          <t>Vifas 60 mg.</t>
        </is>
      </c>
      <c r="E64" t="inlineStr">
        <is>
          <t>กล่อง 10 เม็ด</t>
        </is>
      </c>
      <c r="F64" t="inlineStr">
        <is>
          <t>Fexofenadine HCl 60 mg.</t>
        </is>
      </c>
      <c r="G64" t="inlineStr">
        <is>
          <t>BDS049254</t>
        </is>
      </c>
      <c r="H64" t="inlineStr">
        <is>
          <t>Vifas 60 mg. (10 tabs)</t>
        </is>
      </c>
      <c r="I64" t="inlineStr">
        <is>
          <t>รับประทานครั้งละ 1 เม็ด วันละ 2 ครั้ง</t>
        </is>
      </c>
    </row>
    <row r="65">
      <c r="A65" t="n">
        <v>63</v>
      </c>
      <c r="B65" t="inlineStr">
        <is>
          <t>ยาแก้แพ้, ลดน้ำมูก (D)</t>
        </is>
      </c>
      <c r="C65" t="n">
        <v>4130</v>
      </c>
      <c r="D65" t="inlineStr">
        <is>
          <t>Xyzal 5 mg</t>
        </is>
      </c>
      <c r="E65" t="inlineStr">
        <is>
          <t>กล่อง 10 เม็ด</t>
        </is>
      </c>
      <c r="F65" t="inlineStr">
        <is>
          <t>Levocetirizine dihydrochloride 5 mg.</t>
        </is>
      </c>
      <c r="G65" t="inlineStr">
        <is>
          <t>BDS004130</t>
        </is>
      </c>
      <c r="H65" t="inlineStr">
        <is>
          <t>Xyzal 5 mg (10 tabs)</t>
        </is>
      </c>
      <c r="I65" t="inlineStr">
        <is>
          <t>ผู้ใหญ่และเด็กโตรับประทานครั้งละ 1 เม็ด วันละ 1 ครั้ง</t>
        </is>
      </c>
    </row>
    <row r="66">
      <c r="A66" t="n">
        <v>64</v>
      </c>
      <c r="B66" t="inlineStr">
        <is>
          <t>ยาแก้แพ้, ลดน้ำมูก (D)</t>
        </is>
      </c>
      <c r="C66" t="n">
        <v>7691</v>
      </c>
      <c r="D66" t="inlineStr">
        <is>
          <t>Zatifen</t>
        </is>
      </c>
      <c r="E66" t="inlineStr">
        <is>
          <t>แผง 10 เม็ด</t>
        </is>
      </c>
      <c r="F66" t="inlineStr">
        <is>
          <t>Ketotifen 1 mg.</t>
        </is>
      </c>
      <c r="G66" t="inlineStr">
        <is>
          <t>BDS007691</t>
        </is>
      </c>
      <c r="H66" t="inlineStr">
        <is>
          <t>Zatifen (10 tabs)</t>
        </is>
      </c>
      <c r="I66" t="inlineStr">
        <is>
          <t>รับประทานครั้งละ 1 เม็ด วันละ 2 ครั้ง</t>
        </is>
      </c>
    </row>
    <row r="67">
      <c r="A67" t="n">
        <v>65</v>
      </c>
      <c r="B67" t="inlineStr">
        <is>
          <t>ยาแก้แพ้, ลดน้ำมูก (D)</t>
        </is>
      </c>
      <c r="C67" t="n">
        <v>4224</v>
      </c>
      <c r="D67" t="inlineStr">
        <is>
          <t>Zensil</t>
        </is>
      </c>
      <c r="E67" t="inlineStr">
        <is>
          <t>กล่อง 10 เม็ด</t>
        </is>
      </c>
      <c r="F67" t="inlineStr">
        <is>
          <t>Cetirizine dihydrochloride 10 mg.</t>
        </is>
      </c>
      <c r="G67" t="inlineStr">
        <is>
          <t>BDS004224</t>
        </is>
      </c>
      <c r="H67" t="inlineStr">
        <is>
          <t>Zensil (10 tabs)</t>
        </is>
      </c>
      <c r="I67" t="inlineStr">
        <is>
          <t>รับประทานครั้งละ 1 เม็ด วันละ 1 ครั้ง</t>
        </is>
      </c>
    </row>
    <row r="68">
      <c r="A68" t="n">
        <v>66</v>
      </c>
      <c r="B68" t="inlineStr">
        <is>
          <t>ยาแก้แพ้, ลดน้ำมูก (D)</t>
        </is>
      </c>
      <c r="C68" t="n">
        <v>49778</v>
      </c>
      <c r="D68" t="inlineStr">
        <is>
          <t>Zirin</t>
        </is>
      </c>
      <c r="E68" t="inlineStr">
        <is>
          <t>กล่อง 10 แคปซูล</t>
        </is>
      </c>
      <c r="F68" t="inlineStr">
        <is>
          <t>Cetirizine dihydrochloride 10 mg.</t>
        </is>
      </c>
      <c r="G68" t="inlineStr">
        <is>
          <t>BDS049778</t>
        </is>
      </c>
      <c r="H68" t="inlineStr">
        <is>
          <t>Zirin (10 cap)</t>
        </is>
      </c>
      <c r="I68" t="inlineStr">
        <is>
          <t>รับประทานครั้งละ 1 แคปซูล วันละ 1 ครั้ง หรือตามแพทย์สั่ง</t>
        </is>
      </c>
    </row>
    <row r="69">
      <c r="A69" t="n">
        <v>67</v>
      </c>
      <c r="B69" t="inlineStr">
        <is>
          <t>ยาแก้แพ้, ลดน้ำมูก (D)</t>
        </is>
      </c>
      <c r="C69" t="n">
        <v>4213</v>
      </c>
      <c r="D69" t="inlineStr">
        <is>
          <t>Zyrtec</t>
        </is>
      </c>
      <c r="E69" t="inlineStr">
        <is>
          <t>กล่อง 10 เม็ด</t>
        </is>
      </c>
      <c r="F69" t="inlineStr">
        <is>
          <t>Cetirizine dihydrochloride 10 mg.</t>
        </is>
      </c>
      <c r="G69" t="inlineStr">
        <is>
          <t>BDS004213</t>
        </is>
      </c>
      <c r="H69" t="inlineStr">
        <is>
          <t>Zyrtec (10 tabs)</t>
        </is>
      </c>
      <c r="I69" t="inlineStr">
        <is>
          <t>รับประทานครั้งละ 1 เม็ด วันละ 1 ครั้ง</t>
        </is>
      </c>
      <c r="K69" t="n">
        <v>216</v>
      </c>
      <c r="L69" t="n">
        <v>21.6</v>
      </c>
      <c r="M69" t="inlineStr">
        <is>
          <t>USER</t>
        </is>
      </c>
      <c r="N69" t="inlineStr">
        <is>
          <t>2026-02-07</t>
        </is>
      </c>
      <c r="O69" t="inlineStr">
        <is>
          <t>User provided price (online). Unit price is per tablet (10-tab box).</t>
        </is>
      </c>
    </row>
    <row r="70">
      <c r="A70" t="n">
        <v>68</v>
      </c>
      <c r="B70" t="inlineStr">
        <is>
          <t>ยาแก้แพ้, ลดน้ำมูก (D)</t>
        </is>
      </c>
      <c r="C70" t="n">
        <v>8754</v>
      </c>
      <c r="D70" t="inlineStr">
        <is>
          <t>Zytizine F/C tabslet</t>
        </is>
      </c>
      <c r="E70" t="inlineStr">
        <is>
          <t>แผง 10 เม็ด</t>
        </is>
      </c>
      <c r="F70" t="inlineStr">
        <is>
          <t>Cetirizine dihydrochloride 10 mg.</t>
        </is>
      </c>
      <c r="G70" t="inlineStr">
        <is>
          <t>BDS008754</t>
        </is>
      </c>
      <c r="H70" t="inlineStr">
        <is>
          <t>Zytizine F/C tabslet (10 tabs)</t>
        </is>
      </c>
      <c r="I70" t="inlineStr">
        <is>
          <t>รับประทานครั้งละ 1 เม็ด วันละ 1 ครั้ง</t>
        </is>
      </c>
    </row>
    <row r="71">
      <c r="A71" t="n">
        <v>69</v>
      </c>
      <c r="B71" t="inlineStr">
        <is>
          <t>ยาแก้แพ้, ลดน้ำมูก</t>
        </is>
      </c>
      <c r="C71" t="n">
        <v>1008</v>
      </c>
      <c r="D71" t="inlineStr">
        <is>
          <t>Chlophe</t>
        </is>
      </c>
      <c r="E71" t="inlineStr">
        <is>
          <t>แผง 10 เม็ด</t>
        </is>
      </c>
      <c r="F71" t="inlineStr">
        <is>
          <t>Chlorpheniramine Maleate 2 mg.</t>
        </is>
      </c>
      <c r="G71" t="inlineStr">
        <is>
          <t>BDS001008</t>
        </is>
      </c>
      <c r="H71" t="inlineStr">
        <is>
          <t>Chlophe (10 tabs)</t>
        </is>
      </c>
      <c r="I71" t="inlineStr">
        <is>
          <t>รับประทานครั้งละ 1-2 เม็ด ทุก 4-6 ชั่วโมง หรือเมื่อมีอาการ</t>
        </is>
      </c>
    </row>
    <row r="72">
      <c r="A72" t="n">
        <v>70</v>
      </c>
      <c r="B72" t="inlineStr">
        <is>
          <t>ยาแก้แพ้, ลดน้ำมูก</t>
        </is>
      </c>
      <c r="C72" t="n">
        <v>41504</v>
      </c>
      <c r="D72" t="inlineStr">
        <is>
          <t>Chlorpheniramine 2 mg.</t>
        </is>
      </c>
      <c r="E72" t="inlineStr">
        <is>
          <t>ซอง 10 เม็ด</t>
        </is>
      </c>
      <c r="F72" t="inlineStr">
        <is>
          <t>Chlorpheniramine Maleate 2 mg.</t>
        </is>
      </c>
      <c r="G72" t="inlineStr">
        <is>
          <t>BDS041504</t>
        </is>
      </c>
      <c r="H72" t="inlineStr">
        <is>
          <t>Chlorpheniramine 2 mg. (10 tabs)</t>
        </is>
      </c>
      <c r="I72" t="inlineStr">
        <is>
          <t xml:space="preserve">รับประทานครั้งละ 1-2 เม็ด ทุก 4-6 ชั่วโมงเมื่อมีอาการ  </t>
        </is>
      </c>
    </row>
    <row r="73">
      <c r="A73" t="n">
        <v>71</v>
      </c>
      <c r="B73" t="inlineStr">
        <is>
          <t>ยาละลายเสมหะ</t>
        </is>
      </c>
      <c r="C73" t="n">
        <v>1255</v>
      </c>
      <c r="D73" t="inlineStr">
        <is>
          <t>Bisolvon</t>
        </is>
      </c>
      <c r="E73" t="inlineStr">
        <is>
          <t>แผง 10 เม็ด</t>
        </is>
      </c>
      <c r="F73" t="inlineStr">
        <is>
          <t>Bromhexine HCl 8 mg.</t>
        </is>
      </c>
      <c r="G73" t="inlineStr">
        <is>
          <t>BDS001255</t>
        </is>
      </c>
      <c r="H73" t="inlineStr">
        <is>
          <t>Bisolvon (10 tabs)</t>
        </is>
      </c>
      <c r="I73" t="inlineStr">
        <is>
          <t>รับประทานครั้งละ 1 เม็ด วันละ 3 ครั้ง</t>
        </is>
      </c>
      <c r="P73" t="inlineStr">
        <is>
          <t>Cough medicines / mucolytics / expectorants</t>
        </is>
      </c>
    </row>
    <row r="74">
      <c r="A74" t="n">
        <v>72</v>
      </c>
      <c r="B74" t="inlineStr">
        <is>
          <t>ยาละลายเสมหะ</t>
        </is>
      </c>
      <c r="C74" t="n">
        <v>8141</v>
      </c>
      <c r="D74" t="inlineStr">
        <is>
          <t>Bocytin Capsule</t>
        </is>
      </c>
      <c r="E74" t="inlineStr">
        <is>
          <t>กล่อง 10 แคปซูล</t>
        </is>
      </c>
      <c r="F74" t="inlineStr">
        <is>
          <t>Carbocysteine 375 mg.</t>
        </is>
      </c>
      <c r="G74" t="inlineStr">
        <is>
          <t>BDS008141</t>
        </is>
      </c>
      <c r="H74" t="inlineStr">
        <is>
          <t>Bocytin Capsule (10 cap)</t>
        </is>
      </c>
      <c r="I74" t="inlineStr">
        <is>
          <t>รับประทานครั้งละ 2 แคปซูล วันละ 3 ครั้ง</t>
        </is>
      </c>
      <c r="P74" t="inlineStr">
        <is>
          <t>Cough medicines / mucolytics / expectorants</t>
        </is>
      </c>
    </row>
    <row r="75">
      <c r="A75" t="n">
        <v>73</v>
      </c>
      <c r="B75" t="inlineStr">
        <is>
          <t>ยาละลายเสมหะ</t>
        </is>
      </c>
      <c r="C75" t="n">
        <v>1531</v>
      </c>
      <c r="D75" t="inlineStr">
        <is>
          <t>Cystaline</t>
        </is>
      </c>
      <c r="E75" t="inlineStr">
        <is>
          <t>หลอด 10 เม็ด</t>
        </is>
      </c>
      <c r="F75" t="inlineStr">
        <is>
          <t>Acetylcysteine 600 mg.</t>
        </is>
      </c>
      <c r="G75" t="inlineStr">
        <is>
          <t>BDS001531</t>
        </is>
      </c>
      <c r="H75" t="inlineStr">
        <is>
          <t>Cystaline (10 tabs)</t>
        </is>
      </c>
      <c r="I75" t="inlineStr">
        <is>
          <t>รับประทาน (ละลายยาในน้ำครึ่งแก้ว) ครั้งละ 1 เม็ดฟู่ วันละ 1 ครั้ง ก่อนอาหารเย็น</t>
        </is>
      </c>
      <c r="P75" t="inlineStr">
        <is>
          <t>Cough medicines / mucolytics / expectorants</t>
        </is>
      </c>
    </row>
    <row r="76">
      <c r="A76" t="n">
        <v>74</v>
      </c>
      <c r="B76" t="inlineStr">
        <is>
          <t>ยาละลายเสมหะ</t>
        </is>
      </c>
      <c r="C76" t="n">
        <v>43123</v>
      </c>
      <c r="D76" t="inlineStr">
        <is>
          <t>Facil 100</t>
        </is>
      </c>
      <c r="E76" t="inlineStr">
        <is>
          <t>ซอง 5 g.</t>
        </is>
      </c>
      <c r="F76" t="inlineStr">
        <is>
          <t>Acetylcysteine 100 mg./5 g.</t>
        </is>
      </c>
      <c r="G76" t="inlineStr">
        <is>
          <t>BDS043123</t>
        </is>
      </c>
      <c r="H76" t="inlineStr">
        <is>
          <t>Facil 100 (5 g.)</t>
        </is>
      </c>
      <c r="I76" t="inlineStr">
        <is>
          <t>ละลายยา 1 ซองต่อน้ำ 1 แก้ว รับประทานครั้งละ 1 ซอง วันละ 3 ครั้ง</t>
        </is>
      </c>
      <c r="P76" t="inlineStr">
        <is>
          <t>Cough medicines / mucolytics / expectorants</t>
        </is>
      </c>
    </row>
    <row r="77">
      <c r="A77" t="n">
        <v>75</v>
      </c>
      <c r="B77" t="inlineStr">
        <is>
          <t>ยาละลายเสมหะ</t>
        </is>
      </c>
      <c r="C77" t="n">
        <v>43124</v>
      </c>
      <c r="D77" t="inlineStr">
        <is>
          <t>Facil 200</t>
        </is>
      </c>
      <c r="E77" t="inlineStr">
        <is>
          <t>ซอง 3 g.</t>
        </is>
      </c>
      <c r="F77" t="inlineStr">
        <is>
          <t>Acetylcysteine 200 mg./3 g.</t>
        </is>
      </c>
      <c r="G77" t="inlineStr">
        <is>
          <t>BDS043124</t>
        </is>
      </c>
      <c r="H77" t="inlineStr">
        <is>
          <t>Facil 200 (3 g.)</t>
        </is>
      </c>
      <c r="I77" t="inlineStr">
        <is>
          <t>ละลายยา 1 ซองต่อน้ำ 1 แก้ว รับประทานครั้งละ 1 ซอง วันละ 3 ครั้ง</t>
        </is>
      </c>
      <c r="P77" t="inlineStr">
        <is>
          <t>Cough medicines / mucolytics / expectorants</t>
        </is>
      </c>
    </row>
    <row r="78">
      <c r="A78" t="n">
        <v>76</v>
      </c>
      <c r="B78" t="inlineStr">
        <is>
          <t>ยาละลายเสมหะ</t>
        </is>
      </c>
      <c r="C78" t="n">
        <v>1937</v>
      </c>
      <c r="D78" t="inlineStr">
        <is>
          <t>Flemex Foil</t>
        </is>
      </c>
      <c r="E78" t="inlineStr">
        <is>
          <t>แผง 10 เม็ด</t>
        </is>
      </c>
      <c r="F78" t="inlineStr">
        <is>
          <t>Carbocysteine 375 mg.</t>
        </is>
      </c>
      <c r="G78" t="inlineStr">
        <is>
          <t>BDS001937</t>
        </is>
      </c>
      <c r="H78" t="inlineStr">
        <is>
          <t>Flemex Foil (10 tabs)</t>
        </is>
      </c>
      <c r="I78" t="inlineStr">
        <is>
          <t>รับประทานครั้งละ 2 เม็ด วันละ 3 ครั้ง</t>
        </is>
      </c>
      <c r="P78" t="inlineStr">
        <is>
          <t>Cough medicines / mucolytics / expectorants</t>
        </is>
      </c>
    </row>
    <row r="79">
      <c r="A79" t="n">
        <v>77</v>
      </c>
      <c r="B79" t="inlineStr">
        <is>
          <t>ยาละลายเสมหะ</t>
        </is>
      </c>
      <c r="C79" t="n">
        <v>43121</v>
      </c>
      <c r="D79" t="inlineStr">
        <is>
          <t>Flemex-AC OD</t>
        </is>
      </c>
      <c r="E79" t="inlineStr">
        <is>
          <t>แผง 2 เม็ด</t>
        </is>
      </c>
      <c r="F79" t="inlineStr">
        <is>
          <t>Acetylcysteine 600 mg.</t>
        </is>
      </c>
      <c r="G79" t="inlineStr">
        <is>
          <t>BDS043121</t>
        </is>
      </c>
      <c r="H79" t="inlineStr">
        <is>
          <t>Flemex-AC OD (2 tabs)</t>
        </is>
      </c>
      <c r="I79" t="inlineStr">
        <is>
          <t>รับประทาน (ละลายยาในน้ำครึ่งแก้ว) ครั้งละ 1 เม็ดฟู่  วันละ 1 ครั้ง</t>
        </is>
      </c>
      <c r="P79" t="inlineStr">
        <is>
          <t>Cough medicines / mucolytics / expectorants</t>
        </is>
      </c>
    </row>
    <row r="80">
      <c r="A80" t="n">
        <v>78</v>
      </c>
      <c r="B80" t="inlineStr">
        <is>
          <t>ยาละลายเสมหะ</t>
        </is>
      </c>
      <c r="C80" t="n">
        <v>1936</v>
      </c>
      <c r="D80" t="inlineStr">
        <is>
          <t>Fluimucil A 200 mg</t>
        </is>
      </c>
      <c r="E80" t="inlineStr">
        <is>
          <t>ซอง 3 g.</t>
        </is>
      </c>
      <c r="F80" t="inlineStr">
        <is>
          <t>Acetylcysteine 200 mg./3 g.</t>
        </is>
      </c>
      <c r="G80" t="inlineStr">
        <is>
          <t>BDS001936</t>
        </is>
      </c>
      <c r="H80" t="inlineStr">
        <is>
          <t>Fluimucil A 200 mg (3 g.)</t>
        </is>
      </c>
      <c r="I80" t="inlineStr">
        <is>
          <t>รับประทาน (ละลายยาในน้ำครึ่งแก้ว) ครั้งละ 1 เม็ดฟู่  วันละ 1 ครั้ง</t>
        </is>
      </c>
      <c r="P80" t="inlineStr">
        <is>
          <t>Cough medicines / mucolytics / expectorants</t>
        </is>
      </c>
    </row>
    <row r="81">
      <c r="A81" t="n">
        <v>79</v>
      </c>
      <c r="B81" t="inlineStr">
        <is>
          <t>ยาละลายเสมหะ</t>
        </is>
      </c>
      <c r="C81" t="n">
        <v>1909</v>
      </c>
      <c r="D81" t="inlineStr">
        <is>
          <t>Fluimucil A 600 mg</t>
        </is>
      </c>
      <c r="E81" t="inlineStr">
        <is>
          <t>แผง 2 เม็ด</t>
        </is>
      </c>
      <c r="F81" t="inlineStr">
        <is>
          <t>Acetylcysteine 600 mg.</t>
        </is>
      </c>
      <c r="G81" t="inlineStr">
        <is>
          <t>BDS001909</t>
        </is>
      </c>
      <c r="H81" t="inlineStr">
        <is>
          <t>Fluimucil A 600 mg (2 tabs)</t>
        </is>
      </c>
      <c r="I81" t="inlineStr">
        <is>
          <t>รับประทาน (ละลายยาในน้ำครึ่งแก้ว) ครั้งละ 1 เม็ดฟู่  วันละ 1 ครั้ง</t>
        </is>
      </c>
      <c r="P81" t="inlineStr">
        <is>
          <t>Cough medicines / mucolytics / expectorants</t>
        </is>
      </c>
    </row>
    <row r="82">
      <c r="A82" t="n">
        <v>80</v>
      </c>
      <c r="B82" t="inlineStr">
        <is>
          <t>ยาละลายเสมหะ</t>
        </is>
      </c>
      <c r="C82" t="n">
        <v>2574</v>
      </c>
      <c r="D82" t="inlineStr">
        <is>
          <t>Muclear tabslet</t>
        </is>
      </c>
      <c r="E82" t="inlineStr">
        <is>
          <t>หลอด 10 เม็ด</t>
        </is>
      </c>
      <c r="F82" t="inlineStr">
        <is>
          <t>Acetylcysteine 600 mg.</t>
        </is>
      </c>
      <c r="G82" t="inlineStr">
        <is>
          <t>BDS002574</t>
        </is>
      </c>
      <c r="H82" t="inlineStr">
        <is>
          <t>Muclear tabslet (10 tabs)</t>
        </is>
      </c>
      <c r="I82" t="inlineStr">
        <is>
          <t xml:space="preserve">ละลายยาครั้งละ 1 เม็ด ลงในน้ำครึ่งแก้ว ดื่มวันละ 1 ครั้ง หลังอาหารเย็น </t>
        </is>
      </c>
      <c r="P82" t="inlineStr">
        <is>
          <t>Cough medicines / mucolytics / expectorants</t>
        </is>
      </c>
    </row>
    <row r="83">
      <c r="A83" t="n">
        <v>81</v>
      </c>
      <c r="B83" t="inlineStr">
        <is>
          <t>ยาละลายเสมหะ</t>
        </is>
      </c>
      <c r="C83" t="n">
        <v>2655</v>
      </c>
      <c r="D83" t="inlineStr">
        <is>
          <t>Mucolid</t>
        </is>
      </c>
      <c r="E83" t="inlineStr">
        <is>
          <t>แผง 10 เม็ด</t>
        </is>
      </c>
      <c r="F83" t="inlineStr">
        <is>
          <t>Ambroxol HCl 30 mg.</t>
        </is>
      </c>
      <c r="G83" t="inlineStr">
        <is>
          <t>BDS002655</t>
        </is>
      </c>
      <c r="H83" t="inlineStr">
        <is>
          <t>Mucolid (10 tabs)</t>
        </is>
      </c>
      <c r="I83" t="inlineStr">
        <is>
          <t xml:space="preserve">รับประทานครั้งละ 1 เม็ด วันละ 3-4 ครั้ง </t>
        </is>
      </c>
      <c r="K83" t="n">
        <v>90</v>
      </c>
      <c r="L83" t="n">
        <v>9</v>
      </c>
      <c r="M83" t="inlineStr">
        <is>
          <t>USER</t>
        </is>
      </c>
      <c r="N83" t="inlineStr">
        <is>
          <t>2026-02-07</t>
        </is>
      </c>
      <c r="O83" t="inlineStr">
        <is>
          <t>User provided price (Mucolid 10 tabs).</t>
        </is>
      </c>
      <c r="P83" t="inlineStr">
        <is>
          <t>Cough medicines / mucolytics / expectorants</t>
        </is>
      </c>
    </row>
    <row r="84">
      <c r="A84" t="n">
        <v>82</v>
      </c>
      <c r="B84" t="inlineStr">
        <is>
          <t>ยาละลายเสมหะ</t>
        </is>
      </c>
      <c r="C84" t="n">
        <v>2640</v>
      </c>
      <c r="D84" t="inlineStr">
        <is>
          <t>Mucolid SF 600</t>
        </is>
      </c>
      <c r="E84" t="inlineStr">
        <is>
          <t>ซอง 7 g.</t>
        </is>
      </c>
      <c r="F84" t="inlineStr">
        <is>
          <t>Acetylcysteine 600 mg./7 g.</t>
        </is>
      </c>
      <c r="G84" t="inlineStr">
        <is>
          <t>BDS002640</t>
        </is>
      </c>
      <c r="H84" t="inlineStr">
        <is>
          <t>Mucolid SF 600 (7 g.)</t>
        </is>
      </c>
      <c r="I84" t="inlineStr">
        <is>
          <t>ผู้ใหญ่รับประทาน (ละลาย) ครั้งละ 1 ซอง ต่อน้ำครึ่งถ้วย วันละ 1 ครั้ง หรือตามแพทย์สั่ง</t>
        </is>
      </c>
      <c r="P84" t="inlineStr">
        <is>
          <t>Cough medicines / mucolytics / expectorants</t>
        </is>
      </c>
    </row>
    <row r="85">
      <c r="A85" t="n">
        <v>83</v>
      </c>
      <c r="B85" t="inlineStr">
        <is>
          <t>ยาละลายเสมหะ</t>
        </is>
      </c>
      <c r="C85" t="n">
        <v>8135</v>
      </c>
      <c r="D85" t="inlineStr">
        <is>
          <t>Muco-Sea 200</t>
        </is>
      </c>
      <c r="E85" t="inlineStr">
        <is>
          <t>ซอง 3 g.</t>
        </is>
      </c>
      <c r="F85" t="inlineStr">
        <is>
          <t>Acetylcysteine 200 mg./3 g.</t>
        </is>
      </c>
      <c r="G85" t="inlineStr">
        <is>
          <t>BDS008135</t>
        </is>
      </c>
      <c r="H85" t="inlineStr">
        <is>
          <t>Muco-Sea 200 (3 g.)</t>
        </is>
      </c>
      <c r="I85" t="inlineStr">
        <is>
          <t xml:space="preserve">ละลายยา 1 ซองต่อน้ำ ครึ่ง แก้ว รับประทานวันละ 3-4  ครั้ง </t>
        </is>
      </c>
      <c r="P85" t="inlineStr">
        <is>
          <t>Cough medicines / mucolytics / expectorants</t>
        </is>
      </c>
    </row>
    <row r="86">
      <c r="A86" t="n">
        <v>84</v>
      </c>
      <c r="B86" t="inlineStr">
        <is>
          <t>ยาละลายเสมหะ</t>
        </is>
      </c>
      <c r="C86" t="n">
        <v>2643</v>
      </c>
      <c r="D86" t="inlineStr">
        <is>
          <t>Mucosolvan</t>
        </is>
      </c>
      <c r="E86" t="inlineStr">
        <is>
          <t>แผง 10 เม็ด</t>
        </is>
      </c>
      <c r="F86" t="inlineStr">
        <is>
          <t>Ambroxol HCl 30 mg.</t>
        </is>
      </c>
      <c r="G86" t="inlineStr">
        <is>
          <t>BDS002643</t>
        </is>
      </c>
      <c r="H86" t="inlineStr">
        <is>
          <t>Mucosolvan (10 tabs)</t>
        </is>
      </c>
      <c r="I86" t="inlineStr">
        <is>
          <t>รับประทานครั้งละ 1 เม็ด วันละ 3-4 ครั้ง</t>
        </is>
      </c>
      <c r="P86" t="inlineStr">
        <is>
          <t>Cough medicines / mucolytics / expectorants</t>
        </is>
      </c>
    </row>
    <row r="87">
      <c r="A87" t="n">
        <v>85</v>
      </c>
      <c r="B87" t="inlineStr">
        <is>
          <t>ยาละลายเสมหะ</t>
        </is>
      </c>
      <c r="C87" t="n">
        <v>2639</v>
      </c>
      <c r="D87" t="inlineStr">
        <is>
          <t>Mucosolvan PL</t>
        </is>
      </c>
      <c r="E87" t="inlineStr">
        <is>
          <t>แผง 10 แคปซูล</t>
        </is>
      </c>
      <c r="F87" t="inlineStr">
        <is>
          <t>Ambroxol HCl 75 mg.</t>
        </is>
      </c>
      <c r="G87" t="inlineStr">
        <is>
          <t>BDS002639</t>
        </is>
      </c>
      <c r="H87" t="inlineStr">
        <is>
          <t>Mucosolvan PL (10 cap)</t>
        </is>
      </c>
      <c r="P87" t="inlineStr">
        <is>
          <t>Cough medicines / mucolytics / expectorants</t>
        </is>
      </c>
    </row>
    <row r="88">
      <c r="A88" t="n">
        <v>86</v>
      </c>
      <c r="B88" t="inlineStr">
        <is>
          <t>ยาละลายเสมหะ</t>
        </is>
      </c>
      <c r="C88" t="n">
        <v>2901</v>
      </c>
      <c r="D88" t="inlineStr">
        <is>
          <t>Nac Long</t>
        </is>
      </c>
      <c r="E88" t="inlineStr">
        <is>
          <t>หลอด 10 เม็ด</t>
        </is>
      </c>
      <c r="F88" t="inlineStr">
        <is>
          <t>Acetylcysteine 600 mg.</t>
        </is>
      </c>
      <c r="G88" t="inlineStr">
        <is>
          <t>BDS002901</t>
        </is>
      </c>
      <c r="H88" t="inlineStr">
        <is>
          <t>Nac Long (10 tabs)</t>
        </is>
      </c>
      <c r="I88" t="inlineStr">
        <is>
          <t>รับประทาน (ละลายยาในน้ำครึ่งแก้ว) ครั้งละ 1 เรับประทานครั้งละ 2-4 เม็ดวันละ 1 ครั้ง ก่อนนอนม็ดฟู่ วันละ 1 ครั้ง ก่อนอาหารเย็น</t>
        </is>
      </c>
      <c r="J88" t="inlineStr">
        <is>
          <t>orally (dissolve the drug in half a glass of water), Take 2-4 tablets once a day before bedtime. 1 time a day before dinner</t>
        </is>
      </c>
      <c r="K88" t="n">
        <v>270</v>
      </c>
      <c r="L88" t="n">
        <v>27</v>
      </c>
      <c r="M88" t="inlineStr">
        <is>
          <t>USER</t>
        </is>
      </c>
      <c r="N88" t="inlineStr">
        <is>
          <t>2026-02-07</t>
        </is>
      </c>
      <c r="O88" t="inlineStr">
        <is>
          <t>User provided price (online). Unit price is per tablet (10-tab tube).</t>
        </is>
      </c>
      <c r="P88" t="inlineStr">
        <is>
          <t>Cough medicines / mucolytics / expectorants</t>
        </is>
      </c>
    </row>
    <row r="89">
      <c r="A89" t="n">
        <v>87</v>
      </c>
      <c r="B89" t="inlineStr">
        <is>
          <t>ยาละลายเสมหะ</t>
        </is>
      </c>
      <c r="C89" t="n">
        <v>3694</v>
      </c>
      <c r="D89" t="inlineStr">
        <is>
          <t>Solmax</t>
        </is>
      </c>
      <c r="E89" t="inlineStr">
        <is>
          <t>แผง 10 แคปซูล</t>
        </is>
      </c>
      <c r="F89" t="inlineStr">
        <is>
          <t>Carbocysteine 500 mg.</t>
        </is>
      </c>
      <c r="G89" t="inlineStr">
        <is>
          <t>BDS003694</t>
        </is>
      </c>
      <c r="H89" t="inlineStr">
        <is>
          <t>Solmax (10 cap)</t>
        </is>
      </c>
      <c r="I89" t="inlineStr">
        <is>
          <t>รับประทานครั้งละ 1 แคปซูล วันละ 3 ครั้ง</t>
        </is>
      </c>
      <c r="P89" t="inlineStr">
        <is>
          <t>Cough medicines / mucolytics / expectorants</t>
        </is>
      </c>
    </row>
    <row r="90">
      <c r="A90" t="n">
        <v>88</v>
      </c>
      <c r="B90" t="inlineStr">
        <is>
          <t>ยาระบาย</t>
        </is>
      </c>
      <c r="C90" t="n">
        <v>1664</v>
      </c>
      <c r="D90" t="inlineStr">
        <is>
          <t>Dulcolax</t>
        </is>
      </c>
      <c r="E90" t="inlineStr">
        <is>
          <t>แผง 10 เม็ด</t>
        </is>
      </c>
      <c r="F90" t="inlineStr">
        <is>
          <t>Bisacodyl 5 mg.</t>
        </is>
      </c>
      <c r="G90" t="inlineStr">
        <is>
          <t>BDS001664</t>
        </is>
      </c>
      <c r="H90" t="inlineStr">
        <is>
          <t>Dulcolax (10 tabs)</t>
        </is>
      </c>
      <c r="I90" t="inlineStr">
        <is>
          <t>รับประทานครั้งละ 2-4 เม็ด วันละ 1 ครั้ง ก่อนนอน</t>
        </is>
      </c>
    </row>
    <row r="91">
      <c r="A91" t="n">
        <v>89</v>
      </c>
      <c r="B91" t="inlineStr">
        <is>
          <t>ยาระบาย</t>
        </is>
      </c>
      <c r="C91" t="n">
        <v>1715</v>
      </c>
      <c r="D91" t="inlineStr">
        <is>
          <t>Duphalac 100</t>
        </is>
      </c>
      <c r="E91" t="inlineStr">
        <is>
          <t>ขวด 100 ml.</t>
        </is>
      </c>
      <c r="F91" t="inlineStr">
        <is>
          <t>Lactulose 66.7 g/100 ml</t>
        </is>
      </c>
      <c r="G91" t="inlineStr">
        <is>
          <t>BDS001715</t>
        </is>
      </c>
      <c r="H91" t="inlineStr">
        <is>
          <t>Duphalac 100 (100 ml.)</t>
        </is>
      </c>
      <c r="I91" t="inlineStr">
        <is>
          <t>เด็กเล็กรับประทานครั้งละ 1-2 ช้อนชา วันละ 1 ครั้ง</t>
        </is>
      </c>
    </row>
    <row r="92">
      <c r="A92" t="n">
        <v>90</v>
      </c>
      <c r="B92" t="inlineStr">
        <is>
          <t>ยาระบาย</t>
        </is>
      </c>
      <c r="C92" t="n">
        <v>1837</v>
      </c>
      <c r="D92" t="inlineStr">
        <is>
          <t>Emulax</t>
        </is>
      </c>
      <c r="E92" t="inlineStr">
        <is>
          <t>กระปุก 100 เม็ด</t>
        </is>
      </c>
      <c r="F92" t="inlineStr">
        <is>
          <t>Bisacodyl 5 mg.</t>
        </is>
      </c>
      <c r="G92" t="inlineStr">
        <is>
          <t>BDS001837</t>
        </is>
      </c>
      <c r="H92" t="inlineStr">
        <is>
          <t>Emulax (100 tabs)</t>
        </is>
      </c>
      <c r="I92" t="inlineStr">
        <is>
          <t>รับประทานครั้งละ 2 เม็ด วันละ 1 ครั้ง ก่อนนอน</t>
        </is>
      </c>
    </row>
    <row r="93">
      <c r="A93" t="n">
        <v>91</v>
      </c>
      <c r="B93" t="inlineStr">
        <is>
          <t>ยาระบาย</t>
        </is>
      </c>
      <c r="C93" t="n">
        <v>1842</v>
      </c>
      <c r="D93" t="inlineStr">
        <is>
          <t>Forlax</t>
        </is>
      </c>
      <c r="E93" t="inlineStr">
        <is>
          <t>ซอง 10 g.</t>
        </is>
      </c>
      <c r="F93" t="inlineStr">
        <is>
          <t>Macrogol 4000 10 g.+ Saccharin sodium 0.017 g.+ Orange-grapefruit flavour 0.15 g.</t>
        </is>
      </c>
      <c r="G93" t="inlineStr">
        <is>
          <t>BDS001842</t>
        </is>
      </c>
      <c r="H93" t="inlineStr">
        <is>
          <t>Forlax (10 g.)</t>
        </is>
      </c>
      <c r="I93" t="inlineStr">
        <is>
          <t>ผสม 1 ซอง กับน้ำ 1 แก้ว (200 ml) วันละ 2 ครั้ง</t>
        </is>
      </c>
    </row>
    <row r="94">
      <c r="A94" t="n">
        <v>92</v>
      </c>
      <c r="B94" t="inlineStr">
        <is>
          <t>ยาระบาย</t>
        </is>
      </c>
      <c r="C94" t="n">
        <v>3505</v>
      </c>
      <c r="D94" t="inlineStr">
        <is>
          <t>Fybogel Orange</t>
        </is>
      </c>
      <c r="E94" t="inlineStr">
        <is>
          <t>ซอง 3.5 g.</t>
        </is>
      </c>
      <c r="F94" t="inlineStr">
        <is>
          <t>Ispaghula Husk 3.5 g.</t>
        </is>
      </c>
      <c r="G94" t="inlineStr">
        <is>
          <t>BDS003505</t>
        </is>
      </c>
      <c r="H94" t="inlineStr">
        <is>
          <t>Fybogel Orange (3.5 g.)</t>
        </is>
      </c>
      <c r="I94" t="inlineStr">
        <is>
          <t>ผสม 1 ซอง กับน้ำเย็น 1 แก้ว (150 ml.) คนให้เข้ากันแล้วดื่มทันที วันละ 2 ครั้ง เช้า-เย็น</t>
        </is>
      </c>
    </row>
    <row r="95">
      <c r="A95" t="n">
        <v>93</v>
      </c>
      <c r="B95" t="inlineStr">
        <is>
          <t>ยาระบาย</t>
        </is>
      </c>
      <c r="C95" t="n">
        <v>2128</v>
      </c>
      <c r="D95" t="inlineStr">
        <is>
          <t>Hepalac</t>
        </is>
      </c>
      <c r="E95" t="inlineStr">
        <is>
          <t>ขวด 100 ml.</t>
        </is>
      </c>
      <c r="F95" t="inlineStr">
        <is>
          <t>Lactulose 66.7 g+Galactose 11 g+Lactose 6 g/100 ml</t>
        </is>
      </c>
      <c r="G95" t="inlineStr">
        <is>
          <t>BDS002128</t>
        </is>
      </c>
      <c r="H95" t="inlineStr">
        <is>
          <t>Hepalac (100 ml.)</t>
        </is>
      </c>
      <c r="I95" t="inlineStr">
        <is>
          <t>เด็กเล็กรับประทานครั้งละ 1-2 ช้อนชา วันละ 1 ครั้ง</t>
        </is>
      </c>
    </row>
    <row r="96">
      <c r="A96" t="n">
        <v>94</v>
      </c>
      <c r="B96" t="inlineStr">
        <is>
          <t>ยาระบาย</t>
        </is>
      </c>
      <c r="C96" t="n">
        <v>8461</v>
      </c>
      <c r="D96" t="inlineStr">
        <is>
          <t>Milk of Magnesia C.B.</t>
        </is>
      </c>
      <c r="E96" t="inlineStr">
        <is>
          <t>ขวด 240 ml.</t>
        </is>
      </c>
      <c r="F96" t="inlineStr">
        <is>
          <t>Magnesium Hydroxide 400 mg./5 ml.</t>
        </is>
      </c>
      <c r="G96" t="inlineStr">
        <is>
          <t>BDS008461</t>
        </is>
      </c>
      <c r="H96" t="inlineStr">
        <is>
          <t>Milk of Magnesia C.B. (240 ml.)</t>
        </is>
      </c>
      <c r="I96" t="inlineStr">
        <is>
          <t>รับประทานครั้งละ 2-3 ช้อนโต๊ะ วันละ 1 ครั้ง ก่อนนอนหรือตอนเช้า</t>
        </is>
      </c>
    </row>
    <row r="97">
      <c r="A97" t="n">
        <v>95</v>
      </c>
      <c r="B97" t="inlineStr">
        <is>
          <t>ยาระบาย</t>
        </is>
      </c>
      <c r="C97" t="n">
        <v>2697</v>
      </c>
      <c r="D97" t="inlineStr">
        <is>
          <t>Mucilin Orange Flavour</t>
        </is>
      </c>
      <c r="E97" t="inlineStr">
        <is>
          <t>ซอง 5 g.</t>
        </is>
      </c>
      <c r="F97" t="inlineStr">
        <is>
          <t>Ispaghula Husk 49.0 g./100 g.</t>
        </is>
      </c>
      <c r="G97" t="inlineStr">
        <is>
          <t>BDS002697</t>
        </is>
      </c>
      <c r="H97" t="inlineStr">
        <is>
          <t>Mucilin Orange Flavour (5 g.)</t>
        </is>
      </c>
      <c r="I97" t="inlineStr">
        <is>
          <t>ผสมมิวซิลิน 1 ซอง ต่อน้ำเย็น 1 แก้ว (150 ml.)คนให้เข้ากันแล้วดื่มทันที ดื่มน้ำตามอีก 1 แก้ว วันละ 1-3 ครั้ง</t>
        </is>
      </c>
    </row>
    <row r="98">
      <c r="A98" t="n">
        <v>96</v>
      </c>
      <c r="B98" t="inlineStr">
        <is>
          <t>ยาระบาย</t>
        </is>
      </c>
      <c r="C98" t="n">
        <v>2699</v>
      </c>
      <c r="D98" t="inlineStr">
        <is>
          <t>Mucilin Orange SF</t>
        </is>
      </c>
      <c r="E98" t="inlineStr">
        <is>
          <t>ซอง 5 g.</t>
        </is>
      </c>
      <c r="F98" t="inlineStr">
        <is>
          <t>Ispaghula Husk 3.5 g./5 g.</t>
        </is>
      </c>
      <c r="G98" t="inlineStr">
        <is>
          <t>BDS002699</t>
        </is>
      </c>
      <c r="H98" t="inlineStr">
        <is>
          <t>Mucilin Orange SF (5 g.)</t>
        </is>
      </c>
      <c r="I98" t="inlineStr">
        <is>
          <t>ผสมมิวซิลิน 1 ซอง ต่อน้ำเย็น 1 แก้ว (150 ml.)คนให้เข้ากันแล้วดื่มทันที ดื่มน้ำตามอีก 1 แก้ว วันละ 1-3 ครั้ง</t>
        </is>
      </c>
    </row>
    <row r="99">
      <c r="A99" t="n">
        <v>97</v>
      </c>
      <c r="B99" t="inlineStr">
        <is>
          <t>ยาระบาย</t>
        </is>
      </c>
      <c r="C99" t="n">
        <v>3611</v>
      </c>
      <c r="D99" t="inlineStr">
        <is>
          <t>Senokot</t>
        </is>
      </c>
      <c r="E99" t="inlineStr">
        <is>
          <t>กล่อง 60 เม็ด</t>
        </is>
      </c>
      <c r="F99" t="inlineStr">
        <is>
          <t>Sennoside 7.5 mg.</t>
        </is>
      </c>
      <c r="G99" t="inlineStr">
        <is>
          <t>BDS003611</t>
        </is>
      </c>
      <c r="H99" t="inlineStr">
        <is>
          <t>Senokot (60 tabs)</t>
        </is>
      </c>
      <c r="I99" t="inlineStr">
        <is>
          <t>รับประทานครั้งละ 2-4 เม็ดวันละ 1 ครั้ง ก่อนนอน</t>
        </is>
      </c>
    </row>
    <row r="100">
      <c r="A100" t="n">
        <v>98</v>
      </c>
      <c r="B100" t="inlineStr">
        <is>
          <t>ยาระบาย</t>
        </is>
      </c>
      <c r="C100" t="n">
        <v>3613</v>
      </c>
      <c r="D100" t="inlineStr">
        <is>
          <t>Senolax</t>
        </is>
      </c>
      <c r="E100" t="inlineStr">
        <is>
          <t>กล่อง 60 เม็ด</t>
        </is>
      </c>
      <c r="F100" t="inlineStr">
        <is>
          <t>Sennoside B 7.5 mg.</t>
        </is>
      </c>
      <c r="G100" t="inlineStr">
        <is>
          <t>BDS003613</t>
        </is>
      </c>
      <c r="H100" t="inlineStr">
        <is>
          <t>Senolax (60 tabs)</t>
        </is>
      </c>
      <c r="I100" t="inlineStr">
        <is>
          <t>รับประทานครั้งละ 2-4 เม็ด วันละ 1 ครั้ง ก่อนนอน</t>
        </is>
      </c>
    </row>
    <row r="101">
      <c r="A101" t="n">
        <v>99</v>
      </c>
      <c r="B101" t="inlineStr">
        <is>
          <t>ยาระบาย</t>
        </is>
      </c>
      <c r="C101" t="n">
        <v>4866</v>
      </c>
      <c r="D101" t="inlineStr">
        <is>
          <t>น้ำมันละหุ่งหวาน</t>
        </is>
      </c>
      <c r="E101" t="inlineStr">
        <is>
          <t>ขวด 60 ml.</t>
        </is>
      </c>
      <c r="F101" t="inlineStr">
        <is>
          <t>Saccharin 0.006 g+Amyl Acetate 0.037 g+Alcohol 0.45 ml+Castor Oil/15 ml.</t>
        </is>
      </c>
      <c r="G101" t="inlineStr">
        <is>
          <t>BDS004866</t>
        </is>
      </c>
      <c r="H101" t="inlineStr">
        <is>
          <t>น้ำมันละหุ่งหวาน (60 ml.)</t>
        </is>
      </c>
      <c r="I101" t="inlineStr">
        <is>
          <t>รับประทานครั้งละ 1-2 ช้อนโต๊ะ วันละ 1 ครั้ง ก่อนนอนหรือตื่นตอนเช้า</t>
        </is>
      </c>
    </row>
    <row r="102">
      <c r="A102" t="n">
        <v>100</v>
      </c>
      <c r="B102" t="inlineStr">
        <is>
          <t>ยาหยุดถ่าย (D)</t>
        </is>
      </c>
      <c r="C102" t="n">
        <v>2214</v>
      </c>
      <c r="D102" t="inlineStr">
        <is>
          <t>Imodium</t>
        </is>
      </c>
      <c r="E102" t="inlineStr">
        <is>
          <t>แผง 6 แคปซูล</t>
        </is>
      </c>
      <c r="F102" t="inlineStr">
        <is>
          <t>Loperamide HCl 2 mg.</t>
        </is>
      </c>
      <c r="G102" t="inlineStr">
        <is>
          <t>BDS002214</t>
        </is>
      </c>
      <c r="H102" t="inlineStr">
        <is>
          <t>Imodium (6 cap)</t>
        </is>
      </c>
      <c r="I102" t="inlineStr">
        <is>
          <t xml:space="preserve">รับประทาน 2 แคปซูล ครั้งต่อไป 1 แคปซูล ทุก 6 ชั่วโมง ถ้ายังถ่ายอีก </t>
        </is>
      </c>
    </row>
    <row r="103">
      <c r="A103" t="n">
        <v>101</v>
      </c>
      <c r="B103" t="inlineStr">
        <is>
          <t>ยาหยุดถ่าย (D)</t>
        </is>
      </c>
      <c r="C103" t="n">
        <v>8703</v>
      </c>
      <c r="D103" t="inlineStr">
        <is>
          <t>Tedium</t>
        </is>
      </c>
      <c r="E103" t="inlineStr">
        <is>
          <t>แผง 10 แคปซูล</t>
        </is>
      </c>
      <c r="F103" t="inlineStr">
        <is>
          <t>Loperamide 2 mg.</t>
        </is>
      </c>
      <c r="G103" t="inlineStr">
        <is>
          <t>BDS008703</t>
        </is>
      </c>
      <c r="H103" t="inlineStr">
        <is>
          <t>Tedium (10 cap)</t>
        </is>
      </c>
      <c r="I103" t="inlineStr">
        <is>
          <t xml:space="preserve">รับประทาน 2 แคปซูล ครั้งต่อไป 1 แคปซูล ทุก 6 ชั่วโมง </t>
        </is>
      </c>
    </row>
    <row r="104">
      <c r="A104" t="n">
        <v>102</v>
      </c>
      <c r="B104" t="inlineStr">
        <is>
          <t>ยาลดกรด, เคลือบกระเพาะ</t>
        </is>
      </c>
      <c r="C104" t="n">
        <v>1036</v>
      </c>
      <c r="D104" t="inlineStr">
        <is>
          <t>Algycon</t>
        </is>
      </c>
      <c r="E104" t="inlineStr">
        <is>
          <t>แผง 12 เม็ด</t>
        </is>
      </c>
      <c r="F104" t="inlineStr">
        <is>
          <t>Alginic acid 200 mg.+Aluminium hydroxide gel 30 mg.+Magnesium carbonate 40 mg.</t>
        </is>
      </c>
      <c r="G104" t="inlineStr">
        <is>
          <t>BDS001036</t>
        </is>
      </c>
      <c r="H104" t="inlineStr">
        <is>
          <t>Algycon (12 tabs)</t>
        </is>
      </c>
      <c r="I104" t="inlineStr">
        <is>
          <t>เคี้ยวครั้งละ 1-3 เม็ด วันละ 4 ครั้ง หลังอาหารและก่อนนอน</t>
        </is>
      </c>
    </row>
    <row r="105">
      <c r="A105" t="n">
        <v>103</v>
      </c>
      <c r="B105" t="inlineStr">
        <is>
          <t>ยาลดกรด, เคลือบกระเพาะ</t>
        </is>
      </c>
      <c r="C105" t="n">
        <v>1051</v>
      </c>
      <c r="D105" t="inlineStr">
        <is>
          <t>Antacil</t>
        </is>
      </c>
      <c r="E105" t="inlineStr">
        <is>
          <t>แผง 10 เม็ด</t>
        </is>
      </c>
      <c r="F105" t="inlineStr">
        <is>
          <t>Aluminium Hydroxide (Dried Aluminium Hydroxide 250 mg.)+Magnesium Trisilicate 350 mg.+Kaolin 50 mg.</t>
        </is>
      </c>
      <c r="G105" t="inlineStr">
        <is>
          <t>BDS001051</t>
        </is>
      </c>
      <c r="H105" t="inlineStr">
        <is>
          <t>Antacil (10 tabs)</t>
        </is>
      </c>
      <c r="I105" t="inlineStr">
        <is>
          <t>รับประทาน (เคี้ยว) ครั้งละ 1-2 เม็ด วันละ 3-4 ครั้ง หลังอาหารและก่อนนอน</t>
        </is>
      </c>
    </row>
    <row r="106">
      <c r="A106" t="n">
        <v>104</v>
      </c>
      <c r="B106" t="inlineStr">
        <is>
          <t>ยาลดกรด, เคลือบกระเพาะ</t>
        </is>
      </c>
      <c r="C106" t="n">
        <v>2030</v>
      </c>
      <c r="D106" t="inlineStr">
        <is>
          <t>Gastro Bismol 524</t>
        </is>
      </c>
      <c r="E106" t="inlineStr">
        <is>
          <t>แผง 10 เม็ด</t>
        </is>
      </c>
      <c r="F106" t="inlineStr">
        <is>
          <t>Bismuth Subsalicylate 524 mg.</t>
        </is>
      </c>
      <c r="G106" t="inlineStr">
        <is>
          <t>BDS002030</t>
        </is>
      </c>
      <c r="H106" t="inlineStr">
        <is>
          <t>Gastro Bismol 524 (10 tabs)</t>
        </is>
      </c>
      <c r="I106" t="inlineStr">
        <is>
          <t>รับประทานครั้งละ 1 เม็ด วันละ 4 ครั้ง ก่อนอาหารและก่อนนอน</t>
        </is>
      </c>
    </row>
    <row r="107">
      <c r="A107" t="n">
        <v>105</v>
      </c>
      <c r="B107" t="inlineStr">
        <is>
          <t>ยาลดกรด, เคลือบกระเพาะ</t>
        </is>
      </c>
      <c r="C107" t="n">
        <v>2011</v>
      </c>
      <c r="D107" t="inlineStr">
        <is>
          <t>Gaviscon Dual Action tabslet 16s</t>
        </is>
      </c>
      <c r="E107" t="inlineStr">
        <is>
          <t>กล่อง 16 เม็ด</t>
        </is>
      </c>
      <c r="F107" t="inlineStr">
        <is>
          <t>Sodium alginate 250 mg.+Sodium bicarbonate 106.5 mg.+Calcium carbonate 187.5 mg.</t>
        </is>
      </c>
      <c r="G107" t="inlineStr">
        <is>
          <t>BDS002011</t>
        </is>
      </c>
      <c r="H107" t="inlineStr">
        <is>
          <t>Gaviscon Dual Action tabslet 16s (16 tabs)</t>
        </is>
      </c>
      <c r="I107" t="inlineStr">
        <is>
          <t>ผู้ใหญ่รับประทาน (เคี้ยว) ครั้งละ 2-4 เม็ด วันละ 4 ครั้ง หลังอาหารและก่อนนอน</t>
        </is>
      </c>
    </row>
    <row r="108">
      <c r="A108" t="n">
        <v>106</v>
      </c>
      <c r="B108" t="inlineStr">
        <is>
          <t>ยาลดกรด, เคลือบกระเพาะ</t>
        </is>
      </c>
      <c r="C108" t="n">
        <v>2015</v>
      </c>
      <c r="D108" t="inlineStr">
        <is>
          <t>Gaviscon Peppermint tabslet 16s</t>
        </is>
      </c>
      <c r="E108" t="inlineStr">
        <is>
          <t>กล่อง 16 เม็ด</t>
        </is>
      </c>
      <c r="F108" t="inlineStr">
        <is>
          <t>Sodium alginate 250 mg.+Sodium bicarbonate 133.5 mg.+Calcium Carbonate 80 mg.</t>
        </is>
      </c>
      <c r="G108" t="inlineStr">
        <is>
          <t>BDS002015</t>
        </is>
      </c>
      <c r="H108" t="inlineStr">
        <is>
          <t>Gaviscon Peppermint tabslet 16s (16 tabs)</t>
        </is>
      </c>
      <c r="I108" t="inlineStr">
        <is>
          <t>ผู้ใหญ่รับประทาน (เคี้ยว) ครั้งละ 2-4 เม็ด วันละ 4 ครั้ง หลังอาหารและก่อนนอน</t>
        </is>
      </c>
    </row>
    <row r="109">
      <c r="A109" t="n">
        <v>107</v>
      </c>
      <c r="B109" t="inlineStr">
        <is>
          <t>ยาลดกรด, เคลือบกระเพาะ</t>
        </is>
      </c>
      <c r="C109" t="n">
        <v>44334</v>
      </c>
      <c r="D109" t="inlineStr">
        <is>
          <t>Kremil tabslet</t>
        </is>
      </c>
      <c r="E109" t="inlineStr">
        <is>
          <t>แผง 10 เม็ด</t>
        </is>
      </c>
      <c r="F109" t="inlineStr">
        <is>
          <t>AHMC Type F-MA II 325 mg ( Aluminum Hydroxide 188.8 mg + Magnesium Carbonate 136.2 mg ) + Simethicone 60 mg</t>
        </is>
      </c>
      <c r="G109" t="inlineStr">
        <is>
          <t>BDS044334</t>
        </is>
      </c>
      <c r="H109" t="inlineStr">
        <is>
          <t>Kremil tabslet (10 tabs)</t>
        </is>
      </c>
      <c r="I109" t="inlineStr">
        <is>
          <t xml:space="preserve">รับประทานครั้งละ 2-4 เม็ด หลังอาหารเช้า กลางวัน เย็น หรือเมื่อมีอาการ </t>
        </is>
      </c>
    </row>
    <row r="110">
      <c r="A110" t="n">
        <v>108</v>
      </c>
      <c r="B110" t="inlineStr">
        <is>
          <t>ยาลดกรด, เคลือบกระเพาะ</t>
        </is>
      </c>
      <c r="C110" t="n">
        <v>44908</v>
      </c>
      <c r="D110" t="inlineStr">
        <is>
          <t>Malugel tabslets</t>
        </is>
      </c>
      <c r="E110" t="inlineStr">
        <is>
          <t>แผง 10 เม็ด</t>
        </is>
      </c>
      <c r="F110" t="inlineStr">
        <is>
          <t>Calcium Carbonate 500 mg+Simethicone 60 mg</t>
        </is>
      </c>
      <c r="G110" t="inlineStr">
        <is>
          <t>BDS044908</t>
        </is>
      </c>
      <c r="H110" t="inlineStr">
        <is>
          <t>Malugel tabslets (10 tabs)</t>
        </is>
      </c>
      <c r="I110" t="inlineStr">
        <is>
          <t xml:space="preserve">รับประทาน (เคี้ยว) ครั้งละ 1-2 เม็ด เมื่อมีอาการ  </t>
        </is>
      </c>
    </row>
    <row r="111">
      <c r="A111" t="n">
        <v>109</v>
      </c>
      <c r="B111" t="inlineStr">
        <is>
          <t>ยาลดกรด, เคลือบกระเพาะ</t>
        </is>
      </c>
      <c r="C111" t="n">
        <v>3903</v>
      </c>
      <c r="D111" t="inlineStr">
        <is>
          <t>Ulcefate tabslet strip 10s</t>
        </is>
      </c>
      <c r="E111" t="inlineStr">
        <is>
          <t>แผง 10 เม็ด</t>
        </is>
      </c>
      <c r="F111" t="inlineStr">
        <is>
          <t>Sucralfate 1 g.</t>
        </is>
      </c>
      <c r="G111" t="inlineStr">
        <is>
          <t>BDS003903</t>
        </is>
      </c>
      <c r="H111" t="inlineStr">
        <is>
          <t>Ulcefate tabslet strip 10s (10 tabs)</t>
        </is>
      </c>
      <c r="I111" t="inlineStr">
        <is>
          <t>รับประทานครั้งละ 1-2 เม็ด วันละ 2-4 ครั้ง ก่อนอาหารและก่อนนอน</t>
        </is>
      </c>
    </row>
    <row r="112">
      <c r="A112" t="n">
        <v>110</v>
      </c>
      <c r="B112" t="inlineStr">
        <is>
          <t>ยาลดการหลั่งกรด (D)</t>
        </is>
      </c>
      <c r="C112" t="n">
        <v>1466</v>
      </c>
      <c r="D112" t="inlineStr">
        <is>
          <t>Controloc 40 mg</t>
        </is>
      </c>
      <c r="E112" t="inlineStr">
        <is>
          <t>แผง 14 เม็ด</t>
        </is>
      </c>
      <c r="F112" t="inlineStr">
        <is>
          <t>Pantoprazole 40 mg.</t>
        </is>
      </c>
      <c r="G112" t="inlineStr">
        <is>
          <t>BDS001466</t>
        </is>
      </c>
      <c r="H112" t="inlineStr">
        <is>
          <t>Controloc 40 mg (14 tabs)</t>
        </is>
      </c>
      <c r="I112" t="inlineStr">
        <is>
          <t>รับประทานครั้งละ 1 เม็ด วันละ 1 ครั้ง หรือตามแพทย์สั่ง</t>
        </is>
      </c>
    </row>
    <row r="113">
      <c r="A113" t="n">
        <v>111</v>
      </c>
      <c r="B113" t="inlineStr">
        <is>
          <t>ยาลดการหลั่งกรด (D)</t>
        </is>
      </c>
      <c r="C113" t="n">
        <v>7108</v>
      </c>
      <c r="D113" t="inlineStr">
        <is>
          <t>Dosate 20 mg</t>
        </is>
      </c>
      <c r="E113" t="inlineStr">
        <is>
          <t>แผง 10 แคปซูล</t>
        </is>
      </c>
      <c r="F113" t="inlineStr">
        <is>
          <t>Omeprazole 20 mg.</t>
        </is>
      </c>
      <c r="G113" t="inlineStr">
        <is>
          <t>BDS007108</t>
        </is>
      </c>
      <c r="H113" t="inlineStr">
        <is>
          <t>Dosate 20 mg (10 cap)</t>
        </is>
      </c>
      <c r="I113" t="inlineStr">
        <is>
          <t>รับประทานครั้งละ 1 แคปซูล วันละ 1 ครั้ง ก่อนอาหาร</t>
        </is>
      </c>
    </row>
    <row r="114">
      <c r="A114" t="n">
        <v>112</v>
      </c>
      <c r="B114" t="inlineStr">
        <is>
          <t>ยาลดการหลั่งกรด (D)</t>
        </is>
      </c>
      <c r="C114" t="n">
        <v>2629</v>
      </c>
      <c r="D114" t="inlineStr">
        <is>
          <t>Miracid</t>
        </is>
      </c>
      <c r="E114" t="inlineStr">
        <is>
          <t>กล่อง 14 แคปซูล</t>
        </is>
      </c>
      <c r="F114" t="inlineStr">
        <is>
          <t>Omeprazole 20 mg.</t>
        </is>
      </c>
      <c r="G114" t="inlineStr">
        <is>
          <t>BDS002629</t>
        </is>
      </c>
      <c r="H114" t="inlineStr">
        <is>
          <t>Miracid (14 cap)</t>
        </is>
      </c>
      <c r="I114" t="inlineStr">
        <is>
          <t>รับประทานครั้งละ 1 แคปซูล วันละ 1 ครั้ง ก่อนอาหาร</t>
        </is>
      </c>
      <c r="J114" t="inlineStr">
        <is>
          <t>Take 1 capsule once daily before meals</t>
        </is>
      </c>
    </row>
    <row r="115">
      <c r="A115" t="n">
        <v>113</v>
      </c>
      <c r="B115" t="inlineStr">
        <is>
          <t>ยาลดการหลั่งกรด (D)</t>
        </is>
      </c>
      <c r="C115" t="n">
        <v>3417</v>
      </c>
      <c r="D115" t="inlineStr">
        <is>
          <t>Mucosta tabs</t>
        </is>
      </c>
      <c r="E115" t="inlineStr">
        <is>
          <t>แผง 10 เม็ด</t>
        </is>
      </c>
      <c r="F115" t="inlineStr">
        <is>
          <t>Rebamipide 100 mg.</t>
        </is>
      </c>
      <c r="G115" t="inlineStr">
        <is>
          <t>BDS003417</t>
        </is>
      </c>
      <c r="H115" t="inlineStr">
        <is>
          <t>Mucosta tabs (10 tabs)</t>
        </is>
      </c>
      <c r="I115" t="inlineStr">
        <is>
          <t>รับประทานครั้งละ 1 เม็ด วันละ 3 ครั้ง</t>
        </is>
      </c>
    </row>
    <row r="116">
      <c r="A116" t="n">
        <v>114</v>
      </c>
      <c r="B116" t="inlineStr">
        <is>
          <t>ยาลดการหลั่งกรด (D)</t>
        </is>
      </c>
      <c r="C116" t="n">
        <v>2898</v>
      </c>
      <c r="D116" t="inlineStr">
        <is>
          <t>Nexium 20 mg</t>
        </is>
      </c>
      <c r="E116" t="inlineStr">
        <is>
          <t>กล่อง 14 เม็ด</t>
        </is>
      </c>
      <c r="F116" t="inlineStr">
        <is>
          <t>Esomeprazole 20 mg.</t>
        </is>
      </c>
      <c r="G116" t="inlineStr">
        <is>
          <t>BDS002898</t>
        </is>
      </c>
      <c r="H116" t="inlineStr">
        <is>
          <t>Nexium 20 mg (14 tabs)</t>
        </is>
      </c>
      <c r="I116" t="inlineStr">
        <is>
          <t>รับประทานครั้งละ 1 เม็ด วันละ 1 ครั้ง หรือตามแพทย์สั่ง</t>
        </is>
      </c>
    </row>
    <row r="117">
      <c r="A117" t="n">
        <v>115</v>
      </c>
      <c r="B117" t="inlineStr">
        <is>
          <t>ยาลดการหลั่งกรด (D)</t>
        </is>
      </c>
      <c r="C117" t="n">
        <v>2903</v>
      </c>
      <c r="D117" t="inlineStr">
        <is>
          <t>Nexium 40 mg</t>
        </is>
      </c>
      <c r="E117" t="inlineStr">
        <is>
          <t>กล่อง 14 เม็ด</t>
        </is>
      </c>
      <c r="F117" t="inlineStr">
        <is>
          <t>Esomeprazole 40 mg.</t>
        </is>
      </c>
      <c r="G117" t="inlineStr">
        <is>
          <t>BDS002903</t>
        </is>
      </c>
      <c r="H117" t="inlineStr">
        <is>
          <t>Nexium 40 mg (14 tabs)</t>
        </is>
      </c>
      <c r="I117" t="inlineStr">
        <is>
          <t>รับประทานครั้งละ 1 เม็ด วันละ 1 ครั้ง หรือตามแพทย์สั่ง</t>
        </is>
      </c>
    </row>
    <row r="118">
      <c r="A118" t="n">
        <v>116</v>
      </c>
      <c r="B118" t="inlineStr">
        <is>
          <t>ยาลดการหลั่งกรด (D)</t>
        </is>
      </c>
      <c r="C118" t="n">
        <v>45613</v>
      </c>
      <c r="D118" t="inlineStr">
        <is>
          <t>Nycacid</t>
        </is>
      </c>
      <c r="E118" t="inlineStr">
        <is>
          <t>กล่อง 10 แคปซูล</t>
        </is>
      </c>
      <c r="F118" t="inlineStr">
        <is>
          <t>Omeprazole 20 mg.</t>
        </is>
      </c>
      <c r="G118" t="inlineStr">
        <is>
          <t>BDS045613</t>
        </is>
      </c>
      <c r="H118" t="inlineStr">
        <is>
          <t>Nycacid (10 cap)</t>
        </is>
      </c>
      <c r="I118" t="inlineStr">
        <is>
          <t>รับประทานครั้งละ 1 แคปซูล วันละ 1 ครั้ง ก่อนอาหาร หรือตามแพทย์สั่ง</t>
        </is>
      </c>
    </row>
    <row r="119">
      <c r="A119" t="n">
        <v>117</v>
      </c>
      <c r="B119" t="inlineStr">
        <is>
          <t>ยาลดการหลั่งกรด (D)</t>
        </is>
      </c>
      <c r="C119" t="n">
        <v>3065</v>
      </c>
      <c r="D119" t="inlineStr">
        <is>
          <t>Ocid</t>
        </is>
      </c>
      <c r="E119" t="inlineStr">
        <is>
          <t>กล่อง 10 แคปซูล</t>
        </is>
      </c>
      <c r="F119" t="inlineStr">
        <is>
          <t>Omeprazole 20 mg.</t>
        </is>
      </c>
      <c r="G119" t="inlineStr">
        <is>
          <t>BDS003065</t>
        </is>
      </c>
      <c r="H119" t="inlineStr">
        <is>
          <t>Ocid (10 cap)</t>
        </is>
      </c>
      <c r="I119" t="inlineStr">
        <is>
          <t>รับประทานครั้งละ 1 แคปซูล วันละ 1 ครั้ง ก่อนอาหาร</t>
        </is>
      </c>
    </row>
    <row r="120">
      <c r="A120" t="n">
        <v>118</v>
      </c>
      <c r="B120" t="inlineStr">
        <is>
          <t>ยาลดการหลั่งกรด (D)</t>
        </is>
      </c>
      <c r="C120" t="n">
        <v>6714</v>
      </c>
      <c r="D120" t="inlineStr">
        <is>
          <t>Omeprazole 20 mg (GPO)</t>
        </is>
      </c>
      <c r="E120" t="inlineStr">
        <is>
          <t>แผง 10 แคปซูล</t>
        </is>
      </c>
      <c r="F120" t="inlineStr">
        <is>
          <t>Omeprazole 20 mg.</t>
        </is>
      </c>
      <c r="G120" t="inlineStr">
        <is>
          <t>BDS006714</t>
        </is>
      </c>
      <c r="H120" t="inlineStr">
        <is>
          <t>Omeprazole 20 mg (GPO) (10 cap)</t>
        </is>
      </c>
      <c r="I120" t="inlineStr">
        <is>
          <t>รับประทานครั้งละ 1 แคปซูล วันละ 1 ครั้ง ก่อนอาหาร</t>
        </is>
      </c>
    </row>
    <row r="121">
      <c r="A121" t="n">
        <v>119</v>
      </c>
      <c r="B121" t="inlineStr">
        <is>
          <t>ยาลดการหลั่งกรด (D)</t>
        </is>
      </c>
      <c r="C121" t="n">
        <v>3138</v>
      </c>
      <c r="D121" t="inlineStr">
        <is>
          <t>Pariet 20 mg</t>
        </is>
      </c>
      <c r="E121" t="inlineStr">
        <is>
          <t>กล่อง 14 เม็ด</t>
        </is>
      </c>
      <c r="F121" t="inlineStr">
        <is>
          <t>Rabeprazole 20 mg.</t>
        </is>
      </c>
      <c r="G121" t="inlineStr">
        <is>
          <t>BDS003138</t>
        </is>
      </c>
      <c r="H121" t="inlineStr">
        <is>
          <t>Pariet 20 mg (14 tabs)</t>
        </is>
      </c>
      <c r="I121" t="inlineStr">
        <is>
          <t>รับประทานครั้งละ 1 เม็ด วันละ 1 ครั้ง หรือตามแพทย์สั่ง</t>
        </is>
      </c>
    </row>
    <row r="122">
      <c r="A122" t="n">
        <v>120</v>
      </c>
      <c r="B122" t="inlineStr">
        <is>
          <t>ยาลดการหลั่งกรด (D)</t>
        </is>
      </c>
      <c r="C122" t="n">
        <v>3110</v>
      </c>
      <c r="D122" t="inlineStr">
        <is>
          <t>Prevacid FDT 30</t>
        </is>
      </c>
      <c r="E122" t="inlineStr">
        <is>
          <t>กล่อง 14 เม็ด</t>
        </is>
      </c>
      <c r="F122" t="inlineStr">
        <is>
          <t>Lansoprazole 30 mg.</t>
        </is>
      </c>
      <c r="G122" t="inlineStr">
        <is>
          <t>BDS003110</t>
        </is>
      </c>
      <c r="H122" t="inlineStr">
        <is>
          <t>Prevacid FDT 30 (14 tabs)</t>
        </is>
      </c>
      <c r="I122" t="inlineStr">
        <is>
          <t>รับประทานครั้งละ 1 เม็ดวันละ 1 ครั้ง หรือตามแพทย์สั่ง</t>
        </is>
      </c>
    </row>
    <row r="123">
      <c r="A123" t="n">
        <v>121</v>
      </c>
      <c r="B123" t="inlineStr">
        <is>
          <t>ยาลดการหลั่งกรด (D)</t>
        </is>
      </c>
      <c r="C123" t="n">
        <v>47441</v>
      </c>
      <c r="D123" t="inlineStr">
        <is>
          <t xml:space="preserve">Rabeprazole Sandoz 20 mg </t>
        </is>
      </c>
      <c r="E123" t="inlineStr">
        <is>
          <t>กล่อง 14 เม็ด</t>
        </is>
      </c>
      <c r="F123" t="inlineStr">
        <is>
          <t>Rabeprazole Sandoz 20 mg.</t>
        </is>
      </c>
      <c r="G123" t="inlineStr">
        <is>
          <t>BDS047441</t>
        </is>
      </c>
      <c r="H123" t="inlineStr">
        <is>
          <t>Rabeprazole Sandoz 20 mg  (14 tabs)</t>
        </is>
      </c>
      <c r="I123" t="inlineStr">
        <is>
          <t xml:space="preserve">รับประทานครั้งละ 1 เม็ด วันละ 1 ครั้ง ก่อนอาหารเช้า </t>
        </is>
      </c>
    </row>
    <row r="124">
      <c r="A124" t="n">
        <v>122</v>
      </c>
      <c r="B124" t="inlineStr">
        <is>
          <t>ยาลดการหลั่งกรด (D)</t>
        </is>
      </c>
      <c r="C124" t="n">
        <v>3527</v>
      </c>
      <c r="D124" t="inlineStr">
        <is>
          <t>Siamidine 400 mg</t>
        </is>
      </c>
      <c r="E124" t="inlineStr">
        <is>
          <t>แผง 10 เม็ด</t>
        </is>
      </c>
      <c r="F124" t="inlineStr">
        <is>
          <t>Cimetidine 400 mg.</t>
        </is>
      </c>
      <c r="G124" t="inlineStr">
        <is>
          <t>BDS003527</t>
        </is>
      </c>
      <c r="H124" t="inlineStr">
        <is>
          <t>Siamidine 400 mg (10 tabs)</t>
        </is>
      </c>
      <c r="I124" t="inlineStr">
        <is>
          <t>รับประทานครั้งละ 1 เม็ด วันละ 2 ครั้ง</t>
        </is>
      </c>
    </row>
    <row r="125">
      <c r="A125" t="n">
        <v>123</v>
      </c>
      <c r="B125" t="inlineStr">
        <is>
          <t>ยาลดบวม (D)</t>
        </is>
      </c>
      <c r="C125" t="n">
        <v>7181</v>
      </c>
      <c r="D125" t="inlineStr">
        <is>
          <t>Leftose</t>
        </is>
      </c>
      <c r="E125" t="inlineStr">
        <is>
          <t>แผง 10 เม็ด</t>
        </is>
      </c>
      <c r="F125" t="inlineStr">
        <is>
          <t>Lysozyme chloride 30 mg.</t>
        </is>
      </c>
      <c r="G125" t="inlineStr">
        <is>
          <t>BDS007181</t>
        </is>
      </c>
      <c r="H125" t="inlineStr">
        <is>
          <t>Leftose (10 tabs)</t>
        </is>
      </c>
      <c r="I125" t="inlineStr">
        <is>
          <t>รับประทานครั้งละ 1 เม็ด วันละ 3 ครั้ง</t>
        </is>
      </c>
    </row>
    <row r="126">
      <c r="A126" t="n">
        <v>124</v>
      </c>
      <c r="B126" t="inlineStr">
        <is>
          <t>ยาลดบวม (D)</t>
        </is>
      </c>
      <c r="C126" t="n">
        <v>46509</v>
      </c>
      <c r="D126" t="inlineStr">
        <is>
          <t>Proctase-P</t>
        </is>
      </c>
      <c r="E126" t="inlineStr">
        <is>
          <t>แผง 10 แคปซูล</t>
        </is>
      </c>
      <c r="F126" t="inlineStr">
        <is>
          <t>Proctase 10 mg+Pancreatin 50 mg</t>
        </is>
      </c>
      <c r="G126" t="inlineStr">
        <is>
          <t>BDS046509</t>
        </is>
      </c>
      <c r="H126" t="inlineStr">
        <is>
          <t>Proctase-P (10 cap)</t>
        </is>
      </c>
      <c r="I126" t="inlineStr">
        <is>
          <t>รับประทานครั้งละ 1-2 แคปซูล วันละ 3 ครั้ง หลังอาหาร</t>
        </is>
      </c>
    </row>
    <row r="127">
      <c r="A127" t="n">
        <v>125</v>
      </c>
      <c r="B127" t="inlineStr">
        <is>
          <t>ยาขยายหลอดลม (D)</t>
        </is>
      </c>
      <c r="C127" t="n">
        <v>8607</v>
      </c>
      <c r="D127" t="inlineStr">
        <is>
          <t>Durasal-CR 4 mg</t>
        </is>
      </c>
      <c r="E127" t="inlineStr">
        <is>
          <t>แผง 10 แคปซูล</t>
        </is>
      </c>
      <c r="F127" t="inlineStr">
        <is>
          <t>Salbutamol 4 mg.</t>
        </is>
      </c>
      <c r="G127" t="inlineStr">
        <is>
          <t>BDS008607</t>
        </is>
      </c>
      <c r="H127" t="inlineStr">
        <is>
          <t>Durasal-CR 4 mg (10 cap)</t>
        </is>
      </c>
      <c r="I127" t="inlineStr">
        <is>
          <t>รับประทานครั้งละ 1 แคปซูล วันละ 2 ครั้ง เช้า-เย็น</t>
        </is>
      </c>
      <c r="P127" t="inlineStr">
        <is>
          <t>Bronchodilators (inhalers/oral)</t>
        </is>
      </c>
    </row>
    <row r="128">
      <c r="A128" t="n">
        <v>126</v>
      </c>
      <c r="B128" t="inlineStr">
        <is>
          <t>ยาขยายหลอดลม (D)</t>
        </is>
      </c>
      <c r="C128" t="n">
        <v>2616</v>
      </c>
      <c r="D128" t="inlineStr">
        <is>
          <t>Meptin 50</t>
        </is>
      </c>
      <c r="E128" t="inlineStr">
        <is>
          <t>แผง 10 เม็ด</t>
        </is>
      </c>
      <c r="F128" t="inlineStr">
        <is>
          <t>Procaterol HCl 50 mcg.</t>
        </is>
      </c>
      <c r="G128" t="inlineStr">
        <is>
          <t>BDS002616</t>
        </is>
      </c>
      <c r="H128" t="inlineStr">
        <is>
          <t>Meptin 50 (10 tabs)</t>
        </is>
      </c>
      <c r="I128" t="inlineStr">
        <is>
          <t>รับประทานครั้งละ 1 เม็ด วันละ 2   ครั้ง เช้าและก่อนนอน</t>
        </is>
      </c>
      <c r="P128" t="inlineStr">
        <is>
          <t>Bronchodilators (inhalers/oral)</t>
        </is>
      </c>
    </row>
    <row r="129">
      <c r="A129" t="n">
        <v>127</v>
      </c>
      <c r="B129" t="inlineStr">
        <is>
          <t>ยาขยายหลอดลม (D)</t>
        </is>
      </c>
      <c r="C129" t="n">
        <v>2617</v>
      </c>
      <c r="D129" t="inlineStr">
        <is>
          <t>Meptin Mini 25</t>
        </is>
      </c>
      <c r="E129" t="inlineStr">
        <is>
          <t>แผง 10 เม็ด</t>
        </is>
      </c>
      <c r="F129" t="inlineStr">
        <is>
          <t>Procaterol HCl 25 mcg.</t>
        </is>
      </c>
      <c r="G129" t="inlineStr">
        <is>
          <t>BDS002617</t>
        </is>
      </c>
      <c r="H129" t="inlineStr">
        <is>
          <t>Meptin Mini 25 (10 tabs)</t>
        </is>
      </c>
      <c r="I129" t="inlineStr">
        <is>
          <t>รับประทานครั้งละ 1 เม็ด วันละ 2 ครั้ง เช้าและก่อนนอน</t>
        </is>
      </c>
      <c r="P129" t="inlineStr">
        <is>
          <t>Bronchodilators (inhalers/oral)</t>
        </is>
      </c>
    </row>
    <row r="130">
      <c r="A130" t="n">
        <v>128</v>
      </c>
      <c r="B130" t="inlineStr">
        <is>
          <t>ยาขยายหลอดลม (D)</t>
        </is>
      </c>
      <c r="C130" t="n">
        <v>2844</v>
      </c>
      <c r="D130" t="inlineStr">
        <is>
          <t>Nuelin SR</t>
        </is>
      </c>
      <c r="E130" t="inlineStr">
        <is>
          <t>แผง 20 เม็ด</t>
        </is>
      </c>
      <c r="F130" t="inlineStr">
        <is>
          <t>Theophylline 200 mg.</t>
        </is>
      </c>
      <c r="G130" t="inlineStr">
        <is>
          <t>BDS002844</t>
        </is>
      </c>
      <c r="H130" t="inlineStr">
        <is>
          <t>Nuelin SR (20 tabs)</t>
        </is>
      </c>
      <c r="I130" t="inlineStr">
        <is>
          <t>รับประทานครั้งละ 1 เม็ด วันละ 2 ครั้ง หลังอาหาร หรือตามแพทย์สั่ง</t>
        </is>
      </c>
      <c r="P130" t="inlineStr">
        <is>
          <t>Bronchodilators (inhalers/oral)</t>
        </is>
      </c>
    </row>
    <row r="131">
      <c r="A131" t="n">
        <v>129</v>
      </c>
      <c r="B131" t="inlineStr">
        <is>
          <t>ยาขยายหลอดลม (D)</t>
        </is>
      </c>
      <c r="C131" t="n">
        <v>3708</v>
      </c>
      <c r="D131" t="inlineStr">
        <is>
          <t>Terbuhim</t>
        </is>
      </c>
      <c r="E131" t="inlineStr">
        <is>
          <t>แผง 10 เม็ด</t>
        </is>
      </c>
      <c r="F131" t="inlineStr">
        <is>
          <t>Terbutaline sulfate 2.5 mg</t>
        </is>
      </c>
      <c r="G131" t="inlineStr">
        <is>
          <t>BDS003708</t>
        </is>
      </c>
      <c r="H131" t="inlineStr">
        <is>
          <t>Terbuhim (10 tabs)</t>
        </is>
      </c>
      <c r="I131" t="inlineStr">
        <is>
          <t>รับประทานครั้งละ 1 เม็ด วันละ 3 ครั้ง หลังอาหาร</t>
        </is>
      </c>
      <c r="P131" t="inlineStr">
        <is>
          <t>Bronchodilators (inhalers/oral)</t>
        </is>
      </c>
    </row>
    <row r="132">
      <c r="A132" t="n">
        <v>130</v>
      </c>
      <c r="B132" t="inlineStr">
        <is>
          <t>ยาแก้อาเจียน (D)</t>
        </is>
      </c>
      <c r="C132" t="n">
        <v>42329</v>
      </c>
      <c r="D132" t="inlineStr">
        <is>
          <t>Doiz 50 mg</t>
        </is>
      </c>
      <c r="E132" t="inlineStr">
        <is>
          <t>กล่อง 10 เม็ด</t>
        </is>
      </c>
      <c r="F132" t="inlineStr">
        <is>
          <t>Itopride hydrochloride 50 mg.</t>
        </is>
      </c>
      <c r="G132" t="inlineStr">
        <is>
          <t>BDS042329</t>
        </is>
      </c>
      <c r="H132" t="inlineStr">
        <is>
          <t>Doiz 50 mg (10 tabs)</t>
        </is>
      </c>
      <c r="I132" t="inlineStr">
        <is>
          <t xml:space="preserve">รับประทานครั้งละ 1 เม็ด วันละ 3 ครั้ง </t>
        </is>
      </c>
    </row>
    <row r="133">
      <c r="A133" t="n">
        <v>131</v>
      </c>
      <c r="B133" t="inlineStr">
        <is>
          <t>ยาแก้อาเจียน (D)</t>
        </is>
      </c>
      <c r="C133" t="n">
        <v>7106</v>
      </c>
      <c r="D133" t="inlineStr">
        <is>
          <t>Domperdone</t>
        </is>
      </c>
      <c r="E133" t="inlineStr">
        <is>
          <t>แผง 10 เม็ด</t>
        </is>
      </c>
      <c r="F133" t="inlineStr">
        <is>
          <t>Domperidone 10 mg.</t>
        </is>
      </c>
      <c r="G133" t="inlineStr">
        <is>
          <t>BDS007106</t>
        </is>
      </c>
      <c r="H133" t="inlineStr">
        <is>
          <t>Domperdone (10 tabs)</t>
        </is>
      </c>
      <c r="I133" t="inlineStr">
        <is>
          <t>รับประทานครั้งละ 1 เม็ด วันละ 3 ครั้ง ก่อนอาหาร 30 นาที</t>
        </is>
      </c>
    </row>
    <row r="134">
      <c r="A134" t="n">
        <v>132</v>
      </c>
      <c r="B134" t="inlineStr">
        <is>
          <t>ยาแก้อาเจียน (D)</t>
        </is>
      </c>
      <c r="C134" t="n">
        <v>2048</v>
      </c>
      <c r="D134" t="inlineStr">
        <is>
          <t>Ganaton</t>
        </is>
      </c>
      <c r="E134" t="inlineStr">
        <is>
          <t>กล่อง 10 เม็ด</t>
        </is>
      </c>
      <c r="F134" t="inlineStr">
        <is>
          <t>Itopride Hydrochloride 50 mg.</t>
        </is>
      </c>
      <c r="G134" t="inlineStr">
        <is>
          <t>BDS002048</t>
        </is>
      </c>
      <c r="H134" t="inlineStr">
        <is>
          <t>Ganaton (10 tabs)</t>
        </is>
      </c>
      <c r="I134" t="inlineStr">
        <is>
          <t>รับประทานครั้งละ 1 เม็ด  วันละ 3 ครั้ง ก่อนอาหาร</t>
        </is>
      </c>
    </row>
    <row r="135">
      <c r="A135" t="n">
        <v>133</v>
      </c>
      <c r="B135" t="inlineStr">
        <is>
          <t>ยาแก้อาเจียน (D)</t>
        </is>
      </c>
      <c r="C135" t="n">
        <v>6250</v>
      </c>
      <c r="D135" t="inlineStr">
        <is>
          <t>Gasmotin tabslets</t>
        </is>
      </c>
      <c r="E135" t="inlineStr">
        <is>
          <t>แผง 10 เม็ด</t>
        </is>
      </c>
      <c r="F135" t="inlineStr">
        <is>
          <t>Mosapride citrate 5 mg.</t>
        </is>
      </c>
      <c r="G135" t="inlineStr">
        <is>
          <t>BDS006250</t>
        </is>
      </c>
      <c r="H135" t="inlineStr">
        <is>
          <t>Gasmotin tabslets (10 tabs)</t>
        </is>
      </c>
      <c r="I135" t="inlineStr">
        <is>
          <t>รับประทานครั้งละ 1 เม็ด วันละ 3  ครั้ง</t>
        </is>
      </c>
    </row>
    <row r="136">
      <c r="A136" t="n">
        <v>134</v>
      </c>
      <c r="B136" t="inlineStr">
        <is>
          <t>ยาแก้อาเจียน (D)</t>
        </is>
      </c>
      <c r="C136" t="n">
        <v>44921</v>
      </c>
      <c r="D136" t="inlineStr">
        <is>
          <t>Mirax-M</t>
        </is>
      </c>
      <c r="E136" t="inlineStr">
        <is>
          <t>แผง 10 เม็ด</t>
        </is>
      </c>
      <c r="F136" t="inlineStr">
        <is>
          <t>Domperidone 10 mg.</t>
        </is>
      </c>
      <c r="G136" t="inlineStr">
        <is>
          <t>BDS044921</t>
        </is>
      </c>
      <c r="H136" t="inlineStr">
        <is>
          <t>Mirax-M (10 tabs)</t>
        </is>
      </c>
      <c r="I136" t="inlineStr">
        <is>
          <t>รับประทานครั้งละ 1 เม็ด วันละ 3 ครั้ง ก่อนอาหาร 1 ชั่วโมง หรือตามแพทย์สั่ง</t>
        </is>
      </c>
    </row>
    <row r="137">
      <c r="A137" t="n">
        <v>135</v>
      </c>
      <c r="B137" t="inlineStr">
        <is>
          <t>ยาแก้อาเจียน (D)</t>
        </is>
      </c>
      <c r="C137" t="n">
        <v>6639</v>
      </c>
      <c r="D137" t="inlineStr">
        <is>
          <t>Molax-M</t>
        </is>
      </c>
      <c r="E137" t="inlineStr">
        <is>
          <t>แผง 10 เม็ด</t>
        </is>
      </c>
      <c r="F137" t="inlineStr">
        <is>
          <t>Domperidone 10 mg.</t>
        </is>
      </c>
      <c r="G137" t="inlineStr">
        <is>
          <t>BDS006639</t>
        </is>
      </c>
      <c r="H137" t="inlineStr">
        <is>
          <t>Molax-M (10 tabs)</t>
        </is>
      </c>
      <c r="I137" t="inlineStr">
        <is>
          <t>รับประทานครั้งละ 1 เม็ด วันละ 3 ครั้ง ก่อนอาหาร 30 นาที</t>
        </is>
      </c>
    </row>
    <row r="138">
      <c r="A138" t="n">
        <v>136</v>
      </c>
      <c r="B138" t="inlineStr">
        <is>
          <t>ยาแก้อาเจียน (D)</t>
        </is>
      </c>
      <c r="C138" t="n">
        <v>2636</v>
      </c>
      <c r="D138" t="inlineStr">
        <is>
          <t>Motilium-M</t>
        </is>
      </c>
      <c r="E138" t="inlineStr">
        <is>
          <t>แผง 10 เม็ด</t>
        </is>
      </c>
      <c r="F138" t="inlineStr">
        <is>
          <t>Domperidone 10 mg.</t>
        </is>
      </c>
      <c r="G138" t="inlineStr">
        <is>
          <t>BDS002636</t>
        </is>
      </c>
      <c r="H138" t="inlineStr">
        <is>
          <t>Motilium-M (10 tabs)</t>
        </is>
      </c>
      <c r="I138" t="inlineStr">
        <is>
          <t>รับประทานครั้งละ 1 เม็ด วันละ 3 ครั้ง ก่อนอาหาร 1 ชั่วโมง หรือตามแพทย์สั่ง</t>
        </is>
      </c>
    </row>
    <row r="139">
      <c r="A139" t="n">
        <v>137</v>
      </c>
      <c r="B139" t="inlineStr">
        <is>
          <t>ยาแก้อาเจียน (D)</t>
        </is>
      </c>
      <c r="C139" t="n">
        <v>46502</v>
      </c>
      <c r="D139" t="inlineStr">
        <is>
          <t>Patilum</t>
        </is>
      </c>
      <c r="E139" t="inlineStr">
        <is>
          <t>แผง 10 เม็ด</t>
        </is>
      </c>
      <c r="F139" t="inlineStr">
        <is>
          <t>Domperidone 10 mg.</t>
        </is>
      </c>
      <c r="G139" t="inlineStr">
        <is>
          <t>BDS046502</t>
        </is>
      </c>
      <c r="H139" t="inlineStr">
        <is>
          <t>Patilum (10 tabs)</t>
        </is>
      </c>
      <c r="I139" t="inlineStr">
        <is>
          <t>รับประทานครั้งละ 1 เม็ด วันละ 3 ครั้ง ก่อนอาหาร 30 นาที หรือตามแพทย์สั่ง</t>
        </is>
      </c>
    </row>
    <row r="140">
      <c r="A140" t="n">
        <v>138</v>
      </c>
      <c r="B140" t="inlineStr">
        <is>
          <t>ยาขับลม</t>
        </is>
      </c>
      <c r="C140" t="n">
        <v>1079</v>
      </c>
      <c r="D140" t="inlineStr">
        <is>
          <t>Air-X 120</t>
        </is>
      </c>
      <c r="E140" t="inlineStr">
        <is>
          <t>แผง 10 เม็ด</t>
        </is>
      </c>
      <c r="F140" t="inlineStr">
        <is>
          <t>Simethicone 120 mg.</t>
        </is>
      </c>
      <c r="G140" t="inlineStr">
        <is>
          <t>BDS001079</t>
        </is>
      </c>
      <c r="H140" t="inlineStr">
        <is>
          <t>Air-X 120 (10 tabs)</t>
        </is>
      </c>
      <c r="I140" t="inlineStr">
        <is>
          <t>รับประทาน (เคี้ยว) ครั้งละ 1 เม็ด วันละ 3-4 ครั้ง</t>
        </is>
      </c>
      <c r="P140" t="inlineStr">
        <is>
          <t>Carminatives (gas relief)</t>
        </is>
      </c>
    </row>
    <row r="141">
      <c r="A141" t="n">
        <v>139</v>
      </c>
      <c r="B141" t="inlineStr">
        <is>
          <t>ยาขับลม</t>
        </is>
      </c>
      <c r="C141" t="n">
        <v>6054</v>
      </c>
      <c r="D141" t="inlineStr">
        <is>
          <t>Gogaz</t>
        </is>
      </c>
      <c r="E141" t="inlineStr">
        <is>
          <t>กล่อง 10 แคปซูล</t>
        </is>
      </c>
      <c r="F141" t="inlineStr">
        <is>
          <t>Simethicone 200 mg.</t>
        </is>
      </c>
      <c r="G141" t="inlineStr">
        <is>
          <t>BDS006054</t>
        </is>
      </c>
      <c r="H141" t="inlineStr">
        <is>
          <t>Gogaz (10 cap)</t>
        </is>
      </c>
      <c r="I141" t="inlineStr">
        <is>
          <t>รับประทานครั้งละ 1 แคปซูล วันละ 1-2 ครั้ง หลังอาหาร หรือก่อนนอน หรือตามแพทย์สั่ง</t>
        </is>
      </c>
      <c r="P141" t="inlineStr">
        <is>
          <t>Carminatives (gas relief)</t>
        </is>
      </c>
    </row>
    <row r="142">
      <c r="A142" t="n">
        <v>140</v>
      </c>
      <c r="B142" t="inlineStr">
        <is>
          <t>ยาขับลม</t>
        </is>
      </c>
      <c r="C142" t="n">
        <v>8682</v>
      </c>
      <c r="D142" t="inlineStr">
        <is>
          <t>Pudin Hara</t>
        </is>
      </c>
      <c r="E142" t="inlineStr">
        <is>
          <t>แผง 10 แคปซูล</t>
        </is>
      </c>
      <c r="F142" t="inlineStr">
        <is>
          <t>Peppermint Oil 150 mg.+Spearmint Oil 30 mg.</t>
        </is>
      </c>
      <c r="G142" t="inlineStr">
        <is>
          <t>BDS008682</t>
        </is>
      </c>
      <c r="H142" t="inlineStr">
        <is>
          <t>Pudin Hara (10 cap)</t>
        </is>
      </c>
      <c r="I142" t="inlineStr">
        <is>
          <t xml:space="preserve">รับประทานครั้งละ 2 แคปซูล หลังอาหาร พร้อมน้ำ 1 แก้ว </t>
        </is>
      </c>
      <c r="P142" t="inlineStr">
        <is>
          <t>Carminatives (gas relief)</t>
        </is>
      </c>
    </row>
    <row r="143">
      <c r="A143" t="n">
        <v>141</v>
      </c>
      <c r="B143" t="inlineStr">
        <is>
          <t>ยาขับลม</t>
        </is>
      </c>
      <c r="C143" t="n">
        <v>47683</v>
      </c>
      <c r="D143" t="inlineStr">
        <is>
          <t>Soda Mint</t>
        </is>
      </c>
      <c r="E143" t="inlineStr">
        <is>
          <t>แผง 10 เม็ด</t>
        </is>
      </c>
      <c r="F143" t="inlineStr">
        <is>
          <t>Sodium bicarbonate 300 mg+Peppermint Oil 0.003 ml</t>
        </is>
      </c>
      <c r="G143" t="inlineStr">
        <is>
          <t>BDS047683</t>
        </is>
      </c>
      <c r="H143" t="inlineStr">
        <is>
          <t>Soda Mint (10 tabs)</t>
        </is>
      </c>
      <c r="I143" t="inlineStr">
        <is>
          <t>รับประทานครั้งละ 2 เม็ด วันละ 2-4 ครั้ง ก่อนอาหาร หรือตามแพทย์สั่ง</t>
        </is>
      </c>
      <c r="P143" t="inlineStr">
        <is>
          <t>Carminatives (gas relief)</t>
        </is>
      </c>
    </row>
    <row r="144">
      <c r="A144" t="n">
        <v>142</v>
      </c>
      <c r="B144" t="inlineStr">
        <is>
          <t>ยาขับลม</t>
        </is>
      </c>
      <c r="C144" t="n">
        <v>3910</v>
      </c>
      <c r="D144" t="inlineStr">
        <is>
          <t>V-Cap</t>
        </is>
      </c>
      <c r="E144" t="inlineStr">
        <is>
          <t>แผง 10 แคปซูล</t>
        </is>
      </c>
      <c r="F144" t="inlineStr">
        <is>
          <t>Simethicone 150 mg.</t>
        </is>
      </c>
      <c r="G144" t="inlineStr">
        <is>
          <t>BDS003910</t>
        </is>
      </c>
      <c r="H144" t="inlineStr">
        <is>
          <t>V-Cap (10 cap)</t>
        </is>
      </c>
      <c r="I144" t="inlineStr">
        <is>
          <t>รับประทานครั้งละ 1 แคปซูล วันละ 3 ครั้ง</t>
        </is>
      </c>
      <c r="P144" t="inlineStr">
        <is>
          <t>Carminatives (gas relief)</t>
        </is>
      </c>
    </row>
    <row r="145">
      <c r="A145" t="n">
        <v>143</v>
      </c>
      <c r="B145" t="inlineStr">
        <is>
          <t>ยาต้านเชื้อรา (D)</t>
        </is>
      </c>
      <c r="C145" t="n">
        <v>40602</v>
      </c>
      <c r="D145" t="inlineStr">
        <is>
          <t>Biozole 150 mg</t>
        </is>
      </c>
      <c r="E145" t="inlineStr">
        <is>
          <t>กล่อง 1 แคปซูล</t>
        </is>
      </c>
      <c r="F145" t="inlineStr">
        <is>
          <t>Fluconazole 150 mg.</t>
        </is>
      </c>
      <c r="G145" t="inlineStr">
        <is>
          <t>BDS040602</t>
        </is>
      </c>
      <c r="H145" t="inlineStr">
        <is>
          <t>Biozole 150 mg (1 cap)</t>
        </is>
      </c>
      <c r="I145" t="inlineStr">
        <is>
          <t>รับประทานครั้งละ 1 แคปซูล วันละ 1 ครั้ง หลังอาหาร หรือตามแพทย์สั่ง</t>
        </is>
      </c>
      <c r="P145" t="inlineStr">
        <is>
          <t>Antifungals (oral/topical)</t>
        </is>
      </c>
    </row>
    <row r="146">
      <c r="A146" t="n">
        <v>144</v>
      </c>
      <c r="B146" t="inlineStr">
        <is>
          <t>ยาต้านเชื้อรา (D)</t>
        </is>
      </c>
      <c r="C146" t="n">
        <v>7128</v>
      </c>
      <c r="D146" t="inlineStr">
        <is>
          <t>Funa 200 mg</t>
        </is>
      </c>
      <c r="E146" t="inlineStr">
        <is>
          <t>กล่อง 1 แคปซูล</t>
        </is>
      </c>
      <c r="F146" t="inlineStr">
        <is>
          <t>Fluconazole 200 mg.</t>
        </is>
      </c>
      <c r="G146" t="inlineStr">
        <is>
          <t>BDS007128</t>
        </is>
      </c>
      <c r="H146" t="inlineStr">
        <is>
          <t>Funa 200 mg (1 cap)</t>
        </is>
      </c>
      <c r="I146" t="inlineStr">
        <is>
          <t>รับประทานครั้งละ 1 แคปซูล วันละ 1 ครั้ง หลังอาหาร</t>
        </is>
      </c>
      <c r="P146" t="inlineStr">
        <is>
          <t>Antifungals (oral/topical)</t>
        </is>
      </c>
    </row>
    <row r="147">
      <c r="A147" t="n">
        <v>145</v>
      </c>
      <c r="B147" t="inlineStr">
        <is>
          <t>ยาต้านเชื้อรา (D)</t>
        </is>
      </c>
      <c r="C147" t="n">
        <v>7572</v>
      </c>
      <c r="D147" t="inlineStr">
        <is>
          <t>J.V.Nazole</t>
        </is>
      </c>
      <c r="E147" t="inlineStr">
        <is>
          <t>แผง 10 เม็ด</t>
        </is>
      </c>
      <c r="F147" t="inlineStr">
        <is>
          <t>Ketoconazole 200 mg.</t>
        </is>
      </c>
      <c r="G147" t="inlineStr">
        <is>
          <t>BDS007572</t>
        </is>
      </c>
      <c r="H147" t="inlineStr">
        <is>
          <t>J.V.Nazole (10 tabs)</t>
        </is>
      </c>
      <c r="P147" t="inlineStr">
        <is>
          <t>Antifungals (oral/topical)</t>
        </is>
      </c>
    </row>
    <row r="148">
      <c r="A148" t="n">
        <v>146</v>
      </c>
      <c r="B148" t="inlineStr">
        <is>
          <t>ยาต้านเชื้อรา (D)</t>
        </is>
      </c>
      <c r="C148" t="n">
        <v>2826</v>
      </c>
      <c r="D148" t="inlineStr">
        <is>
          <t>Ninazol T.O.</t>
        </is>
      </c>
      <c r="E148" t="inlineStr">
        <is>
          <t>แผง 10 เม็ด</t>
        </is>
      </c>
      <c r="F148" t="inlineStr">
        <is>
          <t>Ketoconazole 200 mg.</t>
        </is>
      </c>
      <c r="G148" t="inlineStr">
        <is>
          <t>BDS002826</t>
        </is>
      </c>
      <c r="H148" t="inlineStr">
        <is>
          <t>Ninazol T.O. (10 tabs)</t>
        </is>
      </c>
      <c r="I148" t="inlineStr">
        <is>
          <t>รับประทานครั้งละ 1 เม็ด วันละ 1 ครั้ง หลังอาหาร</t>
        </is>
      </c>
      <c r="P148" t="inlineStr">
        <is>
          <t>Antifungals (oral/topical)</t>
        </is>
      </c>
    </row>
    <row r="149">
      <c r="A149" t="n">
        <v>147</v>
      </c>
      <c r="B149" t="inlineStr">
        <is>
          <t>ยาต้านเชื้อรา (D)</t>
        </is>
      </c>
      <c r="C149" t="n">
        <v>45631</v>
      </c>
      <c r="D149" t="inlineStr">
        <is>
          <t>Nyst Oral</t>
        </is>
      </c>
      <c r="E149" t="inlineStr">
        <is>
          <t>ขวด 12 ml.</t>
        </is>
      </c>
      <c r="F149" t="inlineStr">
        <is>
          <t>Nystatin 100,000 Unit/1 ml.</t>
        </is>
      </c>
      <c r="G149" t="inlineStr">
        <is>
          <t>BDS045631</t>
        </is>
      </c>
      <c r="H149" t="inlineStr">
        <is>
          <t>Nyst Oral (12 ml.)</t>
        </is>
      </c>
      <c r="I149" t="inlineStr">
        <is>
          <t>รับประทานครั้งละ 1 หลอดหยด วันละ 4 ครั้ง หลังอาหารและก่อนนอน</t>
        </is>
      </c>
      <c r="P149" t="inlineStr">
        <is>
          <t>Antifungals (oral/topical)</t>
        </is>
      </c>
    </row>
    <row r="150">
      <c r="A150" t="n">
        <v>148</v>
      </c>
      <c r="B150" t="inlineStr">
        <is>
          <t>ยาต้านเชื้อรา (D)</t>
        </is>
      </c>
      <c r="C150" t="n">
        <v>3653</v>
      </c>
      <c r="D150" t="inlineStr">
        <is>
          <t>Spornar</t>
        </is>
      </c>
      <c r="E150" t="inlineStr">
        <is>
          <t>กล่อง 10 แคปซูล</t>
        </is>
      </c>
      <c r="F150" t="inlineStr">
        <is>
          <t>Itraconazole 100 mg.</t>
        </is>
      </c>
      <c r="G150" t="inlineStr">
        <is>
          <t>BDS003653</t>
        </is>
      </c>
      <c r="H150" t="inlineStr">
        <is>
          <t>Spornar (10 cap)</t>
        </is>
      </c>
      <c r="I150" t="inlineStr">
        <is>
          <t>รับประทานครั้งละ 1 แคปซูล วันละ 1 ครั้ง หลังอาหาร หรือตามแพทย์สั่ง</t>
        </is>
      </c>
      <c r="P150" t="inlineStr">
        <is>
          <t>Antifungals (oral/topical)</t>
        </is>
      </c>
    </row>
    <row r="151">
      <c r="A151" t="n">
        <v>149</v>
      </c>
      <c r="B151" t="inlineStr">
        <is>
          <t>ยาต้านเชื้อไวรัส (D)</t>
        </is>
      </c>
      <c r="C151" t="n">
        <v>8064</v>
      </c>
      <c r="D151" t="inlineStr">
        <is>
          <t>Acyvir 400 mg</t>
        </is>
      </c>
      <c r="E151" t="inlineStr">
        <is>
          <t>แผง 5 เม็ด</t>
        </is>
      </c>
      <c r="F151" t="inlineStr">
        <is>
          <t>Acyclovir 400 mg.</t>
        </is>
      </c>
      <c r="G151" t="inlineStr">
        <is>
          <t>BDS008064</t>
        </is>
      </c>
      <c r="H151" t="inlineStr">
        <is>
          <t>Acyvir 400 mg (5 tabs)</t>
        </is>
      </c>
      <c r="I151" t="inlineStr">
        <is>
          <t>กรณีเริม รับประทานครั้งละ 1 เม็ด ทุก 6 ชั่วโมง (วันละ 3 ครั้ง)</t>
        </is>
      </c>
      <c r="P151" t="inlineStr">
        <is>
          <t>Antivirals (oral/topical)</t>
        </is>
      </c>
    </row>
    <row r="152">
      <c r="A152" t="n">
        <v>150</v>
      </c>
      <c r="B152" t="inlineStr">
        <is>
          <t>ยาต้านเชื้อไวรัส (D)</t>
        </is>
      </c>
      <c r="C152" t="n">
        <v>8065</v>
      </c>
      <c r="D152" t="inlineStr">
        <is>
          <t>Acyvir 800 mg</t>
        </is>
      </c>
      <c r="E152" t="inlineStr">
        <is>
          <t>แผง 5 เม็ด</t>
        </is>
      </c>
      <c r="F152" t="inlineStr">
        <is>
          <t>Acyclovir 800 mg.</t>
        </is>
      </c>
      <c r="G152" t="inlineStr">
        <is>
          <t>BDS008065</t>
        </is>
      </c>
      <c r="H152" t="inlineStr">
        <is>
          <t>Acyvir 800 mg (5 tabs)</t>
        </is>
      </c>
      <c r="I152" t="inlineStr">
        <is>
          <t>กรณีงูสวัด รับประทานครั้งละ 1 เม็ด ทุก 4 ชั่วโมง (วันละ 5 ครั้ง)</t>
        </is>
      </c>
      <c r="P152" t="inlineStr">
        <is>
          <t>Antivirals (oral/topical)</t>
        </is>
      </c>
    </row>
    <row r="153">
      <c r="A153" t="n">
        <v>151</v>
      </c>
      <c r="B153" t="inlineStr">
        <is>
          <t>ยาต้านเชื้อไวรัส (D)</t>
        </is>
      </c>
      <c r="C153" t="n">
        <v>7782</v>
      </c>
      <c r="D153" t="inlineStr">
        <is>
          <t>Clinovir 200 mg</t>
        </is>
      </c>
      <c r="E153" t="inlineStr">
        <is>
          <t>แผง 5 เม็ด</t>
        </is>
      </c>
      <c r="F153" t="inlineStr">
        <is>
          <t>Acyclovir 200 mg.</t>
        </is>
      </c>
      <c r="G153" t="inlineStr">
        <is>
          <t>BDS007782</t>
        </is>
      </c>
      <c r="H153" t="inlineStr">
        <is>
          <t>Clinovir 200 mg (5 tabs)</t>
        </is>
      </c>
      <c r="I153" t="inlineStr">
        <is>
          <t>รับประทานครั้งละ 1 เม็ด ทุก 4 ชั่วโมง (วันละ 5 ครั้ง)</t>
        </is>
      </c>
      <c r="P153" t="inlineStr">
        <is>
          <t>Antivirals (oral/topical)</t>
        </is>
      </c>
    </row>
    <row r="154">
      <c r="A154" t="n">
        <v>152</v>
      </c>
      <c r="B154" t="inlineStr">
        <is>
          <t>ยาต้านเชื้อไวรัส (D)</t>
        </is>
      </c>
      <c r="C154" t="n">
        <v>7783</v>
      </c>
      <c r="D154" t="inlineStr">
        <is>
          <t>Clinovir 400 mg</t>
        </is>
      </c>
      <c r="E154" t="inlineStr">
        <is>
          <t>แผง 5 เม็ด</t>
        </is>
      </c>
      <c r="F154" t="inlineStr">
        <is>
          <t>Acyclovir 400 mg.</t>
        </is>
      </c>
      <c r="G154" t="inlineStr">
        <is>
          <t>BDS007783</t>
        </is>
      </c>
      <c r="H154" t="inlineStr">
        <is>
          <t>Clinovir 400 mg (5 tabs)</t>
        </is>
      </c>
      <c r="I154" t="inlineStr">
        <is>
          <t>กรณีเริม รับประทานครั้งละ 1 เม็ด ทุก 6 ชั่วโมง (วันละ 3 ครั้ง)</t>
        </is>
      </c>
      <c r="P154" t="inlineStr">
        <is>
          <t>Antivirals (oral/topical)</t>
        </is>
      </c>
    </row>
    <row r="155">
      <c r="A155" t="n">
        <v>153</v>
      </c>
      <c r="B155" t="inlineStr">
        <is>
          <t>ยาต้านเชื้อไวรัส (D)</t>
        </is>
      </c>
      <c r="C155" t="n">
        <v>7781</v>
      </c>
      <c r="D155" t="inlineStr">
        <is>
          <t>Clinovir 800 mg</t>
        </is>
      </c>
      <c r="E155" t="inlineStr">
        <is>
          <t>แผง 5 เม็ด</t>
        </is>
      </c>
      <c r="F155" t="inlineStr">
        <is>
          <t>Acyclovir 800 mg.</t>
        </is>
      </c>
      <c r="G155" t="inlineStr">
        <is>
          <t>BDS007781</t>
        </is>
      </c>
      <c r="H155" t="inlineStr">
        <is>
          <t>Clinovir 800 mg (5 tabs)</t>
        </is>
      </c>
      <c r="I155" t="inlineStr">
        <is>
          <t>กรณีงูสวัด รับประทานครั้งละ 1 เม็ด ทุก 4 ชั่วโมง (วันละ 5 ครั้ง)</t>
        </is>
      </c>
      <c r="P155" t="inlineStr">
        <is>
          <t>Antivirals (oral/topical)</t>
        </is>
      </c>
    </row>
    <row r="156">
      <c r="A156" t="n">
        <v>154</v>
      </c>
      <c r="B156" t="inlineStr">
        <is>
          <t>ยาต้านเชื้อไวรัส (D)</t>
        </is>
      </c>
      <c r="C156" t="n">
        <v>4019</v>
      </c>
      <c r="D156" t="inlineStr">
        <is>
          <t>Vilerm 200 mg 5s</t>
        </is>
      </c>
      <c r="E156" t="inlineStr">
        <is>
          <t>แผง 5 เม็ด</t>
        </is>
      </c>
      <c r="F156" t="inlineStr">
        <is>
          <t>Acyclovir 200 mg.</t>
        </is>
      </c>
      <c r="G156" t="inlineStr">
        <is>
          <t>BDS004019</t>
        </is>
      </c>
      <c r="H156" t="inlineStr">
        <is>
          <t>Vilerm 200 mg 5s (5 tabs)</t>
        </is>
      </c>
      <c r="I156" t="inlineStr">
        <is>
          <t>รับประทานครั้งละ 1 เม็ด วันละ 5 ครั้ง นาน 5 วัน</t>
        </is>
      </c>
      <c r="P156" t="inlineStr">
        <is>
          <t>Antivirals (oral/topical)</t>
        </is>
      </c>
    </row>
    <row r="157">
      <c r="A157" t="n">
        <v>155</v>
      </c>
      <c r="B157" t="inlineStr">
        <is>
          <t>ยาต้านเชื้อไวรัส (D)</t>
        </is>
      </c>
      <c r="C157" t="n">
        <v>4086</v>
      </c>
      <c r="D157" t="inlineStr">
        <is>
          <t>Vilerm 400 mg 5s</t>
        </is>
      </c>
      <c r="E157" t="inlineStr">
        <is>
          <t>แผง 5 เม็ด</t>
        </is>
      </c>
      <c r="F157" t="inlineStr">
        <is>
          <t>Acyclovir 400 mg.</t>
        </is>
      </c>
      <c r="G157" t="inlineStr">
        <is>
          <t>BDS004086</t>
        </is>
      </c>
      <c r="H157" t="inlineStr">
        <is>
          <t>Vilerm 400 mg 5s (5 tabs)</t>
        </is>
      </c>
      <c r="I157" t="inlineStr">
        <is>
          <t>รับประทานครั้งละ 1 เม็ด วันละ 5 ครั้ง นาน 5 วัน</t>
        </is>
      </c>
      <c r="P157" t="inlineStr">
        <is>
          <t>Antivirals (oral/topical)</t>
        </is>
      </c>
    </row>
    <row r="158">
      <c r="A158" t="n">
        <v>156</v>
      </c>
      <c r="B158" t="inlineStr">
        <is>
          <t>ยาต้านเชื้อไวรัส (D)</t>
        </is>
      </c>
      <c r="C158" t="n">
        <v>4011</v>
      </c>
      <c r="D158" t="inlineStr">
        <is>
          <t>Vilerm 800 mg 5s</t>
        </is>
      </c>
      <c r="E158" t="inlineStr">
        <is>
          <t>แผง 5 เม็ด</t>
        </is>
      </c>
      <c r="F158" t="inlineStr">
        <is>
          <t>Acyclovir 800 mg.</t>
        </is>
      </c>
      <c r="G158" t="inlineStr">
        <is>
          <t>BDS004011</t>
        </is>
      </c>
      <c r="H158" t="inlineStr">
        <is>
          <t>Vilerm 800 mg 5s (5 tabs)</t>
        </is>
      </c>
      <c r="I158" t="inlineStr">
        <is>
          <t>รับประทานครั้งละ 1 เม็ด ทุก 4 ชั่วโมง (วันละ 5 ครั้ง)</t>
        </is>
      </c>
      <c r="P158" t="inlineStr">
        <is>
          <t>Antivirals (oral/topical)</t>
        </is>
      </c>
    </row>
    <row r="159">
      <c r="A159" t="n">
        <v>157</v>
      </c>
      <c r="B159" t="inlineStr">
        <is>
          <t>ยาฆ่าพยาธิ</t>
        </is>
      </c>
      <c r="C159" t="n">
        <v>1230</v>
      </c>
      <c r="D159" t="inlineStr">
        <is>
          <t>Benda 500</t>
        </is>
      </c>
      <c r="E159" t="inlineStr">
        <is>
          <t>กล่อง 1 เม็ด</t>
        </is>
      </c>
      <c r="F159" t="inlineStr">
        <is>
          <t>Mebendazole 500 mg.</t>
        </is>
      </c>
      <c r="G159" t="inlineStr">
        <is>
          <t>BDS001230</t>
        </is>
      </c>
      <c r="H159" t="inlineStr">
        <is>
          <t>Benda 500 (1 tab)</t>
        </is>
      </c>
      <c r="I159" t="inlineStr">
        <is>
          <t>รับประทาน (เคี้ยว) ครั้งละ 1 เม็ด วันละ 1 ครั้ง ก่อนนอน</t>
        </is>
      </c>
      <c r="P159" t="inlineStr">
        <is>
          <t>Antiparasitics / deworming</t>
        </is>
      </c>
    </row>
    <row r="160">
      <c r="A160" t="n">
        <v>158</v>
      </c>
      <c r="B160" t="inlineStr">
        <is>
          <t>ยาฆ่าพยาธิ</t>
        </is>
      </c>
      <c r="C160" t="n">
        <v>1227</v>
      </c>
      <c r="D160" t="inlineStr">
        <is>
          <t>Benda 500 กลิ่นเลมอน</t>
        </is>
      </c>
      <c r="E160" t="inlineStr">
        <is>
          <t>กล่อง 1 เม็ด</t>
        </is>
      </c>
      <c r="F160" t="inlineStr">
        <is>
          <t>Mebendazole 500 mg.</t>
        </is>
      </c>
      <c r="G160" t="inlineStr">
        <is>
          <t>BDS001227</t>
        </is>
      </c>
      <c r="H160" t="inlineStr">
        <is>
          <t>Benda 500 กลิ่นเลมอน (1 tab)</t>
        </is>
      </c>
      <c r="I160" t="inlineStr">
        <is>
          <t>รับประทาน (เคี้ยว) ครั้งละ 1 เม็ด วันละ 1 ครั้ง ก่อนนอน</t>
        </is>
      </c>
      <c r="P160" t="inlineStr">
        <is>
          <t>Antiparasitics / deworming</t>
        </is>
      </c>
    </row>
    <row r="161">
      <c r="A161" t="n">
        <v>159</v>
      </c>
      <c r="B161" t="inlineStr">
        <is>
          <t>ยาฆ่าพยาธิ</t>
        </is>
      </c>
      <c r="C161" t="n">
        <v>1927</v>
      </c>
      <c r="D161" t="inlineStr">
        <is>
          <t>Fugacar 500 รสผลไม้</t>
        </is>
      </c>
      <c r="E161" t="inlineStr">
        <is>
          <t>กล่อง 1 เม็ด</t>
        </is>
      </c>
      <c r="F161" t="inlineStr">
        <is>
          <t>Mebendazole 500 mg.</t>
        </is>
      </c>
      <c r="G161" t="inlineStr">
        <is>
          <t>BDS001927</t>
        </is>
      </c>
      <c r="H161" t="inlineStr">
        <is>
          <t>Fugacar 500 รสผลไม้ (1 tab)</t>
        </is>
      </c>
      <c r="I161" t="inlineStr">
        <is>
          <t>รับประทาน (เคี้ยว) ครั้งละ 1  เม็ด วันละ 1 ครั้ง ก่อนนอน</t>
        </is>
      </c>
      <c r="P161" t="inlineStr">
        <is>
          <t>Antiparasitics / deworming</t>
        </is>
      </c>
    </row>
    <row r="162">
      <c r="A162" t="n">
        <v>160</v>
      </c>
      <c r="B162" t="inlineStr">
        <is>
          <t>ยาดูดซับสารพิษ</t>
        </is>
      </c>
      <c r="C162" t="n">
        <v>42304</v>
      </c>
      <c r="D162" t="inlineStr">
        <is>
          <t>Dehecta</t>
        </is>
      </c>
      <c r="E162" t="inlineStr">
        <is>
          <t>ซอง 20 ml.</t>
        </is>
      </c>
      <c r="F162" t="inlineStr">
        <is>
          <t>Dioctahedral Smectite 3 g./20 ml.</t>
        </is>
      </c>
      <c r="G162" t="inlineStr">
        <is>
          <t>BDS042304</t>
        </is>
      </c>
      <c r="H162" t="inlineStr">
        <is>
          <t>Dehecta (20 ml.)</t>
        </is>
      </c>
      <c r="I162" t="inlineStr">
        <is>
          <t xml:space="preserve">รับประทานครั้งละ 1 ซอง วันละ 3-4 ครั้ง </t>
        </is>
      </c>
      <c r="P162" t="inlineStr">
        <is>
          <t>Adsorbents / toxin binders</t>
        </is>
      </c>
    </row>
    <row r="163">
      <c r="A163" t="n">
        <v>161</v>
      </c>
      <c r="B163" t="inlineStr">
        <is>
          <t>ยาดูดซับสารพิษ</t>
        </is>
      </c>
      <c r="C163" t="n">
        <v>7122</v>
      </c>
      <c r="D163" t="inlineStr">
        <is>
          <t>Deltacarbon</t>
        </is>
      </c>
      <c r="E163" t="inlineStr">
        <is>
          <t>กล่อง 10 เม็ด</t>
        </is>
      </c>
      <c r="F163" t="inlineStr">
        <is>
          <t>Medicinal Charcoal 250 mg.</t>
        </is>
      </c>
      <c r="G163" t="inlineStr">
        <is>
          <t>BDS007122</t>
        </is>
      </c>
      <c r="H163" t="inlineStr">
        <is>
          <t>Deltacarbon (10 tabs)</t>
        </is>
      </c>
      <c r="I163" t="inlineStr">
        <is>
          <t>รับประทานครั้งละ 3 เม็ด วันละ 3-4 ครั้ง</t>
        </is>
      </c>
      <c r="P163" t="inlineStr">
        <is>
          <t>Adsorbents / toxin binders</t>
        </is>
      </c>
    </row>
    <row r="164">
      <c r="A164" t="n">
        <v>162</v>
      </c>
      <c r="B164" t="inlineStr">
        <is>
          <t>ยาดูดซับสารพิษ</t>
        </is>
      </c>
      <c r="C164" t="n">
        <v>45666</v>
      </c>
      <c r="D164" t="inlineStr">
        <is>
          <t>Ny-C-Bon</t>
        </is>
      </c>
      <c r="E164" t="inlineStr">
        <is>
          <t>กล่อง 10 แคปซูล</t>
        </is>
      </c>
      <c r="F164" t="inlineStr">
        <is>
          <t>Activated Charcoal 260 mg.</t>
        </is>
      </c>
      <c r="G164" t="inlineStr">
        <is>
          <t>BDS045666</t>
        </is>
      </c>
      <c r="H164" t="inlineStr">
        <is>
          <t>Ny-C-Bon (10 cap)</t>
        </is>
      </c>
      <c r="I164" t="inlineStr">
        <is>
          <t xml:space="preserve">รับประทานครั้งละ 3 เม็ด วันละ 3-4 ครั้ง </t>
        </is>
      </c>
      <c r="P164" t="inlineStr">
        <is>
          <t>Adsorbents / toxin binders</t>
        </is>
      </c>
    </row>
    <row r="165">
      <c r="A165" t="n">
        <v>163</v>
      </c>
      <c r="B165" t="inlineStr">
        <is>
          <t>ยาดูดซับสารพิษ</t>
        </is>
      </c>
      <c r="C165" t="n">
        <v>3546</v>
      </c>
      <c r="D165" t="inlineStr">
        <is>
          <t>Smecta</t>
        </is>
      </c>
      <c r="E165" t="inlineStr">
        <is>
          <t>ซอง 3 g.</t>
        </is>
      </c>
      <c r="F165" t="inlineStr">
        <is>
          <t>Dioctahedral Smectite 3 g.</t>
        </is>
      </c>
      <c r="G165" t="inlineStr">
        <is>
          <t>BDS003546</t>
        </is>
      </c>
      <c r="H165" t="inlineStr">
        <is>
          <t>Smecta (3 g.)</t>
        </is>
      </c>
      <c r="I165" t="inlineStr">
        <is>
          <t>ผสมสเมคต้าในน้ำประมาณ 30-50 ml. วันละ 3 ซอง</t>
        </is>
      </c>
      <c r="P165" t="inlineStr">
        <is>
          <t>Adsorbents / toxin binders</t>
        </is>
      </c>
    </row>
    <row r="166">
      <c r="A166" t="n">
        <v>164</v>
      </c>
      <c r="B166" t="inlineStr">
        <is>
          <t>ยาฆ่าเชื้อแบคทีเรียอื่นๆ (D)</t>
        </is>
      </c>
      <c r="C166" t="n">
        <v>3912</v>
      </c>
      <c r="D166" t="inlineStr">
        <is>
          <t>Dacin-F 300</t>
        </is>
      </c>
      <c r="E166" t="inlineStr">
        <is>
          <t>แผง 10 แคปซูล</t>
        </is>
      </c>
      <c r="F166" t="inlineStr">
        <is>
          <t>Clindamycin 300 mg.</t>
        </is>
      </c>
      <c r="G166" t="inlineStr">
        <is>
          <t>BDS003912</t>
        </is>
      </c>
      <c r="H166" t="inlineStr">
        <is>
          <t>Dacin-F 300 (10 cap)</t>
        </is>
      </c>
      <c r="I166" t="inlineStr">
        <is>
          <t>รับประทานครั้งละ 1 แคปซูล วันละ 3  ครั้ง หลังอาหาร</t>
        </is>
      </c>
      <c r="P166" t="inlineStr">
        <is>
          <t>Other antibiotics</t>
        </is>
      </c>
    </row>
    <row r="167">
      <c r="A167" t="n">
        <v>165</v>
      </c>
      <c r="B167" t="inlineStr">
        <is>
          <t>ยาฆ่าเชื้อแบคทีเรียอื่นๆ (D)</t>
        </is>
      </c>
      <c r="C167" t="n">
        <v>7723</v>
      </c>
      <c r="D167" t="inlineStr">
        <is>
          <t>Doxylcap</t>
        </is>
      </c>
      <c r="E167" t="inlineStr">
        <is>
          <t>แผง 10 แคปซูล</t>
        </is>
      </c>
      <c r="F167" t="inlineStr">
        <is>
          <t>Doxycycline Hyclate (eq. to Doxycycline 100 mg.)</t>
        </is>
      </c>
      <c r="G167" t="inlineStr">
        <is>
          <t>BDS007723</t>
        </is>
      </c>
      <c r="H167" t="inlineStr">
        <is>
          <t>Doxylcap (10 cap)</t>
        </is>
      </c>
      <c r="I167" t="inlineStr">
        <is>
          <t>รับประทานครั้งละ 1 แคปซูล วันละ 2 ครั้ง หลังอาหาร</t>
        </is>
      </c>
      <c r="P167" t="inlineStr">
        <is>
          <t>Other antibiotics</t>
        </is>
      </c>
    </row>
    <row r="168">
      <c r="A168" t="n">
        <v>166</v>
      </c>
      <c r="B168" t="inlineStr">
        <is>
          <t>ยาฆ่าเชื้อแบคทีเรียอื่นๆ (D)</t>
        </is>
      </c>
      <c r="C168" t="n">
        <v>44901</v>
      </c>
      <c r="D168" t="inlineStr">
        <is>
          <t>Metrolex 400 mg</t>
        </is>
      </c>
      <c r="E168" t="inlineStr">
        <is>
          <t>แผง 10 เม็ด</t>
        </is>
      </c>
      <c r="F168" t="inlineStr">
        <is>
          <t>Metronidazole 400 mg.</t>
        </is>
      </c>
      <c r="G168" t="inlineStr">
        <is>
          <t>BDS044901</t>
        </is>
      </c>
      <c r="H168" t="inlineStr">
        <is>
          <t>Metrolex 400 mg (10 tabs)</t>
        </is>
      </c>
      <c r="I168" t="inlineStr">
        <is>
          <t xml:space="preserve">รับประทานครั้งละ 1-2 เม็ด วันละ 3 ครั้ง หลังอาหารทันที หรือตามแพทย์สั่ง </t>
        </is>
      </c>
      <c r="P168" t="inlineStr">
        <is>
          <t>Other antibiotics</t>
        </is>
      </c>
    </row>
    <row r="169">
      <c r="A169" t="n">
        <v>167</v>
      </c>
      <c r="B169" t="inlineStr">
        <is>
          <t>ยาฆ่าเชื้อแบคทีเรียอื่นๆ (D)</t>
        </is>
      </c>
      <c r="C169" t="n">
        <v>7193</v>
      </c>
      <c r="D169" t="inlineStr">
        <is>
          <t>Metronidazole 400</t>
        </is>
      </c>
      <c r="E169" t="inlineStr">
        <is>
          <t>แผง 10 เม็ด</t>
        </is>
      </c>
      <c r="F169" t="inlineStr">
        <is>
          <t>Metronidazole 400 mg.</t>
        </is>
      </c>
      <c r="G169" t="inlineStr">
        <is>
          <t>BDS007193</t>
        </is>
      </c>
      <c r="H169" t="inlineStr">
        <is>
          <t>Metronidazole 400 (10 tabs)</t>
        </is>
      </c>
      <c r="I169" t="inlineStr">
        <is>
          <t xml:space="preserve">รับประทานครั้งละ 1-2 เม็ด วันละ 3 ครั้ง หลังอาหารทันที หรือตามแพทย์สั่ง </t>
        </is>
      </c>
      <c r="P169" t="inlineStr">
        <is>
          <t>Other antibiotics</t>
        </is>
      </c>
    </row>
    <row r="170">
      <c r="A170" t="n">
        <v>168</v>
      </c>
      <c r="B170" t="inlineStr">
        <is>
          <t>ยาแก้ไอแห้ง, คันคอ (D)</t>
        </is>
      </c>
      <c r="C170" t="n">
        <v>7911</v>
      </c>
      <c r="D170" t="inlineStr">
        <is>
          <t>Dibendryl</t>
        </is>
      </c>
      <c r="E170" t="inlineStr">
        <is>
          <t>แผง 10 เม็ด</t>
        </is>
      </c>
      <c r="F170" t="inlineStr">
        <is>
          <t>Diphenhydramine 25 mg.</t>
        </is>
      </c>
      <c r="G170" t="inlineStr">
        <is>
          <t>BDS007911</t>
        </is>
      </c>
      <c r="H170" t="inlineStr">
        <is>
          <t>Dibendryl (10 tabs)</t>
        </is>
      </c>
      <c r="I170" t="inlineStr">
        <is>
          <t>รับประทานครั้งละ 1-2 เม็ด วันละ 3-4 ครั้ง</t>
        </is>
      </c>
      <c r="P170" t="inlineStr">
        <is>
    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/t>
        </is>
      </c>
      <c r="C171" t="n">
        <v>2211</v>
      </c>
      <c r="D171" t="inlineStr">
        <is>
          <t>Icolid (ควบคุมจำนวน)</t>
        </is>
      </c>
      <c r="E171" t="inlineStr">
        <is>
          <t>แผง 10 เม็ด</t>
        </is>
      </c>
      <c r="F171" t="inlineStr">
        <is>
          <t>Dextromethorphan HBr 15 mg.</t>
        </is>
      </c>
      <c r="G171" t="inlineStr">
        <is>
          <t>BDS002211</t>
        </is>
      </c>
      <c r="H171" t="inlineStr">
        <is>
          <t>Icolid (ควบคุมจำนวน) (10 tabs)</t>
        </is>
      </c>
      <c r="I171" t="inlineStr">
        <is>
          <t>รับประทานครั้งละ 1-2 เม็ด วันละ 3 ครั้ง</t>
        </is>
      </c>
      <c r="K171" t="n">
        <v>50</v>
      </c>
      <c r="L171" t="n">
        <v>5</v>
      </c>
      <c r="M171" t="inlineStr">
        <is>
          <t>USER</t>
        </is>
      </c>
      <c r="N171" t="inlineStr">
        <is>
          <t>2026-02-07</t>
        </is>
      </c>
      <c r="O171" t="inlineStr">
        <is>
          <t>User provided price (online). Unit price per tablet (10 tabs pack).</t>
        </is>
      </c>
      <c r="P171" t="inlineStr">
        <is>
          <t>Cough medicines / mucolytics / expectorants</t>
        </is>
      </c>
    </row>
    <row r="172">
      <c r="A172" t="n">
        <v>170</v>
      </c>
      <c r="B172" t="inlineStr">
        <is>
          <t>ยาฆ่าเชื้อแบคทีเรีย ชนิดน้ำ (D)</t>
        </is>
      </c>
      <c r="C172" t="n">
        <v>1046</v>
      </c>
      <c r="D172" t="inlineStr">
        <is>
          <t>AMK 228</t>
        </is>
      </c>
      <c r="E172" t="inlineStr">
        <is>
          <t>ขวด 70 ml.</t>
        </is>
      </c>
      <c r="F172" t="inlineStr">
        <is>
          <t>Amoxicillin 200 mg.+Clavulanic Acid 28 mg./5 ml.</t>
        </is>
      </c>
      <c r="G172" t="inlineStr">
        <is>
          <t>BDS001046</t>
        </is>
      </c>
      <c r="H172" t="inlineStr">
        <is>
          <t>AMK 228 (70 ml.)</t>
        </is>
      </c>
      <c r="I172" t="inlineStr">
        <is>
          <t>รับประทานครั้งละ 1 ช้อนชา (5 ml.) วันละ 2 ครั้ง</t>
        </is>
      </c>
      <c r="P172" t="inlineStr">
        <is>
          <t>Other antibiotics</t>
        </is>
      </c>
    </row>
    <row r="173">
      <c r="A173" t="n">
        <v>171</v>
      </c>
      <c r="B173" t="inlineStr">
        <is>
          <t>ยาฆ่าเชื้อแบคทีเรีย ชนิดน้ำ (D)</t>
        </is>
      </c>
      <c r="C173" t="n">
        <v>1047</v>
      </c>
      <c r="D173" t="inlineStr">
        <is>
          <t>AMK 457</t>
        </is>
      </c>
      <c r="E173" t="inlineStr">
        <is>
          <t>ขวด 70 ml.</t>
        </is>
      </c>
      <c r="F173" t="inlineStr">
        <is>
          <t>Amoxicillin 400 mg.+Clavulanic Acid 57 mg./5 ml.</t>
        </is>
      </c>
      <c r="G173" t="inlineStr">
        <is>
          <t>BDS001047</t>
        </is>
      </c>
      <c r="H173" t="inlineStr">
        <is>
          <t>AMK 457 (70 ml.)</t>
        </is>
      </c>
      <c r="I173" t="inlineStr">
        <is>
          <t>เด็กเล็กรับประทานครั้งละ ครึ่ง ช้อนชา (2.5 ml.) วันละ 2 ครั้ง</t>
        </is>
      </c>
      <c r="P173" t="inlineStr">
        <is>
          <t>Other antibiotics</t>
        </is>
      </c>
    </row>
    <row r="174">
      <c r="A174" t="n">
        <v>172</v>
      </c>
      <c r="B174" t="inlineStr">
        <is>
          <t>ยาฆ่าเชื้อแบคทีเรีย ชนิดน้ำ (D)</t>
        </is>
      </c>
      <c r="C174" t="n">
        <v>1056</v>
      </c>
      <c r="D174" t="inlineStr">
        <is>
          <t>Augmentin 457 mg</t>
        </is>
      </c>
      <c r="E174" t="inlineStr">
        <is>
          <t>ขวด 70 ml.</t>
        </is>
      </c>
      <c r="F174" t="inlineStr">
        <is>
          <t>Amoxicillin 400 mg.+Clavulanic Acid 57 mg./5 ml.</t>
        </is>
      </c>
      <c r="G174" t="inlineStr">
        <is>
          <t>BDS001056</t>
        </is>
      </c>
      <c r="H174" t="inlineStr">
        <is>
          <t>Augmentin 457 mg (70 ml.)</t>
        </is>
      </c>
      <c r="I174" t="inlineStr">
        <is>
          <t>เด็กเล็กรับประทานครั้งละ 1/2 ช้อนชา (2.5 ml.) วันละ 2 ครั้ง</t>
        </is>
      </c>
      <c r="P174" t="inlineStr">
        <is>
          <t>Other antibiotics</t>
        </is>
      </c>
    </row>
    <row r="175">
      <c r="A175" t="n">
        <v>173</v>
      </c>
      <c r="B175" t="inlineStr">
        <is>
          <t>ยาฆ่าเชื้อแบคทีเรีย ชนิดน้ำ (D)</t>
        </is>
      </c>
      <c r="C175" t="n">
        <v>1054</v>
      </c>
      <c r="D175" t="inlineStr">
        <is>
          <t>Augmentin ES</t>
        </is>
      </c>
      <c r="E175" t="inlineStr">
        <is>
          <t>ขวด 50 ml.</t>
        </is>
      </c>
      <c r="F175" t="inlineStr">
        <is>
          <t>Amoxicillin 600 mg.+Clavulanic Acid 42.9 mg./5 ml.</t>
        </is>
      </c>
      <c r="G175" t="inlineStr">
        <is>
          <t>BDS001054</t>
        </is>
      </c>
      <c r="H175" t="inlineStr">
        <is>
          <t>Augmentin ES (50 ml.)</t>
        </is>
      </c>
      <c r="I175" t="inlineStr">
        <is>
          <t xml:space="preserve">รับประทานตามแพทย์สั่ง </t>
        </is>
      </c>
      <c r="P175" t="inlineStr">
        <is>
          <t>Other antibiotics</t>
        </is>
      </c>
    </row>
    <row r="176">
      <c r="A176" t="n">
        <v>174</v>
      </c>
      <c r="B176" t="inlineStr">
        <is>
          <t>ยาฆ่าเชื้อแบคทีเรีย ชนิดน้ำ (D)</t>
        </is>
      </c>
      <c r="C176" t="n">
        <v>1084</v>
      </c>
      <c r="D176" t="inlineStr">
        <is>
          <t>Azith Oral Suspension</t>
        </is>
      </c>
      <c r="E176" t="inlineStr">
        <is>
          <t>ขวด 15 ml.</t>
        </is>
      </c>
      <c r="F176" t="inlineStr">
        <is>
          <t>Azithromycin 200 mg./5 ml.</t>
        </is>
      </c>
      <c r="G176" t="inlineStr">
        <is>
          <t>BDS001084</t>
        </is>
      </c>
      <c r="H176" t="inlineStr">
        <is>
          <t>Azith Oral Suspension (15 ml.)</t>
        </is>
      </c>
      <c r="I176" t="inlineStr">
        <is>
          <t xml:space="preserve">รับประทานครั้งละ 1 ช้อนชา วันละ 1 ครั้ง ก่อนอาหาร </t>
        </is>
      </c>
      <c r="P176" t="inlineStr">
        <is>
          <t>Other antibiotics</t>
        </is>
      </c>
    </row>
    <row r="177">
      <c r="A177" t="n">
        <v>175</v>
      </c>
      <c r="B177" t="inlineStr">
        <is>
          <t>ยาฆ่าเชื้อแบคทีเรีย ชนิดน้ำ (D)</t>
        </is>
      </c>
      <c r="C177" t="n">
        <v>1441</v>
      </c>
      <c r="D177" t="inlineStr">
        <is>
          <t>Cefspan Suspension</t>
        </is>
      </c>
      <c r="E177" t="inlineStr">
        <is>
          <t>ขวด 30 ml.</t>
        </is>
      </c>
      <c r="F177" t="inlineStr">
        <is>
          <t>Cefixime 100 mg./5 ml.</t>
        </is>
      </c>
      <c r="G177" t="inlineStr">
        <is>
          <t>BDS001441</t>
        </is>
      </c>
      <c r="H177" t="inlineStr">
        <is>
          <t>Cefspan Suspension (30 ml.)</t>
        </is>
      </c>
      <c r="I177" t="inlineStr">
        <is>
          <t>เด็กโตรับประทานครั้งละ 1 ช้อนชาวันละ 2 ครั้ง หรือตามแพทย์สั่ง</t>
        </is>
      </c>
      <c r="P177" t="inlineStr">
        <is>
          <t>Other antibiotics</t>
        </is>
      </c>
    </row>
    <row r="178">
      <c r="A178" t="n">
        <v>176</v>
      </c>
      <c r="B178" t="inlineStr">
        <is>
          <t>ยาฆ่าเชื้อแบคทีเรีย ชนิดน้ำ (D)</t>
        </is>
      </c>
      <c r="C178" t="n">
        <v>2206</v>
      </c>
      <c r="D178" t="inlineStr">
        <is>
          <t>Ibilex Syrup</t>
        </is>
      </c>
      <c r="E178" t="inlineStr">
        <is>
          <t>ขวด 60 ml.</t>
        </is>
      </c>
      <c r="F178" t="inlineStr">
        <is>
          <t>Cephalexin 125 mg./5 ml.</t>
        </is>
      </c>
      <c r="G178" t="inlineStr">
        <is>
          <t>BDS002206</t>
        </is>
      </c>
      <c r="H178" t="inlineStr">
        <is>
          <t>Ibilex Syrup (60 ml.)</t>
        </is>
      </c>
      <c r="I178" t="inlineStr">
        <is>
          <t>รับประทานครั้งละ 1 ช้อนชา วันละ 3 ครั้ง</t>
        </is>
      </c>
      <c r="P178" t="inlineStr">
        <is>
          <t>Other antibiotics</t>
        </is>
      </c>
    </row>
    <row r="179">
      <c r="A179" t="n">
        <v>177</v>
      </c>
      <c r="B179" t="inlineStr">
        <is>
          <t>ยาฆ่าเชื้อแบคทีเรีย ชนิดน้ำ (D)</t>
        </is>
      </c>
      <c r="C179" t="n">
        <v>2693</v>
      </c>
      <c r="D179" t="inlineStr">
        <is>
          <t>Meiact Fine Granules</t>
        </is>
      </c>
      <c r="E179" t="inlineStr">
        <is>
          <t>ซอง 0.5 g.</t>
        </is>
      </c>
      <c r="F179" t="inlineStr">
        <is>
          <t>Cefditoren 50 mg.</t>
        </is>
      </c>
      <c r="G179" t="inlineStr">
        <is>
          <t>BDS002693</t>
        </is>
      </c>
      <c r="H179" t="inlineStr">
        <is>
          <t>Meiact Fine Granules (0.5 g.)</t>
        </is>
      </c>
      <c r="I179" t="inlineStr">
        <is>
          <t xml:space="preserve">รับประทานตามแพทย์สั่ง </t>
        </is>
      </c>
      <c r="P179" t="inlineStr">
        <is>
          <t>Other antibiotics</t>
        </is>
      </c>
    </row>
    <row r="180">
      <c r="A180" t="n">
        <v>178</v>
      </c>
      <c r="B180" t="inlineStr">
        <is>
          <t>ยาฆ่าเชื้อแบคทีเรีย ชนิดน้ำ (D)</t>
        </is>
      </c>
      <c r="C180" t="n">
        <v>7586</v>
      </c>
      <c r="D180" t="inlineStr">
        <is>
          <t>Newtamox For Oral Suspension</t>
        </is>
      </c>
      <c r="E180" t="inlineStr">
        <is>
          <t>ขวด 60 ml.</t>
        </is>
      </c>
      <c r="F180" t="inlineStr">
        <is>
          <t>Amoxicillin 125 mg./5 ml.</t>
        </is>
      </c>
      <c r="G180" t="inlineStr">
        <is>
          <t>BDS007586</t>
        </is>
      </c>
      <c r="H180" t="inlineStr">
        <is>
          <t>Newtamox For Oral Suspension (60 ml.)</t>
        </is>
      </c>
      <c r="I180" t="inlineStr">
        <is>
          <t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 ครั้ง</t>
        </is>
      </c>
      <c r="P180" t="inlineStr">
        <is>
          <t>Other antibiotics</t>
        </is>
      </c>
    </row>
    <row r="181">
      <c r="A181" t="n">
        <v>179</v>
      </c>
      <c r="B181" t="inlineStr">
        <is>
          <t>ยาฆ่าเชื้อแบคทีเรีย ชนิดน้ำ (D)</t>
        </is>
      </c>
      <c r="C181" t="n">
        <v>7589</v>
      </c>
      <c r="D181" t="inlineStr">
        <is>
          <t>Newthrocin</t>
        </is>
      </c>
      <c r="E181" t="inlineStr">
        <is>
          <t>ขวด 60 ml.</t>
        </is>
      </c>
      <c r="F181" t="inlineStr">
        <is>
          <t>Erythromycin 125 mg./5 ml.</t>
        </is>
      </c>
      <c r="G181" t="inlineStr">
        <is>
          <t>BDS007589</t>
        </is>
      </c>
      <c r="H181" t="inlineStr">
        <is>
          <t>Newthrocin (60 ml.)</t>
        </is>
      </c>
      <c r="I181" t="inlineStr">
        <is>
          <t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3-4 ครั้ง</t>
        </is>
      </c>
      <c r="P181" t="inlineStr">
        <is>
          <t>Other antibiotics</t>
        </is>
      </c>
    </row>
    <row r="182">
      <c r="A182" t="n">
        <v>180</v>
      </c>
      <c r="B182" t="inlineStr">
        <is>
          <t>ยาฆ่าเชื้อแบคทีเรีย ชนิดน้ำ (D)</t>
        </is>
      </c>
      <c r="C182" t="n">
        <v>46209</v>
      </c>
      <c r="D182" t="inlineStr">
        <is>
          <t>Onzet Oral Suspension</t>
        </is>
      </c>
      <c r="E182" t="inlineStr">
        <is>
          <t>ขวด 15 ml.</t>
        </is>
      </c>
      <c r="F182" t="inlineStr">
        <is>
          <t>Azithromycin 200 mg./5 ml.</t>
        </is>
      </c>
      <c r="G182" t="inlineStr">
        <is>
          <t>BDS046209</t>
        </is>
      </c>
      <c r="H182" t="inlineStr">
        <is>
          <t>Onzet Oral Suspension (15 ml.)</t>
        </is>
      </c>
      <c r="I182" t="inlineStr">
        <is>
          <t xml:space="preserve">รับประทานครั้งละ 1 ช้อนชา วันละ 1 ครั้ง ก่อนอาหาร </t>
        </is>
      </c>
      <c r="P182" t="inlineStr">
        <is>
          <t>Other antibiotics</t>
        </is>
      </c>
    </row>
    <row r="183">
      <c r="A183" t="n">
        <v>181</v>
      </c>
      <c r="B183" t="inlineStr">
        <is>
          <t>ยาฆ่าเชื้อแบคทีเรีย ชนิดน้ำ (D)</t>
        </is>
      </c>
      <c r="C183" t="n">
        <v>3549</v>
      </c>
      <c r="D183" t="inlineStr">
        <is>
          <t>Sia-Mox Syrup 125 mg</t>
        </is>
      </c>
      <c r="E183" t="inlineStr">
        <is>
          <t>ขวด 60 ml.</t>
        </is>
      </c>
      <c r="F183" t="inlineStr">
        <is>
          <t>Amoxicillin 125 mg./5 ml.</t>
        </is>
      </c>
      <c r="G183" t="inlineStr">
        <is>
          <t>BDS003549</t>
        </is>
      </c>
      <c r="H183" t="inlineStr">
        <is>
          <t>Sia-Mox Syrup 125 mg (60 ml.)</t>
        </is>
      </c>
      <c r="I183" t="inlineStr">
        <is>
          <t>รับประทานครั้งละ 1 ช้อนชา วันละ 3 ครั้ง</t>
        </is>
      </c>
      <c r="P183" t="inlineStr">
        <is>
          <t>Other antibiotics</t>
        </is>
      </c>
    </row>
    <row r="184">
      <c r="A184" t="n">
        <v>182</v>
      </c>
      <c r="B184" t="inlineStr">
        <is>
          <t>ยาฆ่าเชื้อแบคทีเรีย ชนิดน้ำ (D)</t>
        </is>
      </c>
      <c r="C184" t="n">
        <v>3550</v>
      </c>
      <c r="D184" t="inlineStr">
        <is>
          <t>Sia-Mox Syrup 250 mg</t>
        </is>
      </c>
      <c r="E184" t="inlineStr">
        <is>
          <t>ขวด 60 ml.</t>
        </is>
      </c>
      <c r="F184" t="inlineStr">
        <is>
          <t>Amoxicillin 250 mg./5 ml.</t>
        </is>
      </c>
      <c r="G184" t="inlineStr">
        <is>
          <t>BDS003550</t>
        </is>
      </c>
      <c r="H184" t="inlineStr">
        <is>
          <t>Sia-Mox Syrup 250 mg (60 ml.)</t>
        </is>
      </c>
      <c r="I184" t="inlineStr">
        <is>
          <t>เด็กโตรับประทานครั้งละ 1 ช้อนชา วันละ 3 ครั้ง</t>
        </is>
      </c>
      <c r="P184" t="inlineStr">
        <is>
          <t>Other antibiotics</t>
        </is>
      </c>
    </row>
    <row r="185">
      <c r="A185" t="n">
        <v>183</v>
      </c>
      <c r="B185" t="inlineStr">
        <is>
          <t>ยาฆ่าเชื้อแบคทีเรีย ชนิดน้ำ (D)</t>
        </is>
      </c>
      <c r="C185" t="n">
        <v>7682</v>
      </c>
      <c r="D185" t="inlineStr">
        <is>
          <t>Xalin Dry Syrup 125 mg</t>
        </is>
      </c>
      <c r="E185" t="inlineStr">
        <is>
          <t>ขวด 60 ml.</t>
        </is>
      </c>
      <c r="F185" t="inlineStr">
        <is>
          <t>Cloxacillin 125 mg./5 ml.</t>
        </is>
      </c>
      <c r="G185" t="inlineStr">
        <is>
          <t>BDS007682</t>
        </is>
      </c>
      <c r="H185" t="inlineStr">
        <is>
          <t>Xalin Dry Syrup 125 mg (60 ml.)</t>
        </is>
      </c>
      <c r="I185" t="inlineStr">
        <is>
          <t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1-2 ช้อนชา วันละ 3-4 ครั้ง ก่อนอาหาร</t>
        </is>
      </c>
      <c r="P185" t="inlineStr">
        <is>
          <t>Other antibiotics</t>
        </is>
      </c>
    </row>
    <row r="186">
      <c r="A186" t="n">
        <v>184</v>
      </c>
      <c r="B186" t="inlineStr">
        <is>
          <t>ยาฆ่าเชื้อแบคทีเรีย ชนิดน้ำ (D)</t>
        </is>
      </c>
      <c r="C186" t="n">
        <v>4225</v>
      </c>
      <c r="D186" t="inlineStr">
        <is>
          <t>Zithromax Dry 200 mg</t>
        </is>
      </c>
      <c r="E186" t="inlineStr">
        <is>
          <t>ขวด 15 ml.</t>
        </is>
      </c>
      <c r="F186" t="inlineStr">
        <is>
          <t>Azithromycin 200 mg./5 ml.</t>
        </is>
      </c>
      <c r="G186" t="inlineStr">
        <is>
          <t>BDS004225</t>
        </is>
      </c>
      <c r="H186" t="inlineStr">
        <is>
          <t>Zithromax Dry 200 mg (15 ml.)</t>
        </is>
      </c>
      <c r="I186" t="inlineStr">
        <is>
          <t xml:space="preserve">รับประทานครั้งละ 1 ช้อนชา วันละ 1 ครั้ง ก่อนอาหาร </t>
        </is>
      </c>
      <c r="P186" t="inlineStr">
        <is>
          <t>Other antibiotics</t>
        </is>
      </c>
    </row>
    <row r="187">
      <c r="A187" t="n">
        <v>185</v>
      </c>
      <c r="B187" t="inlineStr">
        <is>
          <t>ยาแก้ปวด, ลดไข้ ชนิดน้ำ</t>
        </is>
      </c>
      <c r="C187" t="n">
        <v>8609</v>
      </c>
      <c r="D187" t="inlineStr">
        <is>
          <t>Ampol Suspension</t>
        </is>
      </c>
      <c r="E187" t="inlineStr">
        <is>
          <t>ขวด 60 ml.</t>
        </is>
      </c>
      <c r="F187" t="inlineStr">
        <is>
          <t>Paracetamol 120 mg./5 ml.</t>
        </is>
      </c>
      <c r="G187" t="inlineStr">
        <is>
          <t>BDS008609</t>
        </is>
      </c>
      <c r="H187" t="inlineStr">
        <is>
          <t>Ampol Suspension (60 ml.)</t>
        </is>
      </c>
      <c r="I187" t="inlineStr">
        <is>
          <t>เด็กเล็กรับประทานครั้งละ 1-2 ช้อนชา ทุก 4-6 ชั่วโมง</t>
        </is>
      </c>
      <c r="P187" t="inlineStr">
        <is>
          <t>General analgesics/antipyretics</t>
        </is>
      </c>
    </row>
    <row r="188">
      <c r="A188" t="n">
        <v>186</v>
      </c>
      <c r="B188" t="inlineStr">
        <is>
          <t>ยาแก้ปวด, ลดไข้ ชนิดน้ำ</t>
        </is>
      </c>
      <c r="C188" t="n">
        <v>2407</v>
      </c>
      <c r="D188" t="inlineStr">
        <is>
          <t>Kit-F Drops</t>
        </is>
      </c>
      <c r="E188" t="inlineStr">
        <is>
          <t>ขวด 15 ml.</t>
        </is>
      </c>
      <c r="F188" t="inlineStr">
        <is>
          <t>Paracetamol 60 mg./0.6 ml.</t>
        </is>
      </c>
      <c r="G188" t="inlineStr">
        <is>
          <t>BDS002407</t>
        </is>
      </c>
      <c r="H188" t="inlineStr">
        <is>
          <t>Kit-F Drops (15 ml.)</t>
        </is>
      </c>
      <c r="I188" t="inlineStr">
        <is>
          <t>รับประทานครั้งละ 1-2 หลอดหยด วันละ 3-4 ครั้ง</t>
        </is>
      </c>
      <c r="P188" t="inlineStr">
        <is>
          <t>General analgesics/antipyretics</t>
        </is>
      </c>
    </row>
    <row r="189">
      <c r="A189" t="n">
        <v>187</v>
      </c>
      <c r="B189" t="inlineStr">
        <is>
          <t>ยาแก้ปวด, ลดไข้ ชนิดน้ำ</t>
        </is>
      </c>
      <c r="C189" t="n">
        <v>7583</v>
      </c>
      <c r="D189" t="inlineStr">
        <is>
          <t>Newtamol Syrup</t>
        </is>
      </c>
      <c r="E189" t="inlineStr">
        <is>
          <t>ขวด 60 ml.</t>
        </is>
      </c>
      <c r="F189" t="inlineStr">
        <is>
          <t>Paracetamol 150 mg./5 ml.</t>
        </is>
      </c>
      <c r="G189" t="inlineStr">
        <is>
          <t>BDS007583</t>
        </is>
      </c>
      <c r="H189" t="inlineStr">
        <is>
          <t>Newtamol Syrup (60 ml.)</t>
        </is>
      </c>
      <c r="I189" t="inlineStr">
        <is>
          <t>เด็กโตรับประทานครั้งละ 2 ช้อนชา วันละ 3 ครั้ง หรือทุก 4 ชั่วโมง</t>
        </is>
      </c>
      <c r="P189" t="inlineStr">
        <is>
          <t>General analgesics/antipyretics</t>
        </is>
      </c>
    </row>
    <row r="190">
      <c r="A190" t="n">
        <v>188</v>
      </c>
      <c r="B190" t="inlineStr">
        <is>
          <t>ยาแก้ปวด, ลดไข้ ชนิดน้ำ</t>
        </is>
      </c>
      <c r="C190" t="n">
        <v>2861</v>
      </c>
      <c r="D190" t="inlineStr">
        <is>
          <t>Panadol Orange Suspension</t>
        </is>
      </c>
      <c r="E190" t="inlineStr">
        <is>
          <t>ขวด 60 ml.</t>
        </is>
      </c>
      <c r="F190" t="inlineStr">
        <is>
          <t>Paracetamol 250 mg./5 ml.</t>
        </is>
      </c>
      <c r="G190" t="inlineStr">
        <is>
          <t>BDS002861</t>
        </is>
      </c>
      <c r="H190" t="inlineStr">
        <is>
          <t>Panadol Orange Suspension (60 ml.)</t>
        </is>
      </c>
      <c r="I190" t="inlineStr">
        <is>
          <t>รับประทานครั้งละ 1-2 ช้อนชาทุก 4-6 ชั่วโมง เมื่อมีอาการ</t>
        </is>
      </c>
      <c r="P190" t="inlineStr">
        <is>
          <t>General analgesics/antipyretics</t>
        </is>
      </c>
    </row>
    <row r="191">
      <c r="A191" t="n">
        <v>189</v>
      </c>
      <c r="B191" t="inlineStr">
        <is>
          <t>ยาแก้ปวด, ลดไข้ ชนิดน้ำ</t>
        </is>
      </c>
      <c r="C191" t="n">
        <v>2847</v>
      </c>
      <c r="D191" t="inlineStr">
        <is>
          <t>Panadol Strawberry Suspension</t>
        </is>
      </c>
      <c r="E191" t="inlineStr">
        <is>
          <t>ขวด 60 ml.</t>
        </is>
      </c>
      <c r="F191" t="inlineStr">
        <is>
          <t>Paracetamol 120 mg./5 ml.</t>
        </is>
      </c>
      <c r="G191" t="inlineStr">
        <is>
          <t>BDS002847</t>
        </is>
      </c>
      <c r="H191" t="inlineStr">
        <is>
          <t>Panadol Strawberry Suspension (60 ml.)</t>
        </is>
      </c>
      <c r="I191" t="inlineStr">
        <is>
          <t>รับประทานครั้งละ 1/2-2 ช้อนชาทุก 4-6 ชั่วโมง เมื่อมีอาการ</t>
        </is>
      </c>
      <c r="P191" t="inlineStr">
        <is>
          <t>General analgesics/antipyretics</t>
        </is>
      </c>
    </row>
    <row r="192">
      <c r="A192" t="n">
        <v>190</v>
      </c>
      <c r="B192" t="inlineStr">
        <is>
          <t>ยาแก้ปวด, ลดไข้ ชนิดน้ำ</t>
        </is>
      </c>
      <c r="C192" t="n">
        <v>8137</v>
      </c>
      <c r="D192" t="inlineStr">
        <is>
          <t>Poro Suspension</t>
        </is>
      </c>
      <c r="E192" t="inlineStr">
        <is>
          <t>ขวด 60 ml.</t>
        </is>
      </c>
      <c r="F192" t="inlineStr">
        <is>
          <t>Paracetamol 250 mg./5 ml.</t>
        </is>
      </c>
      <c r="G192" t="inlineStr">
        <is>
          <t>BDS008137</t>
        </is>
      </c>
      <c r="H192" t="inlineStr">
        <is>
          <t>Poro Suspension (60 ml.)</t>
        </is>
      </c>
      <c r="I192" t="inlineStr">
        <is>
          <t>เด็กโตรับประทานครั้งละ 1-2 ช้อนชา ทุก 4-6 ชั่วโมง</t>
        </is>
      </c>
      <c r="P192" t="inlineStr">
        <is>
          <t>General analgesics/antipyretics</t>
        </is>
      </c>
    </row>
    <row r="193">
      <c r="A193" t="n">
        <v>191</v>
      </c>
      <c r="B193" t="inlineStr">
        <is>
          <t>ยาแก้ปวด, ลดไข้ ชนิดน้ำ</t>
        </is>
      </c>
      <c r="C193" t="n">
        <v>3597</v>
      </c>
      <c r="D193" t="inlineStr">
        <is>
          <t>Sara Infant Drops (รสองุ่น)</t>
        </is>
      </c>
      <c r="E193" t="inlineStr">
        <is>
          <t>ขวด 15 ml.</t>
        </is>
      </c>
      <c r="F193" t="inlineStr">
        <is>
          <t>Paracetamol 60 mg./0.6 ml.</t>
        </is>
      </c>
      <c r="G193" t="inlineStr">
        <is>
          <t>BDS003597</t>
        </is>
      </c>
      <c r="H193" t="inlineStr">
        <is>
          <t>Sara Infant Drops (รสองุ่น) (15 ml.)</t>
        </is>
      </c>
      <c r="I193" t="inlineStr">
        <is>
          <t>เด็กเล็กรับประทานครั้งละ 2-3 หลอดหยด วันละ 3-4 ครั้ง</t>
        </is>
      </c>
      <c r="P193" t="inlineStr">
        <is>
          <t>General analgesics/antipyretics</t>
        </is>
      </c>
    </row>
    <row r="194">
      <c r="A194" t="n">
        <v>192</v>
      </c>
      <c r="B194" t="inlineStr">
        <is>
          <t>ยาแก้ปวด, ลดไข้ ชนิดน้ำ</t>
        </is>
      </c>
      <c r="C194" t="n">
        <v>3596</v>
      </c>
      <c r="D194" t="inlineStr">
        <is>
          <t>Sara น้ำรสสตรอเบอร์รี่</t>
        </is>
      </c>
      <c r="E194" t="inlineStr">
        <is>
          <t>ขวด 60 ml.</t>
        </is>
      </c>
      <c r="F194" t="inlineStr">
        <is>
          <t>Paracetamol 120 mg./5 ml.</t>
        </is>
      </c>
      <c r="G194" t="inlineStr">
        <is>
          <t>BDS003596</t>
        </is>
      </c>
      <c r="H194" t="inlineStr">
        <is>
          <t>Sara น้ำรสสตรอเบอร์รี่ (60 ml.)</t>
        </is>
      </c>
      <c r="I194" t="inlineStr">
        <is>
          <t>รับประทานครั้งละ 1-2 ช้อนชา วันละ 3-4 ครั้ง</t>
        </is>
      </c>
      <c r="P194" t="inlineStr">
        <is>
          <t>General analgesics/antipyretics</t>
        </is>
      </c>
    </row>
    <row r="195">
      <c r="A195" t="n">
        <v>193</v>
      </c>
      <c r="B195" t="inlineStr">
        <is>
          <t>ยาแก้ปวด, ลดไข้ ชนิดน้ำ</t>
        </is>
      </c>
      <c r="C195" t="n">
        <v>3504</v>
      </c>
      <c r="D195" t="inlineStr">
        <is>
          <t>Sara น้ำรสส้ม</t>
        </is>
      </c>
      <c r="E195" t="inlineStr">
        <is>
          <t>ขวด 60 ml.</t>
        </is>
      </c>
      <c r="F195" t="inlineStr">
        <is>
          <t>Paracetamol 250 mg./5 ml.</t>
        </is>
      </c>
      <c r="G195" t="inlineStr">
        <is>
          <t>BDS003504</t>
        </is>
      </c>
      <c r="H195" t="inlineStr">
        <is>
          <t>Sara น้ำรสส้ม (60 ml.)</t>
        </is>
      </c>
      <c r="I195" t="inlineStr">
        <is>
          <t xml:space="preserve">รับประทานครั้งละ 1-2 ช้อนชา วันละ 3-4 ครั้ง </t>
        </is>
      </c>
      <c r="P195" t="inlineStr">
        <is>
          <t>General analgesics/antipyretics</t>
        </is>
      </c>
    </row>
    <row r="196">
      <c r="A196" t="n">
        <v>194</v>
      </c>
      <c r="B196" t="inlineStr">
        <is>
          <t>ยาแก้ปวด, ลดไข้ ชนิดน้ำ</t>
        </is>
      </c>
      <c r="C196" t="n">
        <v>3600</v>
      </c>
      <c r="D196" t="inlineStr">
        <is>
          <t>Sara น้ำรสองุ่น</t>
        </is>
      </c>
      <c r="E196" t="inlineStr">
        <is>
          <t>ขวด 60 ml.</t>
        </is>
      </c>
      <c r="F196" t="inlineStr">
        <is>
          <t>Paracetamol 160 mg./5 ml.</t>
        </is>
      </c>
      <c r="G196" t="inlineStr">
        <is>
          <t>BDS003600</t>
        </is>
      </c>
      <c r="H196" t="inlineStr">
        <is>
          <t>Sara น้ำรสองุ่น (60 ml.)</t>
        </is>
      </c>
      <c r="I196" t="inlineStr">
        <is>
          <t>รับประทานครั้งละ 1 ช้อนชา วันละ 3-4 ครั้ง</t>
        </is>
      </c>
      <c r="P196" t="inlineStr">
        <is>
          <t>General analgesics/antipyretics</t>
        </is>
      </c>
    </row>
    <row r="197">
      <c r="A197" t="n">
        <v>195</v>
      </c>
      <c r="B197" t="inlineStr">
        <is>
          <t>ยาแก้ปวด, ลดไข้ ชนิดน้ำ</t>
        </is>
      </c>
      <c r="C197" t="n">
        <v>3711</v>
      </c>
      <c r="D197" t="inlineStr">
        <is>
          <t>Tempra Drop</t>
        </is>
      </c>
      <c r="E197" t="inlineStr">
        <is>
          <t>ขวด 15 ml.</t>
        </is>
      </c>
      <c r="F197" t="inlineStr">
        <is>
          <t>Paracetamol 80 mg./0.8 ml.</t>
        </is>
      </c>
      <c r="G197" t="inlineStr">
        <is>
          <t>BDS003711</t>
        </is>
      </c>
      <c r="H197" t="inlineStr">
        <is>
          <t>Tempra Drop (15 ml.)</t>
        </is>
      </c>
      <c r="I197" t="inlineStr">
        <is>
          <t>รับประทานครั้งละ 1-2 หลอดหยด แต่ละครั้งห่างกันอย่างน้อย 4 ชม. วันละไม่เกิน 5 ครั้ง</t>
        </is>
      </c>
      <c r="P197" t="inlineStr">
        <is>
          <t>General analgesics/antipyretics</t>
        </is>
      </c>
    </row>
    <row r="198">
      <c r="A198" t="n">
        <v>196</v>
      </c>
      <c r="B198" t="inlineStr">
        <is>
          <t>ยาแก้ปวด, ลดไข้ ชนิดน้ำ</t>
        </is>
      </c>
      <c r="C198" t="n">
        <v>3712</v>
      </c>
      <c r="D198" t="inlineStr">
        <is>
          <t>Tempra Forte</t>
        </is>
      </c>
      <c r="E198" t="inlineStr">
        <is>
          <t>ขวด 60 ml.</t>
        </is>
      </c>
      <c r="F198" t="inlineStr">
        <is>
          <t>Paracetamol 250 mg./5 ml.</t>
        </is>
      </c>
      <c r="G198" t="inlineStr">
        <is>
          <t>BDS003712</t>
        </is>
      </c>
      <c r="H198" t="inlineStr">
        <is>
          <t>Tempra Forte (60 ml.)</t>
        </is>
      </c>
      <c r="I198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  <c r="P198" t="inlineStr">
        <is>
          <t>General analgesics/antipyretics</t>
        </is>
      </c>
    </row>
    <row r="199">
      <c r="A199" t="n">
        <v>197</v>
      </c>
      <c r="B199" t="inlineStr">
        <is>
          <t>ยาแก้ปวด, ลดไข้ ชนิดน้ำ</t>
        </is>
      </c>
      <c r="C199" t="n">
        <v>48670</v>
      </c>
      <c r="D199" t="inlineStr">
        <is>
          <t>Tempra Kids Orange</t>
        </is>
      </c>
      <c r="E199" t="inlineStr">
        <is>
          <t>ขวด 60 ml.</t>
        </is>
      </c>
      <c r="F199" t="inlineStr">
        <is>
          <t>Paracetamol 120 mg./5 ml.</t>
        </is>
      </c>
      <c r="G199" t="inlineStr">
        <is>
          <t>BDS048670</t>
        </is>
      </c>
      <c r="H199" t="inlineStr">
        <is>
          <t>Tempra Kids Orange (60 ml.)</t>
        </is>
      </c>
      <c r="I199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  <c r="P199" t="inlineStr">
        <is>
          <t>General analgesics/antipyretics</t>
        </is>
      </c>
    </row>
    <row r="200">
      <c r="A200" t="n">
        <v>198</v>
      </c>
      <c r="B200" t="inlineStr">
        <is>
          <t>ยาแก้ปวด, ลดไข้ ชนิดน้ำ</t>
        </is>
      </c>
      <c r="C200" t="n">
        <v>3713</v>
      </c>
      <c r="D200" t="inlineStr">
        <is>
          <t>Tempra Kids Strawberry</t>
        </is>
      </c>
      <c r="E200" t="inlineStr">
        <is>
          <t>ขวด 60 ml.</t>
        </is>
      </c>
      <c r="F200" t="inlineStr">
        <is>
          <t>Paracetamol 120 mg./5 ml.</t>
        </is>
      </c>
      <c r="G200" t="inlineStr">
        <is>
          <t>BDS003713</t>
        </is>
      </c>
      <c r="H200" t="inlineStr">
        <is>
          <t>Tempra Kids Strawberry (60 ml.)</t>
        </is>
      </c>
      <c r="I200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  <c r="P200" t="inlineStr">
        <is>
          <t>General analgesics/antipyretics</t>
        </is>
      </c>
    </row>
    <row r="201">
      <c r="A201" t="n">
        <v>199</v>
      </c>
      <c r="B201" t="inlineStr">
        <is>
          <t>ยาแก้ปวด, ลดไข้ ชนิดน้ำ</t>
        </is>
      </c>
      <c r="C201" t="n">
        <v>3737</v>
      </c>
      <c r="D201" t="inlineStr">
        <is>
          <t>Tylenol Drop</t>
        </is>
      </c>
      <c r="E201" t="inlineStr">
        <is>
          <t>ขวด 15 ml.</t>
        </is>
      </c>
      <c r="F201" t="inlineStr">
        <is>
          <t>Paracetamol 80 mg./0.8 ml.</t>
        </is>
      </c>
      <c r="G201" t="inlineStr">
        <is>
          <t>BDS003737</t>
        </is>
      </c>
      <c r="H201" t="inlineStr">
        <is>
          <t>Tylenol Drop (15 ml.)</t>
        </is>
      </c>
      <c r="I201" t="inlineStr">
        <is>
          <t>รับประทานครั้งละ 0.8 ml./5.5-7.9 kg. ทุก 4 ชั่วโมง</t>
        </is>
      </c>
      <c r="P201" t="inlineStr">
        <is>
          <t>General analgesics/antipyretics</t>
        </is>
      </c>
    </row>
    <row r="202">
      <c r="A202" t="n">
        <v>200</v>
      </c>
      <c r="B202" t="inlineStr">
        <is>
          <t>ยาแก้ปวด, ลดไข้ ชนิดน้ำ</t>
        </is>
      </c>
      <c r="C202" t="n">
        <v>3763</v>
      </c>
      <c r="D202" t="inlineStr">
        <is>
          <t>Tylenol Suspension</t>
        </is>
      </c>
      <c r="E202" t="inlineStr">
        <is>
          <t>ขวด 60 ml.</t>
        </is>
      </c>
      <c r="F202" t="inlineStr">
        <is>
          <t>Paracetamol 160 mg./5 ml.</t>
        </is>
      </c>
      <c r="G202" t="inlineStr">
        <is>
          <t>BDS003763</t>
        </is>
      </c>
      <c r="H202" t="inlineStr">
        <is>
          <t>Tylenol Suspension (60 ml.)</t>
        </is>
      </c>
      <c r="I202" t="inlineStr">
        <is>
          <t>รับประทานครั้งละ 5 ซีซี วันละ 3-4 ครั้ง</t>
        </is>
      </c>
      <c r="P202" t="inlineStr">
        <is>
          <t>General analgesics/antipyretics</t>
        </is>
      </c>
    </row>
    <row r="203">
      <c r="A203" t="n">
        <v>201</v>
      </c>
      <c r="B203" t="inlineStr">
        <is>
          <t>ยาแก้แพ้, ลดน้ำมูก ชนิดน้ำ (D)</t>
        </is>
      </c>
      <c r="C203" t="n">
        <v>1015</v>
      </c>
      <c r="D203" t="inlineStr">
        <is>
          <t>Aerius Syrup</t>
        </is>
      </c>
      <c r="E203" t="inlineStr">
        <is>
          <t>ขวด 60 ml.</t>
        </is>
      </c>
      <c r="F203" t="inlineStr">
        <is>
          <t>Desloratadine 0.5 mg./1 ml.</t>
        </is>
      </c>
      <c r="G203" t="inlineStr">
        <is>
          <t>BDS001015</t>
        </is>
      </c>
      <c r="H203" t="inlineStr">
        <is>
          <t>Aerius Syrup (60 ml.)</t>
        </is>
      </c>
      <c r="I203" t="inlineStr">
        <is>
          <t>เด็กโตรับประทานครั้งละ 1 ช้อนชาวันละ 1 ครั้ง</t>
        </is>
      </c>
    </row>
    <row r="204">
      <c r="A204" t="n">
        <v>202</v>
      </c>
      <c r="B204" t="inlineStr">
        <is>
          <t>ยาแก้แพ้, ลดน้ำมูก ชนิดน้ำ (D)</t>
        </is>
      </c>
      <c r="C204" t="n">
        <v>7003</v>
      </c>
      <c r="D204" t="inlineStr">
        <is>
          <t>Asiatapp Infant Drops (ควบคุมจำนวน)</t>
        </is>
      </c>
      <c r="E204" t="inlineStr">
        <is>
          <t>ขวด 15 ml.</t>
        </is>
      </c>
      <c r="F204" t="inlineStr">
        <is>
          <t>Brompheniramine Maleate 2.0 mg.+Phenylephrine HCl 2.5 mg./1 ml.</t>
        </is>
      </c>
      <c r="G204" t="inlineStr">
        <is>
          <t>BDS007003</t>
        </is>
      </c>
      <c r="H204" t="inlineStr">
        <is>
          <t>Asiatapp Infant Drops (ควบคุมจำนวน) (15 ml.)</t>
        </is>
      </c>
      <c r="I204" t="inlineStr">
        <is>
          <t xml:space="preserve">เด็กเล็กรับประทาน ครั้งละ 1-2 ml. วันละ 3-4 ครั้ง หรือรับประทานตามแพทย์สั่ง </t>
        </is>
      </c>
    </row>
    <row r="205">
      <c r="A205" t="n">
        <v>203</v>
      </c>
      <c r="B205" t="inlineStr">
        <is>
          <t>ยาแก้แพ้, ลดน้ำมูก ชนิดน้ำ (D)</t>
        </is>
      </c>
      <c r="C205" t="n">
        <v>8047</v>
      </c>
      <c r="D205" t="inlineStr">
        <is>
          <t>Asiatapp Syrup (ควบคุมจำนวน)</t>
        </is>
      </c>
      <c r="E205" t="inlineStr">
        <is>
          <t>ขวด 60 ml.</t>
        </is>
      </c>
      <c r="F205" t="inlineStr">
        <is>
          <t>Brompheniramine Maleate 4 mg.+Phenylephrine HCl 10 mg./5 ml.</t>
        </is>
      </c>
      <c r="G205" t="inlineStr">
        <is>
          <t>BDS008047</t>
        </is>
      </c>
      <c r="H205" t="inlineStr">
        <is>
          <t>Asiatapp Syrup (ควบคุมจำนวน) (60 ml.)</t>
        </is>
      </c>
      <c r="I205" t="inlineStr">
        <is>
          <t xml:space="preserve">เด็กเล็กรับประทาน ครั้งละ 1-2 ml. วันละ 3-4 ครั้ง หรือรับประทานตามแพทย์สั่ง </t>
        </is>
      </c>
    </row>
    <row r="206">
      <c r="A206" t="n">
        <v>204</v>
      </c>
      <c r="B206" t="inlineStr">
        <is>
          <t>ยาแก้แพ้, ลดน้ำมูก ชนิดน้ำ (D)</t>
        </is>
      </c>
      <c r="C206" t="n">
        <v>8033</v>
      </c>
      <c r="D206" t="inlineStr">
        <is>
          <t>Chlophen Syrup (ควบคุมจำนวน)</t>
        </is>
      </c>
      <c r="E206" t="inlineStr">
        <is>
          <t>ขวด 60 ml.</t>
        </is>
      </c>
      <c r="F206" t="inlineStr">
        <is>
          <t>Chlorpheniramine Maleate 2 mg./5 ml.</t>
        </is>
      </c>
      <c r="G206" t="inlineStr">
        <is>
          <t>BDS008033</t>
        </is>
      </c>
      <c r="H206" t="inlineStr">
        <is>
          <t>Chlophen Syrup (ควบคุมจำนวน) (60 ml.)</t>
        </is>
      </c>
      <c r="I206" t="inlineStr">
        <is>
          <t>เด็กโตรับประทานครั้งละ 1 ช้อนชา วันละ 3-4 ครั้ง</t>
        </is>
      </c>
    </row>
    <row r="207">
      <c r="A207" t="n">
        <v>205</v>
      </c>
      <c r="B207" t="inlineStr">
        <is>
          <t>ยาแก้แพ้, ลดน้ำมูก ชนิดน้ำ (D)</t>
        </is>
      </c>
      <c r="C207" t="n">
        <v>7038</v>
      </c>
      <c r="D207" t="inlineStr">
        <is>
          <t>Cistamine Syrup</t>
        </is>
      </c>
      <c r="E207" t="inlineStr">
        <is>
          <t>ขวด 60 ml.</t>
        </is>
      </c>
      <c r="F207" t="inlineStr">
        <is>
          <t>Cetirizine 2HCl 5 mg./5 ml.</t>
        </is>
      </c>
      <c r="G207" t="inlineStr">
        <is>
          <t>BDS007038</t>
        </is>
      </c>
      <c r="H207" t="inlineStr">
        <is>
          <t>Cistamine Syrup (60 ml.)</t>
        </is>
      </c>
      <c r="I207" t="inlineStr">
        <is>
          <t>ผู้ใหญ่และเด็กโตรับประทานครั้งละ 1-2 ช้อนชา วันละ 1 ครั้ง</t>
        </is>
      </c>
    </row>
    <row r="208">
      <c r="A208" t="n">
        <v>206</v>
      </c>
      <c r="B208" t="inlineStr">
        <is>
          <t>ยาแก้แพ้, ลดน้ำมูก ชนิดน้ำ (D)</t>
        </is>
      </c>
      <c r="C208" t="n">
        <v>44519</v>
      </c>
      <c r="D208" t="inlineStr">
        <is>
          <t>Lorius Syrup</t>
        </is>
      </c>
      <c r="E208" t="inlineStr">
        <is>
          <t>ขวด 60 ml.</t>
        </is>
      </c>
      <c r="F208" t="inlineStr">
        <is>
          <t>Desloratadine 0.5 mg./1 ml.</t>
        </is>
      </c>
      <c r="G208" t="inlineStr">
        <is>
          <t>BDS044519</t>
        </is>
      </c>
      <c r="H208" t="inlineStr">
        <is>
          <t>Lorius Syrup (60 ml.)</t>
        </is>
      </c>
      <c r="I208" t="inlineStr">
        <is>
          <t>เด็กโตรับประทานครั้งละ 1 ช้อนชา วันละ 1  ครั้ง</t>
        </is>
      </c>
    </row>
    <row r="209">
      <c r="A209" t="n">
        <v>207</v>
      </c>
      <c r="B209" t="inlineStr">
        <is>
          <t>ยาแก้แพ้, ลดน้ำมูก ชนิดน้ำ (D)</t>
        </is>
      </c>
      <c r="C209" t="n">
        <v>7271</v>
      </c>
      <c r="D209" t="inlineStr">
        <is>
          <t>Sea Chlor Syrup (ควบคุมจำนวน)</t>
        </is>
      </c>
      <c r="E209" t="inlineStr">
        <is>
          <t>ขวด 60 ml.</t>
        </is>
      </c>
      <c r="F209" t="inlineStr">
        <is>
          <t>Chlorpheniramine Maleate 2 mg./5 ml.</t>
        </is>
      </c>
      <c r="G209" t="inlineStr">
        <is>
          <t>BDS007271</t>
        </is>
      </c>
      <c r="H209" t="inlineStr">
        <is>
          <t>Sea Chlor Syrup (ควบคุมจำนวน) (60 ml.)</t>
        </is>
      </c>
      <c r="I209" t="inlineStr">
        <is>
          <t>เด็กโตรับประทานครั้งละ 1 ช้อนชา วันละ 3-4 ครั้ง</t>
        </is>
      </c>
    </row>
    <row r="210">
      <c r="A210" t="n">
        <v>208</v>
      </c>
      <c r="B210" t="inlineStr">
        <is>
          <t>ยาแก้แพ้, ลดน้ำมูก ชนิดน้ำ (D)</t>
        </is>
      </c>
      <c r="C210" t="n">
        <v>3573</v>
      </c>
      <c r="D210" t="inlineStr">
        <is>
          <t>Sulidine CP Plus (ควบคุมจำนวน)</t>
        </is>
      </c>
      <c r="E210" t="inlineStr">
        <is>
          <t>ขวด 60 ml.</t>
        </is>
      </c>
      <c r="F210" t="inlineStr">
        <is>
          <t>Acetaminophen 120 mg+Chlorpheniramine maleate 1 mg+Phenylephrine HCl 5 mg/5 ml</t>
        </is>
      </c>
      <c r="G210" t="inlineStr">
        <is>
          <t>BDS003573</t>
        </is>
      </c>
      <c r="H210" t="inlineStr">
        <is>
          <t>Sulidine CP Plus (ควบคุมจำนวน) (60 ml.)</t>
        </is>
      </c>
      <c r="I210" t="inlineStr">
        <is>
          <t>เด็กโตรับประทานครั้งละ 1-2 ช้อนชา ทุก 4 ชั่วโมง</t>
        </is>
      </c>
    </row>
    <row r="211">
      <c r="A211" t="n">
        <v>209</v>
      </c>
      <c r="B211" t="inlineStr">
        <is>
          <t>ยาแก้แพ้, ลดน้ำมูก ชนิดน้ำ (D)</t>
        </is>
      </c>
      <c r="C211" t="n">
        <v>8301</v>
      </c>
      <c r="D211" t="inlineStr">
        <is>
          <t>Trandrozine Syrup (ควบคุมจำนวน)</t>
        </is>
      </c>
      <c r="E211" t="inlineStr">
        <is>
          <t>ขวด 60 ml.</t>
        </is>
      </c>
      <c r="F211" t="inlineStr">
        <is>
          <t>Hydroxyzine HCl 10 mg./5 ml.</t>
        </is>
      </c>
      <c r="G211" t="inlineStr">
        <is>
          <t>BDS008301</t>
        </is>
      </c>
      <c r="H211" t="inlineStr">
        <is>
          <t>Trandrozine Syrup (ควบคุมจำนวน) (60 ml.)</t>
        </is>
      </c>
      <c r="I211" t="inlineStr">
        <is>
          <t>เด็กเล็กรับประทานครั้งละ 1/2-1 ช้อนชา วันละ 3 ครั้ง หรือตามแพทย์สั่ง</t>
        </is>
      </c>
    </row>
    <row r="212">
      <c r="A212" t="n">
        <v>210</v>
      </c>
      <c r="B212" t="inlineStr">
        <is>
          <t>ยาแก้แพ้, ลดน้ำมูก ชนิดน้ำ (D)</t>
        </is>
      </c>
      <c r="C212" t="n">
        <v>8086</v>
      </c>
      <c r="D212" t="inlineStr">
        <is>
          <t>Zermed Syrup</t>
        </is>
      </c>
      <c r="E212" t="inlineStr">
        <is>
          <t>ขวด 60 ml.</t>
        </is>
      </c>
      <c r="F212" t="inlineStr">
        <is>
          <t>Cetirizine 2HCl 5 mg./5 ml.</t>
        </is>
      </c>
      <c r="G212" t="inlineStr">
        <is>
          <t>BDS008086</t>
        </is>
      </c>
      <c r="H212" t="inlineStr">
        <is>
          <t>Zermed Syrup (60 ml.)</t>
        </is>
      </c>
      <c r="I212" t="inlineStr">
        <is>
          <t>ผู้ใหญ่และเด็กโตรับประทานครั้งละ 1-2 ช้อนชา วันละ 1 ครั้ง</t>
        </is>
      </c>
    </row>
    <row r="213">
      <c r="A213" t="n">
        <v>211</v>
      </c>
      <c r="B213" t="inlineStr">
        <is>
          <t>ยาแก้แพ้, ลดน้ำมูก ชนิดน้ำ (D)</t>
        </is>
      </c>
      <c r="C213" t="n">
        <v>4212</v>
      </c>
      <c r="D213" t="inlineStr">
        <is>
          <t>Zyrtec Syrup</t>
        </is>
      </c>
      <c r="E213" t="inlineStr">
        <is>
          <t>ขวด 75 ml.</t>
        </is>
      </c>
      <c r="F213" t="inlineStr">
        <is>
          <t>Cetirizine 2HCI 1 mg./1 ml.</t>
        </is>
      </c>
      <c r="G213" t="inlineStr">
        <is>
          <t>BDS004212</t>
        </is>
      </c>
      <c r="H213" t="inlineStr">
        <is>
          <t>Zyrtec Syrup (75 ml.)</t>
        </is>
      </c>
      <c r="I213" t="inlineStr">
        <is>
          <t>ผู้ใหญ่และเด็กโตรับประทานครั้งละ 1-2 ช้อนชา วันละ 1 ครั้ง</t>
        </is>
      </c>
    </row>
    <row r="214">
      <c r="A214" t="n">
        <v>212</v>
      </c>
      <c r="B214" t="inlineStr">
        <is>
          <t>ยาแก้ไอแห้ง, คันคอ ชนิดน้ำ (D)</t>
        </is>
      </c>
      <c r="C214" t="n">
        <v>6036</v>
      </c>
      <c r="D214" t="inlineStr">
        <is>
          <t>Icorin Kids Syrup</t>
        </is>
      </c>
      <c r="E214" t="inlineStr">
        <is>
          <t>ขวด 60 ml.</t>
        </is>
      </c>
      <c r="F214" t="inlineStr">
        <is>
          <t>Butamirate Citrate 4 mg/5 ml</t>
        </is>
      </c>
      <c r="G214" t="inlineStr">
        <is>
          <t>BDS006036</t>
        </is>
      </c>
      <c r="H214" t="inlineStr">
        <is>
          <t>Icorin Kids Syrup (60 ml.)</t>
        </is>
      </c>
      <c r="I214" t="inlineStr">
        <is>
          <t>รับประทานครั้งละ 1-2 ช้อนชา วันละ 3 ครั้ง</t>
        </is>
      </c>
      <c r="P214" t="inlineStr">
        <is>
          <t>Cough medicines / mucolytics / expectorants</t>
        </is>
      </c>
    </row>
    <row r="215">
      <c r="A215" t="n">
        <v>213</v>
      </c>
      <c r="B215" t="inlineStr">
        <is>
          <t>ยาแก้ไอแห้ง, คันคอ ชนิดน้ำ (D)</t>
        </is>
      </c>
      <c r="C215" t="n">
        <v>2290</v>
      </c>
      <c r="D215" t="inlineStr">
        <is>
          <t>Ivorin Syrup</t>
        </is>
      </c>
      <c r="E215" t="inlineStr">
        <is>
          <t>ขวด 60 ml.</t>
        </is>
      </c>
      <c r="F215" t="inlineStr">
        <is>
          <t>Levodropropizine 30 mg./5 ml.</t>
        </is>
      </c>
      <c r="G215" t="inlineStr">
        <is>
          <t>BDS002290</t>
        </is>
      </c>
      <c r="H215" t="inlineStr">
        <is>
          <t>Ivorin Syrup (60 ml.)</t>
        </is>
      </c>
      <c r="I215" t="inlineStr">
        <is>
          <t>ผู้ใหญ่รับประทานครั้งละ 2 ช้อนชา (10 ml.) วันละ 3 ครั้ง</t>
        </is>
      </c>
      <c r="P215" t="inlineStr">
        <is>
          <t>Cough medicines / mucolytics / expectorants</t>
        </is>
      </c>
    </row>
    <row r="216">
      <c r="A216" t="n">
        <v>214</v>
      </c>
      <c r="B216" t="inlineStr">
        <is>
          <t>ยาละลายเสมหะ ชนิดน้ำ</t>
        </is>
      </c>
      <c r="C216" t="n">
        <v>1257</v>
      </c>
      <c r="D216" t="inlineStr">
        <is>
          <t>Bisolvon EX Syrup เล็ก</t>
        </is>
      </c>
      <c r="E216" t="inlineStr">
        <is>
          <t>ขวด 60 ml.</t>
        </is>
      </c>
      <c r="F216" t="inlineStr">
        <is>
          <t>Bromhexine HCl 4 mg.+K guaiacolsulphonate 100 mg./5 ml.</t>
        </is>
      </c>
      <c r="G216" t="inlineStr">
        <is>
          <t>BDS001257</t>
        </is>
      </c>
      <c r="H216" t="inlineStr">
        <is>
          <t>Bisolvon EX Syrup เล็ก (60 ml.)</t>
        </is>
      </c>
      <c r="I216" t="inlineStr">
        <is>
          <t>รับประทานครั้งละ 1-2 ช้อนชา วันละ 3-4 ครั้ง</t>
        </is>
      </c>
      <c r="P216" t="inlineStr">
        <is>
          <t>Cough medicines / mucolytics / expectorants</t>
        </is>
      </c>
    </row>
    <row r="217">
      <c r="A217" t="n">
        <v>215</v>
      </c>
      <c r="B217" t="inlineStr">
        <is>
          <t>ยาละลายเสมหะ ชนิดน้ำ</t>
        </is>
      </c>
      <c r="C217" t="n">
        <v>1296</v>
      </c>
      <c r="D217" t="inlineStr">
        <is>
          <t>Bisolvon EX Syrup ใหญ่</t>
        </is>
      </c>
      <c r="E217" t="inlineStr">
        <is>
          <t>ขวด 125 ml.</t>
        </is>
      </c>
      <c r="F217" t="inlineStr">
        <is>
          <t>Bromhexine HCl 4 mg.+K guaiacolsulphonate 100 mg./5 ml.</t>
        </is>
      </c>
      <c r="G217" t="inlineStr">
        <is>
          <t>BDS001296</t>
        </is>
      </c>
      <c r="H217" t="inlineStr">
        <is>
          <t>Bisolvon EX Syrup ใหญ่ (125 ml.)</t>
        </is>
      </c>
      <c r="I217" t="inlineStr">
        <is>
          <t>รับประทานครั้งละ 1-2 ช้อนชา วันละ 3 ครั้ง</t>
        </is>
      </c>
      <c r="P217" t="inlineStr">
        <is>
          <t>Cough medicines / mucolytics / expectorants</t>
        </is>
      </c>
    </row>
    <row r="218">
      <c r="A218" t="n">
        <v>216</v>
      </c>
      <c r="B218" t="inlineStr">
        <is>
          <t>ยาละลายเสมหะ ชนิดน้ำ</t>
        </is>
      </c>
      <c r="C218" t="n">
        <v>1253</v>
      </c>
      <c r="D218" t="inlineStr">
        <is>
          <t>Bisolvon Pediatric Syrup</t>
        </is>
      </c>
      <c r="E218" t="inlineStr">
        <is>
          <t>ขวด 60 ml.</t>
        </is>
      </c>
      <c r="F218" t="inlineStr">
        <is>
          <t>Bromhexine HCl 4 mg./5 ml.</t>
        </is>
      </c>
      <c r="G218" t="inlineStr">
        <is>
          <t>BDS001253</t>
        </is>
      </c>
      <c r="H218" t="inlineStr">
        <is>
          <t>Bisolvon Pediatric Syrup (60 ml.)</t>
        </is>
      </c>
      <c r="I218" t="inlineStr">
        <is>
          <t>รับประทานครั้งละ 1 ช้อนชา วันละ 3 ครั้ง</t>
        </is>
      </c>
      <c r="P218" t="inlineStr">
        <is>
          <t>Cough medicines / mucolytics / expectorants</t>
        </is>
      </c>
    </row>
    <row r="219">
      <c r="A219" t="n">
        <v>217</v>
      </c>
      <c r="B219" t="inlineStr">
        <is>
          <t>ยาละลายเสมหะ ชนิดน้ำ</t>
        </is>
      </c>
      <c r="C219" t="n">
        <v>7033</v>
      </c>
      <c r="D219" t="inlineStr">
        <is>
          <t>Bocytin Syrup</t>
        </is>
      </c>
      <c r="E219" t="inlineStr">
        <is>
          <t>ขวด 60 ml.</t>
        </is>
      </c>
      <c r="F219" t="inlineStr">
        <is>
          <t>Carbocysteine 250 mg./5 ml.</t>
        </is>
      </c>
      <c r="G219" t="inlineStr">
        <is>
          <t>BDS007033</t>
        </is>
      </c>
      <c r="H219" t="inlineStr">
        <is>
          <t>Bocytin Syrup (60 ml.)</t>
        </is>
      </c>
      <c r="I219" t="inlineStr">
        <is>
          <t>เด็กเล็กรับประทาน 1/2 ช้อนชา วันละ 2 ครั้ง</t>
        </is>
      </c>
      <c r="P219" t="inlineStr">
        <is>
          <t>Cough medicines / mucolytics / expectorants</t>
        </is>
      </c>
    </row>
    <row r="220">
      <c r="A220" t="n">
        <v>218</v>
      </c>
      <c r="B220" t="inlineStr">
        <is>
          <t>ยาละลายเสมหะ ชนิดน้ำ</t>
        </is>
      </c>
      <c r="C220" t="n">
        <v>41506</v>
      </c>
      <c r="D220" t="inlineStr">
        <is>
          <t>Carboflex Syrup</t>
        </is>
      </c>
      <c r="E220" t="inlineStr">
        <is>
          <t>ขวด 60 ml.</t>
        </is>
      </c>
      <c r="F220" t="inlineStr">
        <is>
          <t>Carbocysteine 250 mg./5 ml.</t>
        </is>
      </c>
      <c r="G220" t="inlineStr">
        <is>
          <t>BDS041506</t>
        </is>
      </c>
      <c r="H220" t="inlineStr">
        <is>
          <t>Carboflex Syrup (60 ml.)</t>
        </is>
      </c>
      <c r="I220" t="inlineStr">
        <is>
          <t>เด็กอายุ 6-12 ปี รับประทานครั้งละ 1 ช้อนชา วันละ 3 ครั้ง</t>
        </is>
      </c>
      <c r="P220" t="inlineStr">
        <is>
          <t>Cough medicines / mucolytics / expectorants</t>
        </is>
      </c>
    </row>
    <row r="221">
      <c r="A221" t="n">
        <v>219</v>
      </c>
      <c r="B221" t="inlineStr">
        <is>
          <t>ยาละลายเสมหะ ชนิดน้ำ</t>
        </is>
      </c>
      <c r="C221" t="n">
        <v>1495</v>
      </c>
      <c r="D221" t="inlineStr">
        <is>
          <t>Cisteine</t>
        </is>
      </c>
      <c r="E221" t="inlineStr">
        <is>
          <t>ขวด 60 ml.</t>
        </is>
      </c>
      <c r="F221" t="inlineStr">
        <is>
          <t>Carbocysteine 100 mg./5 ml.</t>
        </is>
      </c>
      <c r="G221" t="inlineStr">
        <is>
          <t>BDS001495</t>
        </is>
      </c>
      <c r="H221" t="inlineStr">
        <is>
          <t>Cisteine (60 ml.)</t>
        </is>
      </c>
      <c r="I221" t="inlineStr">
        <is>
          <t>รับประทานครั้งละ 1 ช้อนชา วันละ 3 ครั้ง</t>
        </is>
      </c>
      <c r="P221" t="inlineStr">
        <is>
          <t>Cough medicines / mucolytics / expectorants</t>
        </is>
      </c>
    </row>
    <row r="222">
      <c r="A222" t="n">
        <v>220</v>
      </c>
      <c r="B222" t="inlineStr">
        <is>
          <t>ยาละลายเสมหะ ชนิดน้ำ</t>
        </is>
      </c>
      <c r="C222" t="n">
        <v>1919</v>
      </c>
      <c r="D222" t="inlineStr">
        <is>
          <t>Flemex Kids</t>
        </is>
      </c>
      <c r="E222" t="inlineStr">
        <is>
          <t>ขวด 60 ml.</t>
        </is>
      </c>
      <c r="F222" t="inlineStr">
        <is>
          <t>Carbocysteine 100 mg./5 ml.</t>
        </is>
      </c>
      <c r="G222" t="inlineStr">
        <is>
          <t>BDS001919</t>
        </is>
      </c>
      <c r="H222" t="inlineStr">
        <is>
          <t>Flemex Kids (60 ml.)</t>
        </is>
      </c>
      <c r="I222" t="inlineStr">
        <is>
          <t>รับประทานครั้งละ 1 ช้อนชา วันละ 2 ครั้ง</t>
        </is>
      </c>
      <c r="P222" t="inlineStr">
        <is>
          <t>Cough medicines / mucolytics / expectorants</t>
        </is>
      </c>
    </row>
    <row r="223">
      <c r="A223" t="n">
        <v>221</v>
      </c>
      <c r="B223" t="inlineStr">
        <is>
          <t>ยาละลายเสมหะ ชนิดน้ำ</t>
        </is>
      </c>
      <c r="C223" t="n">
        <v>1920</v>
      </c>
      <c r="D223" t="inlineStr">
        <is>
          <t>Flemex Syrup</t>
        </is>
      </c>
      <c r="E223" t="inlineStr">
        <is>
          <t>ขวด 60 ml.</t>
        </is>
      </c>
      <c r="F223" t="inlineStr">
        <is>
          <t>Carbocysteine 250 mg./5 ml.</t>
        </is>
      </c>
      <c r="G223" t="inlineStr">
        <is>
          <t>BDS001920</t>
        </is>
      </c>
      <c r="H223" t="inlineStr">
        <is>
          <t>Flemex Syrup (60 ml.)</t>
        </is>
      </c>
      <c r="I223" t="inlineStr">
        <is>
          <t>รับประทานครั้งละ 1 ช้อนโต๊ะ วันละ 3 ครั้ง</t>
        </is>
      </c>
      <c r="P223" t="inlineStr">
        <is>
          <t>Cough medicines / mucolytics / expectorants</t>
        </is>
      </c>
    </row>
    <row r="224">
      <c r="A224" t="n">
        <v>222</v>
      </c>
      <c r="B224" t="inlineStr">
        <is>
          <t>ยาละลายเสมหะ ชนิดน้ำ</t>
        </is>
      </c>
      <c r="C224" t="n">
        <v>7742</v>
      </c>
      <c r="D224" t="inlineStr">
        <is>
          <t>Mucobrox</t>
        </is>
      </c>
      <c r="E224" t="inlineStr">
        <is>
          <t>ขวด 60 ml.</t>
        </is>
      </c>
      <c r="F224" t="inlineStr">
        <is>
          <t>Ambroxol HCl 30 mg./5 ml.</t>
        </is>
      </c>
      <c r="G224" t="inlineStr">
        <is>
          <t>BDS007742</t>
        </is>
      </c>
      <c r="H224" t="inlineStr">
        <is>
          <t>Mucobrox (60 ml.)</t>
        </is>
      </c>
      <c r="I224" t="inlineStr">
        <is>
          <t>ผู้ใหญ่และเด็กโตรับประทาน 1 ช้อนชา  วันละ 3 ครั้ง</t>
        </is>
      </c>
      <c r="P224" t="inlineStr">
        <is>
          <t>Cough medicines / mucolytics / expectorants</t>
        </is>
      </c>
    </row>
    <row r="225">
      <c r="A225" t="n">
        <v>223</v>
      </c>
      <c r="B225" t="inlineStr">
        <is>
          <t>ยาละลายเสมหะ ชนิดน้ำ</t>
        </is>
      </c>
      <c r="C225" t="n">
        <v>2659</v>
      </c>
      <c r="D225" t="inlineStr">
        <is>
          <t>Mucoflux Syrup</t>
        </is>
      </c>
      <c r="E225" t="inlineStr">
        <is>
          <t>ขวด 60 ml.</t>
        </is>
      </c>
      <c r="F225" t="inlineStr">
        <is>
          <t>Cyclidrol 80 mg./10 ml.</t>
        </is>
      </c>
      <c r="G225" t="inlineStr">
        <is>
          <t>BDS002659</t>
        </is>
      </c>
      <c r="H225" t="inlineStr">
        <is>
          <t>Mucoflux Syrup (60 ml.)</t>
        </is>
      </c>
      <c r="I225" t="inlineStr">
        <is>
          <t>รับประทานครั้งละ 2-4 ช้อนชาวันละ 2 ครั้ง</t>
        </is>
      </c>
      <c r="P225" t="inlineStr">
        <is>
          <t>Cough medicines / mucolytics / expectorants</t>
        </is>
      </c>
    </row>
    <row r="226">
      <c r="A226" t="n">
        <v>224</v>
      </c>
      <c r="B226" t="inlineStr">
        <is>
          <t>ยาละลายเสมหะ ชนิดน้ำ</t>
        </is>
      </c>
      <c r="C226" t="n">
        <v>2691</v>
      </c>
      <c r="D226" t="inlineStr">
        <is>
          <t>Mucolid Junior บลูเบอร์รี่</t>
        </is>
      </c>
      <c r="E226" t="inlineStr">
        <is>
          <t>ขวด 60 ml.</t>
        </is>
      </c>
      <c r="F226" t="inlineStr">
        <is>
          <t>Ambroxol HCl 15 mg./5 ml.</t>
        </is>
      </c>
      <c r="G226" t="inlineStr">
        <is>
          <t>BDS002691</t>
        </is>
      </c>
      <c r="H226" t="inlineStr">
        <is>
          <t>Mucolid Junior บลูเบอร์รี่ (60 ml.)</t>
        </is>
      </c>
      <c r="I226" t="inlineStr">
        <is>
          <t>รับประทานครั้งละ 2 ช้อนชา วันละ 3 ครั้ง</t>
        </is>
      </c>
      <c r="P226" t="inlineStr">
        <is>
          <t>Cough medicines / mucolytics / expectorants</t>
        </is>
      </c>
    </row>
    <row r="227">
      <c r="A227" t="n">
        <v>225</v>
      </c>
      <c r="B227" t="inlineStr">
        <is>
          <t>ยาละลายเสมหะ ชนิดน้ำ</t>
        </is>
      </c>
      <c r="C227" t="n">
        <v>2654</v>
      </c>
      <c r="D227" t="inlineStr">
        <is>
          <t>Mucolid Syrup</t>
        </is>
      </c>
      <c r="E227" t="inlineStr">
        <is>
          <t>ขวด 60 ml.</t>
        </is>
      </c>
      <c r="F227" t="inlineStr">
        <is>
          <t>Ambroxol HCl 30 mg./5 ml.</t>
        </is>
      </c>
      <c r="G227" t="inlineStr">
        <is>
          <t>BDS002654</t>
        </is>
      </c>
      <c r="H227" t="inlineStr">
        <is>
          <t>Mucolid Syrup (60 ml.)</t>
        </is>
      </c>
      <c r="I227" t="inlineStr">
        <is>
          <t>รับประทานครั้งละ 1 ช้อนชา วันละ 4 ครั้ง</t>
        </is>
      </c>
      <c r="P227" t="inlineStr">
        <is>
          <t>Cough medicines / mucolytics / expectorants</t>
        </is>
      </c>
    </row>
    <row r="228">
      <c r="A228" t="n">
        <v>226</v>
      </c>
      <c r="B228" t="inlineStr">
        <is>
          <t>ยาละลายเสมหะ ชนิดน้ำ</t>
        </is>
      </c>
      <c r="C228" t="n">
        <v>3697</v>
      </c>
      <c r="D228" t="inlineStr">
        <is>
          <t>Solmax Forte Suspension</t>
        </is>
      </c>
      <c r="E228" t="inlineStr">
        <is>
          <t>ขวด 60 ml.</t>
        </is>
      </c>
      <c r="F228" t="inlineStr">
        <is>
          <t>Carbocysteine 500 mg./5 ml.</t>
        </is>
      </c>
      <c r="G228" t="inlineStr">
        <is>
          <t>BDS003697</t>
        </is>
      </c>
      <c r="H228" t="inlineStr">
        <is>
          <t>Solmax Forte Suspension (60 ml.)</t>
        </is>
      </c>
      <c r="I228" t="inlineStr">
        <is>
          <t>เด็กโตรับประทานครั้งละ ครึ่ง ช้อนชา วันละ 3 ครั้ง</t>
        </is>
      </c>
      <c r="P228" t="inlineStr">
        <is>
          <t>Cough medicines / mucolytics / expectorants</t>
        </is>
      </c>
    </row>
    <row r="229">
      <c r="A229" t="n">
        <v>227</v>
      </c>
      <c r="B229" t="inlineStr">
        <is>
          <t>ยาละลายเสมหะ ชนิดน้ำ</t>
        </is>
      </c>
      <c r="C229" t="n">
        <v>3782</v>
      </c>
      <c r="D229" t="inlineStr">
        <is>
          <t>Solmax Kids Suspension</t>
        </is>
      </c>
      <c r="E229" t="inlineStr">
        <is>
          <t>ขวด 60 ml.</t>
        </is>
      </c>
      <c r="F229" t="inlineStr">
        <is>
          <t>Carbocysteine 200 mg./5 ml.</t>
        </is>
      </c>
      <c r="G229" t="inlineStr">
        <is>
          <t>BDS003782</t>
        </is>
      </c>
      <c r="H229" t="inlineStr">
        <is>
          <t>Solmax Kids Suspension (60 ml.)</t>
        </is>
      </c>
      <c r="I229" t="inlineStr">
        <is>
          <t>เด็กเล็กรับประทาน 1/2 ช้อนชา วันละ 3-4 ครั้ง</t>
        </is>
      </c>
      <c r="P229" t="inlineStr">
        <is>
          <t>Cough medicines / mucolytics / expectorants</t>
        </is>
      </c>
    </row>
    <row r="230">
      <c r="A230" t="n">
        <v>228</v>
      </c>
      <c r="B230" t="inlineStr">
        <is>
          <t>ยาแก้ปวดอักเสบกลุ่ม NSAIDs (D)</t>
        </is>
      </c>
      <c r="C230" t="n">
        <v>40009</v>
      </c>
      <c r="D230" t="inlineStr">
        <is>
          <t xml:space="preserve">Anpuzz 520 </t>
        </is>
      </c>
      <c r="E230" t="inlineStr">
        <is>
          <t>กล่อง 10 เม็ด</t>
        </is>
      </c>
      <c r="F230" t="inlineStr">
        <is>
          <t>Mefenamic acid 500 mg. + Dicyclomine HCl 20 mg.</t>
        </is>
      </c>
      <c r="G230" t="inlineStr">
        <is>
          <t>BDS040009</t>
        </is>
      </c>
      <c r="H230" t="inlineStr">
        <is>
          <t>Anpuzz 520  (10 tabs)</t>
        </is>
      </c>
      <c r="I230" t="inlineStr">
        <is>
          <t xml:space="preserve">รับประทานครั้งละ 1 เม็ด วันละ 3 ครั้ง หลังอาหารทันที </t>
        </is>
      </c>
      <c r="P230" t="inlineStr">
        <is>
          <t>NSAIDs (oral anti-inflammatory painkillers)</t>
        </is>
      </c>
    </row>
    <row r="231">
      <c r="A231" t="n">
        <v>229</v>
      </c>
      <c r="B231" t="inlineStr">
        <is>
          <t>ยาแก้ปวดอักเสบกลุ่ม NSAIDs (D)</t>
        </is>
      </c>
      <c r="C231" t="n">
        <v>1076</v>
      </c>
      <c r="D231" t="inlineStr">
        <is>
          <t>Arcoxia 120 mg</t>
        </is>
      </c>
      <c r="E231" t="inlineStr">
        <is>
          <t>แผง 5 เม็ด</t>
        </is>
      </c>
      <c r="F231" t="inlineStr">
        <is>
          <t>Etoricoxib 120 mg.</t>
        </is>
      </c>
      <c r="G231" t="inlineStr">
        <is>
          <t>BDS001076</t>
        </is>
      </c>
      <c r="H231" t="inlineStr">
        <is>
          <t>Arcoxia 120 mg (5 tabs)</t>
        </is>
      </c>
      <c r="I231" t="inlineStr">
        <is>
          <t>รับประทานครั้งละ 1 เม็ด วันละ 1 ครั้ง หลังอาหารทันที</t>
        </is>
      </c>
      <c r="P231" t="inlineStr">
        <is>
          <t>NSAIDs (oral anti-inflammatory painkillers)</t>
        </is>
      </c>
    </row>
    <row r="232">
      <c r="A232" t="n">
        <v>230</v>
      </c>
      <c r="B232" t="inlineStr">
        <is>
          <t>ยาแก้ปวดอักเสบกลุ่ม NSAIDs (D)</t>
        </is>
      </c>
      <c r="C232" t="n">
        <v>1078</v>
      </c>
      <c r="D232" t="inlineStr">
        <is>
          <t>Arcoxia 60 mg</t>
        </is>
      </c>
      <c r="E232" t="inlineStr">
        <is>
          <t>แผง 5 เม็ด</t>
        </is>
      </c>
      <c r="F232" t="inlineStr">
        <is>
          <t>Etoricoxib 60 mg.</t>
        </is>
      </c>
      <c r="G232" t="inlineStr">
        <is>
          <t>BDS001078</t>
        </is>
      </c>
      <c r="H232" t="inlineStr">
        <is>
          <t>Arcoxia 60 mg (5 tabs)</t>
        </is>
      </c>
      <c r="I232" t="inlineStr">
        <is>
          <t>รับประทานครั้งละ 1 เม็ด วันละ 1 ครั้ง หลังอาหารทันที</t>
        </is>
      </c>
      <c r="P232" t="inlineStr">
        <is>
          <t>NSAIDs (oral anti-inflammatory painkillers)</t>
        </is>
      </c>
    </row>
    <row r="233">
      <c r="A233" t="n">
        <v>231</v>
      </c>
      <c r="B233" t="inlineStr">
        <is>
          <t>ยาแก้ปวดอักเสบกลุ่ม NSAIDs (D)</t>
        </is>
      </c>
      <c r="C233" t="n">
        <v>1075</v>
      </c>
      <c r="D233" t="inlineStr">
        <is>
          <t>Arcoxia 90 mg</t>
        </is>
      </c>
      <c r="E233" t="inlineStr">
        <is>
          <t>แผง 5 เม็ด</t>
        </is>
      </c>
      <c r="F233" t="inlineStr">
        <is>
          <t>Etoricoxib 90 mg.</t>
        </is>
      </c>
      <c r="G233" t="inlineStr">
        <is>
          <t>BDS001075</t>
        </is>
      </c>
      <c r="H233" t="inlineStr">
        <is>
          <t>Arcoxia 90 mg (5 tabs)</t>
        </is>
      </c>
      <c r="I233" t="inlineStr">
        <is>
          <t>รับประทานครั้งละ 1 เม็ด  วันละ 1 ครั้ง หลังอาหารทันที</t>
        </is>
      </c>
      <c r="P233" t="inlineStr">
        <is>
          <t>NSAIDs (oral anti-inflammatory painkillers)</t>
        </is>
      </c>
    </row>
    <row r="234">
      <c r="A234" t="n">
        <v>232</v>
      </c>
      <c r="B234" t="inlineStr">
        <is>
          <t>ยาแก้ปวดอักเสบกลุ่ม NSAIDs (D)</t>
        </is>
      </c>
      <c r="C234" t="n">
        <v>40616</v>
      </c>
      <c r="D234" t="inlineStr">
        <is>
          <t>Biocoxib 90 mg.</t>
        </is>
      </c>
      <c r="E234" t="inlineStr">
        <is>
          <t>แผง 5 เม็ด</t>
        </is>
      </c>
      <c r="F234" t="inlineStr">
        <is>
          <t>Etoricoxib 90 mg.</t>
        </is>
      </c>
      <c r="G234" t="inlineStr">
        <is>
          <t>BDS040616</t>
        </is>
      </c>
      <c r="H234" t="inlineStr">
        <is>
          <t>Biocoxib 90 mg. (5 tabs)</t>
        </is>
      </c>
      <c r="I234" t="inlineStr">
        <is>
          <t>รับประทานครั้งละ 1 เม็ด  วันละ 1 ครั้ง หลังอาหารทันที</t>
        </is>
      </c>
      <c r="P234" t="inlineStr">
        <is>
          <t>NSAIDs (oral anti-inflammatory painkillers)</t>
        </is>
      </c>
    </row>
    <row r="235">
      <c r="A235" t="n">
        <v>233</v>
      </c>
      <c r="B235" t="inlineStr">
        <is>
          <t>ยาแก้ปวดอักเสบกลุ่ม NSAIDs (D)</t>
        </is>
      </c>
      <c r="C235" t="n">
        <v>8116</v>
      </c>
      <c r="D235" t="inlineStr">
        <is>
          <t>Cambic 15</t>
        </is>
      </c>
      <c r="E235" t="inlineStr">
        <is>
          <t>แผง 10 เม็ด</t>
        </is>
      </c>
      <c r="F235" t="inlineStr">
        <is>
          <t>Meloxicam 15 mg.</t>
        </is>
      </c>
      <c r="G235" t="inlineStr">
        <is>
          <t>BDS008116</t>
        </is>
      </c>
      <c r="H235" t="inlineStr">
        <is>
          <t>Cambic 15 (10 tabs)</t>
        </is>
      </c>
      <c r="I235" t="inlineStr">
        <is>
          <t>รับประทานครั้งละ 1 เม็ด วันละ 1 ครั้ง หลังอาหารทันที</t>
        </is>
      </c>
      <c r="P235" t="inlineStr">
        <is>
          <t>NSAIDs (oral anti-inflammatory painkillers)</t>
        </is>
      </c>
    </row>
    <row r="236">
      <c r="A236" t="n">
        <v>234</v>
      </c>
      <c r="B236" t="inlineStr">
        <is>
          <t>ยาแก้ปวดอักเสบกลุ่ม NSAIDs (D)</t>
        </is>
      </c>
      <c r="C236" t="n">
        <v>41402</v>
      </c>
      <c r="D236" t="inlineStr">
        <is>
          <t>Cataflam 50 mg</t>
        </is>
      </c>
      <c r="E236" t="inlineStr">
        <is>
          <t>แผง 10 เม็ด</t>
        </is>
      </c>
      <c r="F236" t="inlineStr">
        <is>
          <t>Diclofenac Potassium 50 mg</t>
        </is>
      </c>
      <c r="G236" t="inlineStr">
        <is>
          <t>BDS041402</t>
        </is>
      </c>
      <c r="H236" t="inlineStr">
        <is>
          <t>Cataflam 50 mg (10 tabs)</t>
        </is>
      </c>
      <c r="I236" t="inlineStr">
        <is>
          <t>รับประทานครั้งละ 1 เม็ด วันละ 1-2 ครั้ง หลังอาหารทันที หรือตามแพทย์สั่ง</t>
        </is>
      </c>
      <c r="P236" t="inlineStr">
        <is>
          <t>NSAIDs (oral anti-inflammatory painkillers)</t>
        </is>
      </c>
    </row>
    <row r="237">
      <c r="A237" t="n">
        <v>235</v>
      </c>
      <c r="B237" t="inlineStr">
        <is>
          <t>ยาแก้ปวดอักเสบกลุ่ม NSAIDs (D)</t>
        </is>
      </c>
      <c r="C237" t="n">
        <v>7035</v>
      </c>
      <c r="D237" t="inlineStr">
        <is>
          <t>Catanac 50 mg</t>
        </is>
      </c>
      <c r="E237" t="inlineStr">
        <is>
          <t>แผง 10 เม็ด</t>
        </is>
      </c>
      <c r="F237" t="inlineStr">
        <is>
          <t>Diclofenac Potassium 50 mg.</t>
        </is>
      </c>
      <c r="G237" t="inlineStr">
        <is>
          <t>BDS007035</t>
        </is>
      </c>
      <c r="H237" t="inlineStr">
        <is>
          <t>Catanac 50 mg (10 tabs)</t>
        </is>
      </c>
      <c r="I237" t="inlineStr">
        <is>
          <t>รับประทานครั้งละ 1 เม็ด วันละ 3 ครั้ง หลังอาหารทันที</t>
        </is>
      </c>
      <c r="P237" t="inlineStr">
        <is>
          <t>NSAIDs (oral anti-inflammatory painkillers)</t>
        </is>
      </c>
    </row>
    <row r="238">
      <c r="A238" t="n">
        <v>236</v>
      </c>
      <c r="B238" t="inlineStr">
        <is>
          <t>ยาแก้ปวดอักเสบกลุ่ม NSAIDs (D)</t>
        </is>
      </c>
      <c r="C238" t="n">
        <v>1509</v>
      </c>
      <c r="D238" t="inlineStr">
        <is>
          <t>Celebrex 200 mg</t>
        </is>
      </c>
      <c r="E238" t="inlineStr">
        <is>
          <t>กล่อง 10 แคปซูล</t>
        </is>
      </c>
      <c r="F238" t="inlineStr">
        <is>
          <t>Celecoxib 200 mg.</t>
        </is>
      </c>
      <c r="G238" t="inlineStr">
        <is>
          <t>BDS001509</t>
        </is>
      </c>
      <c r="H238" t="inlineStr">
        <is>
          <t>Celebrex 200 mg (10 cap)</t>
        </is>
      </c>
      <c r="I238" t="inlineStr">
        <is>
          <t>รับประทานครั้งละ 1 แคปซูล วันละ 2 ครั้ง หลังอาหารทันที</t>
        </is>
      </c>
      <c r="P238" t="inlineStr">
        <is>
          <t>NSAIDs (oral anti-inflammatory painkillers)</t>
        </is>
      </c>
    </row>
    <row r="239">
      <c r="A239" t="n">
        <v>237</v>
      </c>
      <c r="B239" t="inlineStr">
        <is>
          <t>ยาแก้ปวดอักเสบกลุ่ม NSAIDs (D)</t>
        </is>
      </c>
      <c r="C239" t="n">
        <v>1507</v>
      </c>
      <c r="D239" t="inlineStr">
        <is>
          <t>Celebrex 400 mg</t>
        </is>
      </c>
      <c r="E239" t="inlineStr">
        <is>
          <t>กล่อง 10 แคปซูล</t>
        </is>
      </c>
      <c r="F239" t="inlineStr">
        <is>
          <t>Celecoxib 400 mg.</t>
        </is>
      </c>
      <c r="G239" t="inlineStr">
        <is>
          <t>BDS001507</t>
        </is>
      </c>
      <c r="H239" t="inlineStr">
        <is>
          <t>Celebrex 400 mg (10 cap)</t>
        </is>
      </c>
      <c r="I239" t="inlineStr">
        <is>
          <t>รับประทานครั้งละ 1 แคปซูล วันละ 1 ครั้ง หลังอาหารทันที</t>
        </is>
      </c>
      <c r="P239" t="inlineStr">
        <is>
          <t>NSAIDs (oral anti-inflammatory painkillers)</t>
        </is>
      </c>
    </row>
    <row r="240">
      <c r="A240" t="n">
        <v>238</v>
      </c>
      <c r="B240" t="inlineStr">
        <is>
          <t>ยาแก้ปวดอักเสบกลุ่ม NSAIDs (D)</t>
        </is>
      </c>
      <c r="C240" t="n">
        <v>1822</v>
      </c>
      <c r="D240" t="inlineStr">
        <is>
          <t>Dosanac 25</t>
        </is>
      </c>
      <c r="E240" t="inlineStr">
        <is>
          <t>กล่อง 10 เม็ด</t>
        </is>
      </c>
      <c r="F240" t="inlineStr">
        <is>
          <t>Diclofenac Sodium 25 mg.</t>
        </is>
      </c>
      <c r="G240" t="inlineStr">
        <is>
          <t>BDS001822</t>
        </is>
      </c>
      <c r="H240" t="inlineStr">
        <is>
          <t>Dosanac 25 (10 tabs)</t>
        </is>
      </c>
      <c r="I240" t="inlineStr">
        <is>
          <t>รับประทานครั้งละ 1-2 เม็ด วันละ 3 ครั้ง หลังอาหารทันที หรือตามแพทย์สั่ง</t>
        </is>
      </c>
      <c r="P240" t="inlineStr">
        <is>
          <t>NSAIDs (oral anti-inflammatory painkillers)</t>
        </is>
      </c>
    </row>
    <row r="241">
      <c r="A241" t="n">
        <v>239</v>
      </c>
      <c r="B241" t="inlineStr">
        <is>
          <t>ยาแก้ปวดอักเสบกลุ่ม NSAIDs (D)</t>
        </is>
      </c>
      <c r="C241" t="n">
        <v>1824</v>
      </c>
      <c r="D241" t="inlineStr">
        <is>
          <t>Dosanac 50</t>
        </is>
      </c>
      <c r="E241" t="inlineStr">
        <is>
          <t>กล่อง 10 เม็ด</t>
        </is>
      </c>
      <c r="F241" t="inlineStr">
        <is>
          <t>Diclofenac Sodium 50 mg.</t>
        </is>
      </c>
      <c r="G241" t="inlineStr">
        <is>
          <t>BDS001824</t>
        </is>
      </c>
      <c r="H241" t="inlineStr">
        <is>
          <t>Dosanac 50 (10 tabs)</t>
        </is>
      </c>
      <c r="I241" t="inlineStr">
        <is>
          <t>รับประทานครั้งละ 1 เม็ดวันละ 3 ครั้ง หลังอาหารทันที หรือตามแพทย์สั่ง</t>
        </is>
      </c>
      <c r="P241" t="inlineStr">
        <is>
          <t>NSAIDs (oral anti-inflammatory painkillers)</t>
        </is>
      </c>
    </row>
    <row r="242">
      <c r="A242" t="n">
        <v>240</v>
      </c>
      <c r="B242" t="inlineStr">
        <is>
          <t>ยาแก้ปวดอักเสบกลุ่ม NSAIDs (D)</t>
        </is>
      </c>
      <c r="C242" t="n">
        <v>42806</v>
      </c>
      <c r="D242" t="inlineStr">
        <is>
          <t>Eberil 120</t>
        </is>
      </c>
      <c r="E242" t="inlineStr">
        <is>
          <t>กล่อง 5 เม็ด</t>
        </is>
      </c>
      <c r="F242" t="inlineStr">
        <is>
          <t>Etoricoxib 120 mg.</t>
        </is>
      </c>
      <c r="G242" t="inlineStr">
        <is>
          <t>BDS042806</t>
        </is>
      </c>
      <c r="H242" t="inlineStr">
        <is>
          <t>Eberil 120 (5 tabs)</t>
        </is>
      </c>
      <c r="I242" t="inlineStr">
        <is>
          <t>รับประทานครั้งละ 1 เม็ด วันละ 1 ครั้ง หลังอาหารทันที</t>
        </is>
      </c>
      <c r="P242" t="inlineStr">
        <is>
          <t>NSAIDs (oral anti-inflammatory painkillers)</t>
        </is>
      </c>
    </row>
    <row r="243">
      <c r="A243" t="n">
        <v>241</v>
      </c>
      <c r="B243" t="inlineStr">
        <is>
          <t>ยาแก้ปวดอักเสบกลุ่ม NSAIDs (D)</t>
        </is>
      </c>
      <c r="C243" t="n">
        <v>8061</v>
      </c>
      <c r="D243" t="inlineStr">
        <is>
          <t>Felcam</t>
        </is>
      </c>
      <c r="E243" t="inlineStr">
        <is>
          <t>แผง 10 เม็ด</t>
        </is>
      </c>
      <c r="F243" t="inlineStr">
        <is>
          <t>Piroxicam 20 mg.</t>
        </is>
      </c>
      <c r="G243" t="inlineStr">
        <is>
          <t>BDS008061</t>
        </is>
      </c>
      <c r="H243" t="inlineStr">
        <is>
          <t>Felcam (10 tabs)</t>
        </is>
      </c>
      <c r="I243" t="inlineStr">
        <is>
          <t>รับประทานครั้งละ 1 เม็ด วันละ 1-2 ครั้ง หลังอาหารทันที</t>
        </is>
      </c>
      <c r="P243" t="inlineStr">
        <is>
          <t>NSAIDs (oral anti-inflammatory painkillers)</t>
        </is>
      </c>
    </row>
    <row r="244">
      <c r="A244" t="n">
        <v>242</v>
      </c>
      <c r="B244" t="inlineStr">
        <is>
          <t>ยาแก้ปวดอักเสบกลุ่ม NSAIDs (D)</t>
        </is>
      </c>
      <c r="C244" t="n">
        <v>7602</v>
      </c>
      <c r="D244" t="inlineStr">
        <is>
          <t>Felcam Capsule</t>
        </is>
      </c>
      <c r="E244" t="inlineStr">
        <is>
          <t>แผง 10 แคปซูล</t>
        </is>
      </c>
      <c r="F244" t="inlineStr">
        <is>
          <t>Piroxicam 10 mg.</t>
        </is>
      </c>
      <c r="G244" t="inlineStr">
        <is>
          <t>BDS007602</t>
        </is>
      </c>
      <c r="H244" t="inlineStr">
        <is>
          <t>Felcam Capsule (10 cap)</t>
        </is>
      </c>
      <c r="I244" t="inlineStr">
        <is>
          <t>รับประทานครั้งละ 1-2 แคปซูล วันละ 2 ครั้ง หลังอาหารทันที</t>
        </is>
      </c>
      <c r="P244" t="inlineStr">
        <is>
          <t>NSAIDs (oral anti-inflammatory painkillers)</t>
        </is>
      </c>
    </row>
    <row r="245">
      <c r="A245" t="n">
        <v>243</v>
      </c>
      <c r="B245" t="inlineStr">
        <is>
          <t>ยาแก้ปวดอักเสบกลุ่ม NSAIDs (D)</t>
        </is>
      </c>
      <c r="C245" t="n">
        <v>44250</v>
      </c>
      <c r="D245" t="inlineStr">
        <is>
          <t>Japrolox tabslets</t>
        </is>
      </c>
      <c r="E245" t="inlineStr">
        <is>
          <t>กล่อง 20 เม็ด</t>
        </is>
      </c>
      <c r="F245" t="inlineStr">
        <is>
          <t>Loxoprofen sodium 60 mg.</t>
        </is>
      </c>
      <c r="G245" t="inlineStr">
        <is>
          <t>BDS044250</t>
        </is>
      </c>
      <c r="H245" t="inlineStr">
        <is>
          <t>Japrolox tabslets (20 tabs)</t>
        </is>
      </c>
      <c r="I245" t="inlineStr">
        <is>
          <t>รับประทานครั้งละ 1 เม็ด วันละ 3 ครั้ง หลังอาหารทันที</t>
        </is>
      </c>
      <c r="P245" t="inlineStr">
        <is>
          <t>NSAIDs (oral anti-inflammatory painkillers)</t>
        </is>
      </c>
    </row>
    <row r="246">
      <c r="A246" t="n">
        <v>244</v>
      </c>
      <c r="B246" t="inlineStr">
        <is>
          <t>ยาแก้ปวดอักเสบกลุ่ม NSAIDs (D)</t>
        </is>
      </c>
      <c r="C246" t="n">
        <v>44900</v>
      </c>
      <c r="D246" t="inlineStr">
        <is>
          <t>Mefamed 500</t>
        </is>
      </c>
      <c r="E246" t="inlineStr">
        <is>
          <t>แผง 10 เม็ด</t>
        </is>
      </c>
      <c r="F246" t="inlineStr">
        <is>
          <t>Mefenamic acid 500 mg.</t>
        </is>
      </c>
      <c r="G246" t="inlineStr">
        <is>
          <t>BDS044900</t>
        </is>
      </c>
      <c r="H246" t="inlineStr">
        <is>
          <t>Mefamed 500 (10 tabs)</t>
        </is>
      </c>
      <c r="I246" t="inlineStr">
        <is>
          <t xml:space="preserve">รับประทานครั้งละ 1 เม็ด วันละ 3 ครั้ง หลังอาหารทันที </t>
        </is>
      </c>
      <c r="P246" t="inlineStr">
        <is>
          <t>NSAIDs (oral anti-inflammatory painkillers)</t>
        </is>
      </c>
    </row>
    <row r="247">
      <c r="A247" t="n">
        <v>245</v>
      </c>
      <c r="B247" t="inlineStr">
        <is>
          <t>ยาแก้ปวดอักเสบกลุ่ม NSAIDs (D)</t>
        </is>
      </c>
      <c r="C247" t="n">
        <v>2669</v>
      </c>
      <c r="D247" t="inlineStr">
        <is>
          <t>Melcam</t>
        </is>
      </c>
      <c r="E247" t="inlineStr">
        <is>
          <t>แผง 10 เม็ด</t>
        </is>
      </c>
      <c r="F247" t="inlineStr">
        <is>
          <t>Meloxicam 7.5 mg.</t>
        </is>
      </c>
      <c r="G247" t="inlineStr">
        <is>
          <t>BDS002669</t>
        </is>
      </c>
      <c r="H247" t="inlineStr">
        <is>
          <t>Melcam (10 tabs)</t>
        </is>
      </c>
      <c r="I247" t="inlineStr">
        <is>
          <t>รับประทานครั้งละ 1 เม็ด  วันละ 1-2 ครั้ง หลังอาหารทันที</t>
        </is>
      </c>
      <c r="P247" t="inlineStr">
        <is>
          <t>NSAIDs (oral anti-inflammatory painkillers)</t>
        </is>
      </c>
    </row>
    <row r="248">
      <c r="A248" t="n">
        <v>246</v>
      </c>
      <c r="B248" t="inlineStr">
        <is>
          <t>ยาแก้ปวดอักเสบกลุ่ม NSAIDs (D)</t>
        </is>
      </c>
      <c r="C248" t="n">
        <v>44909</v>
      </c>
      <c r="D248" t="inlineStr">
        <is>
          <t xml:space="preserve">Meomic 500 </t>
        </is>
      </c>
      <c r="E248" t="inlineStr">
        <is>
          <t>แผง 10 เม็ด</t>
        </is>
      </c>
      <c r="F248" t="inlineStr">
        <is>
          <t>Mefenamic acid 500 mg.</t>
        </is>
      </c>
      <c r="G248" t="inlineStr">
        <is>
          <t>BDS044909</t>
        </is>
      </c>
      <c r="H248" t="inlineStr">
        <is>
          <t>Meomic 500  (10 tabs)</t>
        </is>
      </c>
      <c r="I248" t="inlineStr">
        <is>
          <t xml:space="preserve">รับประทานครั้งละ 1 เม็ด วันละ 3 ครั้ง หลังอาหารทันที </t>
        </is>
      </c>
      <c r="P248" t="inlineStr">
        <is>
          <t>NSAIDs (oral anti-inflammatory painkillers)</t>
        </is>
      </c>
    </row>
    <row r="249">
      <c r="A249" t="n">
        <v>247</v>
      </c>
      <c r="B249" t="inlineStr">
        <is>
          <t>ยาแก้ปวดอักเสบกลุ่ม NSAIDs (D)</t>
        </is>
      </c>
      <c r="C249" t="n">
        <v>2642</v>
      </c>
      <c r="D249" t="inlineStr">
        <is>
          <t>Mobic 7.5 mg</t>
        </is>
      </c>
      <c r="E249" t="inlineStr">
        <is>
          <t>แผง 10  เม็ด</t>
        </is>
      </c>
      <c r="F249" t="inlineStr">
        <is>
          <t>Meloxicam 7.5 mg.</t>
        </is>
      </c>
      <c r="G249" t="inlineStr">
        <is>
          <t>BDS002642</t>
        </is>
      </c>
      <c r="H249" t="inlineStr">
        <is>
          <t>Mobic 7.5 mg (10 tabs)</t>
        </is>
      </c>
      <c r="I249" t="inlineStr">
        <is>
          <t>รับประทานครั้งละ 1-2 เม็ด วันละ 1-2 ครั้ง หลังอาหารทันที</t>
        </is>
      </c>
      <c r="P249" t="inlineStr">
        <is>
          <t>NSAIDs (oral anti-inflammatory painkillers)</t>
        </is>
      </c>
    </row>
    <row r="250">
      <c r="A250" t="n">
        <v>248</v>
      </c>
      <c r="B250" t="inlineStr">
        <is>
          <t>ยาแก้ปวดอักเสบกลุ่ม NSAIDs (D)</t>
        </is>
      </c>
      <c r="C250" t="n">
        <v>45624</v>
      </c>
      <c r="D250" t="inlineStr">
        <is>
          <t>Naprofazt</t>
        </is>
      </c>
      <c r="E250" t="inlineStr">
        <is>
          <t>แผง 10 แคปซูล</t>
        </is>
      </c>
      <c r="F250" t="inlineStr">
        <is>
          <t>Naproxen (as Naproxen Sodium) 250 mg.</t>
        </is>
      </c>
      <c r="G250" t="inlineStr">
        <is>
          <t>BDS045624</t>
        </is>
      </c>
      <c r="H250" t="inlineStr">
        <is>
          <t>Naprofazt (10 cap)</t>
        </is>
      </c>
      <c r="I250" t="inlineStr">
        <is>
          <t>รับประทานครั้งละ 1 แคปซูล วันละ 2 ครั้ง หลังอาหารทันที</t>
        </is>
      </c>
      <c r="P250" t="inlineStr">
        <is>
          <t>NSAIDs (oral anti-inflammatory painkillers)</t>
        </is>
      </c>
    </row>
    <row r="251">
      <c r="A251" t="n">
        <v>249</v>
      </c>
      <c r="B251" t="inlineStr">
        <is>
          <t>ยาแก้ปวดอักเสบกลุ่ม NSAIDs (D)</t>
        </is>
      </c>
      <c r="C251" t="n">
        <v>7214</v>
      </c>
      <c r="D251" t="inlineStr">
        <is>
          <t>Naproflex</t>
        </is>
      </c>
      <c r="E251" t="inlineStr">
        <is>
          <t>แผง 6 เม็ด</t>
        </is>
      </c>
      <c r="F251" t="inlineStr">
        <is>
          <t>Naproxen sodium 275 mg.</t>
        </is>
      </c>
      <c r="G251" t="inlineStr">
        <is>
          <t>BDS007214</t>
        </is>
      </c>
      <c r="H251" t="inlineStr">
        <is>
          <t>Naproflex (6 tabs)</t>
        </is>
      </c>
      <c r="I251" t="inlineStr">
        <is>
          <t>รับประทานครั้งละ 1 เม็ด วันละ 2 ครั้ง หลังอาหารทันที</t>
        </is>
      </c>
      <c r="P251" t="inlineStr">
        <is>
          <t>NSAIDs (oral anti-inflammatory painkillers)</t>
        </is>
      </c>
    </row>
    <row r="252">
      <c r="A252" t="n">
        <v>250</v>
      </c>
      <c r="B252" t="inlineStr">
        <is>
          <t>ยาแก้ปวดอักเสบกลุ่ม NSAIDs (D)</t>
        </is>
      </c>
      <c r="C252" t="n">
        <v>7576</v>
      </c>
      <c r="D252" t="inlineStr">
        <is>
          <t>Naprosian</t>
        </is>
      </c>
      <c r="E252" t="inlineStr">
        <is>
          <t>แผง 10 เม็ด</t>
        </is>
      </c>
      <c r="F252" t="inlineStr">
        <is>
          <t>Naproxen 250 mg.</t>
        </is>
      </c>
      <c r="G252" t="inlineStr">
        <is>
          <t>BDS007576</t>
        </is>
      </c>
      <c r="H252" t="inlineStr">
        <is>
          <t>Naprosian (10 tabs)</t>
        </is>
      </c>
      <c r="I252" t="inlineStr">
        <is>
          <t>รับประทานครั้งละ 1 เม็ด วันละ 2 ครั้ง หลังอาหารทันที</t>
        </is>
      </c>
      <c r="P252" t="inlineStr">
        <is>
          <t>NSAIDs (oral anti-inflammatory painkillers)</t>
        </is>
      </c>
    </row>
    <row r="253">
      <c r="A253" t="n">
        <v>251</v>
      </c>
      <c r="B253" t="inlineStr">
        <is>
          <t>ยาแก้ปวดอักเสบกลุ่ม NSAIDs (D)</t>
        </is>
      </c>
      <c r="C253" t="n">
        <v>3422</v>
      </c>
      <c r="D253" t="inlineStr">
        <is>
          <t>Pircam 20 mg</t>
        </is>
      </c>
      <c r="E253" t="inlineStr">
        <is>
          <t>แผง 10 แคปซูล</t>
        </is>
      </c>
      <c r="F253" t="inlineStr">
        <is>
          <t>Piroxicam 20 mg.</t>
        </is>
      </c>
      <c r="G253" t="inlineStr">
        <is>
          <t>BDS003422</t>
        </is>
      </c>
      <c r="H253" t="inlineStr">
        <is>
          <t>Pircam 20 mg (10 cap)</t>
        </is>
      </c>
      <c r="I253" t="inlineStr">
        <is>
          <t>รับประทานครั้งละ 1 แคปซูล วันละ 2 ครั้ง หลังอาหารทันที</t>
        </is>
      </c>
      <c r="P253" t="inlineStr">
        <is>
          <t>NSAIDs (oral anti-inflammatory painkillers)</t>
        </is>
      </c>
    </row>
    <row r="254">
      <c r="A254" t="n">
        <v>252</v>
      </c>
      <c r="B254" t="inlineStr">
        <is>
          <t>ยาแก้ปวดอักเสบกลุ่ม NSAIDs (D)</t>
        </is>
      </c>
      <c r="C254" t="n">
        <v>3131</v>
      </c>
      <c r="D254" t="inlineStr">
        <is>
          <t>Ponstan 500 mg</t>
        </is>
      </c>
      <c r="E254" t="inlineStr">
        <is>
          <t>แผง 10 เม็ด</t>
        </is>
      </c>
      <c r="F254" t="inlineStr">
        <is>
          <t>Mefenamic acid 500 mg.</t>
        </is>
      </c>
      <c r="G254" t="inlineStr">
        <is>
          <t>BDS003131</t>
        </is>
      </c>
      <c r="H254" t="inlineStr">
        <is>
          <t>Ponstan 500 mg (10 tabs)</t>
        </is>
      </c>
      <c r="I254" t="inlineStr">
        <is>
          <t>รับประทานครั้งละ 1 เม็ด วันละ 3 ครั้ง หลังอาหารทันที</t>
        </is>
      </c>
      <c r="P254" t="inlineStr">
        <is>
          <t>NSAIDs (oral anti-inflammatory painkillers)</t>
        </is>
      </c>
    </row>
    <row r="255">
      <c r="A255" t="n">
        <v>253</v>
      </c>
      <c r="B255" t="inlineStr">
        <is>
          <t>ยาแก้ปวดอักเสบกลุ่ม NSAIDs (D)</t>
        </is>
      </c>
      <c r="C255" t="n">
        <v>47654</v>
      </c>
      <c r="D255" t="inlineStr">
        <is>
          <t>Soproxen</t>
        </is>
      </c>
      <c r="E255" t="inlineStr">
        <is>
          <t>แผง 10 เม็ด</t>
        </is>
      </c>
      <c r="F255" t="inlineStr">
        <is>
          <t>Naproxen sodium 275 mg. (eq. to Naproxen 250 mg.)</t>
        </is>
      </c>
      <c r="G255" t="inlineStr">
        <is>
          <t>BDS047654</t>
        </is>
      </c>
      <c r="H255" t="inlineStr">
        <is>
          <t>Soproxen (10 tabs)</t>
        </is>
      </c>
      <c r="I255" t="inlineStr">
        <is>
          <t>รับประทานครั้งละ 1 เม็ด วันละ 2 ครั้ง หลังอาหารทันที</t>
        </is>
      </c>
      <c r="P255" t="inlineStr">
        <is>
          <t>NSAIDs (oral anti-inflammatory painkillers)</t>
        </is>
      </c>
    </row>
    <row r="256">
      <c r="A256" t="n">
        <v>254</v>
      </c>
      <c r="B256" t="inlineStr">
        <is>
          <t>ยาแก้ปวดอักเสบกลุ่ม NSAIDs (D)</t>
        </is>
      </c>
      <c r="C256" t="n">
        <v>3581</v>
      </c>
      <c r="D256" t="inlineStr">
        <is>
          <t>S-Pro 600</t>
        </is>
      </c>
      <c r="E256" t="inlineStr">
        <is>
          <t>แผง 10 เม็ด</t>
        </is>
      </c>
      <c r="F256" t="inlineStr">
        <is>
          <t>Ibuprofen 600 mg.</t>
        </is>
      </c>
      <c r="G256" t="inlineStr">
        <is>
          <t>BDS003581</t>
        </is>
      </c>
      <c r="H256" t="inlineStr">
        <is>
          <t>S-Pro 600 (10 tabs)</t>
        </is>
      </c>
      <c r="I256" t="inlineStr">
        <is>
          <t>รับประทานครั้งละ 1 เม็ด ทุก 6 ชั่วโมง เมื่อมีอาการ</t>
        </is>
      </c>
      <c r="P256" t="inlineStr">
        <is>
          <t>NSAIDs (oral anti-inflammatory painkillers)</t>
        </is>
      </c>
    </row>
    <row r="257">
      <c r="A257" t="n">
        <v>255</v>
      </c>
      <c r="B257" t="inlineStr">
        <is>
          <t>ยาแก้ปวดอักเสบกลุ่ม NSAIDs (D)</t>
        </is>
      </c>
      <c r="C257" t="n">
        <v>3599</v>
      </c>
      <c r="D257" t="inlineStr">
        <is>
          <t>Subsyde-CR</t>
        </is>
      </c>
      <c r="E257" t="inlineStr">
        <is>
          <t>แผง 10 แคปซูล</t>
        </is>
      </c>
      <c r="F257" t="inlineStr">
        <is>
          <t>Diclofenac Sodium 100 mg. (Controlled Release cap)</t>
        </is>
      </c>
      <c r="G257" t="inlineStr">
        <is>
          <t>BDS003599</t>
        </is>
      </c>
      <c r="H257" t="inlineStr">
        <is>
          <t>Subsyde-CR (10 cap)</t>
        </is>
      </c>
      <c r="I257" t="inlineStr">
        <is>
          <t>รับประทานครั้งละ 1 แคปซูล วันละ 1 ครั้ง หลังอาหารทันที</t>
        </is>
      </c>
      <c r="P257" t="inlineStr">
        <is>
          <t>NSAIDs (oral anti-inflammatory painkillers)</t>
        </is>
      </c>
    </row>
    <row r="258">
      <c r="A258" t="n">
        <v>256</v>
      </c>
      <c r="B258" t="inlineStr">
        <is>
          <t>ยาแก้ปวดอักเสบกลุ่ม NSAIDs (D)</t>
        </is>
      </c>
      <c r="C258" t="n">
        <v>3568</v>
      </c>
      <c r="D258" t="inlineStr">
        <is>
          <t>Synflex</t>
        </is>
      </c>
      <c r="E258" t="inlineStr">
        <is>
          <t>แผง 6 เม็ด</t>
        </is>
      </c>
      <c r="F258" t="inlineStr">
        <is>
          <t>Naproxen sodium 275 mg.</t>
        </is>
      </c>
      <c r="G258" t="inlineStr">
        <is>
          <t>BDS003568</t>
        </is>
      </c>
      <c r="H258" t="inlineStr">
        <is>
          <t>Synflex (6 tabs)</t>
        </is>
      </c>
      <c r="I258" t="inlineStr">
        <is>
          <t xml:space="preserve">รับประทานครั้งละ 1 เม็ด วันละ 2 ครั้ง หลังอาหารทันที </t>
        </is>
      </c>
      <c r="P258" t="inlineStr">
        <is>
          <t>NSAIDs (oral anti-inflammatory painkillers)</t>
        </is>
      </c>
    </row>
    <row r="259">
      <c r="A259" t="n">
        <v>257</v>
      </c>
      <c r="B259" t="inlineStr">
        <is>
          <t>ยาแก้ปวดอักเสบกลุ่ม NSAIDs (D)</t>
        </is>
      </c>
      <c r="C259" t="n">
        <v>49251</v>
      </c>
      <c r="D259" t="inlineStr">
        <is>
          <t>Voltaren SR 100 mg</t>
        </is>
      </c>
      <c r="E259" t="inlineStr">
        <is>
          <t>แผง 10 เม็ด</t>
        </is>
      </c>
      <c r="F259" t="inlineStr">
        <is>
          <t>Diclofenac Sodium 100 mg.</t>
        </is>
      </c>
      <c r="G259" t="inlineStr">
        <is>
          <t>BDS049251</t>
        </is>
      </c>
      <c r="H259" t="inlineStr">
        <is>
          <t>Voltaren SR 100 mg (10 tabs)</t>
        </is>
      </c>
      <c r="I259" t="inlineStr">
        <is>
          <t>รับประทานครั้งละ 1 เม็ด วันละ 1 ครั้ง หลังอาหารทันที</t>
        </is>
      </c>
      <c r="P259" t="inlineStr">
        <is>
          <t>NSAIDs (oral anti-inflammatory painkillers)</t>
        </is>
      </c>
    </row>
    <row r="260">
      <c r="A260" t="n">
        <v>258</v>
      </c>
      <c r="B260" t="inlineStr">
        <is>
          <t>ยาแก้ปวดอักเสบกลุ่ม NSAIDs (D)</t>
        </is>
      </c>
      <c r="C260" t="n">
        <v>4052</v>
      </c>
      <c r="D260" t="inlineStr">
        <is>
          <t>Voltaren SR 75 mg</t>
        </is>
      </c>
      <c r="E260" t="inlineStr">
        <is>
          <t>แผง 10 เม็ด</t>
        </is>
      </c>
      <c r="F260" t="inlineStr">
        <is>
          <t>Diclofenac Sodium 75 mg.</t>
        </is>
      </c>
      <c r="G260" t="inlineStr">
        <is>
          <t>BDS004052</t>
        </is>
      </c>
      <c r="H260" t="inlineStr">
        <is>
          <t>Voltaren SR 75 mg (10 tabs)</t>
        </is>
      </c>
      <c r="I260" t="inlineStr">
        <is>
          <t>รับประทานครั้งละ 1-2 เม็ด วันละ 1 ครั้ง หลังอาหารทันที</t>
        </is>
      </c>
      <c r="P260" t="inlineStr">
        <is>
          <t>NSAIDs (oral anti-inflammatory painkillers)</t>
        </is>
      </c>
    </row>
    <row r="261">
      <c r="A261" t="n">
        <v>259</v>
      </c>
      <c r="B261" t="inlineStr">
        <is>
          <t>ยาแก้ปวดอักเสบกลุ่ม NSAIDs (D)</t>
        </is>
      </c>
      <c r="C261" t="n">
        <v>4041</v>
      </c>
      <c r="D261" t="inlineStr">
        <is>
          <t>Voltaren-25</t>
        </is>
      </c>
      <c r="E261" t="inlineStr">
        <is>
          <t>แผง 10 เม็ด</t>
        </is>
      </c>
      <c r="F261" t="inlineStr">
        <is>
          <t>Diclofenac Sodium 25 mg.</t>
        </is>
      </c>
      <c r="G261" t="inlineStr">
        <is>
          <t>BDS004041</t>
        </is>
      </c>
      <c r="H261" t="inlineStr">
        <is>
          <t>Voltaren-25 (10 tabs)</t>
        </is>
      </c>
      <c r="I261" t="inlineStr">
        <is>
          <t>รับประทานครั้งละ 1-2 เม็ด วันละ 3 ครั้ง หลังอาหารทันที</t>
        </is>
      </c>
      <c r="P261" t="inlineStr">
        <is>
          <t>NSAIDs (oral anti-inflammatory painkillers)</t>
        </is>
      </c>
    </row>
    <row r="262">
      <c r="A262" t="n">
        <v>260</v>
      </c>
      <c r="B262" t="inlineStr">
        <is>
          <t>ยาแก้ปวดอักเสบกลุ่ม NSAIDs (D)</t>
        </is>
      </c>
      <c r="C262" t="n">
        <v>49777</v>
      </c>
      <c r="D262" t="inlineStr">
        <is>
          <t>Zobrex</t>
        </is>
      </c>
      <c r="E262" t="inlineStr">
        <is>
          <t>กล่อง 10 แคปซูล</t>
        </is>
      </c>
      <c r="F262" t="inlineStr">
        <is>
          <t>Celecoxib 200 mg.</t>
        </is>
      </c>
      <c r="G262" t="inlineStr">
        <is>
          <t>BDS049777</t>
        </is>
      </c>
      <c r="H262" t="inlineStr">
        <is>
          <t>Zobrex (10 cap)</t>
        </is>
      </c>
      <c r="I262" t="inlineStr">
        <is>
          <t xml:space="preserve">รับประทานครั้งละ 1-2 แคปซูล วันละ 1 ครั้ง หลังอาหารทันที หรือตามแพทย์สั่ง </t>
        </is>
      </c>
      <c r="P262" t="inlineStr">
        <is>
          <t>NSAIDs (oral anti-inflammatory painkillers)</t>
        </is>
      </c>
    </row>
    <row r="263">
      <c r="A263" t="n">
        <v>261</v>
      </c>
      <c r="B263" t="inlineStr">
        <is>
          <t>ยาแก้ท้องเสีย (D)</t>
        </is>
      </c>
      <c r="C263" t="n">
        <v>1248</v>
      </c>
      <c r="D263" t="inlineStr">
        <is>
          <t>Bioflor</t>
        </is>
      </c>
      <c r="E263" t="inlineStr">
        <is>
          <t>ซอง</t>
        </is>
      </c>
      <c r="F263" t="inlineStr">
        <is>
          <t>Lyophilized Saccharomyces boulardii 250 mg.</t>
        </is>
      </c>
      <c r="G263" t="inlineStr">
        <is>
          <t>BDS001248</t>
        </is>
      </c>
      <c r="H263" t="inlineStr">
        <is>
          <t>Bioflor (1 sachet)</t>
        </is>
      </c>
      <c r="I263" t="inlineStr">
        <is>
          <t>รับประทานครั้งละ 1 ซอง วันละ 2 ครั้ง</t>
        </is>
      </c>
    </row>
    <row r="264">
      <c r="A264" t="n">
        <v>262</v>
      </c>
      <c r="B264" t="inlineStr">
        <is>
          <t>ยาแก้ท้องเสีย (D)</t>
        </is>
      </c>
      <c r="C264" t="n">
        <v>1233</v>
      </c>
      <c r="D264" t="inlineStr">
        <is>
          <t>Bioflor Capsule</t>
        </is>
      </c>
      <c r="E264" t="inlineStr">
        <is>
          <t>แผง 5 แคปซูล</t>
        </is>
      </c>
      <c r="F264" t="inlineStr">
        <is>
          <t>Lyophilized Saccharomyces boulardii 250 mg.</t>
        </is>
      </c>
      <c r="G264" t="inlineStr">
        <is>
          <t>BDS001233</t>
        </is>
      </c>
      <c r="H264" t="inlineStr">
        <is>
          <t>Bioflor Capsule (5 cap)</t>
        </is>
      </c>
      <c r="I264" t="inlineStr">
        <is>
          <t>รับประทานครั้งละ 1-2 แคปซูล วันละ 1-2 ครั้ง</t>
        </is>
      </c>
    </row>
    <row r="265">
      <c r="A265" t="n">
        <v>263</v>
      </c>
      <c r="B265" t="inlineStr">
        <is>
          <t>ยาแก้ท้องเสีย (D)</t>
        </is>
      </c>
      <c r="C265" t="n">
        <v>42802</v>
      </c>
      <c r="D265" t="inlineStr">
        <is>
          <t>Erfuzide cap</t>
        </is>
      </c>
      <c r="E265" t="inlineStr">
        <is>
          <t>แผง 12 แคปซูล</t>
        </is>
      </c>
      <c r="F265" t="inlineStr">
        <is>
          <t>Nifuroxazide 200 mg</t>
        </is>
      </c>
      <c r="G265" t="inlineStr">
        <is>
          <t>BDS042802</t>
        </is>
      </c>
      <c r="H265" t="inlineStr">
        <is>
          <t>Erfuzide cap (12 cap)</t>
        </is>
      </c>
      <c r="I265" t="inlineStr">
        <is>
          <t xml:space="preserve">รับประทานครั้งละ 1-2 แคปซูล วันละ 4 ครั้ง </t>
        </is>
      </c>
    </row>
    <row r="266">
      <c r="A266" t="n">
        <v>264</v>
      </c>
      <c r="B266" t="inlineStr">
        <is>
          <t>ยาแก้ท้องเสีย (D)</t>
        </is>
      </c>
      <c r="C266" t="n">
        <v>43842</v>
      </c>
      <c r="D266" t="inlineStr">
        <is>
          <t>Hidrasec 100 mg.</t>
        </is>
      </c>
      <c r="E266" t="inlineStr">
        <is>
          <t>กล่อง 10 แคปซูล</t>
        </is>
      </c>
      <c r="F266" t="inlineStr">
        <is>
          <t>Racecadotril 100 mg.</t>
        </is>
      </c>
      <c r="G266" t="inlineStr">
        <is>
          <t>BDS043842</t>
        </is>
      </c>
      <c r="H266" t="inlineStr">
        <is>
          <t>Hidrasec 100 mg. (10 cap)</t>
        </is>
      </c>
      <c r="I266" t="inlineStr">
        <is>
          <t xml:space="preserve">รับประทานครั้งละ 1 แคปซูล ทุก 8 ชั่วโมง  </t>
        </is>
      </c>
    </row>
    <row r="267">
      <c r="A267" t="n">
        <v>265</v>
      </c>
      <c r="B267" t="inlineStr">
        <is>
          <t>ยาแก้ท้องเสีย (D)</t>
        </is>
      </c>
      <c r="C267" t="n">
        <v>2108</v>
      </c>
      <c r="D267" t="inlineStr">
        <is>
          <t>Hidrasec Paediatric 30 mg</t>
        </is>
      </c>
      <c r="E267" t="inlineStr">
        <is>
          <t>ซอง 3 g.</t>
        </is>
      </c>
      <c r="F267" t="inlineStr">
        <is>
          <t>Racecadotril 30 mg.</t>
        </is>
      </c>
      <c r="G267" t="inlineStr">
        <is>
          <t>BDS002108</t>
        </is>
      </c>
      <c r="H267" t="inlineStr">
        <is>
          <t>Hidrasec Paediatric 30 mg (3 g.)</t>
        </is>
      </c>
      <c r="I267" t="inlineStr">
        <is>
          <t xml:space="preserve">รับประทานครั้งละ 1 แคปซูล ทุก 8 ชั่วโมง  </t>
        </is>
      </c>
    </row>
    <row r="268">
      <c r="A268" t="n">
        <v>266</v>
      </c>
      <c r="B268" t="inlineStr">
        <is>
          <t>ยาฆ่าพยาธิ ชนิดน้ำ (D)</t>
        </is>
      </c>
      <c r="C268" t="n">
        <v>1231</v>
      </c>
      <c r="D268" t="inlineStr">
        <is>
          <t>Benda Syrup กลิ่นผลไม้รวม</t>
        </is>
      </c>
      <c r="E268" t="inlineStr">
        <is>
          <t>ขวด 30 ml.</t>
        </is>
      </c>
      <c r="F268" t="inlineStr">
        <is>
          <t>Mebendazole 100 mg./5 ml.</t>
        </is>
      </c>
      <c r="G268" t="inlineStr">
        <is>
          <t>BDS001231</t>
        </is>
      </c>
      <c r="H268" t="inlineStr">
        <is>
          <t>Benda Syrup กลิ่นผลไม้รวม (30 ml.)</t>
        </is>
      </c>
      <c r="I268" t="inlineStr">
        <is>
          <t>รับประทานครั้งละ 1 ช้อนชา วันละ 2 ครั้ง ติดต่อกัน 3 วัน</t>
        </is>
      </c>
      <c r="P268" t="inlineStr">
        <is>
          <t>Antiparasitics / deworming</t>
        </is>
      </c>
    </row>
    <row r="269">
      <c r="A269" t="n">
        <v>267</v>
      </c>
      <c r="B269" t="inlineStr">
        <is>
          <t>ยาฆ่าพยาธิ ชนิดน้ำ (D)</t>
        </is>
      </c>
      <c r="C269" t="n">
        <v>49775</v>
      </c>
      <c r="D269" t="inlineStr">
        <is>
          <t>Zenzera-200 Suspension</t>
        </is>
      </c>
      <c r="E269" t="inlineStr">
        <is>
          <t>ซอง 10 ml.</t>
        </is>
      </c>
      <c r="F269" t="inlineStr">
        <is>
          <t>Albendazole 200 mg./5 ml.</t>
        </is>
      </c>
      <c r="G269" t="inlineStr">
        <is>
          <t>BDS049775</t>
        </is>
      </c>
      <c r="H269" t="inlineStr">
        <is>
          <t>Zenzera-200 Suspension (10 ml.)</t>
        </is>
      </c>
      <c r="I269" t="inlineStr">
        <is>
          <t xml:space="preserve">รับประทานครั้งละ 10 ml. (1 ซอง) วันละ 2 ครั้ง ติดต่อกัน 3 วัน </t>
        </is>
      </c>
      <c r="P269" t="inlineStr">
        <is>
          <t>Antiparasitics / deworming</t>
        </is>
      </c>
    </row>
    <row r="270">
      <c r="A270" t="n">
        <v>268</v>
      </c>
      <c r="B270" t="inlineStr">
        <is>
          <t>ยาแก้ไอสูตรผสม (D)</t>
        </is>
      </c>
      <c r="C270" t="n">
        <v>7973</v>
      </c>
      <c r="D270" t="inlineStr">
        <is>
          <t>Fartussin (ควบคุมจำนวน)</t>
        </is>
      </c>
      <c r="E270" t="inlineStr">
        <is>
          <t>แผง 10 เม็ด</t>
        </is>
      </c>
      <c r="F270" t="inlineStr">
        <is>
          <t>Dextromethorphan HBr 15 mg.+Glyceryl Guaiacolate 100 mg.+Terpin Hydrate 130 mg.</t>
        </is>
      </c>
      <c r="G270" t="inlineStr">
        <is>
          <t>BDS007973</t>
        </is>
      </c>
      <c r="H270" t="inlineStr">
        <is>
          <t>Fartussin (ควบคุมจำนวน) (10 tabs)</t>
        </is>
      </c>
      <c r="I270" t="inlineStr">
        <is>
          <t>รับประทานครั้งละ 1-2 เม็ด วันละ 3-4 ครั้ง</t>
        </is>
      </c>
      <c r="P270" t="inlineStr">
        <is>
          <t>Cough medicines / mucolytics / expectorants</t>
        </is>
      </c>
    </row>
    <row r="271">
      <c r="A271" t="n">
        <v>269</v>
      </c>
      <c r="B271" t="inlineStr">
        <is>
          <t>ยาแก้ไอสูตรผสม (D)</t>
        </is>
      </c>
      <c r="C271" t="n">
        <v>8106</v>
      </c>
      <c r="D271" t="inlineStr">
        <is>
          <t>Kenya-I (ควบคุมจำนวน)</t>
        </is>
      </c>
      <c r="E271" t="inlineStr">
        <is>
          <t>แผง 10 เม็ด</t>
        </is>
      </c>
      <c r="F271" t="inlineStr">
        <is>
          <t>Dextromethorphan HBr 15 mg+Chlorpheniramine maleate 2 mg+Terpine hydrate 125 mg</t>
        </is>
      </c>
      <c r="G271" t="inlineStr">
        <is>
          <t>BDS008106</t>
        </is>
      </c>
      <c r="H271" t="inlineStr">
        <is>
          <t>Kenya-I (ควบคุมจำนวน) (10 tabs)</t>
        </is>
      </c>
      <c r="I271" t="inlineStr">
        <is>
          <t>รับประทานครั้งละ 1-2 เม็ด วันละ 3-4 ครั้ง</t>
        </is>
      </c>
      <c r="P271" t="inlineStr">
        <is>
          <t>Cough medicines / mucolytics / expectorants</t>
        </is>
      </c>
    </row>
    <row r="272">
      <c r="A272" t="n">
        <v>270</v>
      </c>
      <c r="B272" t="inlineStr">
        <is>
          <t>ยาแก้ไอสูตรผสม (D)</t>
        </is>
      </c>
      <c r="C272" t="n">
        <v>3112</v>
      </c>
      <c r="D272" t="inlineStr">
        <is>
          <t>Patar-Cap (ควบคุมจำนวน)</t>
        </is>
      </c>
      <c r="E272" t="inlineStr">
        <is>
          <t>แผง 10 แคปซูล</t>
        </is>
      </c>
      <c r="F272" t="inlineStr">
        <is>
          <t>Dextromethorphan 10 mg.+Guaifenesin 100 mg.</t>
        </is>
      </c>
      <c r="G272" t="inlineStr">
        <is>
          <t>BDS003112</t>
        </is>
      </c>
      <c r="H272" t="inlineStr">
        <is>
          <t>Patar-Cap (ควบคุมจำนวน) (10 cap)</t>
        </is>
      </c>
      <c r="I272" t="inlineStr">
        <is>
          <t>รับประทานครั้งละ 1-2 แคปซูล วันละ 3-4 ครั้ง</t>
        </is>
      </c>
      <c r="P272" t="inlineStr">
        <is>
          <t>Cough medicines / mucolytics / expectorants</t>
        </is>
      </c>
    </row>
    <row r="273">
      <c r="A273" t="n">
        <v>271</v>
      </c>
      <c r="B273" t="inlineStr">
        <is>
          <t>ยาแก้ไอสูตรผสม ชนิดน้ำ (D)</t>
        </is>
      </c>
      <c r="C273" t="n">
        <v>3416</v>
      </c>
      <c r="D273" t="inlineStr">
        <is>
          <t>Robitussin DM เล็ก (ควบคุมจำนวน)</t>
        </is>
      </c>
      <c r="E273" t="inlineStr">
        <is>
          <t>ขวด 60 ml.</t>
        </is>
      </c>
      <c r="F273" t="inlineStr">
        <is>
          <t>Guaifenesin 200 mg.+Dextromethorphan HBr 10 mg./5 ml.</t>
        </is>
      </c>
      <c r="G273" t="inlineStr">
        <is>
          <t>BDS003416</t>
        </is>
      </c>
      <c r="H273" t="inlineStr">
        <is>
          <t>Robitussin DM เล็ก (ควบคุมจำนวน) (60 ml.)</t>
        </is>
      </c>
      <c r="I273" t="inlineStr">
        <is>
          <t>รับประทานครั้งละ 2 ช้อนชาวันละ 2-3 ครั้ง</t>
        </is>
      </c>
      <c r="P273" t="inlineStr">
        <is>
          <t>Cough medicines / mucolytics / expectorants</t>
        </is>
      </c>
    </row>
    <row r="274">
      <c r="A274" t="n">
        <v>272</v>
      </c>
      <c r="B274" t="inlineStr">
        <is>
          <t>ยาขยายหลอดลม ชนิดน้ำ (D)</t>
        </is>
      </c>
      <c r="C274" t="n">
        <v>1458</v>
      </c>
      <c r="D274" t="inlineStr">
        <is>
          <t>Asthmasian Expectorant Syrup</t>
        </is>
      </c>
      <c r="E274" t="inlineStr">
        <is>
          <t>ขวด 60 ml.</t>
        </is>
      </c>
      <c r="F274" t="inlineStr">
        <is>
          <t>Terbutaline sulfate 1.5 mg.+Glyceryl guaiacolate 100 mg.</t>
        </is>
      </c>
      <c r="G274" t="inlineStr">
        <is>
          <t>BDS001458</t>
        </is>
      </c>
      <c r="H274" t="inlineStr">
        <is>
          <t>Asthmasian Expectorant Syrup (60 ml.)</t>
        </is>
      </c>
      <c r="I274" t="inlineStr">
        <is>
          <t>เด็กโตรับประทานครั้งละ 1-2 ช้อนชา วันละ 3 ครั้ง</t>
        </is>
      </c>
      <c r="P274" t="inlineStr">
        <is>
          <t>Bronchodilators (inhalers/oral)</t>
        </is>
      </c>
    </row>
    <row r="275">
      <c r="A275" t="n">
        <v>273</v>
      </c>
      <c r="B275" t="inlineStr">
        <is>
          <t>ยาขยายหลอดลม ชนิดน้ำ (D)</t>
        </is>
      </c>
      <c r="C275" t="n">
        <v>2618</v>
      </c>
      <c r="D275" t="inlineStr">
        <is>
          <t>Meptin น้ำ มีกล่อง</t>
        </is>
      </c>
      <c r="E275" t="inlineStr">
        <is>
          <t>ขวด 60 ml.</t>
        </is>
      </c>
      <c r="F275" t="inlineStr">
        <is>
          <t xml:space="preserve">Procaterol HCl 5 mcg./1 ml.  </t>
        </is>
      </c>
      <c r="G275" t="inlineStr">
        <is>
          <t>BDS002618</t>
        </is>
      </c>
      <c r="H275" t="inlineStr">
        <is>
          <t>Meptin น้ำ มีกล่อง (60 ml.)</t>
        </is>
      </c>
      <c r="I275" t="inlineStr">
        <is>
          <t>รับประทานครั้งละ 1-2 ช้อนชา วันละ 2 ครั้ง</t>
        </is>
      </c>
      <c r="P275" t="inlineStr">
        <is>
          <t>Bronchodilators (inhalers/oral)</t>
        </is>
      </c>
    </row>
    <row r="276">
      <c r="A276" t="n">
        <v>274</v>
      </c>
      <c r="B276" t="inlineStr">
        <is>
          <t>ยาขยายหลอดลม ชนิดน้ำ (D)</t>
        </is>
      </c>
      <c r="C276" t="n">
        <v>3645</v>
      </c>
      <c r="D276" t="inlineStr">
        <is>
          <t>Salbulin Syrup</t>
        </is>
      </c>
      <c r="E276" t="inlineStr">
        <is>
          <t>ขวด 60 ml.</t>
        </is>
      </c>
      <c r="F276" t="inlineStr">
        <is>
          <t>Salbutamol 2.4 mg./5 ml.</t>
        </is>
      </c>
      <c r="G276" t="inlineStr">
        <is>
          <t>BDS003645</t>
        </is>
      </c>
      <c r="H276" t="inlineStr">
        <is>
          <t>Salbulin Syrup (60 ml.)</t>
        </is>
      </c>
      <c r="I276" t="inlineStr">
        <is>
          <t>เด็กโตรับประทานครั้งละ 1 ช้อนชา วันละ 3 ครั้ง หรือตามแพทย์สั่ง</t>
        </is>
      </c>
      <c r="P276" t="inlineStr">
        <is>
          <t>Bronchodilators (inhalers/oral)</t>
        </is>
      </c>
    </row>
    <row r="277">
      <c r="A277" t="n">
        <v>275</v>
      </c>
      <c r="B277" t="inlineStr">
        <is>
          <t>ยาขยายหลอดลม ชนิดน้ำ (D)</t>
        </is>
      </c>
      <c r="C277" t="n">
        <v>3589</v>
      </c>
      <c r="D277" t="inlineStr">
        <is>
          <t>Salmol Syrup</t>
        </is>
      </c>
      <c r="E277" t="inlineStr">
        <is>
          <t>ขวด 60 ml.</t>
        </is>
      </c>
      <c r="F277" t="inlineStr">
        <is>
          <t>Salbutamol 2 mg./5 ml.</t>
        </is>
      </c>
      <c r="G277" t="inlineStr">
        <is>
          <t>BDS003589</t>
        </is>
      </c>
      <c r="H277" t="inlineStr">
        <is>
          <t>Salmol Syrup (60 ml.)</t>
        </is>
      </c>
      <c r="I277" t="inlineStr">
        <is>
          <t>เด็กโตรับประทานครั้งละ 1 ช้อนชา วันละ 3-4 ครั้ง หรือตามแพทย์สั่ง</t>
        </is>
      </c>
      <c r="P277" t="inlineStr">
        <is>
          <t>Bronchodilators (inhalers/oral)</t>
        </is>
      </c>
    </row>
    <row r="278">
      <c r="A278" t="n">
        <v>276</v>
      </c>
      <c r="B278" t="inlineStr">
        <is>
          <t>ยาแก้ปวดไมเกรน (D)</t>
        </is>
      </c>
      <c r="C278" t="n">
        <v>1071</v>
      </c>
      <c r="D278" t="inlineStr">
        <is>
          <t>Avamigran</t>
        </is>
      </c>
      <c r="E278" t="inlineStr">
        <is>
          <t>กล่อง 1 แผง</t>
        </is>
      </c>
      <c r="F278" t="inlineStr">
        <is>
          <t>Ergotamine tartrate 1 mg.+Caffeine 100 mg.</t>
        </is>
      </c>
      <c r="G278" t="inlineStr">
        <is>
          <t>BDS001071</t>
        </is>
      </c>
      <c r="H278" t="inlineStr">
        <is>
          <t>Avamigran (1 blister)</t>
        </is>
      </c>
      <c r="I278" t="inlineStr">
        <is>
          <t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  <c r="P278" t="inlineStr">
        <is>
          <t>Migraine-specific drugs</t>
        </is>
      </c>
    </row>
    <row r="279">
      <c r="A279" t="n">
        <v>277</v>
      </c>
      <c r="B279" t="inlineStr">
        <is>
          <t>ยาแก้ปวดไมเกรน (D)</t>
        </is>
      </c>
      <c r="C279" t="n">
        <v>1405</v>
      </c>
      <c r="D279" t="inlineStr">
        <is>
          <t>Cafergot</t>
        </is>
      </c>
      <c r="E279" t="inlineStr">
        <is>
          <t>กล่อง 10 เม็ด</t>
        </is>
      </c>
      <c r="F279" t="inlineStr">
        <is>
          <t>Ergotamine tartrate 1 mg.+Caffeine 100 mg.</t>
        </is>
      </c>
      <c r="G279" t="inlineStr">
        <is>
          <t>BDS001405</t>
        </is>
      </c>
      <c r="H279" t="inlineStr">
        <is>
          <t>Cafergot (10 tabs)</t>
        </is>
      </c>
      <c r="I279" t="inlineStr">
        <is>
          <t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  <c r="P279" t="inlineStr">
        <is>
          <t>Migraine-specific drugs</t>
        </is>
      </c>
    </row>
    <row r="280">
      <c r="A280" t="n">
        <v>278</v>
      </c>
      <c r="B280" t="inlineStr">
        <is>
          <t>ยาแก้ปวดไมเกรน (D)</t>
        </is>
      </c>
      <c r="C280" t="n">
        <v>6840</v>
      </c>
      <c r="D280" t="inlineStr">
        <is>
          <t>Relpax 40 mg</t>
        </is>
      </c>
      <c r="E280" t="inlineStr">
        <is>
          <t>กล่อง 2 เม็ด</t>
        </is>
      </c>
      <c r="F280" t="inlineStr">
        <is>
          <t>Eletriptan 40 mg.</t>
        </is>
      </c>
      <c r="G280" t="inlineStr">
        <is>
          <t>BDS006840</t>
        </is>
      </c>
      <c r="H280" t="inlineStr">
        <is>
          <t>Relpax 40 mg (2 tabs)</t>
        </is>
      </c>
      <c r="I280" t="inlineStr">
        <is>
          <t>รับประทานครั้งละ 1 เม็ด เมื่อเริ่มมีอาการ รับประทานเม็ดที่ 2 ได้ ห่างจากเม็ดแรก 2 ชั่วโมง</t>
        </is>
      </c>
      <c r="P280" t="inlineStr">
        <is>
          <t>Migraine-specific drugs</t>
        </is>
      </c>
    </row>
    <row r="281">
      <c r="A281" t="n">
        <v>279</v>
      </c>
      <c r="B281" t="inlineStr">
        <is>
          <t>ยาแก้ปวดไมเกรน (D)</t>
        </is>
      </c>
      <c r="C281" t="n">
        <v>47646</v>
      </c>
      <c r="D281" t="inlineStr">
        <is>
          <t>Siagran 50 mg</t>
        </is>
      </c>
      <c r="E281" t="inlineStr">
        <is>
          <t>กล่อง 4 เม็ด</t>
        </is>
      </c>
      <c r="F281" t="inlineStr">
        <is>
          <t>Sumatriptan succinate (eq. to Sumatriptan 50 mg.)</t>
        </is>
      </c>
      <c r="G281" t="inlineStr">
        <is>
          <t>BDS047646</t>
        </is>
      </c>
      <c r="H281" t="inlineStr">
        <is>
          <t>Siagran 50 mg (4 tabs)</t>
        </is>
      </c>
      <c r="I281" t="inlineStr">
        <is>
          <t>รับประทานครั้งละ 1 เม็ด เมื่อเริ่มมีอาการ รับประทานซ้ำได้ หลังจากรับประทานเม็ดแรกแล้ว 2 ชั่วโมง</t>
        </is>
      </c>
      <c r="P281" t="inlineStr">
        <is>
          <t>Migraine-specific drugs</t>
        </is>
      </c>
    </row>
    <row r="282">
      <c r="A282" t="n">
        <v>280</v>
      </c>
      <c r="B282" t="inlineStr">
        <is>
          <t>ยาแก้ปวดไมเกรน (D)</t>
        </is>
      </c>
      <c r="C282" t="n">
        <v>1404</v>
      </c>
      <c r="D282" t="inlineStr">
        <is>
          <t>Tofago</t>
        </is>
      </c>
      <c r="E282" t="inlineStr">
        <is>
          <t>กล่อง 10 เม็ด</t>
        </is>
      </c>
      <c r="F282" t="inlineStr">
        <is>
          <t>Ergotamine tartrate 1 mg.+Caffeine 100 mg.</t>
        </is>
      </c>
      <c r="G282" t="inlineStr">
        <is>
          <t>BDS001404</t>
        </is>
      </c>
      <c r="H282" t="inlineStr">
        <is>
          <t>Tofago (10 tabs)</t>
        </is>
      </c>
      <c r="I282" t="inlineStr">
        <is>
          <t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  <c r="P282" t="inlineStr">
        <is>
          <t>Migraine-specific drugs</t>
        </is>
      </c>
    </row>
    <row r="283">
      <c r="A283" t="n">
        <v>281</v>
      </c>
      <c r="B283" t="inlineStr">
        <is>
          <t>ยาปรับการไหลเวียนโลหิต (D)</t>
        </is>
      </c>
      <c r="C283" t="n">
        <v>7022</v>
      </c>
      <c r="D283" t="inlineStr">
        <is>
          <t>Behistin</t>
        </is>
      </c>
      <c r="E283" t="inlineStr">
        <is>
          <t>แผง 10 เม็ด</t>
        </is>
      </c>
      <c r="F283" t="inlineStr">
        <is>
          <t>Betahistine Mesylate 6 mg.</t>
        </is>
      </c>
      <c r="G283" t="inlineStr">
        <is>
          <t>BDS007022</t>
        </is>
      </c>
      <c r="H283" t="inlineStr">
        <is>
          <t>Behistin (10 tabs)</t>
        </is>
      </c>
      <c r="I283" t="inlineStr">
        <is>
          <t>รับประทานครั้งละ 1-2 เม็ด วันละ 3 ครั้ง</t>
        </is>
      </c>
    </row>
    <row r="284">
      <c r="A284" t="n">
        <v>282</v>
      </c>
      <c r="B284" t="inlineStr">
        <is>
          <t>ยาปรับการไหลเวียนโลหิต (D)</t>
        </is>
      </c>
      <c r="C284" t="n">
        <v>8007</v>
      </c>
      <c r="D284" t="inlineStr">
        <is>
          <t>Cephadol</t>
        </is>
      </c>
      <c r="E284" t="inlineStr">
        <is>
          <t>แผง 10 เม็ด</t>
        </is>
      </c>
      <c r="F284" t="inlineStr">
        <is>
          <t>Diphenidol hydrochloride 25 mg</t>
        </is>
      </c>
      <c r="G284" t="inlineStr">
        <is>
          <t>BDS008007</t>
        </is>
      </c>
      <c r="H284" t="inlineStr">
        <is>
          <t>Cephadol (10 tabs)</t>
        </is>
      </c>
      <c r="I284" t="inlineStr">
        <is>
          <t>รับประทานครั้งละ 1-2 เม็ด วันละ 2-3 ครั้ง</t>
        </is>
      </c>
    </row>
    <row r="285">
      <c r="A285" t="n">
        <v>283</v>
      </c>
      <c r="B285" t="inlineStr">
        <is>
          <t>ยาปรับการไหลเวียนโลหิต (D)</t>
        </is>
      </c>
      <c r="C285" t="n">
        <v>7055</v>
      </c>
      <c r="D285" t="inlineStr">
        <is>
          <t>Cinerine</t>
        </is>
      </c>
      <c r="E285" t="inlineStr">
        <is>
          <t>แผง 10 เม็ด</t>
        </is>
      </c>
      <c r="F285" t="inlineStr">
        <is>
          <t>Cinnarizine 25 mg.</t>
        </is>
      </c>
      <c r="G285" t="inlineStr">
        <is>
          <t>BDS007055</t>
        </is>
      </c>
      <c r="H285" t="inlineStr">
        <is>
          <t>Cinerine (10 tabs)</t>
        </is>
      </c>
      <c r="I285" t="inlineStr">
        <is>
          <t>รับประทานครั้งละ 1-2 เม็ด วันละ 3 ครั้ง</t>
        </is>
      </c>
    </row>
    <row r="286">
      <c r="A286" t="n">
        <v>284</v>
      </c>
      <c r="B286" t="inlineStr">
        <is>
          <t>ยาปรับการไหลเวียนโลหิต (D)</t>
        </is>
      </c>
      <c r="C286" t="n">
        <v>8142</v>
      </c>
      <c r="D286" t="inlineStr">
        <is>
          <t>Liberal Cap</t>
        </is>
      </c>
      <c r="E286" t="inlineStr">
        <is>
          <t>แผง 10 แคปซูล</t>
        </is>
      </c>
      <c r="F286" t="inlineStr">
        <is>
          <t>Flunarizine 5 mg.</t>
        </is>
      </c>
      <c r="G286" t="inlineStr">
        <is>
          <t>BDS008142</t>
        </is>
      </c>
      <c r="H286" t="inlineStr">
        <is>
          <t>Liberal Cap (10 cap)</t>
        </is>
      </c>
      <c r="I286" t="inlineStr">
        <is>
          <t>รับประทานครั้งละ 1-2 แคปซูล วันละ 1 ครั้ง ก่อนนอน</t>
        </is>
      </c>
    </row>
    <row r="287">
      <c r="A287" t="n">
        <v>285</v>
      </c>
      <c r="B287" t="inlineStr">
        <is>
          <t>ยาปรับการไหลเวียนโลหิต (D)</t>
        </is>
      </c>
      <c r="C287" t="n">
        <v>2688</v>
      </c>
      <c r="D287" t="inlineStr">
        <is>
          <t>Merislon 12 mg</t>
        </is>
      </c>
      <c r="E287" t="inlineStr">
        <is>
          <t>แผง 10 เม็ด</t>
        </is>
      </c>
      <c r="F287" t="inlineStr">
        <is>
          <t>Betahistine Mesilate 12 mg.</t>
        </is>
      </c>
      <c r="G287" t="inlineStr">
        <is>
          <t>BDS002688</t>
        </is>
      </c>
      <c r="H287" t="inlineStr">
        <is>
          <t>Merislon 12 mg (10 tabs)</t>
        </is>
      </c>
      <c r="I287" t="inlineStr">
        <is>
          <t>รับประทานครั้งละ 1 เม็ด วันละ 3 ครั้ง หลังอาหาร หรือตามแพทย์สั่ง</t>
        </is>
      </c>
    </row>
    <row r="288">
      <c r="A288" t="n">
        <v>286</v>
      </c>
      <c r="B288" t="inlineStr">
        <is>
          <t>ยาปรับการไหลเวียนโลหิต (D)</t>
        </is>
      </c>
      <c r="C288" t="n">
        <v>2621</v>
      </c>
      <c r="D288" t="inlineStr">
        <is>
          <t>Merislon 6 mg</t>
        </is>
      </c>
      <c r="E288" t="inlineStr">
        <is>
          <t>แผง 10 เม็ด</t>
        </is>
      </c>
      <c r="F288" t="inlineStr">
        <is>
          <t>Betahistine Mesilate 6 mg.</t>
        </is>
      </c>
      <c r="G288" t="inlineStr">
        <is>
          <t>BDS002621</t>
        </is>
      </c>
      <c r="H288" t="inlineStr">
        <is>
          <t>Merislon 6 mg (10 tabs)</t>
        </is>
      </c>
      <c r="I288" t="inlineStr">
        <is>
          <t>รับประทานครั้งละ 1-2 เม็ด วันละ 3 ครั้ง</t>
        </is>
      </c>
    </row>
    <row r="289">
      <c r="A289" t="n">
        <v>287</v>
      </c>
      <c r="B289" t="inlineStr">
        <is>
          <t>ยาปรับการไหลเวียนโลหิต (D)</t>
        </is>
      </c>
      <c r="C289" t="n">
        <v>7222</v>
      </c>
      <c r="D289" t="inlineStr">
        <is>
          <t>Poli-Flunarin</t>
        </is>
      </c>
      <c r="E289" t="inlineStr">
        <is>
          <t>แผง 10 แคปซูล</t>
        </is>
      </c>
      <c r="F289" t="inlineStr">
        <is>
          <t>Flunarizine 5 mg.</t>
        </is>
      </c>
      <c r="G289" t="inlineStr">
        <is>
          <t>BDS007222</t>
        </is>
      </c>
      <c r="H289" t="inlineStr">
        <is>
          <t>Poli-Flunarin (10 cap)</t>
        </is>
      </c>
      <c r="I289" t="inlineStr">
        <is>
          <t>รับประทานครั้งละ 1-2 แคปซูล วันละ 1 ครั้ง ก่อนนอน</t>
        </is>
      </c>
    </row>
    <row r="290">
      <c r="A290" t="n">
        <v>288</v>
      </c>
      <c r="B290" t="inlineStr">
        <is>
          <t>ยาปรับการไหลเวียนโลหิต (D)</t>
        </is>
      </c>
      <c r="C290" t="n">
        <v>3510</v>
      </c>
      <c r="D290" t="inlineStr">
        <is>
          <t>Serc 16 mg</t>
        </is>
      </c>
      <c r="E290" t="inlineStr">
        <is>
          <t>แผง 20 เม็ด</t>
        </is>
      </c>
      <c r="F290" t="inlineStr">
        <is>
          <t>Betahistine dihydrochloride 16 mg.</t>
        </is>
      </c>
      <c r="G290" t="inlineStr">
        <is>
          <t>BDS003510</t>
        </is>
      </c>
      <c r="H290" t="inlineStr">
        <is>
          <t>Serc 16 mg (20 tabs)</t>
        </is>
      </c>
      <c r="I290" t="inlineStr">
        <is>
          <t>รับประทานครั้งละ 1 เม็ด วันละ 2-3 ครั้ง หรือตามแพทย์สั่ง</t>
        </is>
      </c>
    </row>
    <row r="291">
      <c r="A291" t="n">
        <v>289</v>
      </c>
      <c r="B291" t="inlineStr">
        <is>
          <t>ยาปรับการไหลเวียนโลหิต (D)</t>
        </is>
      </c>
      <c r="C291" t="n">
        <v>6571</v>
      </c>
      <c r="D291" t="inlineStr">
        <is>
          <t>Serc 24 mg</t>
        </is>
      </c>
      <c r="E291" t="inlineStr">
        <is>
          <t>กล่อง 20 เม็ด</t>
        </is>
      </c>
      <c r="F291" t="inlineStr">
        <is>
          <t>Betahistine dihydrochloride 24 mg.</t>
        </is>
      </c>
      <c r="G291" t="inlineStr">
        <is>
          <t>BDS006571</t>
        </is>
      </c>
      <c r="H291" t="inlineStr">
        <is>
          <t>Serc 24 mg (20 tabs)</t>
        </is>
      </c>
      <c r="I291" t="inlineStr">
        <is>
          <t>รับประทานครั้งละ 1 เม็ด วันละ 2 ครั้ง หรือตามแพทย์สั่ง</t>
        </is>
      </c>
    </row>
    <row r="292">
      <c r="A292" t="n">
        <v>290</v>
      </c>
      <c r="B292" t="inlineStr">
        <is>
          <t>ยาปรับการไหลเวียนโลหิต (D)</t>
        </is>
      </c>
      <c r="C292" t="n">
        <v>47664</v>
      </c>
      <c r="D292" t="inlineStr">
        <is>
          <t>Sobelin</t>
        </is>
      </c>
      <c r="E292" t="inlineStr">
        <is>
          <t>แผง 10 แคปซูล</t>
        </is>
      </c>
      <c r="F292" t="inlineStr">
        <is>
          <t>Flunarizine 5 mg.</t>
        </is>
      </c>
      <c r="G292" t="inlineStr">
        <is>
          <t>BDS047664</t>
        </is>
      </c>
      <c r="H292" t="inlineStr">
        <is>
          <t>Sobelin (10 cap)</t>
        </is>
      </c>
      <c r="I292" t="inlineStr">
        <is>
          <t>รับประทานครั้งละ 1-2 แคปซูล วันละ 1 ครั้ง ก่อนนอน</t>
        </is>
      </c>
    </row>
    <row r="293">
      <c r="A293" t="n">
        <v>291</v>
      </c>
      <c r="B293" t="inlineStr">
        <is>
          <t>ยาปรับการไหลเวียนโลหิต (D)</t>
        </is>
      </c>
      <c r="C293" t="n">
        <v>7272</v>
      </c>
      <c r="D293" t="inlineStr">
        <is>
          <t>Stei 16 mg</t>
        </is>
      </c>
      <c r="E293" t="inlineStr">
        <is>
          <t>แผง 10 เม็ด</t>
        </is>
      </c>
      <c r="F293" t="inlineStr">
        <is>
          <t>Betahistine dihydrochloride 16 mg.</t>
        </is>
      </c>
      <c r="G293" t="inlineStr">
        <is>
          <t>BDS007272</t>
        </is>
      </c>
      <c r="H293" t="inlineStr">
        <is>
          <t>Stei 16 mg (10 tabs)</t>
        </is>
      </c>
      <c r="I293" t="inlineStr">
        <is>
          <t>รับประทานครั้งละ 1 เม็ด วันละ 3 ครั้ง หรือตามแพทย์สั่ง</t>
        </is>
      </c>
    </row>
    <row r="294">
      <c r="A294" t="n">
        <v>292</v>
      </c>
      <c r="B294" t="inlineStr">
        <is>
          <t>ยาปรับการไหลเวียนโลหิต (D)</t>
        </is>
      </c>
      <c r="C294" t="n">
        <v>3514</v>
      </c>
      <c r="D294" t="inlineStr">
        <is>
          <t>Stugeron 25 mg</t>
        </is>
      </c>
      <c r="E294" t="inlineStr">
        <is>
          <t>แผง 10 เม็ด</t>
        </is>
      </c>
      <c r="F294" t="inlineStr">
        <is>
          <t>Cinnarizine 25 mg.</t>
        </is>
      </c>
      <c r="G294" t="inlineStr">
        <is>
          <t>BDS003514</t>
        </is>
      </c>
      <c r="H294" t="inlineStr">
        <is>
          <t>Stugeron 25 mg (10 tabs)</t>
        </is>
      </c>
      <c r="I294" t="inlineStr">
        <is>
          <t>รับประทานครั้งละ 1-2 เม็ด  วันละ 3 ครั้ง</t>
        </is>
      </c>
    </row>
    <row r="295">
      <c r="A295" t="n">
        <v>293</v>
      </c>
      <c r="B295" t="inlineStr">
        <is>
          <t>ยาขับลม ชนิดน้ำ (D)</t>
        </is>
      </c>
      <c r="C295" t="n">
        <v>8034</v>
      </c>
      <c r="D295" t="inlineStr">
        <is>
          <t>Berclomine Syrup</t>
        </is>
      </c>
      <c r="E295" t="inlineStr">
        <is>
          <t>ขวด 60 ml.</t>
        </is>
      </c>
      <c r="F295" t="inlineStr">
        <is>
          <t>Dicyclomine 5 mg.+Simethicone 50 mg./5 ml.</t>
        </is>
      </c>
      <c r="G295" t="inlineStr">
        <is>
          <t>BDS008034</t>
        </is>
      </c>
      <c r="H295" t="inlineStr">
        <is>
          <t>Berclomine Syrup (60 ml.)</t>
        </is>
      </c>
      <c r="I295" t="inlineStr">
        <is>
          <t>รับประทานครั้งละ 1 ช้อนชา วันละ 4 ครั้ง ก่อนอาหาร</t>
        </is>
      </c>
      <c r="P295" t="inlineStr">
        <is>
          <t>Carminatives (gas relief)</t>
        </is>
      </c>
    </row>
    <row r="296">
      <c r="A296" t="n">
        <v>294</v>
      </c>
      <c r="B296" t="inlineStr">
        <is>
          <t>ยาบรรเทาริดสีดวง, เส้นเลือดขอด (D)</t>
        </is>
      </c>
      <c r="C296" t="n">
        <v>42321</v>
      </c>
      <c r="D296" t="inlineStr">
        <is>
          <t>Daflon 1000 mg</t>
        </is>
      </c>
      <c r="E296" t="inlineStr">
        <is>
          <t>แผง 10 เม็ด</t>
        </is>
      </c>
      <c r="F296" t="inlineStr">
        <is>
          <t>Diosmin 900 mg.+Hesperidin 100 mg.</t>
        </is>
      </c>
      <c r="G296" t="inlineStr">
        <is>
          <t>BDS042321</t>
        </is>
      </c>
      <c r="H296" t="inlineStr">
        <is>
          <t>Daflon 1000 mg (10 tabs)</t>
        </is>
      </c>
      <c r="I296" t="inlineStr">
        <is>
          <t>รับประทานครั้งละ 1 เม็ด วันละ 3 ครั้ง ติดต่อกัน 4 วัน หลังจากนั้นรับประทานวันละ 2 ครั้ง ติดต่อกันอีก 3 วัน</t>
        </is>
      </c>
    </row>
    <row r="297">
      <c r="A297" t="n">
        <v>295</v>
      </c>
      <c r="B297" t="inlineStr">
        <is>
          <t>ยาบรรเทาริดสีดวง, เส้นเลือดขอด (D)</t>
        </is>
      </c>
      <c r="C297" t="n">
        <v>1602</v>
      </c>
      <c r="D297" t="inlineStr">
        <is>
          <t>Daflon 500 mg</t>
        </is>
      </c>
      <c r="E297" t="inlineStr">
        <is>
          <t>แผง 15 เม็ด</t>
        </is>
      </c>
      <c r="F297" t="inlineStr">
        <is>
          <t>Diosmin 450 mg.+Hesperidin 50 mg.</t>
        </is>
      </c>
      <c r="G297" t="inlineStr">
        <is>
          <t>BDS001602</t>
        </is>
      </c>
      <c r="H297" t="inlineStr">
        <is>
          <t>Daflon 500 mg (15 tabs)</t>
        </is>
      </c>
      <c r="I297" t="inlineStr">
        <is>
          <t>รับประทานครั้งละ 1-2 เม็ด วันละ 2 ครั้ง หลังอาหาร</t>
        </is>
      </c>
    </row>
    <row r="298">
      <c r="A298" t="n">
        <v>296</v>
      </c>
      <c r="B298" t="inlineStr">
        <is>
          <t>ยาบรรเทาริดสีดวง, เส้นเลือดขอด (D)</t>
        </is>
      </c>
      <c r="C298" t="n">
        <v>1444</v>
      </c>
      <c r="D298" t="inlineStr">
        <is>
          <t>Dafomin 500 mg</t>
        </is>
      </c>
      <c r="E298" t="inlineStr">
        <is>
          <t>แผง 10 เม็ด</t>
        </is>
      </c>
      <c r="F298" t="inlineStr">
        <is>
          <t>Diosmin 450 mg.+Hesperidin 50 mg.</t>
        </is>
      </c>
      <c r="G298" t="inlineStr">
        <is>
          <t>BDS001444</t>
        </is>
      </c>
      <c r="H298" t="inlineStr">
        <is>
          <t>Dafomin 500 mg (10 tabs)</t>
        </is>
      </c>
      <c r="I298" t="inlineStr">
        <is>
          <t>รับประทานครั้งละ 1-2 เม็ด วันละ 2 ครั้ง หลังอาหาร</t>
        </is>
      </c>
    </row>
    <row r="299">
      <c r="A299" t="n">
        <v>297</v>
      </c>
      <c r="B299" t="inlineStr">
        <is>
          <t>ยาบรรเทาริดสีดวง, เส้นเลือดขอด (D)</t>
        </is>
      </c>
      <c r="C299" t="n">
        <v>8452</v>
      </c>
      <c r="D299" t="inlineStr">
        <is>
          <t>Diosmin 500</t>
        </is>
      </c>
      <c r="E299" t="inlineStr">
        <is>
          <t>แผง 10 เม็ด</t>
        </is>
      </c>
      <c r="F299" t="inlineStr">
        <is>
          <t>Diosmin 450 mg.+Hesperidin 50 mg.</t>
        </is>
      </c>
      <c r="G299" t="inlineStr">
        <is>
          <t>BDS008452</t>
        </is>
      </c>
      <c r="H299" t="inlineStr">
        <is>
          <t>Diosmin 500 (10 tabs)</t>
        </is>
      </c>
      <c r="I299" t="inlineStr">
        <is>
          <t>รับประทานครั้งละ 1-2 เม็ด วันละ 2 ครั้ง หลังอาหาร</t>
        </is>
      </c>
    </row>
    <row r="300">
      <c r="A300" t="n">
        <v>298</v>
      </c>
      <c r="B300" t="inlineStr">
        <is>
          <t>ยาบรรเทาริดสีดวง, เส้นเลือดขอด (D)</t>
        </is>
      </c>
      <c r="C300" t="n">
        <v>3407</v>
      </c>
      <c r="D300" t="inlineStr">
        <is>
          <t>Reparil Dragees</t>
        </is>
      </c>
      <c r="E300" t="inlineStr">
        <is>
          <t>แผง 10 เม็ด</t>
        </is>
      </c>
      <c r="F300" t="inlineStr">
        <is>
          <t>Absorbable aescin 20 mg.</t>
        </is>
      </c>
      <c r="G300" t="inlineStr">
        <is>
          <t>BDS003407</t>
        </is>
      </c>
      <c r="H300" t="inlineStr">
        <is>
          <t>Reparil Dragees (10 tabs)</t>
        </is>
      </c>
      <c r="I300" t="inlineStr">
        <is>
          <t>รับประทานครั้งละ 1-2 เม็ด วันละ 3 ครั้ง</t>
        </is>
      </c>
    </row>
    <row r="301">
      <c r="A301" t="n">
        <v>299</v>
      </c>
      <c r="B301" t="inlineStr">
        <is>
          <t>ยาบรรเทาริดสีดวง, เส้นเลือดขอด (D)</t>
        </is>
      </c>
      <c r="C301" t="n">
        <v>3507</v>
      </c>
      <c r="D301" t="inlineStr">
        <is>
          <t>Siduol</t>
        </is>
      </c>
      <c r="E301" t="inlineStr">
        <is>
          <t>แผง 10 แคปซูล</t>
        </is>
      </c>
      <c r="F301" t="inlineStr">
        <is>
          <t>Vit K1 2 mg+ Rutin 100 mg+Lysozyme Cl 10 mg+Vit E 52 mg+Pluronic F-68  20 mg</t>
        </is>
      </c>
      <c r="G301" t="inlineStr">
        <is>
          <t>BDS003507</t>
        </is>
      </c>
      <c r="H301" t="inlineStr">
        <is>
          <t>Siduol (10 cap)</t>
        </is>
      </c>
      <c r="I301" t="inlineStr">
        <is>
          <t>รับประทานครั้งละ 1-2 แคปซูล วันละ 3 ครั้ง หลังอาหาร</t>
        </is>
      </c>
    </row>
    <row r="302">
      <c r="A302" t="n">
        <v>300</v>
      </c>
      <c r="B302" t="inlineStr">
        <is>
          <t>ยาบรรเทาริดสีดวง, เส้นเลือดขอด (D)</t>
        </is>
      </c>
      <c r="C302" t="n">
        <v>7765</v>
      </c>
      <c r="D302" t="inlineStr">
        <is>
          <t>T-Osmin</t>
        </is>
      </c>
      <c r="E302" t="inlineStr">
        <is>
          <t>แผง 10 เม็ด</t>
        </is>
      </c>
      <c r="F302" t="inlineStr">
        <is>
          <t>Diosmin 450 mg.+Hesperidin 50 mg.</t>
        </is>
      </c>
      <c r="G302" t="inlineStr">
        <is>
          <t>BDS007765</t>
        </is>
      </c>
      <c r="H302" t="inlineStr">
        <is>
          <t>T-Osmin (10 tabs)</t>
        </is>
      </c>
      <c r="I302" t="inlineStr">
        <is>
          <t>3 วันถัดมา: 2 เม็ด 2 ครั้ง หลังจากนั้น: 1 เม็ด 2 ครั้ง</t>
        </is>
      </c>
    </row>
    <row r="303">
      <c r="A303" t="n">
        <v>301</v>
      </c>
      <c r="B303" t="inlineStr">
        <is>
          <t>ยาแก้ปวดรุนแรง (D)</t>
        </is>
      </c>
      <c r="C303" t="n">
        <v>3739</v>
      </c>
      <c r="D303" t="inlineStr">
        <is>
          <t>Tramal</t>
        </is>
      </c>
      <c r="E303" t="inlineStr">
        <is>
          <t>กล่อง 10 แคปซูล</t>
        </is>
      </c>
      <c r="F303" t="inlineStr">
        <is>
          <t>Tramadol HCl 50 mg.</t>
        </is>
      </c>
      <c r="G303" t="inlineStr">
        <is>
          <t>BDS003739</t>
        </is>
      </c>
      <c r="H303" t="inlineStr">
        <is>
          <t>Tramal (10 cap)</t>
        </is>
      </c>
      <c r="I303" t="inlineStr">
        <is>
          <t>รับประทานครั้งละ 1 แคปซูลวันละ 3 ครั้ง หลังอาหาร</t>
        </is>
      </c>
      <c r="P303" t="inlineStr">
        <is>
          <t>Strong pain meds</t>
        </is>
      </c>
    </row>
    <row r="304">
      <c r="A304" t="n">
        <v>302</v>
      </c>
      <c r="B304" t="inlineStr">
        <is>
          <t>ยาแก้ปวดเกร็งกล้ามเนื้อเรียบ (D)</t>
        </is>
      </c>
      <c r="C304" t="n">
        <v>1283</v>
      </c>
      <c r="D304" t="inlineStr">
        <is>
          <t>Buscopan</t>
        </is>
      </c>
      <c r="E304" t="inlineStr">
        <is>
          <t>แผง 10 เม็ด</t>
        </is>
      </c>
      <c r="F304" t="inlineStr">
        <is>
          <t>Hyoscine-N-butylbromide 10 mg.</t>
        </is>
      </c>
      <c r="G304" t="inlineStr">
        <is>
          <t>BDS001283</t>
        </is>
      </c>
      <c r="H304" t="inlineStr">
        <is>
          <t>Buscopan (10 tabs)</t>
        </is>
      </c>
      <c r="I304" t="inlineStr">
        <is>
          <t xml:space="preserve">รับประทานครั้งละ 1-2 เม็ด วันละ 3-5 ครั้ง </t>
        </is>
      </c>
      <c r="P304" t="inlineStr">
        <is>
          <t>Antispasmodics (smooth muscle cramps / abdominal colic)</t>
        </is>
      </c>
    </row>
    <row r="305">
      <c r="A305" t="n">
        <v>303</v>
      </c>
      <c r="B305" t="inlineStr">
        <is>
          <t>ยาแก้ปวดเกร็งกล้ามเนื้อเรียบ (D)</t>
        </is>
      </c>
      <c r="C305" t="n">
        <v>7061</v>
      </c>
      <c r="D305" t="inlineStr">
        <is>
          <t>Cencopan-S</t>
        </is>
      </c>
      <c r="E305" t="inlineStr">
        <is>
          <t>แผง 10 เม็ด</t>
        </is>
      </c>
      <c r="F305" t="inlineStr">
        <is>
          <t>Hyoscine-N-butylbromide 10 mg.</t>
        </is>
      </c>
      <c r="G305" t="inlineStr">
        <is>
          <t>BDS007061</t>
        </is>
      </c>
      <c r="H305" t="inlineStr">
        <is>
          <t>Cencopan-S (10 tabs)</t>
        </is>
      </c>
      <c r="I305" t="inlineStr">
        <is>
          <t>รับประทานครั้งละ 1-2 เม็ด วันละ 3 ครั้ง หรือเมื่อมีอาการ</t>
        </is>
      </c>
      <c r="P305" t="inlineStr">
        <is>
          <t>Antispasmodics (smooth muscle cramps / abdominal colic)</t>
        </is>
      </c>
    </row>
    <row r="306">
      <c r="A306" t="n">
        <v>304</v>
      </c>
      <c r="B306" t="inlineStr">
        <is>
          <t>ยาแก้ปวดเกร็งกล้ามเนื้อเรียบ (D)</t>
        </is>
      </c>
      <c r="C306" t="n">
        <v>1484</v>
      </c>
      <c r="D306" t="inlineStr">
        <is>
          <t>Colofac 135</t>
        </is>
      </c>
      <c r="E306" t="inlineStr">
        <is>
          <t>แผง 10 เม็ด</t>
        </is>
      </c>
      <c r="F306" t="inlineStr">
        <is>
          <t>Mebeverine HCl 135 mg.</t>
        </is>
      </c>
      <c r="G306" t="inlineStr">
        <is>
          <t>BDS001484</t>
        </is>
      </c>
      <c r="H306" t="inlineStr">
        <is>
          <t>Colofac 135 (10 tabs)</t>
        </is>
      </c>
      <c r="I306" t="inlineStr">
        <is>
          <t>รับประทานครั้งละ 1 เม็ด วันละ 3 ครั้ง ก่อนอาหาร</t>
        </is>
      </c>
      <c r="P306" t="inlineStr">
        <is>
          <t>Antispasmodics (smooth muscle cramps / abdominal colic)</t>
        </is>
      </c>
    </row>
    <row r="307">
      <c r="A307" t="n">
        <v>305</v>
      </c>
      <c r="B307" t="inlineStr">
        <is>
          <t>ยาแก้ปวดเกร็งกล้ามเนื้อเรียบ (D)</t>
        </is>
      </c>
      <c r="C307" t="n">
        <v>1707</v>
      </c>
      <c r="D307" t="inlineStr">
        <is>
          <t>Duspatin 135</t>
        </is>
      </c>
      <c r="E307" t="inlineStr">
        <is>
          <t>แผง 10 เม็ด</t>
        </is>
      </c>
      <c r="F307" t="inlineStr">
        <is>
          <t>Mebeverine HCl 135 mg.</t>
        </is>
      </c>
      <c r="G307" t="inlineStr">
        <is>
          <t>BDS001707</t>
        </is>
      </c>
      <c r="H307" t="inlineStr">
        <is>
          <t>Duspatin 135 (10 tabs)</t>
        </is>
      </c>
      <c r="I307" t="inlineStr">
        <is>
          <t>รับประทานครั้งละ 1 เม็ด พร้อมน้ำ วันละ 3 ครั้ง ก่อนอาหาร 20 นาที</t>
        </is>
      </c>
      <c r="P307" t="inlineStr">
        <is>
          <t>Antispasmodics (smooth muscle cramps / abdominal colic)</t>
        </is>
      </c>
    </row>
    <row r="308">
      <c r="A308" t="n">
        <v>306</v>
      </c>
      <c r="B308" t="inlineStr">
        <is>
          <t>ยาแก้ปวดเกร็งกล้ามเนื้อเรียบ (D)</t>
        </is>
      </c>
      <c r="C308" t="n">
        <v>7284</v>
      </c>
      <c r="D308" t="inlineStr">
        <is>
          <t>Scopas S/C tabslets</t>
        </is>
      </c>
      <c r="E308" t="inlineStr">
        <is>
          <t>แผง 10 เม็ด</t>
        </is>
      </c>
      <c r="F308" t="inlineStr">
        <is>
          <t>Hyoscine-N-butylbromide 10 mg.</t>
        </is>
      </c>
      <c r="G308" t="inlineStr">
        <is>
          <t>BDS007284</t>
        </is>
      </c>
      <c r="H308" t="inlineStr">
        <is>
          <t>Scopas S/C tabslets (10 tabs)</t>
        </is>
      </c>
      <c r="I308" t="inlineStr">
        <is>
          <t>รับประทานครั้งละ 1-2 เม็ด วันละ 3 ครั้ง หรือเมื่อมีอาการ</t>
        </is>
      </c>
      <c r="P308" t="inlineStr">
        <is>
          <t>Antispasmodics (smooth muscle cramps / abdominal colic)</t>
        </is>
      </c>
    </row>
    <row r="309">
      <c r="A309" t="n">
        <v>307</v>
      </c>
      <c r="B309" t="inlineStr">
        <is>
          <t>ยาแก้ปวดเกร็งกล้ามเนื้อเรียบ (D)</t>
        </is>
      </c>
      <c r="C309" t="n">
        <v>7303</v>
      </c>
      <c r="D309" t="inlineStr">
        <is>
          <t>Spacovin 40</t>
        </is>
      </c>
      <c r="E309" t="inlineStr">
        <is>
          <t>แผง 10 เม็ด</t>
        </is>
      </c>
      <c r="F309" t="inlineStr">
        <is>
          <t>Drotaverine Hydrochloride 40 mg.</t>
        </is>
      </c>
      <c r="G309" t="inlineStr">
        <is>
          <t>BDS007303</t>
        </is>
      </c>
      <c r="H309" t="inlineStr">
        <is>
          <t>Spacovin 40 (10 tabs)</t>
        </is>
      </c>
      <c r="I309" t="inlineStr">
        <is>
          <t>รับประทานครั้งละ 1-2 เม็ด วันละ 3 ครั้ง หรือเมื่อมีอาการ</t>
        </is>
      </c>
      <c r="P309" t="inlineStr">
        <is>
          <t>Antispasmodics (smooth muscle cramps / abdominal colic)</t>
        </is>
      </c>
    </row>
    <row r="310">
      <c r="A310" t="n">
        <v>308</v>
      </c>
      <c r="B310" t="inlineStr">
        <is>
          <t>ยาแก้ปวดเกร็งกล้ามเนื้อเรียบ (D)</t>
        </is>
      </c>
      <c r="C310" t="n">
        <v>7107</v>
      </c>
      <c r="D310" t="inlineStr">
        <is>
          <t>Sparta</t>
        </is>
      </c>
      <c r="E310" t="inlineStr">
        <is>
          <t>แผง 10 เม็ด</t>
        </is>
      </c>
      <c r="F310" t="inlineStr">
        <is>
          <t>Drotaverine Hydrochloride 40 mg.</t>
        </is>
      </c>
      <c r="G310" t="inlineStr">
        <is>
          <t>BDS007107</t>
        </is>
      </c>
      <c r="H310" t="inlineStr">
        <is>
          <t>Sparta (10 tabs)</t>
        </is>
      </c>
      <c r="I310" t="inlineStr">
        <is>
          <t>รับประทานครั้งละ 1-2 เม็ด วันละ 3 ครั้ง หรือเมื่อมีอาการ</t>
        </is>
      </c>
      <c r="P310" t="inlineStr">
        <is>
          <t>Antispasmodics (smooth muscle cramps / abdominal colic)</t>
        </is>
      </c>
    </row>
    <row r="311">
      <c r="A311" t="n">
        <v>309</v>
      </c>
      <c r="B311" t="inlineStr">
        <is>
          <t>ยาแก้ปวดเกร็งกล้ามเนื้อเรียบ (D)</t>
        </is>
      </c>
      <c r="C311" t="n">
        <v>7274</v>
      </c>
      <c r="D311" t="inlineStr">
        <is>
          <t>Spasuri</t>
        </is>
      </c>
      <c r="E311" t="inlineStr">
        <is>
          <t>แผง 10 เม็ด</t>
        </is>
      </c>
      <c r="F311" t="inlineStr">
        <is>
          <t>Flavoxate HCl 100 mg.</t>
        </is>
      </c>
      <c r="G311" t="inlineStr">
        <is>
          <t>BDS007274</t>
        </is>
      </c>
      <c r="H311" t="inlineStr">
        <is>
          <t>Spasuri (10 tabs)</t>
        </is>
      </c>
      <c r="I311" t="inlineStr">
        <is>
          <t>รับประทานครั้งละ 1-2 เม็ด วันละ 3 ครั้ง หรือเมื่อมีอาการ</t>
        </is>
      </c>
      <c r="P311" t="inlineStr">
        <is>
          <t>Antispasmodics (smooth muscle cramps / abdominal colic)</t>
        </is>
      </c>
    </row>
    <row r="312">
      <c r="A312" t="n">
        <v>310</v>
      </c>
      <c r="B312" t="inlineStr">
        <is>
          <t>ยาลดกรด, เคลือบกระเพาะ ชนิดน้ำ</t>
        </is>
      </c>
      <c r="C312" t="n">
        <v>1042</v>
      </c>
      <c r="D312" t="inlineStr">
        <is>
          <t>Amogin-Gel bottle 240 ml</t>
        </is>
      </c>
      <c r="E312" t="inlineStr">
        <is>
          <t>ขวด 240 ml.</t>
        </is>
      </c>
      <c r="F312" t="inlineStr">
        <is>
          <t>Aluminium Hydroxide 0.459 g.+Magnesium Hydroxide 0.300 g.+Dimethylpolysiloxane 0.021 g.</t>
        </is>
      </c>
      <c r="G312" t="inlineStr">
        <is>
          <t>BDS001042</t>
        </is>
      </c>
      <c r="H312" t="inlineStr">
        <is>
          <t>Amogin-Gel bottle 240 ml (240 ml.)</t>
        </is>
      </c>
      <c r="I312" t="inlineStr">
        <is>
          <t>รับประทานครั้งละ 1-2 ช้อนโต๊ะ วันละ 3-4 ครั้ง ก่อนอาหาร และก่อนนอน</t>
        </is>
      </c>
    </row>
    <row r="313">
      <c r="A313" t="n">
        <v>311</v>
      </c>
      <c r="B313" t="inlineStr">
        <is>
          <t>ยาลดกรด, เคลือบกระเพาะ ชนิดน้ำ</t>
        </is>
      </c>
      <c r="C313" t="n">
        <v>1095</v>
      </c>
      <c r="D313" t="inlineStr">
        <is>
          <t>Amogin-Gel sachet 15 ml</t>
        </is>
      </c>
      <c r="E313" t="inlineStr">
        <is>
          <t>ซอง 15 ml.</t>
        </is>
      </c>
      <c r="F313" t="inlineStr">
        <is>
          <t>Aluminium Hydroxide 0.459 g.+Magnesium Hydroxide 0.300 g.+Dimethylpolysiloxane 0.021 g.</t>
        </is>
      </c>
      <c r="G313" t="inlineStr">
        <is>
          <t>BDS001095</t>
        </is>
      </c>
      <c r="H313" t="inlineStr">
        <is>
          <t>Amogin-Gel sachet 15 ml (15 ml.)</t>
        </is>
      </c>
      <c r="I313" t="inlineStr">
        <is>
          <t>รับประทานครั้ง 1-2 ซอง วันละ 3-4 ครั้ง 1 ชั่วโมง ก่อนอาหาร และก่อนนอน</t>
        </is>
      </c>
    </row>
    <row r="314">
      <c r="A314" t="n">
        <v>312</v>
      </c>
      <c r="B314" t="inlineStr">
        <is>
          <t>ยาลดกรด, เคลือบกระเพาะ ชนิดน้ำ</t>
        </is>
      </c>
      <c r="C314" t="n">
        <v>1050</v>
      </c>
      <c r="D314" t="inlineStr">
        <is>
          <t>Antacil Gel กลาง</t>
        </is>
      </c>
      <c r="E314" t="inlineStr">
        <is>
          <t>ขวด 450 ml.</t>
        </is>
      </c>
      <c r="F314" t="inlineStr">
        <is>
          <t>Aluminium Hydroxide 960 mg. (Aluminium Hydroxide Compressed Gel)+Magnesium Hydroxide 330 mg.+Simethicone 60 mg./15 ml.</t>
        </is>
      </c>
      <c r="G314" t="inlineStr">
        <is>
          <t>BDS001050</t>
        </is>
      </c>
      <c r="H314" t="inlineStr">
        <is>
          <t>Antacil Gel กลาง (450 ml.)</t>
        </is>
      </c>
      <c r="I314" t="inlineStr">
        <is>
          <t>รับประทานครั้งละ 1-2 ช้อนโต๊ะ วันละ 3-4 ครั้ง</t>
        </is>
      </c>
    </row>
    <row r="315">
      <c r="A315" t="n">
        <v>313</v>
      </c>
      <c r="B315" t="inlineStr">
        <is>
          <t>ยาลดกรด, เคลือบกระเพาะ ชนิดน้ำ</t>
        </is>
      </c>
      <c r="C315" t="n">
        <v>1048</v>
      </c>
      <c r="D315" t="inlineStr">
        <is>
          <t>Antacil Gel เล็ก</t>
        </is>
      </c>
      <c r="E315" t="inlineStr">
        <is>
          <t>ขวด 240 ml.</t>
        </is>
      </c>
      <c r="F315" t="inlineStr">
        <is>
          <t>Aluminium Hydroxide 960 mg. (Aluminium Hydroxide Compressed Gel)+Magnesium Hydroxide 330 mg.+Simethicone 60 mg./15 ml.</t>
        </is>
      </c>
      <c r="G315" t="inlineStr">
        <is>
          <t>BDS001048</t>
        </is>
      </c>
      <c r="H315" t="inlineStr">
        <is>
          <t>Antacil Gel เล็ก (240 ml.)</t>
        </is>
      </c>
      <c r="I315" t="inlineStr">
        <is>
          <t>รับประทานครั้งละ 1-2 ช้อนโต๊ะ วันละ 3-4 ครั้ง</t>
        </is>
      </c>
    </row>
    <row r="316">
      <c r="A316" t="n">
        <v>314</v>
      </c>
      <c r="B316" t="inlineStr">
        <is>
          <t>ยาลดกรด, เคลือบกระเพาะ ชนิดน้ำ</t>
        </is>
      </c>
      <c r="C316" t="n">
        <v>40608</v>
      </c>
      <c r="D316" t="inlineStr">
        <is>
          <t>Belcid Forte Suspension</t>
        </is>
      </c>
      <c r="E316" t="inlineStr">
        <is>
          <t>ขวด 240 ml.</t>
        </is>
      </c>
      <c r="F316" t="inlineStr">
        <is>
          <t>Aluminium Hydroxide Gel (eq. to Aluminium Hydroxide 306 mg.+Magnesium Hydroxide 110 mg.+ Simethicone 30 mg./5 ml.</t>
        </is>
      </c>
      <c r="G316" t="inlineStr">
        <is>
          <t>BDS040608</t>
        </is>
      </c>
      <c r="H316" t="inlineStr">
        <is>
          <t>Belcid Forte Suspension (240 ml.)</t>
        </is>
      </c>
      <c r="I316" t="inlineStr">
        <is>
          <t xml:space="preserve">รับประทานครั้งละ 1-4 ช้อนชา เมื่อมีอาการ </t>
        </is>
      </c>
    </row>
    <row r="317">
      <c r="A317" t="n">
        <v>315</v>
      </c>
      <c r="B317" t="inlineStr">
        <is>
          <t>ยาลดกรด, เคลือบกระเพาะ ชนิดน้ำ</t>
        </is>
      </c>
      <c r="C317" t="n">
        <v>7133</v>
      </c>
      <c r="D317" t="inlineStr">
        <is>
          <t>Gaspec-S</t>
        </is>
      </c>
      <c r="E317" t="inlineStr">
        <is>
          <t>ขวด 240 ml.</t>
        </is>
      </c>
      <c r="F317" t="inlineStr">
        <is>
          <t>Simethicone 60 mg+Dried Aluminium Hydroxide gel 600 mg+Magnesium Hydroxide 375 mg./15 ml.</t>
        </is>
      </c>
      <c r="G317" t="inlineStr">
        <is>
          <t>BDS007133</t>
        </is>
      </c>
      <c r="H317" t="inlineStr">
        <is>
          <t>Gaspec-S (240 ml.)</t>
        </is>
      </c>
      <c r="I317" t="inlineStr">
        <is>
          <t>รับประทานครั้งละ 1-2 ช้อนโต๊ะ วันละ 4-6 ครั้ง</t>
        </is>
      </c>
    </row>
    <row r="318">
      <c r="A318" t="n">
        <v>316</v>
      </c>
      <c r="B318" t="inlineStr">
        <is>
          <t>ยาลดกรด, เคลือบกระเพาะ ชนิดน้ำ</t>
        </is>
      </c>
      <c r="C318" t="n">
        <v>2010</v>
      </c>
      <c r="D318" t="inlineStr">
        <is>
          <t>Gastro Bismol</t>
        </is>
      </c>
      <c r="E318" t="inlineStr">
        <is>
          <t>ขวด 240 ml.</t>
        </is>
      </c>
      <c r="F318" t="inlineStr">
        <is>
          <t>Bismuth Subsalicylate 262 mg.</t>
        </is>
      </c>
      <c r="G318" t="inlineStr">
        <is>
          <t>BDS002010</t>
        </is>
      </c>
      <c r="H318" t="inlineStr">
        <is>
          <t>Gastro Bismol (240 ml.)</t>
        </is>
      </c>
      <c r="I318" t="inlineStr">
        <is>
          <t>ผู้ใหญ่รับประทานครั้งละ 2 ช้อนโต๊ะ วันละ 4 ครั้ง ก่อนอาหารและก่อนนอน</t>
        </is>
      </c>
      <c r="J318" t="inlineStr">
        <is>
          <t>Adults take 2 tablespoons at a time. 4 times a day before meals and before bedtime</t>
        </is>
      </c>
    </row>
    <row r="319">
      <c r="A319" t="n">
        <v>317</v>
      </c>
      <c r="B319" t="inlineStr">
        <is>
          <t>ยาลดกรด, เคลือบกระเพาะ ชนิดน้ำ</t>
        </is>
      </c>
      <c r="C319" t="n">
        <v>43614</v>
      </c>
      <c r="D319" t="inlineStr">
        <is>
          <t>Gaviscon Advance bottle 150 ml</t>
        </is>
      </c>
      <c r="E319" t="inlineStr">
        <is>
          <t>ขวด 150 ml.</t>
        </is>
      </c>
      <c r="F319" t="inlineStr">
        <is>
          <t>Sodium alginate Ph Eur 1000 mg.+Potassium bicarbonate 200 mg. +Calcium carbonate+Carbomer+Methyl (E218)+Propyl (E216)+อื่นๆ</t>
        </is>
      </c>
      <c r="G319" t="inlineStr">
        <is>
          <t>BDS043614</t>
        </is>
      </c>
      <c r="H319" t="inlineStr">
        <is>
          <t>Gaviscon Advance bottle 150 ml (150 ml.)</t>
        </is>
      </c>
      <c r="I319" t="inlineStr">
        <is>
          <t>ผู้ใหญ่รับประทานครั้งละ 2-4 ช้อนชา วันละ 4 ครั้ง หลังอาหารและก่อนนอน</t>
        </is>
      </c>
      <c r="J319" t="inlineStr">
        <is>
          <t>Adults take 2-4 teaspoons at a time. 4 times a day, after meals and before bedtime</t>
        </is>
      </c>
    </row>
    <row r="320">
      <c r="A320" t="n">
        <v>318</v>
      </c>
      <c r="B320" t="inlineStr">
        <is>
          <t>ยาลดกรด, เคลือบกระเพาะ ชนิดน้ำ</t>
        </is>
      </c>
      <c r="C320" t="n">
        <v>43613</v>
      </c>
      <c r="D320" t="inlineStr">
        <is>
          <t>Gaviscon Advance sachet 10 ml</t>
        </is>
      </c>
      <c r="E320" t="inlineStr">
        <is>
          <t>ซอง 10 ml.</t>
        </is>
      </c>
      <c r="F320" t="inlineStr">
        <is>
          <t>Sodium alginate Ph Eur 1000 mg.+Potassium bicarbonate 200 mg.+Calcium carbonate+Carbomer+Methyl (E218)+Propyl (E216)+อื่นๆ</t>
        </is>
      </c>
      <c r="G320" t="inlineStr">
        <is>
          <t>BDS043613</t>
        </is>
      </c>
      <c r="H320" t="inlineStr">
        <is>
          <t>Gaviscon Advance sachet 10 ml (10 ml.)</t>
        </is>
      </c>
      <c r="I320" t="inlineStr">
        <is>
          <t>ผู้ใหญ่รับประทานครั้งละ 1-2 ซองวันละ 4 ครั้ง หลังอาหารและก่อนนอน</t>
        </is>
      </c>
      <c r="J320" t="inlineStr">
        <is>
          <t>Adults take 1-2 sachets 4 times a day after meals and before bedtime</t>
        </is>
      </c>
    </row>
    <row r="321">
      <c r="A321" t="n">
        <v>319</v>
      </c>
      <c r="B321" t="inlineStr">
        <is>
          <t>ยาลดกรด, เคลือบกระเพาะ ชนิดน้ำ</t>
        </is>
      </c>
      <c r="C321" t="n">
        <v>2012</v>
      </c>
      <c r="D321" t="inlineStr">
        <is>
          <t>Gaviscon Dual Action bottle 150 ml</t>
        </is>
      </c>
      <c r="E321" t="inlineStr">
        <is>
          <t>ขวด 150 ml.</t>
        </is>
      </c>
      <c r="F321" t="inlineStr">
        <is>
          <t>Sodium alginate 500 mg.+Sodium bicarbonate 213 mg.+Calcium carbonate 325 mg.</t>
        </is>
      </c>
      <c r="G321" t="inlineStr">
        <is>
          <t>BDS002012</t>
        </is>
      </c>
      <c r="H321" t="inlineStr">
        <is>
          <t>Gaviscon Dual Action bottle 150 ml (150 ml.)</t>
        </is>
      </c>
      <c r="I321" t="inlineStr">
        <is>
          <t>ผู้ใหญ่รับประทานครั้งละ 2-4 ช้อนชา วันละ 4 ครั้ง หลังอาหารและก่อนนอน</t>
        </is>
      </c>
      <c r="J321" t="inlineStr">
        <is>
          <t>Adults take 2-4 teaspoons at a time. 4 times a day, after meals and before bedtime</t>
        </is>
      </c>
    </row>
    <row r="322">
      <c r="A322" t="n">
        <v>320</v>
      </c>
      <c r="B322" t="inlineStr">
        <is>
          <t>ยาลดกรด, เคลือบกระเพาะ ชนิดน้ำ</t>
        </is>
      </c>
      <c r="C322" t="n">
        <v>2033</v>
      </c>
      <c r="D322" t="inlineStr">
        <is>
          <t>Gaviscon Dual Action sachet 10 ml</t>
        </is>
      </c>
      <c r="E322" t="inlineStr">
        <is>
          <t>ซอง 10 ml.</t>
        </is>
      </c>
      <c r="F322" t="inlineStr">
        <is>
          <t>Sodium alginate 500 mg.+Sodium bicarbonate 213 mg.+Calcium carbonate 325 mg.</t>
        </is>
      </c>
      <c r="G322" t="inlineStr">
        <is>
          <t>BDS002033</t>
        </is>
      </c>
      <c r="H322" t="inlineStr">
        <is>
          <t>Gaviscon Dual Action sachet 10 ml (10 ml.)</t>
        </is>
      </c>
      <c r="I322" t="inlineStr">
        <is>
          <t>ผู้ใหญ่รับประทานครั้งละ 1-2 ซอง วันละ 4 ครั้ง หลังอาหารและก่อนนอน</t>
        </is>
      </c>
      <c r="J322" t="inlineStr">
        <is>
          <t>Adults take 1-2 sachets 4 times a day after meals and before bedtime</t>
        </is>
      </c>
    </row>
    <row r="323">
      <c r="A323" t="n">
        <v>321</v>
      </c>
      <c r="B323" t="inlineStr">
        <is>
          <t>ยาลดกรด, เคลือบกระเพาะ ชนิดน้ำ</t>
        </is>
      </c>
      <c r="C323" t="n">
        <v>2014</v>
      </c>
      <c r="D323" t="inlineStr">
        <is>
          <t>Gaviscon Suspension bottle 150 ml</t>
        </is>
      </c>
      <c r="E323" t="inlineStr">
        <is>
          <t>ขวด 150 ml.</t>
        </is>
      </c>
      <c r="F323" t="inlineStr">
        <is>
          <t>Sodium alginate 500 mg.+Sodium bicarbonate 267 mg./10 ml.</t>
        </is>
      </c>
      <c r="G323" t="inlineStr">
        <is>
          <t>BDS002014</t>
        </is>
      </c>
      <c r="H323" t="inlineStr">
        <is>
          <t>Gaviscon Suspension bottle 150 ml (150 ml.)</t>
        </is>
      </c>
      <c r="I323" t="inlineStr">
        <is>
          <t>ผู้ใหญ่รับประทานครั้งละ 2-4 ช้อนชา วันละ 4 ครั้ง หลังอาหารและก่อนนอน</t>
        </is>
      </c>
      <c r="J323" t="inlineStr">
        <is>
          <t>Adults take 2-4 teaspoons at a time. 4 times a day, after meals and before bedtime</t>
        </is>
      </c>
    </row>
    <row r="324">
      <c r="A324" t="n">
        <v>322</v>
      </c>
      <c r="B324" t="inlineStr">
        <is>
          <t>ยาลดกรด, เคลือบกระเพาะ ชนิดน้ำ</t>
        </is>
      </c>
      <c r="C324" t="n">
        <v>2013</v>
      </c>
      <c r="D324" t="inlineStr">
        <is>
          <t>Gaviscon Suspension sachet 10 ml</t>
        </is>
      </c>
      <c r="E324" t="inlineStr">
        <is>
          <t>ซอง 10 ml.</t>
        </is>
      </c>
      <c r="F324" t="inlineStr">
        <is>
          <t>Sodium alginate 500 mg.+Sodium bicarbonate 267 mg.+Calcium carbonate 160 mg./10 ml.</t>
        </is>
      </c>
      <c r="G324" t="inlineStr">
        <is>
          <t>BDS002013</t>
        </is>
      </c>
      <c r="H324" t="inlineStr">
        <is>
          <t>Gaviscon Suspension sachet 10 ml (10 ml.)</t>
        </is>
      </c>
      <c r="I324" t="inlineStr">
        <is>
          <t>ผู้ใหญ่รับประทานครั้งละ 1-2 ซอง วันละ 4 ครั้ง หลังอาหารและก่อนนอน</t>
        </is>
      </c>
      <c r="J324" t="inlineStr">
        <is>
          <t>Adults take 1-2 sachets 4 times a day after meals and before bedtime</t>
        </is>
      </c>
    </row>
    <row r="325">
      <c r="A325" t="n">
        <v>323</v>
      </c>
      <c r="B325" t="inlineStr">
        <is>
          <t>ยาลดกรด, เคลือบกระเพาะ ชนิดน้ำ</t>
        </is>
      </c>
      <c r="C325" t="n">
        <v>43606</v>
      </c>
      <c r="D325" t="inlineStr">
        <is>
          <t>Gaviscon Suspension กล่อง 4 ซอง</t>
        </is>
      </c>
      <c r="E325" t="inlineStr">
        <is>
          <t>กล่อง 4 ซอง</t>
        </is>
      </c>
      <c r="F325" t="inlineStr">
        <is>
          <t>Sodium alginate 500 mg.+Sodium bicarbonate 267 mg.+Calcium carbonate 160 mg./10 ml.</t>
        </is>
      </c>
      <c r="G325" t="inlineStr">
        <is>
          <t>BDS043606</t>
        </is>
      </c>
      <c r="H325" t="inlineStr">
        <is>
          <t>Gaviscon Suspension กล่อง 4 ซอง (4 sachets)</t>
        </is>
      </c>
      <c r="I325" t="inlineStr">
        <is>
          <t>ผู้ใหญ่รับประทานครั้งละ 1-2 ซอง วันละ 4 ครั้ง หลังอาหารและก่อนนอน</t>
        </is>
      </c>
      <c r="J325" t="inlineStr">
        <is>
          <t>Adults take 1-2 sachets 4 times a day after meals and before bedtime</t>
        </is>
      </c>
    </row>
    <row r="326">
      <c r="A326" t="n">
        <v>324</v>
      </c>
      <c r="B326" t="inlineStr">
        <is>
          <t>ยาลดกรด, เคลือบกระเพาะ ชนิดน้ำ</t>
        </is>
      </c>
      <c r="C326" t="n">
        <v>1029</v>
      </c>
      <c r="D326" t="inlineStr">
        <is>
          <t>Maalox Alum Milk</t>
        </is>
      </c>
      <c r="E326" t="inlineStr">
        <is>
          <t>ขวด 240 ml.</t>
        </is>
      </c>
      <c r="F326" t="inlineStr">
        <is>
          <t>Al(OH)3 4.4 g.+Mg(OH)2 2.4 g./100 ml.</t>
        </is>
      </c>
      <c r="G326" t="inlineStr">
        <is>
          <t>BDS001029</t>
        </is>
      </c>
      <c r="H326" t="inlineStr">
        <is>
          <t>Maalox Alum Milk (240 ml.)</t>
        </is>
      </c>
      <c r="I326" t="inlineStr">
        <is>
          <t>รับประทานครั้งละ 1-2 ช้อนโต๊ะ วันละ 3-4 ครั้ง</t>
        </is>
      </c>
    </row>
    <row r="327">
      <c r="A327" t="n">
        <v>325</v>
      </c>
      <c r="B327" t="inlineStr">
        <is>
          <t>ยาลดกรด, เคลือบกระเพาะ ชนิดน้ำ</t>
        </is>
      </c>
      <c r="C327" t="n">
        <v>3565</v>
      </c>
      <c r="D327" t="inlineStr">
        <is>
          <t>Sucrate Gel</t>
        </is>
      </c>
      <c r="E327" t="inlineStr">
        <is>
          <t>ซอง 5 ml.</t>
        </is>
      </c>
      <c r="F327" t="inlineStr">
        <is>
          <t>Sucralfate gel 1 g.</t>
        </is>
      </c>
      <c r="G327" t="inlineStr">
        <is>
          <t>BDS003565</t>
        </is>
      </c>
      <c r="H327" t="inlineStr">
        <is>
          <t>Sucrate Gel (5 ml.)</t>
        </is>
      </c>
      <c r="I327" t="inlineStr">
        <is>
          <t xml:space="preserve">รับประทานครั้งละ 1 ซอง วันละ 2 ครั้ง ก่อนอาหารเช้า 1 ชั่วโมง และก่อนนอน </t>
        </is>
      </c>
    </row>
    <row r="328">
      <c r="A328" t="n">
        <v>326</v>
      </c>
      <c r="B328" t="inlineStr">
        <is>
          <t>ยาลดกรด, เคลือบกระเพาะ ชนิดน้ำ</t>
        </is>
      </c>
      <c r="C328" t="n">
        <v>3918</v>
      </c>
      <c r="D328" t="inlineStr">
        <is>
          <t>Ulcefate Suspension bottle 240 ml</t>
        </is>
      </c>
      <c r="E328" t="inlineStr">
        <is>
          <t>ขวด 240 ml.</t>
        </is>
      </c>
      <c r="F328" t="inlineStr">
        <is>
          <t>Sucralfate 1 g./5 ml.</t>
        </is>
      </c>
      <c r="G328" t="inlineStr">
        <is>
          <t>BDS003918</t>
        </is>
      </c>
      <c r="H328" t="inlineStr">
        <is>
          <t>Ulcefate Suspension bottle 240 ml (240 ml.)</t>
        </is>
      </c>
      <c r="I328" t="inlineStr">
        <is>
          <t>รับประทานครั้งละ 1-2 ช้อนชา วันละ 2-4 ครั้ง ก่อนอาหารและก่อนนอน</t>
        </is>
      </c>
    </row>
    <row r="329">
      <c r="A329" t="n">
        <v>327</v>
      </c>
      <c r="B329" t="inlineStr">
        <is>
          <t>ยาลดกรด, เคลือบกระเพาะ ชนิดน้ำ</t>
        </is>
      </c>
      <c r="C329" t="n">
        <v>3917</v>
      </c>
      <c r="D329" t="inlineStr">
        <is>
          <t>Ulcefate Suspension bottle 60 ml</t>
        </is>
      </c>
      <c r="E329" t="inlineStr">
        <is>
          <t>ขวด 60 ml.</t>
        </is>
      </c>
      <c r="F329" t="inlineStr">
        <is>
          <t>Sucralfate 1 g./5 ml.</t>
        </is>
      </c>
      <c r="G329" t="inlineStr">
        <is>
          <t>BDS003917</t>
        </is>
      </c>
      <c r="H329" t="inlineStr">
        <is>
          <t>Ulcefate Suspension bottle 60 ml (60 ml.)</t>
        </is>
      </c>
      <c r="I329" t="inlineStr">
        <is>
          <t>รับประทานครั้งละ 1-2 ช้อนชา วันละ 3-4 ครั้ง ก่อนอาหารและก่อนนอน</t>
        </is>
      </c>
    </row>
    <row r="330">
      <c r="A330" t="n">
        <v>328</v>
      </c>
      <c r="B330" t="inlineStr">
        <is>
          <t>ยาลดกรด, เคลือบกระเพาะ ชนิดน้ำ</t>
        </is>
      </c>
      <c r="C330" t="n">
        <v>3915</v>
      </c>
      <c r="D330" t="inlineStr">
        <is>
          <t>Ulcefate Suspension sachet 5 ml</t>
        </is>
      </c>
      <c r="E330" t="inlineStr">
        <is>
          <t>ซอง 5 ml.</t>
        </is>
      </c>
      <c r="F330" t="inlineStr">
        <is>
          <t>Sucralfate 1 g.</t>
        </is>
      </c>
      <c r="G330" t="inlineStr">
        <is>
          <t>BDS003915</t>
        </is>
      </c>
      <c r="H330" t="inlineStr">
        <is>
          <t>Ulcefate Suspension sachet 5 ml (5 ml.)</t>
        </is>
      </c>
      <c r="I330" t="inlineStr">
        <is>
          <t>รับประทานครั้งละ 1-2 ซอง วันละ 2-4 ครั้ง ก่อนอาหารและก่อนนอน</t>
        </is>
      </c>
    </row>
    <row r="331">
      <c r="A331" t="n">
        <v>329</v>
      </c>
      <c r="B331" t="inlineStr">
        <is>
          <t>ยาลดกรด, เคลือบกระเพาะ ชนิดน้ำ</t>
        </is>
      </c>
      <c r="C331" t="n">
        <v>7951</v>
      </c>
      <c r="D331" t="inlineStr">
        <is>
          <t>Ziga Gel</t>
        </is>
      </c>
      <c r="E331" t="inlineStr">
        <is>
          <t>ขวด 240 ml.</t>
        </is>
      </c>
      <c r="F331" t="inlineStr">
        <is>
          <t>Al(OH)3 900 mg.+Mg(OH)2 400 mg.+Simethicone 70 mg./15 ml.</t>
        </is>
      </c>
      <c r="G331" t="inlineStr">
        <is>
          <t>BDS007951</t>
        </is>
      </c>
      <c r="H331" t="inlineStr">
        <is>
          <t>Ziga Gel (240 ml.)</t>
        </is>
      </c>
      <c r="I331" t="inlineStr">
        <is>
          <t>ผู้ใหญ่รับประทานครั้งละ 1 ช้อนโต๊ะ  วันละ 4 ครั้ง หลังอาหารและก่อนนอน</t>
        </is>
      </c>
    </row>
    <row r="332">
      <c r="A332" t="n">
        <v>330</v>
      </c>
      <c r="B332" t="inlineStr">
        <is>
          <t>ยาขับลม ชนิดน้ำ</t>
        </is>
      </c>
      <c r="C332" t="n">
        <v>1013</v>
      </c>
      <c r="D332" t="inlineStr">
        <is>
          <t>Air-X Drops</t>
        </is>
      </c>
      <c r="E332" t="inlineStr">
        <is>
          <t>ขวด 15 ml.</t>
        </is>
      </c>
      <c r="F332" t="inlineStr">
        <is>
          <t>Simethicone 40 mg./0.6 ml.</t>
        </is>
      </c>
      <c r="G332" t="inlineStr">
        <is>
          <t>BDS001013</t>
        </is>
      </c>
      <c r="H332" t="inlineStr">
        <is>
          <t>Air-X Drops (15 ml.)</t>
        </is>
      </c>
      <c r="I332" t="inlineStr">
        <is>
          <t>รับประทานครั้งละ 0.3 ml. วันละ 3 ครั้ง หลังอาหาร</t>
        </is>
      </c>
      <c r="P332" t="inlineStr">
        <is>
          <t>Carminatives (gas relief)</t>
        </is>
      </c>
    </row>
    <row r="333">
      <c r="A333" t="n">
        <v>331</v>
      </c>
      <c r="B333" t="inlineStr">
        <is>
          <t>ยาขับลม ชนิดน้ำ</t>
        </is>
      </c>
      <c r="C333" t="n">
        <v>2631</v>
      </c>
      <c r="D333" t="inlineStr">
        <is>
          <t>Mixt.Carminative (GPO) 180 ml</t>
        </is>
      </c>
      <c r="E333" t="inlineStr">
        <is>
          <t>ขวด 180 ml.</t>
        </is>
      </c>
      <c r="F333" t="inlineStr">
        <is>
          <t>Cardamon Tincture 1.80 ml.+Capsicum Tincture 0.06 ml.+Ginger Tincture 0.024 ml./15 ml.</t>
        </is>
      </c>
      <c r="G333" t="inlineStr">
        <is>
          <t>BDS002631</t>
        </is>
      </c>
      <c r="H333" t="inlineStr">
        <is>
          <t>Mixt.Carminative (GPO) 180 ml (180 ml.)</t>
        </is>
      </c>
      <c r="I333" t="inlineStr">
        <is>
          <t>รับประทานครั้งละ 1 ช้อนโต๊ะ วันละ 3-4 ครั้ง หลังอาหาร หรือเมื่อมีอาการ</t>
        </is>
      </c>
      <c r="P333" t="inlineStr">
        <is>
          <t>Carminatives (gas relief)</t>
        </is>
      </c>
    </row>
    <row r="334">
      <c r="A334" t="n">
        <v>332</v>
      </c>
      <c r="B334" t="inlineStr">
        <is>
          <t>ยาขับลม ชนิดน้ำ</t>
        </is>
      </c>
      <c r="C334" t="n">
        <v>2632</v>
      </c>
      <c r="D334" t="inlineStr">
        <is>
          <t>Mixt.Carminative (GPO) 450 ml</t>
        </is>
      </c>
      <c r="E334" t="inlineStr">
        <is>
          <t>ขวด 450 ml.</t>
        </is>
      </c>
      <c r="F334" t="inlineStr">
        <is>
          <t>Cardamon Tincture 1.80 ml.+Capsicum Tincture 0.06 ml.+Ginger Tincture 0.024 ml./15 ml.</t>
        </is>
      </c>
      <c r="G334" t="inlineStr">
        <is>
          <t>BDS002632</t>
        </is>
      </c>
      <c r="H334" t="inlineStr">
        <is>
          <t>Mixt.Carminative (GPO) 450 ml (450 ml.)</t>
        </is>
      </c>
      <c r="I334" t="inlineStr">
        <is>
          <t>รับประทานครั้งละ 1 ช้อนโต๊ะ วันละ 3-4 ครั้ง หลังอาหาร หรือเมื่อมีอาการ</t>
        </is>
      </c>
      <c r="P334" t="inlineStr">
        <is>
          <t>Carminatives (gas relief)</t>
        </is>
      </c>
    </row>
    <row r="335">
      <c r="A335" t="n">
        <v>333</v>
      </c>
      <c r="B335" t="inlineStr">
        <is>
          <t>ยาขับลม ชนิดน้ำ</t>
        </is>
      </c>
      <c r="C335" t="n">
        <v>7967</v>
      </c>
      <c r="D335" t="inlineStr">
        <is>
          <t>Ziga Gas</t>
        </is>
      </c>
      <c r="E335" t="inlineStr">
        <is>
          <t>ขวด 240 ml.</t>
        </is>
      </c>
      <c r="F335" t="inlineStr">
        <is>
          <t>เปล้าน้อย+สมุลแว้ง+ขมิ้นชัน+กานพลู+ลูกกระวาน+เกล็ดสะระแหน่</t>
        </is>
      </c>
      <c r="G335" t="inlineStr">
        <is>
          <t>BDS007967</t>
        </is>
      </c>
      <c r="H335" t="inlineStr">
        <is>
          <t>Ziga Gas (240 ml.)</t>
        </is>
      </c>
      <c r="I335" t="inlineStr">
        <is>
          <t>รับประทานครั้งละ 1-2 ช้อนโต๊ะ วันละ 3-4 ครั้ง หลังอาหาร และก่อนนอน</t>
        </is>
      </c>
      <c r="P335" t="inlineStr">
        <is>
          <t>Carminatives (gas relief)</t>
        </is>
      </c>
    </row>
    <row r="336">
      <c r="A336" t="n">
        <v>334</v>
      </c>
      <c r="B336" t="inlineStr">
        <is>
          <t>ยาคลายกล้ามเนื้อ (D)</t>
        </is>
      </c>
      <c r="C336" t="n">
        <v>6664</v>
      </c>
      <c r="D336" t="inlineStr">
        <is>
          <t>Baclofen</t>
        </is>
      </c>
      <c r="E336" t="inlineStr">
        <is>
          <t>แผง 10 เม็ด</t>
        </is>
      </c>
      <c r="F336" t="inlineStr">
        <is>
          <t>Baclofen 10 mg.</t>
        </is>
      </c>
      <c r="G336" t="inlineStr">
        <is>
          <t>BDS006664</t>
        </is>
      </c>
      <c r="H336" t="inlineStr">
        <is>
          <t>Baclofen (10 tabs)</t>
        </is>
      </c>
      <c r="I336" t="inlineStr">
        <is>
          <t>รับประทาน ครั้งละ 1-2 เม็ด วันละ 2-3 ครั้ง</t>
        </is>
      </c>
      <c r="P336" t="inlineStr">
        <is>
          <t>Muscle relaxants</t>
        </is>
      </c>
    </row>
    <row r="337">
      <c r="A337" t="n">
        <v>335</v>
      </c>
      <c r="B337" t="inlineStr">
        <is>
          <t>ยาคลายกล้ามเนื้อ (D)</t>
        </is>
      </c>
      <c r="C337" t="n">
        <v>1271</v>
      </c>
      <c r="D337" t="inlineStr">
        <is>
          <t>Biocalm</t>
        </is>
      </c>
      <c r="E337" t="inlineStr">
        <is>
          <t>แผง 10 เม็ด</t>
        </is>
      </c>
      <c r="F337" t="inlineStr">
        <is>
          <t>Tolperisone 50 mg.</t>
        </is>
      </c>
      <c r="G337" t="inlineStr">
        <is>
          <t>BDS001271</t>
        </is>
      </c>
      <c r="H337" t="inlineStr">
        <is>
          <t>Biocalm (10 tabs)</t>
        </is>
      </c>
      <c r="I337" t="inlineStr">
        <is>
          <t>รับประทานครั้งละ 1 เม็ด วันละ 3 ครั้ง หรือตามแพทย์สั่ง</t>
        </is>
      </c>
      <c r="K337" t="n">
        <v>80</v>
      </c>
      <c r="L337" t="n">
        <v>8</v>
      </c>
      <c r="M337" t="inlineStr">
        <is>
          <t>USER</t>
        </is>
      </c>
      <c r="N337" t="inlineStr">
        <is>
          <t>2026-02-07</t>
        </is>
      </c>
      <c r="O337" t="inlineStr">
        <is>
          <t>User provided price (Biocalm 10 tabs).</t>
        </is>
      </c>
      <c r="P337" t="inlineStr">
        <is>
          <t>Muscle relaxants</t>
        </is>
      </c>
    </row>
    <row r="338">
      <c r="A338" t="n">
        <v>336</v>
      </c>
      <c r="B338" t="inlineStr">
        <is>
          <t>ยาคลายกล้ามเนื้อ (D)</t>
        </is>
      </c>
      <c r="C338" t="n">
        <v>7049</v>
      </c>
      <c r="D338" t="inlineStr">
        <is>
          <t>Cenasic</t>
        </is>
      </c>
      <c r="E338" t="inlineStr">
        <is>
          <t>แผง 10 เม็ด</t>
        </is>
      </c>
      <c r="F338" t="inlineStr">
        <is>
          <t>Paracetamol 450 mg.+Orphenadrine Citrate 35 mg.</t>
        </is>
      </c>
      <c r="G338" t="inlineStr">
        <is>
          <t>BDS007049</t>
        </is>
      </c>
      <c r="H338" t="inlineStr">
        <is>
          <t>Cenasic (10 tabs)</t>
        </is>
      </c>
      <c r="I338" t="inlineStr">
        <is>
          <t>รับประทานครั้งละ 1-2 เม็ด วันละ 3 ครั้ง หลังอาหาร</t>
        </is>
      </c>
      <c r="P338" t="inlineStr">
        <is>
          <t>Muscle relaxants</t>
        </is>
      </c>
    </row>
    <row r="339">
      <c r="A339" t="n">
        <v>337</v>
      </c>
      <c r="B339" t="inlineStr">
        <is>
          <t>ยาคลายกล้ามเนื้อ (D)</t>
        </is>
      </c>
      <c r="C339" t="n">
        <v>41455</v>
      </c>
      <c r="D339" t="inlineStr">
        <is>
          <t>Corilax tabslet</t>
        </is>
      </c>
      <c r="E339" t="inlineStr">
        <is>
          <t>แผง 10 เม็ด</t>
        </is>
      </c>
      <c r="F339" t="inlineStr">
        <is>
          <t>Paracetamol 450 mg.+Orphenadrine Citrate 35 mg.</t>
        </is>
      </c>
      <c r="G339" t="inlineStr">
        <is>
          <t>BDS041455</t>
        </is>
      </c>
      <c r="H339" t="inlineStr">
        <is>
          <t>Corilax tabslet (10 tabs)</t>
        </is>
      </c>
      <c r="I339" t="inlineStr">
        <is>
          <t>รับประทานครั้งละ 1-2 เม็ด วันละ 3 ครั้ง หรือตามแพทย์สั่ง</t>
        </is>
      </c>
      <c r="P339" t="inlineStr">
        <is>
          <t>Muscle relaxants</t>
        </is>
      </c>
    </row>
    <row r="340">
      <c r="A340" t="n">
        <v>338</v>
      </c>
      <c r="B340" t="inlineStr">
        <is>
          <t>ยาคลายกล้ามเนื้อ (D)</t>
        </is>
      </c>
      <c r="C340" t="n">
        <v>3410</v>
      </c>
      <c r="D340" t="inlineStr">
        <is>
          <t>M-Calm tabslet</t>
        </is>
      </c>
      <c r="E340" t="inlineStr">
        <is>
          <t>แผง 10 เม็ด</t>
        </is>
      </c>
      <c r="F340" t="inlineStr">
        <is>
          <t>Tolperisone Hydrochloride 50 mg.</t>
        </is>
      </c>
      <c r="G340" t="inlineStr">
        <is>
          <t>BDS003410</t>
        </is>
      </c>
      <c r="H340" t="inlineStr">
        <is>
          <t>M-Calm tabslet (10 tabs)</t>
        </is>
      </c>
      <c r="I340" t="inlineStr">
        <is>
          <t>รับประทานครั้งละ 1-2 เม็ด วันละ 3 ครั้ง</t>
        </is>
      </c>
      <c r="P340" t="inlineStr">
        <is>
          <t>Muscle relaxants</t>
        </is>
      </c>
    </row>
    <row r="341">
      <c r="A341" t="n">
        <v>339</v>
      </c>
      <c r="B341" t="inlineStr">
        <is>
          <t>ยาคลายกล้ามเนื้อ (D)</t>
        </is>
      </c>
      <c r="C341" t="n">
        <v>44932</v>
      </c>
      <c r="D341" t="inlineStr">
        <is>
          <t>Muslexac</t>
        </is>
      </c>
      <c r="E341" t="inlineStr">
        <is>
          <t>กล่อง 10 เม็ด</t>
        </is>
      </c>
      <c r="F341" t="inlineStr">
        <is>
          <t>Paracetamol 500 mg.+Orphenadrine Citrate 35 mg.</t>
        </is>
      </c>
      <c r="G341" t="inlineStr">
        <is>
          <t>BDS044932</t>
        </is>
      </c>
      <c r="H341" t="inlineStr">
        <is>
          <t>Muslexac (10 tabs)</t>
        </is>
      </c>
      <c r="I341" t="inlineStr">
        <is>
          <t>รับประทานครั้งละ 1-2 เม็ด วันละ 3 ครั้ง</t>
        </is>
      </c>
      <c r="P341" t="inlineStr">
        <is>
          <t>Muscle relaxants</t>
        </is>
      </c>
    </row>
    <row r="342">
      <c r="A342" t="n">
        <v>340</v>
      </c>
      <c r="B342" t="inlineStr">
        <is>
          <t>ยาคลายกล้ามเนื้อ (D)</t>
        </is>
      </c>
      <c r="C342" t="n">
        <v>7571</v>
      </c>
      <c r="D342" t="inlineStr">
        <is>
          <t>Musolax</t>
        </is>
      </c>
      <c r="E342" t="inlineStr">
        <is>
          <t>แผง 10 เม็ด</t>
        </is>
      </c>
      <c r="F342" t="inlineStr">
        <is>
          <t>Eperisone hydrochloride 50 mg.</t>
        </is>
      </c>
      <c r="G342" t="inlineStr">
        <is>
          <t>BDS007571</t>
        </is>
      </c>
      <c r="H342" t="inlineStr">
        <is>
          <t>Musolax (10 tabs)</t>
        </is>
      </c>
      <c r="I342" t="inlineStr">
        <is>
          <t>รับประทานครั้งละ 1 เม็ด วันละ 3 ครั้ง หลังอาหาร</t>
        </is>
      </c>
      <c r="P342" t="inlineStr">
        <is>
          <t>Muscle relaxants</t>
        </is>
      </c>
    </row>
    <row r="343">
      <c r="A343" t="n">
        <v>341</v>
      </c>
      <c r="B343" t="inlineStr">
        <is>
          <t>ยาคลายกล้ามเนื้อ (D)</t>
        </is>
      </c>
      <c r="C343" t="n">
        <v>2652</v>
      </c>
      <c r="D343" t="inlineStr">
        <is>
          <t>Mydocalm</t>
        </is>
      </c>
      <c r="E343" t="inlineStr">
        <is>
          <t>แผง 10 เม็ด</t>
        </is>
      </c>
      <c r="F343" t="inlineStr">
        <is>
          <t>Tolperisone 50 mg.</t>
        </is>
      </c>
      <c r="G343" t="inlineStr">
        <is>
          <t>BDS002652</t>
        </is>
      </c>
      <c r="H343" t="inlineStr">
        <is>
          <t>Mydocalm (10 tabs)</t>
        </is>
      </c>
      <c r="I343" t="inlineStr">
        <is>
          <t xml:space="preserve">รับประทานครั้งละ 1-2 เม็ด วันละ 3 ครั้ง </t>
        </is>
      </c>
      <c r="K343" t="n">
        <v>58</v>
      </c>
      <c r="L343" t="n">
        <v>5.8</v>
      </c>
      <c r="M343" t="inlineStr">
        <is>
          <t>https://bigya.co.th/product-detail/320</t>
        </is>
      </c>
      <c r="N343" t="inlineStr">
        <is>
          <t>2026-02-07</t>
        </is>
      </c>
      <c r="O343" t="inlineStr">
        <is>
          <t>Retail price at BIGYA (strip 10 tablets).</t>
        </is>
      </c>
      <c r="P343" t="inlineStr">
        <is>
          <t>Muscle relaxants</t>
        </is>
      </c>
    </row>
    <row r="344">
      <c r="A344" t="n">
        <v>342</v>
      </c>
      <c r="B344" t="inlineStr">
        <is>
          <t>ยาคลายกล้ามเนื้อ (D)</t>
        </is>
      </c>
      <c r="C344" t="n">
        <v>2701</v>
      </c>
      <c r="D344" t="inlineStr">
        <is>
          <t>Myonal 50 mg</t>
        </is>
      </c>
      <c r="E344" t="inlineStr">
        <is>
          <t>แผง 10 เม็ด</t>
        </is>
      </c>
      <c r="F344" t="inlineStr">
        <is>
          <t>Eperisone hydrochloride 50 mg.</t>
        </is>
      </c>
      <c r="G344" t="inlineStr">
        <is>
          <t>BDS002701</t>
        </is>
      </c>
      <c r="H344" t="inlineStr">
        <is>
          <t>Myonal 50 mg (10 tabs)</t>
        </is>
      </c>
      <c r="I344" t="inlineStr">
        <is>
          <t>รับประทานครั้งละ 1 เม็ด วันละ 3 ครั้ง หลังอาหาร</t>
        </is>
      </c>
      <c r="K344" t="n">
        <v>116.6666666666667</v>
      </c>
      <c r="L344" t="n">
        <v>11.66666666666667</v>
      </c>
      <c r="M344" t="inlineStr">
        <is>
          <t>https://medtide.com/meds/pain-and-inflammation/muscle-relaxants/eperisone-myonal-50-mg-30-tablets-box/</t>
        </is>
      </c>
      <c r="N344" t="inlineStr">
        <is>
          <t>2026-02-07</t>
        </is>
      </c>
      <c r="O344" t="inlineStr">
        <is>
          <t>Derived from Medtide price 350 THB per box (30 tablets = 3 strips). Entered per-strip estimate.</t>
        </is>
      </c>
      <c r="P344" t="inlineStr">
        <is>
          <t>Muscle relaxants</t>
        </is>
      </c>
    </row>
    <row r="345">
      <c r="A345" t="n">
        <v>343</v>
      </c>
      <c r="B345" t="inlineStr">
        <is>
          <t>ยาคลายกล้ามเนื้อ (D)</t>
        </is>
      </c>
      <c r="C345" t="n">
        <v>7752</v>
      </c>
      <c r="D345" t="inlineStr">
        <is>
          <t>Noraphen</t>
        </is>
      </c>
      <c r="E345" t="inlineStr">
        <is>
          <t>แผง 10 เม็ด</t>
        </is>
      </c>
      <c r="F345" t="inlineStr">
        <is>
          <t>Paracetamol 500 mg.+Orphenadrine Citrate 35 mg.</t>
        </is>
      </c>
      <c r="G345" t="inlineStr">
        <is>
          <t>BDS007752</t>
        </is>
      </c>
      <c r="H345" t="inlineStr">
        <is>
          <t>Noraphen (10 tabs)</t>
        </is>
      </c>
      <c r="I345" t="inlineStr">
        <is>
          <t>รับประทานครั้งละ 1-2 เม็ด วันละ 3 ครั้ง หลังอาหาร</t>
        </is>
      </c>
      <c r="P345" t="inlineStr">
        <is>
          <t>Muscle relaxants</t>
        </is>
      </c>
    </row>
    <row r="346">
      <c r="A346" t="n">
        <v>344</v>
      </c>
      <c r="B346" t="inlineStr">
        <is>
          <t>ยาคลายกล้ามเนื้อ (D)</t>
        </is>
      </c>
      <c r="C346" t="n">
        <v>2840</v>
      </c>
      <c r="D346" t="inlineStr">
        <is>
          <t>Norgesic</t>
        </is>
      </c>
      <c r="E346" t="inlineStr">
        <is>
          <t>แผง 10 เม็ด</t>
        </is>
      </c>
      <c r="F346" t="inlineStr">
        <is>
          <t>Paracetamol 450 mg.+Orphenadrine Citrate 35 mg.</t>
        </is>
      </c>
      <c r="G346" t="inlineStr">
        <is>
          <t>BDS002840</t>
        </is>
      </c>
      <c r="H346" t="inlineStr">
        <is>
          <t>Norgesic (10 tabs)</t>
        </is>
      </c>
      <c r="I346" t="inlineStr">
        <is>
          <t>รับประทานครั้งละ 1-2 เม็ด วันละ 3 ครั้ง</t>
        </is>
      </c>
      <c r="P346" t="inlineStr">
        <is>
          <t>Muscle relaxants</t>
        </is>
      </c>
    </row>
    <row r="347">
      <c r="A347" t="n">
        <v>345</v>
      </c>
      <c r="B347" t="inlineStr">
        <is>
          <t>ยาคลายกล้ามเนื้อ (D)</t>
        </is>
      </c>
      <c r="C347" t="n">
        <v>45616</v>
      </c>
      <c r="D347" t="inlineStr">
        <is>
          <t>Norpa tabslets</t>
        </is>
      </c>
      <c r="E347" t="inlineStr">
        <is>
          <t>แผง 10 เม็ด</t>
        </is>
      </c>
      <c r="F347" t="inlineStr">
        <is>
          <t>Paracetamol 450 mg.+Orphenadrine Citrate 35 mg.</t>
        </is>
      </c>
      <c r="G347" t="inlineStr">
        <is>
          <t>BDS045616</t>
        </is>
      </c>
      <c r="H347" t="inlineStr">
        <is>
          <t>Norpa tabslets (10 tabs)</t>
        </is>
      </c>
      <c r="I347" t="inlineStr">
        <is>
          <t>รับประทานครั้งละ 1-2 เม็ด วันละ 2-3 ครั้ง หลังอาหาร หรือตามแพทย์สั่ง</t>
        </is>
      </c>
      <c r="P347" t="inlineStr">
        <is>
          <t>Muscle relaxants</t>
        </is>
      </c>
    </row>
    <row r="348">
      <c r="A348" t="n">
        <v>346</v>
      </c>
      <c r="B348" t="inlineStr">
        <is>
          <t>ยาคลายกล้ามเนื้อ (D)</t>
        </is>
      </c>
      <c r="C348" t="n">
        <v>3571</v>
      </c>
      <c r="D348" t="inlineStr">
        <is>
          <t>Soneriper M</t>
        </is>
      </c>
      <c r="E348" t="inlineStr">
        <is>
          <t>แผง 10 เม็ด</t>
        </is>
      </c>
      <c r="F348" t="inlineStr">
        <is>
          <t>Tolperisone Hydrochloride 50 mg.</t>
        </is>
      </c>
      <c r="G348" t="inlineStr">
        <is>
          <t>BDS003571</t>
        </is>
      </c>
      <c r="H348" t="inlineStr">
        <is>
          <t>Soneriper M (10 tabs)</t>
        </is>
      </c>
      <c r="I348" t="inlineStr">
        <is>
          <t>รับประทานครั้งละ 1-2 เม็ด วันละ 3 ครั้ง</t>
        </is>
      </c>
      <c r="P348" t="inlineStr">
        <is>
          <t>Muscle relaxants</t>
        </is>
      </c>
    </row>
    <row r="349">
      <c r="A349" t="n">
        <v>347</v>
      </c>
      <c r="B349" t="inlineStr">
        <is>
          <t>ยาคลายกล้ามเนื้อ (D)</t>
        </is>
      </c>
      <c r="C349" t="n">
        <v>48632</v>
      </c>
      <c r="D349" t="inlineStr">
        <is>
          <t>Torrent</t>
        </is>
      </c>
      <c r="E349" t="inlineStr">
        <is>
          <t>กล่อง 10 เม็ด</t>
        </is>
      </c>
      <c r="F349" t="inlineStr">
        <is>
          <t>Paracetamol 450 mg.+Orphenadrine Citrate 35 mg.</t>
        </is>
      </c>
      <c r="G349" t="inlineStr">
        <is>
          <t>BDS048632</t>
        </is>
      </c>
      <c r="H349" t="inlineStr">
        <is>
          <t>Torrent (10 tabs)</t>
        </is>
      </c>
      <c r="I349" t="inlineStr">
        <is>
          <t>รับประทานครั้งละ 1-2 เม็ด วันละ 3 ครั้ง</t>
        </is>
      </c>
      <c r="P349" t="inlineStr">
        <is>
          <t>Muscle relaxants</t>
        </is>
      </c>
    </row>
    <row r="350">
      <c r="A350" t="n">
        <v>348</v>
      </c>
      <c r="B350" t="inlineStr">
        <is>
          <t>ยาแก้อาเจียน ชนิดน้ำ (D)</t>
        </is>
      </c>
      <c r="C350" t="n">
        <v>2637</v>
      </c>
      <c r="D350" t="inlineStr">
        <is>
          <t>Motilium Oral Suspension</t>
        </is>
      </c>
      <c r="E350" t="inlineStr">
        <is>
          <t>ขวด 30 ml.</t>
        </is>
      </c>
      <c r="F350" t="inlineStr">
        <is>
          <t>Domperidone 1 mg./1 ml.</t>
        </is>
      </c>
      <c r="G350" t="inlineStr">
        <is>
          <t>BDS002637</t>
        </is>
      </c>
      <c r="H350" t="inlineStr">
        <is>
          <t>Motilium Oral Suspension (30 ml.)</t>
        </is>
      </c>
      <c r="I350" t="inlineStr">
        <is>
          <t xml:space="preserve">ผู้ใหญ่รับประทานครั้งละ 2 ช้อนชา วันละ 3 ครั้ง ก่อนอาหาร 15-30 นาที  </t>
        </is>
      </c>
    </row>
    <row r="351">
      <c r="A351" t="n">
        <v>349</v>
      </c>
      <c r="B351" t="inlineStr">
        <is>
          <t>ยาแก้อาเจียน ชนิดน้ำ (D)</t>
        </is>
      </c>
      <c r="C351" t="n">
        <v>46503</v>
      </c>
      <c r="D351" t="inlineStr">
        <is>
          <t>Patilum Oral Suspension</t>
        </is>
      </c>
      <c r="E351" t="inlineStr">
        <is>
          <t>ขวด 30 ml.</t>
        </is>
      </c>
      <c r="F351" t="inlineStr">
        <is>
          <t>Domperidone 1 mg./1 ml.</t>
        </is>
      </c>
      <c r="G351" t="inlineStr">
        <is>
          <t>BDS046503</t>
        </is>
      </c>
      <c r="H351" t="inlineStr">
        <is>
          <t>Patilum Oral Suspension (30 ml.)</t>
        </is>
      </c>
    </row>
    <row r="352">
      <c r="A352" t="n">
        <v>350</v>
      </c>
      <c r="B352" t="inlineStr">
        <is>
          <t>ยาฆ่าเชื้อแบคทีเรียทางเดินปัสสาวะ (D)</t>
        </is>
      </c>
      <c r="C352" t="n">
        <v>8001</v>
      </c>
      <c r="D352" t="inlineStr">
        <is>
          <t>Actrim</t>
        </is>
      </c>
      <c r="E352" t="inlineStr">
        <is>
          <t>แผง 10 เม็ด</t>
        </is>
      </c>
      <c r="F352" t="inlineStr">
        <is>
          <t>Trimethoprim 80 mg.+Sulfamethoxazole 400 mg.</t>
        </is>
      </c>
      <c r="G352" t="inlineStr">
        <is>
          <t>BDS008001</t>
        </is>
      </c>
      <c r="H352" t="inlineStr">
        <is>
          <t>Actrim (10 tabs)</t>
        </is>
      </c>
      <c r="I352" t="inlineStr">
        <is>
          <t>ผู้ใหญ่รับประทานครั้งละ 2 เม็ด วันละ 2 ครั้ง หลังอาหาร</t>
        </is>
      </c>
      <c r="P352" t="inlineStr">
        <is>
          <t>UTI antibiotics</t>
        </is>
      </c>
    </row>
    <row r="353">
      <c r="A353" t="n">
        <v>351</v>
      </c>
      <c r="B353" t="inlineStr">
        <is>
          <t>ยาฆ่าเชื้อแบคทีเรียทางเดินปัสสาวะ (D)</t>
        </is>
      </c>
      <c r="C353" t="n">
        <v>1072</v>
      </c>
      <c r="D353" t="inlineStr">
        <is>
          <t>Avelox tabslet</t>
        </is>
      </c>
      <c r="E353" t="inlineStr">
        <is>
          <t>กล่อง 5 เม็ด</t>
        </is>
      </c>
      <c r="F353" t="inlineStr">
        <is>
          <t>Moxifloxacin Hydrochloride 400 mg.</t>
        </is>
      </c>
      <c r="G353" t="inlineStr">
        <is>
          <t>BDS001072</t>
        </is>
      </c>
      <c r="H353" t="inlineStr">
        <is>
          <t>Avelox tabslet (5 tabs)</t>
        </is>
      </c>
      <c r="I353" t="inlineStr">
        <is>
          <t>รับประทานครั้งละ 1 เม็ด วันละ 1 ครั้ง หรือตามแพทย์สั่ง</t>
        </is>
      </c>
      <c r="P353" t="inlineStr">
        <is>
          <t>UTI antibiotics</t>
        </is>
      </c>
    </row>
    <row r="354">
      <c r="A354" t="n">
        <v>352</v>
      </c>
      <c r="B354" t="inlineStr">
        <is>
          <t>ยาฆ่าเชื้อแบคทีเรียทางเดินปัสสาวะ (D)</t>
        </is>
      </c>
      <c r="C354" t="n">
        <v>1496</v>
      </c>
      <c r="D354" t="inlineStr">
        <is>
          <t>Cifloxin 500 mg</t>
        </is>
      </c>
      <c r="E354" t="inlineStr">
        <is>
          <t>กล่อง 10 เม็ด</t>
        </is>
      </c>
      <c r="F354" t="inlineStr">
        <is>
          <t>Ciprofloxacin 500 mg.</t>
        </is>
      </c>
      <c r="G354" t="inlineStr">
        <is>
          <t>BDS001496</t>
        </is>
      </c>
      <c r="H354" t="inlineStr">
        <is>
          <t>Cifloxin 500 mg (10 tabs)</t>
        </is>
      </c>
      <c r="I354" t="inlineStr">
        <is>
          <t>รับประทานครั้งละ 1 เม็ดวันละ 2  ครั้ง เช้า-เย็น</t>
        </is>
      </c>
      <c r="P354" t="inlineStr">
        <is>
          <t>UTI antibiotics</t>
        </is>
      </c>
    </row>
    <row r="355">
      <c r="A355" t="n">
        <v>353</v>
      </c>
      <c r="B355" t="inlineStr">
        <is>
          <t>ยาฆ่าเชื้อแบคทีเรียทางเดินปัสสาวะ (D)</t>
        </is>
      </c>
      <c r="C355" t="n">
        <v>41409</v>
      </c>
      <c r="D355" t="inlineStr">
        <is>
          <t>Cipflocin 500 mg</t>
        </is>
      </c>
      <c r="E355" t="inlineStr">
        <is>
          <t>แผง 10 เม็ด</t>
        </is>
      </c>
      <c r="F355" t="inlineStr">
        <is>
          <t>Ciprofloxacin 500 mg.</t>
        </is>
      </c>
      <c r="G355" t="inlineStr">
        <is>
          <t>BDS041409</t>
        </is>
      </c>
      <c r="H355" t="inlineStr">
        <is>
          <t>Cipflocin 500 mg (10 tabs)</t>
        </is>
      </c>
      <c r="I355" t="inlineStr">
        <is>
          <t>รับประทานครั้งละ 1 เม็ด วันละ 2  ครั้ง เช้า-เย็น หรือตามแพทย์สั่ง</t>
        </is>
      </c>
      <c r="P355" t="inlineStr">
        <is>
          <t>UTI antibiotics</t>
        </is>
      </c>
    </row>
    <row r="356">
      <c r="A356" t="n">
        <v>354</v>
      </c>
      <c r="B356" t="inlineStr">
        <is>
          <t>ยาฆ่าเชื้อแบคทีเรียทางเดินปัสสาวะ (D)</t>
        </is>
      </c>
      <c r="C356" t="n">
        <v>8114</v>
      </c>
      <c r="D356" t="inlineStr">
        <is>
          <t>Ciproxin-500</t>
        </is>
      </c>
      <c r="E356" t="inlineStr">
        <is>
          <t>แผง 10 เม็ด</t>
        </is>
      </c>
      <c r="F356" t="inlineStr">
        <is>
          <t>Ciprofloxacin 500 mg.</t>
        </is>
      </c>
      <c r="G356" t="inlineStr">
        <is>
          <t>BDS008114</t>
        </is>
      </c>
      <c r="H356" t="inlineStr">
        <is>
          <t>Ciproxin-500 (10 tabs)</t>
        </is>
      </c>
      <c r="I356" t="inlineStr">
        <is>
          <t>รับประทานครั้งละ 1 เม็ด วันละ 2  ครั้ง เช้า-เย็น</t>
        </is>
      </c>
      <c r="P356" t="inlineStr">
        <is>
          <t>UTI antibiotics</t>
        </is>
      </c>
    </row>
    <row r="357">
      <c r="A357" t="n">
        <v>355</v>
      </c>
      <c r="B357" t="inlineStr">
        <is>
          <t>ยาฆ่าเชื้อแบคทีเรียทางเดินปัสสาวะ (D)</t>
        </is>
      </c>
      <c r="C357" t="n">
        <v>1548</v>
      </c>
      <c r="D357" t="inlineStr">
        <is>
          <t>Cravit 500 mg</t>
        </is>
      </c>
      <c r="E357" t="inlineStr">
        <is>
          <t>กล่อง 5 เม็ด</t>
        </is>
      </c>
      <c r="F357" t="inlineStr">
        <is>
          <t>Levofloxacin 500 mg.</t>
        </is>
      </c>
      <c r="G357" t="inlineStr">
        <is>
          <t>BDS001548</t>
        </is>
      </c>
      <c r="H357" t="inlineStr">
        <is>
          <t>Cravit 500 mg (5 tabs)</t>
        </is>
      </c>
      <c r="I357" t="inlineStr">
        <is>
          <t>รับประทานครั้งละ 1 เม็ด วันละ 1 ครั้ง</t>
        </is>
      </c>
      <c r="P357" t="inlineStr">
        <is>
          <t>UTI antibiotics</t>
        </is>
      </c>
    </row>
    <row r="358">
      <c r="A358" t="n">
        <v>356</v>
      </c>
      <c r="B358" t="inlineStr">
        <is>
          <t>ยาฆ่าเชื้อแบคทีเรียทางเดินปัสสาวะ (D)</t>
        </is>
      </c>
      <c r="C358" t="n">
        <v>8681</v>
      </c>
      <c r="D358" t="inlineStr">
        <is>
          <t>Levomac 500</t>
        </is>
      </c>
      <c r="E358" t="inlineStr">
        <is>
          <t>กล่อง 5 เม็ด</t>
        </is>
      </c>
      <c r="F358" t="inlineStr">
        <is>
          <t>Levofloxacin 500 mg.</t>
        </is>
      </c>
      <c r="G358" t="inlineStr">
        <is>
          <t>BDS008681</t>
        </is>
      </c>
      <c r="H358" t="inlineStr">
        <is>
          <t>Levomac 500 (5 tabs)</t>
        </is>
      </c>
      <c r="I358" t="inlineStr">
        <is>
          <t>รับประทานครั้งละ 1 เม็ด วันละ 1 ครั้ง</t>
        </is>
      </c>
      <c r="P358" t="inlineStr">
        <is>
          <t>UTI antibiotics</t>
        </is>
      </c>
    </row>
    <row r="359">
      <c r="A359" t="n">
        <v>357</v>
      </c>
      <c r="B359" t="inlineStr">
        <is>
          <t>ยาฆ่าเชื้อแบคทีเรียทางเดินปัสสาวะ (D)</t>
        </is>
      </c>
      <c r="C359" t="n">
        <v>7591</v>
      </c>
      <c r="D359" t="inlineStr">
        <is>
          <t>Noflox-400</t>
        </is>
      </c>
      <c r="E359" t="inlineStr">
        <is>
          <t>แผง 10 เม็ด</t>
        </is>
      </c>
      <c r="F359" t="inlineStr">
        <is>
          <t>Norfloxacin 400 mg.</t>
        </is>
      </c>
      <c r="G359" t="inlineStr">
        <is>
          <t>BDS007591</t>
        </is>
      </c>
      <c r="H359" t="inlineStr">
        <is>
          <t>Noflox-400 (10 tabs)</t>
        </is>
      </c>
      <c r="I359" t="inlineStr">
        <is>
          <t>รับประทานครั้งละ 1 เม็ด วันละ 2 ครั้ง เช้า-เย็น</t>
        </is>
      </c>
      <c r="P359" t="inlineStr">
        <is>
          <t>UTI antibiotics</t>
        </is>
      </c>
    </row>
    <row r="360">
      <c r="A360" t="n">
        <v>358</v>
      </c>
      <c r="B360" t="inlineStr">
        <is>
          <t>ยาฆ่าเชื้อแบคทีเรียทางเดินปัสสาวะ (D)</t>
        </is>
      </c>
      <c r="C360" t="n">
        <v>7751</v>
      </c>
      <c r="D360" t="inlineStr">
        <is>
          <t>Norfloxyl-400</t>
        </is>
      </c>
      <c r="E360" t="inlineStr">
        <is>
          <t>แผง 10 เม็ด</t>
        </is>
      </c>
      <c r="F360" t="inlineStr">
        <is>
          <t>Norfloxacin 400 mg.</t>
        </is>
      </c>
      <c r="G360" t="inlineStr">
        <is>
          <t>BDS007751</t>
        </is>
      </c>
      <c r="H360" t="inlineStr">
        <is>
          <t>Norfloxyl-400 (10 tabs)</t>
        </is>
      </c>
      <c r="I360" t="inlineStr">
        <is>
          <t>รับประทานครั้งละ 1 เม็ด วันละ 2 ครั้ง เช้า-เย็น</t>
        </is>
      </c>
      <c r="P360" t="inlineStr">
        <is>
          <t>UTI antibiotics</t>
        </is>
      </c>
    </row>
    <row r="361">
      <c r="A361" t="n">
        <v>359</v>
      </c>
      <c r="B361" t="inlineStr">
        <is>
          <t>ยาฆ่าเชื้อแบคทีเรียทางเดินปัสสาวะ (D)</t>
        </is>
      </c>
      <c r="C361" t="n">
        <v>9086</v>
      </c>
      <c r="D361" t="inlineStr">
        <is>
          <t>Norxacin 400 mg</t>
        </is>
      </c>
      <c r="E361" t="inlineStr">
        <is>
          <t>กล่อง 8 เม็ด</t>
        </is>
      </c>
      <c r="F361" t="inlineStr">
        <is>
          <t>Norfloxacin 400 mg.</t>
        </is>
      </c>
      <c r="G361" t="inlineStr">
        <is>
          <t>BDS009086</t>
        </is>
      </c>
      <c r="H361" t="inlineStr">
        <is>
          <t>Norxacin 400 mg (8 tabs)</t>
        </is>
      </c>
      <c r="I361" t="inlineStr">
        <is>
          <t>รับประทานครั้งละ 1 เม็ด วันละ 2 ครั้ง เช้า-เย็น</t>
        </is>
      </c>
      <c r="P361" t="inlineStr">
        <is>
          <t>UTI antibiotics</t>
        </is>
      </c>
    </row>
    <row r="362">
      <c r="A362" t="n">
        <v>360</v>
      </c>
      <c r="B362" t="inlineStr">
        <is>
          <t>ยาฆ่าเชื้อแบคทีเรียทางเดินปัสสาวะ (D)</t>
        </is>
      </c>
      <c r="C362" t="n">
        <v>7971</v>
      </c>
      <c r="D362" t="inlineStr">
        <is>
          <t>Oflomac-200</t>
        </is>
      </c>
      <c r="E362" t="inlineStr">
        <is>
          <t>แผง 10 เม็ด</t>
        </is>
      </c>
      <c r="F362" t="inlineStr">
        <is>
          <t>Ofloxacin 200 mg.</t>
        </is>
      </c>
      <c r="G362" t="inlineStr">
        <is>
          <t>BDS007971</t>
        </is>
      </c>
      <c r="H362" t="inlineStr">
        <is>
          <t>Oflomac-200 (10 tabs)</t>
        </is>
      </c>
      <c r="I362" t="inlineStr">
        <is>
          <t>รับประทานครั้งละ 1 เม็ดวันละ 2 ครั้ง เช้า-เย็น</t>
        </is>
      </c>
      <c r="P362" t="inlineStr">
        <is>
          <t>UTI antibiotics</t>
        </is>
      </c>
    </row>
    <row r="363">
      <c r="A363" t="n">
        <v>361</v>
      </c>
      <c r="B363" t="inlineStr">
        <is>
          <t>ยาฆ่าเชื้อแบคทีเรียทางเดินปัสสาวะ (D)</t>
        </is>
      </c>
      <c r="C363" t="n">
        <v>7238</v>
      </c>
      <c r="D363" t="inlineStr">
        <is>
          <t>Proflox 500 mg</t>
        </is>
      </c>
      <c r="E363" t="inlineStr">
        <is>
          <t>แผง 10 เม็ด</t>
        </is>
      </c>
      <c r="F363" t="inlineStr">
        <is>
          <t>Ciprofloxacin 500 mg.</t>
        </is>
      </c>
      <c r="G363" t="inlineStr">
        <is>
          <t>BDS007238</t>
        </is>
      </c>
      <c r="H363" t="inlineStr">
        <is>
          <t>Proflox 500 mg (10 tabs)</t>
        </is>
      </c>
      <c r="I363" t="inlineStr">
        <is>
          <t>รับประทานครั้งละ 1 เม็ด วันละ 2 ครั้ง เช้า - เย็น</t>
        </is>
      </c>
      <c r="P363" t="inlineStr">
        <is>
          <t>UTI antibiotics</t>
        </is>
      </c>
    </row>
    <row r="364">
      <c r="A364" t="n">
        <v>362</v>
      </c>
      <c r="B364" t="inlineStr">
        <is>
          <t>ยาฆ่าเชื้อแบคทีเรียทางเดินปัสสาวะ (D)</t>
        </is>
      </c>
      <c r="C364" t="n">
        <v>47662</v>
      </c>
      <c r="D364" t="inlineStr">
        <is>
          <t>Sixime</t>
        </is>
      </c>
      <c r="E364" t="inlineStr">
        <is>
          <t>แผง 10 แคปซูล</t>
        </is>
      </c>
      <c r="F364" t="inlineStr">
        <is>
          <t>Cefixime 100 mg.</t>
        </is>
      </c>
      <c r="G364" t="inlineStr">
        <is>
          <t>BDS047662</t>
        </is>
      </c>
      <c r="H364" t="inlineStr">
        <is>
          <t>Sixime (10 cap)</t>
        </is>
      </c>
      <c r="I364" t="inlineStr">
        <is>
          <t>รับประทานครั้งละ 1 แคปซูล วันละ 2 ครั้ง หรือตามแพทย์สั่ง</t>
        </is>
      </c>
      <c r="P364" t="inlineStr">
        <is>
          <t>UTI antibiotics</t>
        </is>
      </c>
    </row>
    <row r="365">
      <c r="A365" t="n">
        <v>363</v>
      </c>
      <c r="B365" t="inlineStr">
        <is>
          <t>ยาฆ่าเชื้อแบคทีเรียทางเดินปัสสาวะ (D)</t>
        </is>
      </c>
      <c r="C365" t="n">
        <v>7311</v>
      </c>
      <c r="D365" t="inlineStr">
        <is>
          <t>Xacin</t>
        </is>
      </c>
      <c r="E365" t="inlineStr">
        <is>
          <t>แผง 10 เม็ด</t>
        </is>
      </c>
      <c r="F365" t="inlineStr">
        <is>
          <t>Norfloxacin 400 mg.</t>
        </is>
      </c>
      <c r="G365" t="inlineStr">
        <is>
          <t>BDS007311</t>
        </is>
      </c>
      <c r="H365" t="inlineStr">
        <is>
          <t>Xacin (10 tabs)</t>
        </is>
      </c>
      <c r="I365" t="inlineStr">
        <is>
          <t>รับประทานครั้งละ 1 เม็ด วันละ 2 ครั้ง เช้า-เย็น</t>
        </is>
      </c>
      <c r="P365" t="inlineStr">
        <is>
          <t>UTI antibiotics</t>
        </is>
      </c>
    </row>
    <row r="366">
      <c r="A366" t="n">
        <v>364</v>
      </c>
      <c r="B366" t="inlineStr">
        <is>
          <t>ยาอมแก้เจ็บคอ</t>
        </is>
      </c>
      <c r="C366" t="n">
        <v>42357</v>
      </c>
      <c r="D366" t="inlineStr">
        <is>
          <t>Difflam รสน้ำผึ้งมะนาวผสมโพรโพลิส</t>
        </is>
      </c>
      <c r="E366" t="inlineStr">
        <is>
          <t>ซอง 8 เม็ด</t>
        </is>
      </c>
      <c r="F366" t="inlineStr">
        <is>
          <t>2,4-Dichlorobenzyl alcohol 1.2 mg.+Amylmetacresol 0.6 mg.</t>
        </is>
      </c>
      <c r="G366" t="inlineStr">
        <is>
          <t>BDS042357</t>
        </is>
      </c>
      <c r="H366" t="inlineStr">
        <is>
          <t>Difflam รสน้ำผึ้งมะนาวผสมโพรโพลิส (8 tabs)</t>
        </is>
      </c>
      <c r="I366" t="inlineStr">
        <is>
          <t xml:space="preserve">รับประทาน (อม) ครั้งละ 1 เม็ดให้ละลายช้าๆในปากทุก 2-3 ชม. </t>
        </is>
      </c>
    </row>
    <row r="367">
      <c r="A367" t="n">
        <v>365</v>
      </c>
      <c r="B367" t="inlineStr">
        <is>
          <t>ยาอมแก้เจ็บคอ</t>
        </is>
      </c>
      <c r="C367" t="n">
        <v>42358</v>
      </c>
      <c r="D367" t="inlineStr">
        <is>
          <t>Difflam รสส้มผสมวิตามินซี</t>
        </is>
      </c>
      <c r="E367" t="inlineStr">
        <is>
          <t>ซอง 8 เม็ด</t>
        </is>
      </c>
      <c r="F367" t="inlineStr">
        <is>
          <t>2,4-Dichlorobenzyl alcohol 1.2 mg.+Amylmetacresol 0.6 mg.+Vit.C 100 mg.</t>
        </is>
      </c>
      <c r="G367" t="inlineStr">
        <is>
          <t>BDS042358</t>
        </is>
      </c>
      <c r="H367" t="inlineStr">
        <is>
          <t>Difflam รสส้มผสมวิตามินซี (8 tabs)</t>
        </is>
      </c>
      <c r="I367" t="inlineStr">
        <is>
          <t xml:space="preserve">รับประทาน (อม) ครั้งละ 1 เม็ดให้ละลายช้าๆในปากทุก 2-3 ชม.  </t>
        </is>
      </c>
    </row>
    <row r="368">
      <c r="A368" t="n">
        <v>366</v>
      </c>
      <c r="B368" t="inlineStr">
        <is>
          <t>ยาอมแก้เจ็บคอ</t>
        </is>
      </c>
      <c r="C368" t="n">
        <v>44922</v>
      </c>
      <c r="D368" t="inlineStr">
        <is>
          <t>Mybacin OTC Mint</t>
        </is>
      </c>
      <c r="E368" t="inlineStr">
        <is>
          <t>ซอง 8 เม็ด</t>
        </is>
      </c>
      <c r="F368" t="inlineStr">
        <is>
          <t>2,4-ไดคลอโรเบนซิล แอลกอฮอล์ 1.2 มก.+เอมิลเมเทครีซอล 0.6 มก.</t>
        </is>
      </c>
      <c r="G368" t="inlineStr">
        <is>
          <t>BDS044922</t>
        </is>
      </c>
      <c r="H368" t="inlineStr">
        <is>
          <t>Mybacin OTC Mint (8 tabs)</t>
        </is>
      </c>
      <c r="I368" t="inlineStr">
        <is>
          <t xml:space="preserve">อมให้ละลายช้าๆ ครั้งละ 1 เม็ด ทุกๆ 2-3  ชั่วโมง </t>
        </is>
      </c>
    </row>
    <row r="369">
      <c r="A369" t="n">
        <v>367</v>
      </c>
      <c r="B369" t="inlineStr">
        <is>
          <t>ยาอมแก้เจ็บคอ</t>
        </is>
      </c>
      <c r="C369" t="n">
        <v>3574</v>
      </c>
      <c r="D369" t="inlineStr">
        <is>
          <t>Strepsils Citrus Lemon SF HHR ซอง 6s</t>
        </is>
      </c>
      <c r="E369" t="inlineStr">
        <is>
          <t>ซอง 6 เม็ด</t>
        </is>
      </c>
      <c r="F369" t="inlineStr">
        <is>
          <t>2,4-Dichlorobenzyl Alcohol 1.2 mg.+Amylmetacresol 0.6 mg.</t>
        </is>
      </c>
      <c r="G369" t="inlineStr">
        <is>
          <t>BDS003574</t>
        </is>
      </c>
      <c r="H369" t="inlineStr">
        <is>
          <t>Strepsils Citrus Lemon SF HHR ซอง 6s (6 tabs)</t>
        </is>
      </c>
      <c r="I369" t="inlineStr">
        <is>
          <t>รับประทาน (อม) ครั้งละ1-2 เม็ด วันละ 3-5 ครั้ง หรือเมื่อมีอาการ</t>
        </is>
      </c>
      <c r="J369" t="inlineStr">
        <is>
          <t>Take 1-2 lozenges 3-5 times a day or when symptoms appear.</t>
        </is>
      </c>
    </row>
    <row r="370">
      <c r="A370" t="n">
        <v>368</v>
      </c>
      <c r="B370" t="inlineStr">
        <is>
          <t>ยาอมแก้เจ็บคอ</t>
        </is>
      </c>
      <c r="C370" t="n">
        <v>3578</v>
      </c>
      <c r="D370" t="inlineStr">
        <is>
          <t>Strepsils Citrus Lemon Sugar Free กล่อง 16s</t>
        </is>
      </c>
      <c r="E370" t="inlineStr">
        <is>
          <t>กล่อง 16 เม็ด</t>
        </is>
      </c>
      <c r="F370" t="inlineStr">
        <is>
          <t>2,4-Dichlorobenzyl Alcohol 1.2 mg.+Amylmetacresol 0.6 mg.</t>
        </is>
      </c>
      <c r="G370" t="inlineStr">
        <is>
          <t>BDS003578</t>
        </is>
      </c>
      <c r="H370" t="inlineStr">
        <is>
          <t>Strepsils Citrus Lemon Sugar Free กล่อง 16s (16 tabs)</t>
        </is>
      </c>
      <c r="I370" t="inlineStr">
        <is>
          <t>รับประทาน (อม) ครั้งละ1-2 เม็ด วันละ 3-5 ครั้ง หรือเมื่อมีอาการ</t>
        </is>
      </c>
      <c r="J370" t="inlineStr">
        <is>
          <t>Take 1-2 lozenges 3-5 times a day or when symptoms appear.</t>
        </is>
      </c>
    </row>
    <row r="371">
      <c r="A371" t="n">
        <v>369</v>
      </c>
      <c r="B371" t="inlineStr">
        <is>
          <t>ยาอมแก้เจ็บคอ</t>
        </is>
      </c>
      <c r="C371" t="n">
        <v>3661</v>
      </c>
      <c r="D371" t="inlineStr">
        <is>
          <t>Strepsils Cool กล่อง 24s</t>
        </is>
      </c>
      <c r="E371" t="inlineStr">
        <is>
          <t>กล่อง 24 เม็ด</t>
        </is>
      </c>
      <c r="F371" t="inlineStr">
        <is>
          <t>2,4-Dichlorobenzyl Alcohol 1.2 mg.+Amylmetacresol 0.6 mg.+Menthol 7.0 mg.</t>
        </is>
      </c>
      <c r="G371" t="inlineStr">
        <is>
          <t>BDS003661</t>
        </is>
      </c>
      <c r="H371" t="inlineStr">
        <is>
          <t>Strepsils Cool กล่อง 24s (24 tabs)</t>
        </is>
      </c>
      <c r="I371" t="inlineStr">
        <is>
          <t>รับประทาน (อม) ครั้งละ1-2 เม็ด วันละ 3-5 ครั้ง หรือเมื่อมีอาการ</t>
        </is>
      </c>
      <c r="J371" t="inlineStr">
        <is>
          <t>Take 1-2 lozenges 3-5 times a day or when symptoms appear.</t>
        </is>
      </c>
    </row>
    <row r="372">
      <c r="A372" t="n">
        <v>370</v>
      </c>
      <c r="B372" t="inlineStr">
        <is>
          <t>ยาอมแก้เจ็บคอ</t>
        </is>
      </c>
      <c r="C372" t="n">
        <v>3554</v>
      </c>
      <c r="D372" t="inlineStr">
        <is>
          <t>Strepsils Cool ซอง 8s</t>
        </is>
      </c>
      <c r="E372" t="inlineStr">
        <is>
          <t>ซอง 8 เม็ด</t>
        </is>
      </c>
      <c r="F372" t="inlineStr">
        <is>
          <t>2,4-Dichlorobenzyl alcohol 1.2 mg.+Amylmetacresol 0.6 mg.+Menthol 7.0 mg.</t>
        </is>
      </c>
      <c r="G372" t="inlineStr">
        <is>
          <t>BDS003554</t>
        </is>
      </c>
      <c r="H372" t="inlineStr">
        <is>
          <t>Strepsils Cool ซอง 8s (8 tabs)</t>
        </is>
      </c>
      <c r="I372" t="inlineStr">
        <is>
          <t>รับประทาน (อม) ครั้งละ1-2 เม็ด วันละ 3-5 ครั้ง หรือเมื่อมีอาการ</t>
        </is>
      </c>
      <c r="J372" t="inlineStr">
        <is>
          <t>Take 1-2 lozenges 3-5 times a day or when symptoms appear.</t>
        </is>
      </c>
    </row>
    <row r="373">
      <c r="A373" t="n">
        <v>371</v>
      </c>
      <c r="B373" t="inlineStr">
        <is>
          <t>ยาอมแก้เจ็บคอ</t>
        </is>
      </c>
      <c r="C373" t="n">
        <v>3590</v>
      </c>
      <c r="D373" t="inlineStr">
        <is>
          <t>Strepsils Honey &amp; Lemon HHR ซอง 8s</t>
        </is>
      </c>
      <c r="E373" t="inlineStr">
        <is>
          <t>ซอง 8 เม็ด</t>
        </is>
      </c>
      <c r="F373" t="inlineStr">
        <is>
          <t>2,4-Dichlorobenzyl Alcohol 1.2 mg.+Amylmetacresol 0.6 mg.</t>
        </is>
      </c>
      <c r="G373" t="inlineStr">
        <is>
          <t>BDS003590</t>
        </is>
      </c>
      <c r="H373" t="inlineStr">
        <is>
          <t>Strepsils Honey &amp; Lemon HHR ซอง 8s (8 tabs)</t>
        </is>
      </c>
      <c r="I373" t="inlineStr">
        <is>
          <t>รับประทาน (อม) ครั้งละ1-2 เม็ด วันละ 3-5 ครั้ง หรือเมื่อมีอาการ</t>
        </is>
      </c>
      <c r="J373" t="inlineStr">
        <is>
          <t>Take 1-2 lozenges 3-5 times a day or when symptoms appear.</t>
        </is>
      </c>
      <c r="K373" t="n">
        <v>120</v>
      </c>
      <c r="L373" t="n">
        <v>15</v>
      </c>
      <c r="M373" t="inlineStr">
        <is>
          <t>USER</t>
        </is>
      </c>
      <c r="N373" t="inlineStr">
        <is>
          <t>2026-02-07</t>
        </is>
      </c>
      <c r="O373" t="inlineStr">
        <is>
          <t>User provided price (online). Unit price per lozenge (8 tabs pack).</t>
        </is>
      </c>
    </row>
    <row r="374">
      <c r="A374" t="n">
        <v>372</v>
      </c>
      <c r="B374" t="inlineStr">
        <is>
          <t>ยาอมแก้เจ็บคอ</t>
        </is>
      </c>
      <c r="C374" t="n">
        <v>3582</v>
      </c>
      <c r="D374" t="inlineStr">
        <is>
          <t>Strepsils Honey &amp; Lemon กล่อง 24s</t>
        </is>
      </c>
      <c r="E374" t="inlineStr">
        <is>
          <t>กล่อง 24 เม็ด</t>
        </is>
      </c>
      <c r="F374" t="inlineStr">
        <is>
          <t>2,4-Dichlorobenzyl Alcohol 1.2 mg.+Amylmetacresol 0.6 mg.</t>
        </is>
      </c>
      <c r="G374" t="inlineStr">
        <is>
          <t>BDS003582</t>
        </is>
      </c>
      <c r="H374" t="inlineStr">
        <is>
          <t>Strepsils Honey &amp; Lemon กล่อง 24s (24 tabs)</t>
        </is>
      </c>
      <c r="I374" t="inlineStr">
        <is>
          <t>รับประทาน (อม) ครั้งละ1-2 เม็ด วันละ 3-5 ครั้ง หรือเมื่อมีอาการ</t>
        </is>
      </c>
      <c r="J374" t="inlineStr">
        <is>
          <t>Take 1-2 lozenges 3-5 times a day or when symptoms appear.</t>
        </is>
      </c>
    </row>
    <row r="375">
      <c r="A375" t="n">
        <v>373</v>
      </c>
      <c r="B375" t="inlineStr">
        <is>
          <t>ยาอมแก้เจ็บคอ</t>
        </is>
      </c>
      <c r="C375" t="n">
        <v>3555</v>
      </c>
      <c r="D375" t="inlineStr">
        <is>
          <t>Strepsils Orange+Vitamin C HHR ซอง 8s</t>
        </is>
      </c>
      <c r="E375" t="inlineStr">
        <is>
          <t>ซอง 8 เม็ด</t>
        </is>
      </c>
      <c r="F375" t="inlineStr">
        <is>
          <t>2,4-Dichlorobenzyl Alcohol 1.2 mg.+Amylmetacresol 0.6 mg.+Vitamin C 100 mg.</t>
        </is>
      </c>
      <c r="G375" t="inlineStr">
        <is>
          <t>BDS003555</t>
        </is>
      </c>
      <c r="H375" t="inlineStr">
        <is>
          <t>Strepsils Orange+Vitamin C HHR ซอง 8s (8 tabs)</t>
        </is>
      </c>
      <c r="I375" t="inlineStr">
        <is>
          <t>รับประทาน (อม) ครั้งละ1-2 เม็ด วันละ 3-5 ครั้ง หรือเมื่อมีอาการ</t>
        </is>
      </c>
      <c r="J375" t="inlineStr">
        <is>
          <t>Take 1-2 lozenges 3-5 times a day or when symptoms appear.</t>
        </is>
      </c>
    </row>
    <row r="376">
      <c r="A376" t="n">
        <v>374</v>
      </c>
      <c r="B376" t="inlineStr">
        <is>
          <t>ยาอมแก้เจ็บคอ</t>
        </is>
      </c>
      <c r="C376" t="n">
        <v>3556</v>
      </c>
      <c r="D376" t="inlineStr">
        <is>
          <t>Strepsils Orange+Vitamin C กล่อง 24s</t>
        </is>
      </c>
      <c r="E376" t="inlineStr">
        <is>
          <t>กล่อง 24 เม็ด</t>
        </is>
      </c>
      <c r="F376" t="inlineStr">
        <is>
          <t>2,4-Dichlorobenzyl Alcohol 1.2 mg.+Amylmetacresol 0.6 mg.+Vitamin C 100 mg.</t>
        </is>
      </c>
      <c r="G376" t="inlineStr">
        <is>
          <t>BDS003556</t>
        </is>
      </c>
      <c r="H376" t="inlineStr">
        <is>
          <t>Strepsils Orange+Vitamin C กล่อง 24s (24 tabs)</t>
        </is>
      </c>
      <c r="I376" t="inlineStr">
        <is>
          <t>รับประทาน (อม) ครั้งละ1-2 เม็ด วันละ 3-5 ครั้ง หรือเมื่อมีอาการ</t>
        </is>
      </c>
      <c r="J376" t="inlineStr">
        <is>
          <t>Take 1-2 lozenges 3-5 times a day or when symptoms appear.</t>
        </is>
      </c>
    </row>
    <row r="377">
      <c r="A377" t="n">
        <v>375</v>
      </c>
      <c r="B377" t="inlineStr">
        <is>
          <t>ยาอมแก้เจ็บคอ</t>
        </is>
      </c>
      <c r="C377" t="n">
        <v>3583</v>
      </c>
      <c r="D377" t="inlineStr">
        <is>
          <t>Strepsils Original HHR (เม็ดแดง) กล่อง 24s</t>
        </is>
      </c>
      <c r="E377" t="inlineStr">
        <is>
          <t>กล่อง 24 เม็ด</t>
        </is>
      </c>
      <c r="F377" t="inlineStr">
        <is>
          <t>2,4-Dichlorobenzyl Alcohol 1.2 mg.+Amylmetacresol 0.6 mg.</t>
        </is>
      </c>
      <c r="G377" t="inlineStr">
        <is>
          <t>BDS003583</t>
        </is>
      </c>
      <c r="H377" t="inlineStr">
        <is>
          <t>Strepsils Original HHR (เม็ดแดง) กล่อง 24s (24 tabs)</t>
        </is>
      </c>
      <c r="I377" t="inlineStr">
        <is>
          <t>รับประทาน (อม) ครั้งละ1-2 เม็ด วันละ 3-5 ครั้ง หรือเมื่อมีอาการ</t>
        </is>
      </c>
      <c r="J377" t="inlineStr">
        <is>
          <t>Take 1-2 lozenges 3-5 times a day or when symptoms appear.</t>
        </is>
      </c>
    </row>
    <row r="378">
      <c r="A378" t="n">
        <v>376</v>
      </c>
      <c r="B378" t="inlineStr">
        <is>
          <t>ยาอมแก้เจ็บคอ</t>
        </is>
      </c>
      <c r="C378" t="n">
        <v>3551</v>
      </c>
      <c r="D378" t="inlineStr">
        <is>
          <t>Strepsils Original HHR (เม็ดแดง) ซอง 8s</t>
        </is>
      </c>
      <c r="E378" t="inlineStr">
        <is>
          <t>ซอง 8 เม็ด</t>
        </is>
      </c>
      <c r="F378" t="inlineStr">
        <is>
          <t>2,4-Dichlorobenzyl Alcohol 1.2 mg.+Amylmetacresol 0.6 mg.</t>
        </is>
      </c>
      <c r="G378" t="inlineStr">
        <is>
          <t>BDS003551</t>
        </is>
      </c>
      <c r="H378" t="inlineStr">
        <is>
          <t>Strepsils Original HHR (เม็ดแดง) ซอง 8s (8 tabs)</t>
        </is>
      </c>
      <c r="I378" t="inlineStr">
        <is>
          <t>รับประทาน (อม) ครั้งละ1-2 เม็ด วันละ 3-5 ครั้ง หรือเมื่อมีอาการ</t>
        </is>
      </c>
      <c r="J378" t="inlineStr">
        <is>
          <t>Take 1-2 lozenges 3-5 times a day or when symptoms appear.</t>
        </is>
      </c>
    </row>
    <row r="379">
      <c r="A379" t="n">
        <v>377</v>
      </c>
      <c r="B379" t="inlineStr">
        <is>
          <t>ยาอมแก้เจ็บคอ</t>
        </is>
      </c>
      <c r="C379" t="n">
        <v>3777</v>
      </c>
      <c r="D379" t="inlineStr">
        <is>
          <t>Throatsil รสน้ำผึ้งมะนาว ซอง 8s</t>
        </is>
      </c>
      <c r="E379" t="inlineStr">
        <is>
          <t>ซอง 8 เม็ด</t>
        </is>
      </c>
      <c r="F379" t="inlineStr">
        <is>
          <t>Dichlorobenzyl alcohol 1.2 mg.+Amylmetacresol 0.6 mg.</t>
        </is>
      </c>
      <c r="G379" t="inlineStr">
        <is>
          <t>BDS003777</t>
        </is>
      </c>
      <c r="H379" t="inlineStr">
        <is>
          <t>Throatsil รสน้ำผึ้งมะนาว ซอง 8s (8 tabs)</t>
        </is>
      </c>
      <c r="I379" t="inlineStr">
        <is>
          <t>รับประทาน (อม) ครั้งละ 1 เม็ด วันละ 3-5 ครั้ง หรือเมื่อมีอาการ</t>
        </is>
      </c>
      <c r="J379" t="inlineStr">
        <is>
          <t>Take 1 lozenge 3-5 times a day or when symptoms appear.</t>
        </is>
      </c>
    </row>
    <row r="380">
      <c r="A380" t="n">
        <v>378</v>
      </c>
      <c r="B380" t="inlineStr">
        <is>
          <t>ยาอมแก้เจ็บคอ</t>
        </is>
      </c>
      <c r="C380" t="n">
        <v>3790</v>
      </c>
      <c r="D380" t="inlineStr">
        <is>
          <t>Throatsil รสเมนทอล ซอง 8s</t>
        </is>
      </c>
      <c r="E380" t="inlineStr">
        <is>
          <t>ซอง 8 เม็ด</t>
        </is>
      </c>
      <c r="F380" t="inlineStr">
        <is>
          <t>Dichlorobenzyl alcohol 1.2 mg.+Amylmetacresol 0.6 mg.</t>
        </is>
      </c>
      <c r="G380" t="inlineStr">
        <is>
          <t>BDS003790</t>
        </is>
      </c>
      <c r="H380" t="inlineStr">
        <is>
          <t>Throatsil รสเมนทอล ซอง 8s (8 tabs)</t>
        </is>
      </c>
      <c r="I380" t="inlineStr">
        <is>
          <t>รับประทาน (อม) ครั้งละ 1 เม็ด วันละ 3-5 ครั้ง หรือเมื่อมีอาการ</t>
        </is>
      </c>
      <c r="J380" t="inlineStr">
        <is>
          <t>Take 1 lozenge 3-5 times a day or when symptoms appear.</t>
        </is>
      </c>
    </row>
    <row r="381">
      <c r="A381" t="n">
        <v>379</v>
      </c>
      <c r="B381" t="inlineStr">
        <is>
          <t>ยาอมแก้เจ็บคอ</t>
        </is>
      </c>
      <c r="C381" t="n">
        <v>3802</v>
      </c>
      <c r="D381" t="inlineStr">
        <is>
          <t>Throatsil รสส้ม กล่อง 24s</t>
        </is>
      </c>
      <c r="E381" t="inlineStr">
        <is>
          <t>กล่อง 24 เม็ด</t>
        </is>
      </c>
      <c r="F381" t="inlineStr">
        <is>
          <t>Dichlorobenzyl alcohol 1.2 mg.+Amylmetacresol 0.6 mg.+Vitamin C 100 mg.</t>
        </is>
      </c>
      <c r="G381" t="inlineStr">
        <is>
          <t>BDS003802</t>
        </is>
      </c>
      <c r="H381" t="inlineStr">
        <is>
          <t>Throatsil รสส้ม กล่อง 24s (24 tabs)</t>
        </is>
      </c>
      <c r="I381" t="inlineStr">
        <is>
          <t>รับประทาน (อม) ครั้งละ 1 เม็ด วันละ 3-5 ครั้ง หรือเมื่อมีอาการ</t>
        </is>
      </c>
      <c r="J381" t="inlineStr">
        <is>
          <t>Take 1 lozenge 3-5 times a day or when symptoms appear.</t>
        </is>
      </c>
    </row>
    <row r="382">
      <c r="A382" t="n">
        <v>380</v>
      </c>
      <c r="B382" t="inlineStr">
        <is>
          <t>ยาอมแก้เจ็บคอ</t>
        </is>
      </c>
      <c r="C382" t="n">
        <v>3775</v>
      </c>
      <c r="D382" t="inlineStr">
        <is>
          <t>Throatsil รสส้ม ซอง 8s</t>
        </is>
      </c>
      <c r="E382" t="inlineStr">
        <is>
          <t>ซอง 8 เม็ด</t>
        </is>
      </c>
      <c r="F382" t="inlineStr">
        <is>
          <t>Dichlorobenzyl alcolhol 1.2 mg.+Amylmetacresol 0.6 mg.+Vitamin C 100 mg.</t>
        </is>
      </c>
      <c r="G382" t="inlineStr">
        <is>
          <t>BDS003775</t>
        </is>
      </c>
      <c r="H382" t="inlineStr">
        <is>
          <t>Throatsil รสส้ม ซอง 8s (8 tabs)</t>
        </is>
      </c>
      <c r="I382" t="inlineStr">
        <is>
          <t>รับประทาน (อม) ครั้งละ 1 เม็ด วันละ 3-5 ครั้ง หรือเมื่อมีอาการ</t>
        </is>
      </c>
      <c r="J382" t="inlineStr">
        <is>
          <t>Take 1 lozenge 3-5 times a day or when symptoms appear.</t>
        </is>
      </c>
    </row>
    <row r="383">
      <c r="A383" t="n">
        <v>381</v>
      </c>
      <c r="B383" t="inlineStr">
        <is>
          <t>ยาแก้ปวด, ลดไข้ (D)</t>
        </is>
      </c>
      <c r="C383" t="n">
        <v>40016</v>
      </c>
      <c r="D383" t="inlineStr">
        <is>
          <t xml:space="preserve">Adavil F/C tabslets </t>
        </is>
      </c>
      <c r="E383" t="inlineStr">
        <is>
          <t>แผง 10 เม็ด</t>
        </is>
      </c>
      <c r="F383" t="inlineStr">
        <is>
          <t>Ibuprofen 400 mg.</t>
        </is>
      </c>
      <c r="G383" t="inlineStr">
        <is>
          <t>BDS040016</t>
        </is>
      </c>
      <c r="H383" t="inlineStr">
        <is>
          <t>Adavil F/C tabslets  (10 tabs)</t>
        </is>
      </c>
      <c r="I383" t="inlineStr">
        <is>
          <t xml:space="preserve">รับประทานครั้งละ 1 เม็ด วันละ 3-4 ครั้ง หลังอาหารทันที </t>
        </is>
      </c>
      <c r="P383" t="inlineStr">
        <is>
          <t>General analgesics/antipyretics</t>
        </is>
      </c>
    </row>
    <row r="384">
      <c r="A384" t="n">
        <v>382</v>
      </c>
      <c r="B384" t="inlineStr">
        <is>
          <t>ยาแก้ปวด, ลดไข้ (D)</t>
        </is>
      </c>
      <c r="C384" t="n">
        <v>40623</v>
      </c>
      <c r="D384" t="inlineStr">
        <is>
          <t>Brusoft 400</t>
        </is>
      </c>
      <c r="E384" t="inlineStr">
        <is>
          <t>กล่อง 10 แคปซูล</t>
        </is>
      </c>
      <c r="F384" t="inlineStr">
        <is>
          <t>Ibuprofen 400 mg.</t>
        </is>
      </c>
      <c r="G384" t="inlineStr">
        <is>
          <t>BDS040623</t>
        </is>
      </c>
      <c r="H384" t="inlineStr">
        <is>
          <t>Brusoft 400 (10 cap)</t>
        </is>
      </c>
      <c r="I384" t="inlineStr">
        <is>
          <t xml:space="preserve">รับประทานครั้งละ 1 แคปซูล ทุก 4-6 ชั่วโมง </t>
        </is>
      </c>
      <c r="P384" t="inlineStr">
        <is>
          <t>General analgesics/antipyretics</t>
        </is>
      </c>
    </row>
    <row r="385">
      <c r="A385" t="n">
        <v>383</v>
      </c>
      <c r="B385" t="inlineStr">
        <is>
          <t>ยาแก้ปวด, ลดไข้ (D)</t>
        </is>
      </c>
      <c r="C385" t="n">
        <v>40629</v>
      </c>
      <c r="D385" t="inlineStr">
        <is>
          <t>Brustan</t>
        </is>
      </c>
      <c r="E385" t="inlineStr">
        <is>
          <t>กล่อง 10 เม็ด</t>
        </is>
      </c>
      <c r="F385" t="inlineStr">
        <is>
          <t>Ibuprofen 400 mg.+Paracetamol 325 mg.</t>
        </is>
      </c>
      <c r="G385" t="inlineStr">
        <is>
          <t>BDS040629</t>
        </is>
      </c>
      <c r="H385" t="inlineStr">
        <is>
          <t>Brustan (10 tabs)</t>
        </is>
      </c>
      <c r="I385" t="inlineStr">
        <is>
          <t>รับประทานครั้งละ 1 เม็ด วันละ 3  ครั้ง หลังอาหารทันที</t>
        </is>
      </c>
      <c r="P385" t="inlineStr">
        <is>
          <t>General analgesics/antipyretics</t>
        </is>
      </c>
    </row>
    <row r="386">
      <c r="A386" t="n">
        <v>384</v>
      </c>
      <c r="B386" t="inlineStr">
        <is>
          <t>ยาแก้ปวด, ลดไข้ (D)</t>
        </is>
      </c>
      <c r="C386" t="n">
        <v>7040</v>
      </c>
      <c r="D386" t="inlineStr">
        <is>
          <t>Cefen 400P</t>
        </is>
      </c>
      <c r="E386" t="inlineStr">
        <is>
          <t>แผง 10 เม็ด</t>
        </is>
      </c>
      <c r="F386" t="inlineStr">
        <is>
          <t>Ibuprofen 400 mg.</t>
        </is>
      </c>
      <c r="G386" t="inlineStr">
        <is>
          <t>BDS007040</t>
        </is>
      </c>
      <c r="H386" t="inlineStr">
        <is>
          <t>Cefen 400P (10 tabs)</t>
        </is>
      </c>
      <c r="I386" t="inlineStr">
        <is>
          <t>รับประทานครั้งละ 1 เม็ด วันละ 3 ครั้ง หลังอาหารทันที</t>
        </is>
      </c>
      <c r="P386" t="inlineStr">
        <is>
          <t>General analgesics/antipyretics</t>
        </is>
      </c>
    </row>
    <row r="387">
      <c r="A387" t="n">
        <v>385</v>
      </c>
      <c r="B387" t="inlineStr">
        <is>
          <t>ยาแก้ปวด, ลดไข้ (D)</t>
        </is>
      </c>
      <c r="C387" t="n">
        <v>1618</v>
      </c>
      <c r="D387" t="inlineStr">
        <is>
          <t>Duran</t>
        </is>
      </c>
      <c r="E387" t="inlineStr">
        <is>
          <t>กล่อง 10 เม็ด</t>
        </is>
      </c>
      <c r="F387" t="inlineStr">
        <is>
          <t>Ibuprofen 400 mg.</t>
        </is>
      </c>
      <c r="G387" t="inlineStr">
        <is>
          <t>BDS001618</t>
        </is>
      </c>
      <c r="H387" t="inlineStr">
        <is>
          <t>Duran (10 tabs)</t>
        </is>
      </c>
      <c r="I387" t="inlineStr">
        <is>
          <t>รับประทานครั้งละ 1 เม็ด วันละ 3-4 ครั้ง หลังอาหารทันที</t>
        </is>
      </c>
      <c r="K387" t="n">
        <v>30</v>
      </c>
      <c r="L387" t="n">
        <v>3</v>
      </c>
      <c r="M387" t="inlineStr">
        <is>
          <t>https://www.migrainethailand.com/ibuprofen-migraine/</t>
        </is>
      </c>
      <c r="N387" t="inlineStr">
        <is>
          <t>2026-02-07</t>
        </is>
      </c>
      <c r="O387" t="inlineStr">
        <is>
          <t>Estimated midpoint from Thai retail range 25–34 THB per 10 tablets (generic ibuprofen 400 mg).</t>
        </is>
      </c>
      <c r="P387" t="inlineStr">
        <is>
          <t>General analgesics/antipyretics</t>
        </is>
      </c>
    </row>
    <row r="388">
      <c r="A388" t="n">
        <v>386</v>
      </c>
      <c r="B388" t="inlineStr">
        <is>
          <t>ยาแก้ปวด, ลดไข้ (D)</t>
        </is>
      </c>
      <c r="C388" t="n">
        <v>2042</v>
      </c>
      <c r="D388" t="inlineStr">
        <is>
          <t>Gofen 400</t>
        </is>
      </c>
      <c r="E388" t="inlineStr">
        <is>
          <t>กล่อง 10 แคปซูล</t>
        </is>
      </c>
      <c r="F388" t="inlineStr">
        <is>
          <t>Ibuprofen 400 mg.+Polyethylene 400+Porpylene Glycol</t>
        </is>
      </c>
      <c r="G388" t="inlineStr">
        <is>
          <t>BDS002042</t>
        </is>
      </c>
      <c r="H388" t="inlineStr">
        <is>
          <t>Gofen 400 (10 cap)</t>
        </is>
      </c>
      <c r="I388" t="inlineStr">
        <is>
          <t xml:space="preserve">รับประทานครั้งละ 1 แคปซูล ทุก 4-6 ชั่วโมง </t>
        </is>
      </c>
      <c r="K388" t="n">
        <v>177</v>
      </c>
      <c r="L388" t="n">
        <v>17.7</v>
      </c>
      <c r="M388" t="inlineStr">
        <is>
          <t>USER</t>
        </is>
      </c>
      <c r="N388" t="inlineStr">
        <is>
          <t>2026-02-07</t>
        </is>
      </c>
      <c r="O388" t="inlineStr">
        <is>
          <t>User provided price (Gofen 400 10 caps).</t>
        </is>
      </c>
      <c r="P388" t="inlineStr">
        <is>
          <t>General analgesics/antipyretics</t>
        </is>
      </c>
    </row>
    <row r="389">
      <c r="A389" t="n">
        <v>387</v>
      </c>
      <c r="B389" t="inlineStr">
        <is>
          <t>ยาแก้ปวด, ลดไข้ (D)</t>
        </is>
      </c>
      <c r="C389" t="n">
        <v>2036</v>
      </c>
      <c r="D389" t="inlineStr">
        <is>
          <t>Greatofen-400 mg</t>
        </is>
      </c>
      <c r="E389" t="inlineStr">
        <is>
          <t>แผง 10 เม็ด</t>
        </is>
      </c>
      <c r="F389" t="inlineStr">
        <is>
          <t>Ibuprofen 400 mg.</t>
        </is>
      </c>
      <c r="G389" t="inlineStr">
        <is>
          <t>BDS002036</t>
        </is>
      </c>
      <c r="H389" t="inlineStr">
        <is>
          <t>Greatofen-400 mg (10 tabs)</t>
        </is>
      </c>
      <c r="I389" t="inlineStr">
        <is>
          <t>รับประทานครั้งละ 1-2 เม็ด วันละ 3 ครั้ง หลังอาหารทันที</t>
        </is>
      </c>
      <c r="P389" t="inlineStr">
        <is>
          <t>General analgesics/antipyretics</t>
        </is>
      </c>
    </row>
    <row r="390">
      <c r="A390" t="n">
        <v>388</v>
      </c>
      <c r="B390" t="inlineStr">
        <is>
          <t>ยาแก้ปวด, ลดไข้ (D)</t>
        </is>
      </c>
      <c r="C390" t="n">
        <v>7161</v>
      </c>
      <c r="D390" t="inlineStr">
        <is>
          <t>Ibuman-Plus</t>
        </is>
      </c>
      <c r="E390" t="inlineStr">
        <is>
          <t>แผง 10 เม็ด</t>
        </is>
      </c>
      <c r="F390" t="inlineStr">
        <is>
          <t>Ibuprofen 400 mg.+Paracetamol 325 mg.</t>
        </is>
      </c>
      <c r="G390" t="inlineStr">
        <is>
          <t>BDS007161</t>
        </is>
      </c>
      <c r="H390" t="inlineStr">
        <is>
          <t>Ibuman-Plus (10 tabs)</t>
        </is>
      </c>
      <c r="I390" t="inlineStr">
        <is>
          <t>รับประทานครั้งละ 1 เม็ด วันละ 3  ครั้ง หลังอาหารทันที</t>
        </is>
      </c>
      <c r="P390" t="inlineStr">
        <is>
          <t>General analgesics/antipyretics</t>
        </is>
      </c>
    </row>
    <row r="391">
      <c r="A391" t="n">
        <v>389</v>
      </c>
      <c r="B391" t="inlineStr">
        <is>
          <t>ยาแก้ปวด, ลดไข้ (D)</t>
        </is>
      </c>
      <c r="C391" t="n">
        <v>7165</v>
      </c>
      <c r="D391" t="inlineStr">
        <is>
          <t>Kintal B</t>
        </is>
      </c>
      <c r="E391" t="inlineStr">
        <is>
          <t>แผง 10 เม็ด</t>
        </is>
      </c>
      <c r="F391" t="inlineStr">
        <is>
          <t>Ibuprofen 400 mg.+Paracetamol 325 mg.</t>
        </is>
      </c>
      <c r="G391" t="inlineStr">
        <is>
          <t>BDS007165</t>
        </is>
      </c>
      <c r="H391" t="inlineStr">
        <is>
          <t>Kintal B (10 tabs)</t>
        </is>
      </c>
      <c r="I391" t="inlineStr">
        <is>
          <t>รับประทานครั้งละ 1 เม็ด วันละ 3 ครั้ง หลังอาหารทันที</t>
        </is>
      </c>
      <c r="P391" t="inlineStr">
        <is>
          <t>General analgesics/antipyretics</t>
        </is>
      </c>
    </row>
    <row r="392">
      <c r="A392" t="n">
        <v>390</v>
      </c>
      <c r="B392" t="inlineStr">
        <is>
          <t>ยาแก้ปวด, ลดไข้ (D)</t>
        </is>
      </c>
      <c r="C392" t="n">
        <v>45600</v>
      </c>
      <c r="D392" t="inlineStr">
        <is>
          <t>Nurofen Zavance</t>
        </is>
      </c>
      <c r="E392" t="inlineStr">
        <is>
          <t>กล่อง 10 แคปซูล</t>
        </is>
      </c>
      <c r="F392" t="inlineStr">
        <is>
          <t>Ibuprofen 400 mg</t>
        </is>
      </c>
      <c r="G392" t="inlineStr">
        <is>
          <t>BDS045600</t>
        </is>
      </c>
      <c r="H392" t="inlineStr">
        <is>
          <t>Nurofen Zavance (10 cap)</t>
        </is>
      </c>
      <c r="I392" t="inlineStr">
        <is>
          <t xml:space="preserve">รับประทานครั้งละ 1 แคปซูล ทุก 6 ชั่วโมงเมื่อมีอาการ  </t>
        </is>
      </c>
      <c r="K392" t="n">
        <v>178</v>
      </c>
      <c r="L392" t="n">
        <v>17.8</v>
      </c>
      <c r="M392" t="inlineStr">
        <is>
          <t>https://bigya.co.th/product-detail/343</t>
        </is>
      </c>
      <c r="N392" t="inlineStr">
        <is>
          <t>2026-02-07</t>
        </is>
      </c>
      <c r="O392" t="inlineStr">
        <is>
          <t>Retail price at BIGYA (strip 10 softgel capsules).</t>
        </is>
      </c>
      <c r="P392" t="inlineStr">
        <is>
          <t>General analgesics/antipyretics</t>
        </is>
      </c>
    </row>
    <row r="393">
      <c r="A393" t="n">
        <v>391</v>
      </c>
      <c r="B393" t="inlineStr">
        <is>
          <t>ยาแก้ปวด, ลดไข้ (D)</t>
        </is>
      </c>
      <c r="C393" t="n">
        <v>2846</v>
      </c>
      <c r="D393" t="inlineStr">
        <is>
          <t>Nurofen-400</t>
        </is>
      </c>
      <c r="E393" t="inlineStr">
        <is>
          <t>แผง 6 เม็ด</t>
        </is>
      </c>
      <c r="F393" t="inlineStr">
        <is>
          <t>Ibuprofen 400 mg.</t>
        </is>
      </c>
      <c r="G393" t="inlineStr">
        <is>
          <t>BDS002846</t>
        </is>
      </c>
      <c r="H393" t="inlineStr">
        <is>
          <t>Nurofen-400 (6 tabs)</t>
        </is>
      </c>
      <c r="I393" t="inlineStr">
        <is>
          <t>รับประทานครั้งละ 1 เม็ด วันละ 3 ครั้ง หลังอาหารทันที</t>
        </is>
      </c>
      <c r="P393" t="inlineStr">
        <is>
          <t>General analgesics/antipyretics</t>
        </is>
      </c>
    </row>
    <row r="394">
      <c r="A394" t="n">
        <v>392</v>
      </c>
      <c r="B394" t="inlineStr">
        <is>
          <t>ยาแก้ปวด, ลดไข้ (D)</t>
        </is>
      </c>
      <c r="C394" t="n">
        <v>47673</v>
      </c>
      <c r="D394" t="inlineStr">
        <is>
          <t>Solufen 400</t>
        </is>
      </c>
      <c r="E394" t="inlineStr">
        <is>
          <t>กล่อง 10 แคปซูล</t>
        </is>
      </c>
      <c r="F394" t="inlineStr">
        <is>
          <t>Ibuprofen 400 mg.</t>
        </is>
      </c>
      <c r="G394" t="inlineStr">
        <is>
          <t>BDS047673</t>
        </is>
      </c>
      <c r="H394" t="inlineStr">
        <is>
          <t>Solufen 400 (10 cap)</t>
        </is>
      </c>
      <c r="I394" t="inlineStr">
        <is>
          <t xml:space="preserve">รับประทานครั้งละ 1 แคปซูล ทุก 4-6 ชั่วโมง </t>
        </is>
      </c>
      <c r="P394" t="inlineStr">
        <is>
          <t>General analgesics/antipyretics</t>
        </is>
      </c>
    </row>
    <row r="395">
      <c r="A395" t="n">
        <v>393</v>
      </c>
      <c r="B395" t="inlineStr">
        <is>
          <t>ยาอมแก้เจ็บคอ (D)</t>
        </is>
      </c>
      <c r="C395" t="n">
        <v>46200</v>
      </c>
      <c r="D395" t="inlineStr">
        <is>
          <t>Oral-VP tabslet</t>
        </is>
      </c>
      <c r="E395" t="inlineStr">
        <is>
          <t>ซอง 10 เม็ด</t>
        </is>
      </c>
      <c r="F395" t="inlineStr">
        <is>
          <t>Cetylpyridinium chloride 1.5 mg.</t>
        </is>
      </c>
      <c r="G395" t="inlineStr">
        <is>
          <t>BDS046200</t>
        </is>
      </c>
      <c r="H395" t="inlineStr">
        <is>
          <t>Oral-VP tabslet (10 tabs)</t>
        </is>
      </c>
      <c r="I395" t="inlineStr">
        <is>
          <t xml:space="preserve">อมให้ละลายช้าๆ ในปากเท่าที่ต้องการ </t>
        </is>
      </c>
    </row>
    <row r="396">
      <c r="A396" t="n">
        <v>394</v>
      </c>
      <c r="B396" t="inlineStr">
        <is>
          <t>ยาอมแก้เจ็บคอ (D)</t>
        </is>
      </c>
      <c r="C396" t="n">
        <v>3662</v>
      </c>
      <c r="D396" t="inlineStr">
        <is>
          <t>Strepsils Maxi Pluzz กล่อง 16s</t>
        </is>
      </c>
      <c r="E396" t="inlineStr">
        <is>
          <t>กล่อง 16 เม็ด</t>
        </is>
      </c>
      <c r="F396" t="inlineStr">
        <is>
          <t>2,4-ไดคลอโรเบนซิล แอลกอฮอล์ 1.2 มก.+ เอมิลเมแทครีซอล 0.6 มก. + ลิกโนเคน ไฮโดรคลอไรด์ 10.0 มก.</t>
        </is>
      </c>
      <c r="G396" t="inlineStr">
        <is>
          <t>BDS003662</t>
        </is>
      </c>
      <c r="H396" t="inlineStr">
        <is>
          <t>Strepsils Maxi Pluzz กล่อง 16s (16 tabs)</t>
        </is>
      </c>
      <c r="I396" t="inlineStr">
        <is>
          <t>รับประทาน (อม) ครั้งละ 1 เม็ด วันละ 3-5 ครั้ง หรือเมื่อมีอาการ</t>
        </is>
      </c>
    </row>
    <row r="397">
      <c r="A397" t="n">
        <v>395</v>
      </c>
      <c r="B397" t="inlineStr">
        <is>
          <t>ยาอมแก้เจ็บคอ (D)</t>
        </is>
      </c>
      <c r="C397" t="n">
        <v>3580</v>
      </c>
      <c r="D397" t="inlineStr">
        <is>
          <t>Strepsils Maxi Pluzz ซอง 6s</t>
        </is>
      </c>
      <c r="E397" t="inlineStr">
        <is>
          <t>ซอง 6 เม็ด</t>
        </is>
      </c>
      <c r="F397" t="inlineStr">
        <is>
          <t>2,4-Dichlorobenzyl alcohol 1.2 mg.+Amylmetacresol 0.6 mg.+Lidocain 10 mg.</t>
        </is>
      </c>
      <c r="G397" t="inlineStr">
        <is>
          <t>BDS003580</t>
        </is>
      </c>
      <c r="H397" t="inlineStr">
        <is>
          <t>Strepsils Maxi Pluzz ซอง 6s (6 tabs)</t>
        </is>
      </c>
      <c r="I397" t="inlineStr">
        <is>
          <t>รับประทาน (อม) ครั้งละ1-2 เม็ด วันละ 3-5 ครั้ง หรือเมื่อมีอาการ</t>
        </is>
      </c>
    </row>
    <row r="398">
      <c r="A398" t="n">
        <v>396</v>
      </c>
      <c r="B398" t="inlineStr">
        <is>
          <t>ยาอมแก้เจ็บคอ (D)</t>
        </is>
      </c>
      <c r="C398" t="n">
        <v>3772</v>
      </c>
      <c r="D398" t="inlineStr">
        <is>
          <t>Throatsil Plus ซอง 8s</t>
        </is>
      </c>
      <c r="E398" t="inlineStr">
        <is>
          <t>ซอง 8 เม็ด</t>
        </is>
      </c>
      <c r="F398" t="inlineStr">
        <is>
          <t>2,4-Dichlorobenzyl Alcohol 1.2 mg.+Amylmetacresol 0.6 mg.+Lignocaine HCl 10.0 mg.</t>
        </is>
      </c>
      <c r="G398" t="inlineStr">
        <is>
          <t>BDS003772</t>
        </is>
      </c>
      <c r="H398" t="inlineStr">
        <is>
          <t>Throatsil Plus ซอง 8s (8 tabs)</t>
        </is>
      </c>
      <c r="I398" t="inlineStr">
        <is>
          <t>รับประทาน (อม) ครั้งละ1-2 เม็ด วันละ 3-5 ครั้ง หรือเมื่อมีอาการ</t>
        </is>
      </c>
    </row>
    <row r="399">
      <c r="A399" t="n">
        <v>397</v>
      </c>
      <c r="B399" t="inlineStr">
        <is>
          <t>ผงเกลือแร่</t>
        </is>
      </c>
      <c r="C399" t="n">
        <v>8282</v>
      </c>
      <c r="D399" t="inlineStr">
        <is>
          <t>Cera ORS รสส้ม</t>
        </is>
      </c>
      <c r="E399" t="inlineStr">
        <is>
          <t>กล่อง 5 ซอง</t>
        </is>
      </c>
      <c r="F399" t="inlineStr">
        <is>
          <t>Glucose Anhydrous 3 g.+Sodium Chloride 0.53 g.+Potassium Chloride 0.23 g.+Sodium Citrate Dihydrate 0.44 g.</t>
        </is>
      </c>
      <c r="G399" t="inlineStr">
        <is>
          <t>BDS008282</t>
        </is>
      </c>
      <c r="H399" t="inlineStr">
        <is>
          <t>Cera ORS รสส้ม (5 sachets)</t>
        </is>
      </c>
      <c r="I399" t="inlineStr">
        <is>
          <t xml:space="preserve">ละลายครั้งละ 1 ซอง ต่อน้ำ 1 แก้ว (150 ml.) </t>
        </is>
      </c>
      <c r="P399" t="inlineStr">
        <is>
          <t>ORS / electrolytes</t>
        </is>
      </c>
    </row>
    <row r="400">
      <c r="A400" t="n">
        <v>398</v>
      </c>
      <c r="B400" t="inlineStr">
        <is>
          <t>ยาแก้เมารถ, เมาเรือ (D)</t>
        </is>
      </c>
      <c r="C400" t="n">
        <v>7141</v>
      </c>
      <c r="D400" t="inlineStr">
        <is>
          <t>Dimenhydrinate</t>
        </is>
      </c>
      <c r="E400" t="inlineStr">
        <is>
          <t>แผง 10 เม็ด</t>
        </is>
      </c>
      <c r="F400" t="inlineStr">
        <is>
          <t>Dimenhydrinate 50 mg.</t>
        </is>
      </c>
      <c r="G400" t="inlineStr">
        <is>
          <t>BDS007141</t>
        </is>
      </c>
      <c r="H400" t="inlineStr">
        <is>
          <t>Dimenhydrinate (10 tabs)</t>
        </is>
      </c>
      <c r="I400" t="inlineStr">
        <is>
          <t>รับประทานครั้งละ 1 เม็ด วันละ 3 ครั้งหรือก่อนเดินทาง 30 นาที</t>
        </is>
      </c>
    </row>
    <row r="401">
      <c r="A401" t="n">
        <v>399</v>
      </c>
      <c r="B401" t="inlineStr">
        <is>
          <t>ยาแก้เมารถ, เมาเรือ (D)</t>
        </is>
      </c>
      <c r="C401" t="n">
        <v>1663</v>
      </c>
      <c r="D401" t="inlineStr">
        <is>
          <t>Dramamine</t>
        </is>
      </c>
      <c r="E401" t="inlineStr">
        <is>
          <t>แผง 10 เม็ด</t>
        </is>
      </c>
      <c r="F401" t="inlineStr">
        <is>
          <t>Dimenhydrinate 50 mg.</t>
        </is>
      </c>
      <c r="G401" t="inlineStr">
        <is>
          <t>BDS001663</t>
        </is>
      </c>
      <c r="H401" t="inlineStr">
        <is>
          <t>Dramamine (10 tabs)</t>
        </is>
      </c>
      <c r="I401" t="inlineStr">
        <is>
          <t>รับประทานครั้งละ 1 เม็ด วันละ 3 ครั้ง ก่อนอาหาร 15-30 นาที หรือตามแพทย์สั่ง</t>
        </is>
      </c>
    </row>
    <row r="402">
      <c r="A402" t="n">
        <v>400</v>
      </c>
      <c r="B402" t="inlineStr">
        <is>
          <t>วิตามินบำรุงปลายประสาท</t>
        </is>
      </c>
      <c r="C402" t="n">
        <v>8272</v>
      </c>
      <c r="D402" t="inlineStr">
        <is>
          <t>Biotaplex-BC</t>
        </is>
      </c>
      <c r="E402" t="inlineStr">
        <is>
          <t>แผง 10 เม็ด</t>
        </is>
      </c>
      <c r="F402" t="inlineStr">
        <is>
          <t>Benfotiamine (Vit.B1) 69.15 mg+Riboflavin (Vit.B2) 5 mg+Pyridoxine HCl (Vit.B6) 5 mg+Cyanocobalamin (Vit.B12) 5 mcg+Vit.C 50 mg</t>
        </is>
      </c>
      <c r="G402" t="inlineStr">
        <is>
          <t>BDS008272</t>
        </is>
      </c>
      <c r="H402" t="inlineStr">
        <is>
          <t>Biotaplex-BC (10 tabs)</t>
        </is>
      </c>
      <c r="I402" t="inlineStr">
        <is>
          <t>รับประทานครั้งละ 1 เม็ด วันละ 1-2 ครั้ง หลังอาหาร</t>
        </is>
      </c>
    </row>
    <row r="403">
      <c r="A403" t="n">
        <v>401</v>
      </c>
      <c r="B403" t="inlineStr">
        <is>
          <t>วิตามินบำรุงปลายประสาท</t>
        </is>
      </c>
      <c r="C403" t="n">
        <v>2687</v>
      </c>
      <c r="D403" t="inlineStr">
        <is>
          <t>Mecze</t>
        </is>
      </c>
      <c r="E403" t="inlineStr">
        <is>
          <t>แผง 10 เม็ด</t>
        </is>
      </c>
      <c r="F403" t="inlineStr">
        <is>
          <t>Mecobalamin (Vit. B12) 500 mcg.</t>
        </is>
      </c>
      <c r="G403" t="inlineStr">
        <is>
          <t>BDS002687</t>
        </is>
      </c>
      <c r="H403" t="inlineStr">
        <is>
          <t>Mecze (10 tabs)</t>
        </is>
      </c>
      <c r="I403" t="inlineStr">
        <is>
          <t xml:space="preserve">รับประทานครั้งละ 1 เม็ด วันละ 3 ครั้ง หลังอาหาร </t>
        </is>
      </c>
    </row>
    <row r="404">
      <c r="A404" t="n">
        <v>402</v>
      </c>
      <c r="B404" t="inlineStr">
        <is>
          <t>วิตามินบำรุงปลายประสาท</t>
        </is>
      </c>
      <c r="C404" t="n">
        <v>44925</v>
      </c>
      <c r="D404" t="inlineStr">
        <is>
          <t>Mega Diavit</t>
        </is>
      </c>
      <c r="E404" t="inlineStr">
        <is>
          <t>กล่อง 10 แคปซูล</t>
        </is>
      </c>
      <c r="F404" t="inlineStr">
        <is>
          <t>Vit.B1 100 mg+ Vit.B6 200 mg+Methylcobalamin 500 mg+ Folic Acid 0.2 mg+Natural Vit.E 200 IU+ Natural Mixed Carotenoids 4 mg+Equivlent to Vit.A 5000 IU+ Vit.D3 400 IU+Copper 1 mg+Chromium 0.2 mg+Zinc 15 mg.</t>
        </is>
      </c>
      <c r="G404" t="inlineStr">
        <is>
          <t>BDS044925</t>
        </is>
      </c>
      <c r="H404" t="inlineStr">
        <is>
          <t>Mega Diavit (10 cap)</t>
        </is>
      </c>
      <c r="I404" t="inlineStr">
        <is>
          <t>รับประทานครั้งละ 1 แคปซูล วันละ 1-3 ครั้ง หลังอาหาร หรือตามแพทย์สั่ง</t>
        </is>
      </c>
    </row>
    <row r="405">
      <c r="A405" t="n">
        <v>403</v>
      </c>
      <c r="B405" t="inlineStr">
        <is>
          <t>วิตามินบำรุงปลายประสาท</t>
        </is>
      </c>
      <c r="C405" t="n">
        <v>2625</v>
      </c>
      <c r="D405" t="inlineStr">
        <is>
          <t>Methycobal 500</t>
        </is>
      </c>
      <c r="E405" t="inlineStr">
        <is>
          <t>แผง 10 เม็ด</t>
        </is>
      </c>
      <c r="F405" t="inlineStr">
        <is>
          <t>Mecobalamin (Vit. B12) 500 mcg.</t>
        </is>
      </c>
      <c r="G405" t="inlineStr">
        <is>
          <t>BDS002625</t>
        </is>
      </c>
      <c r="H405" t="inlineStr">
        <is>
          <t>Methycobal 500 (10 tabs)</t>
        </is>
      </c>
      <c r="I405" t="inlineStr">
        <is>
          <t>รับประทานครั้งละ 1 เม็ด วันละ 3 ครั้ง หลังอาหาร</t>
        </is>
      </c>
    </row>
    <row r="406">
      <c r="A406" t="n">
        <v>404</v>
      </c>
      <c r="B406" t="inlineStr">
        <is>
          <t>วิตามินบำรุงปลายประสาท</t>
        </is>
      </c>
      <c r="C406" t="n">
        <v>2822</v>
      </c>
      <c r="D406" t="inlineStr">
        <is>
          <t>Neurobion</t>
        </is>
      </c>
      <c r="E406" t="inlineStr">
        <is>
          <t>แผง 10 เม็ด</t>
        </is>
      </c>
      <c r="F406" t="inlineStr">
        <is>
          <t>Thiamine Disulfide (Vit.B1) 100 mg+Pyridoxine HCl (Vit.B6) 200 mg+Cyanocobalamin (Vit.B12) 200 mcg</t>
        </is>
      </c>
      <c r="G406" t="inlineStr">
        <is>
          <t>BDS002822</t>
        </is>
      </c>
      <c r="H406" t="inlineStr">
        <is>
          <t>Neurobion (10 tabs)</t>
        </is>
      </c>
      <c r="I406" t="inlineStr">
        <is>
          <t xml:space="preserve">รับประทานครั้งละ 1 เม็ด วันละ 1-3 ครั้ง หลังอาหาร หรือตามแพทย์สั่ง </t>
        </is>
      </c>
    </row>
    <row r="407">
      <c r="A407" t="n">
        <v>405</v>
      </c>
      <c r="B407" t="inlineStr">
        <is>
          <t>วิตามินบำรุงปลายประสาท</t>
        </is>
      </c>
      <c r="C407" t="n">
        <v>3007</v>
      </c>
      <c r="D407" t="inlineStr">
        <is>
          <t>One-Six-Twelve</t>
        </is>
      </c>
      <c r="E407" t="inlineStr">
        <is>
          <t>แผง 10 เม็ด</t>
        </is>
      </c>
      <c r="F407" t="inlineStr">
        <is>
          <t>Thiamine Mononitrate (Vit.B1) 100 mg+Pyridoxine HCl (Vit.B6) 5  mg+Cyanocobalamin (Vit.B12) 50 mcg</t>
        </is>
      </c>
      <c r="G407" t="inlineStr">
        <is>
          <t>BDS003007</t>
        </is>
      </c>
      <c r="H407" t="inlineStr">
        <is>
          <t>One-Six-Twelve (10 tabs)</t>
        </is>
      </c>
      <c r="I407" t="inlineStr">
        <is>
          <t xml:space="preserve">รับประทานครั้งละ 1 เม็ด วันละ 1 ครั้ง หลังอาหาร หรือตามแพทย์สั่ง </t>
        </is>
      </c>
    </row>
    <row r="408">
      <c r="A408" t="n">
        <v>406</v>
      </c>
      <c r="B408" t="inlineStr">
        <is>
          <t>วิตามินบำรุงปลายประสาท</t>
        </is>
      </c>
      <c r="C408" t="n">
        <v>8151</v>
      </c>
      <c r="D408" t="inlineStr">
        <is>
          <t>Sambee</t>
        </is>
      </c>
      <c r="E408" t="inlineStr">
        <is>
          <t>แผง 10 เม็ด</t>
        </is>
      </c>
      <c r="F408" t="inlineStr">
        <is>
          <t>Thiamine Mononitrate (Vit.B1) 100 mg+Pyridoxine HCl (Vit.B6) 5  mg+Cyanocobalamin (Vit.B12) 65 mcg</t>
        </is>
      </c>
      <c r="G408" t="inlineStr">
        <is>
          <t>BDS008151</t>
        </is>
      </c>
      <c r="H408" t="inlineStr">
        <is>
          <t>Sambee (10 tabs)</t>
        </is>
      </c>
      <c r="I408" t="inlineStr">
        <is>
          <t xml:space="preserve">รับประทานครั้งละ 1-2 เม็ด วันละ 2-3 ครั้ง หลังอาหาร หรือตามแพทย์สั่ง </t>
        </is>
      </c>
    </row>
    <row r="409">
      <c r="A409" t="n">
        <v>407</v>
      </c>
      <c r="B409" t="inlineStr">
        <is>
          <t>วิตามินบำรุงปลายประสาท</t>
        </is>
      </c>
      <c r="C409" t="n">
        <v>8708</v>
      </c>
      <c r="D409" t="inlineStr">
        <is>
          <t>Tri-Be-Sian</t>
        </is>
      </c>
      <c r="E409" t="inlineStr">
        <is>
          <t>แผง 10 เม็ด</t>
        </is>
      </c>
      <c r="F409" t="inlineStr">
        <is>
          <t>Thiamine Mononitrate (Vit.B1) 100 mg+Pyridoxine HCl (Vit.B6) 5  mg+Cyanocobalamin (Vit.B12) 50 mcg</t>
        </is>
      </c>
      <c r="G409" t="inlineStr">
        <is>
          <t>BDS008708</t>
        </is>
      </c>
      <c r="H409" t="inlineStr">
        <is>
          <t>Tri-Be-Sian (10 tabs)</t>
        </is>
      </c>
      <c r="I409" t="inlineStr">
        <is>
          <t>รับประทานครั้งละ 1 เม็ด วันละ 1-3 ครั้ง หลังอาหาร</t>
        </is>
      </c>
    </row>
    <row r="410">
      <c r="A410" t="n">
        <v>408</v>
      </c>
      <c r="B410" t="inlineStr">
        <is>
          <t>วิตามินบำรุงปลายประสาท</t>
        </is>
      </c>
      <c r="C410" t="n">
        <v>7809</v>
      </c>
      <c r="D410" t="inlineStr">
        <is>
          <t>Viboral</t>
        </is>
      </c>
      <c r="E410" t="inlineStr">
        <is>
          <t>แผง 10 เม็ด</t>
        </is>
      </c>
      <c r="F410" t="inlineStr">
        <is>
          <t>Thiamine Mononitrate (Vit.B1) 100 mg+Pyridoxine HCl (Vit.B6) 20  mg+Cyanocobalamin (Vit.B12) 100 mcg</t>
        </is>
      </c>
      <c r="G410" t="inlineStr">
        <is>
          <t>BDS007809</t>
        </is>
      </c>
      <c r="H410" t="inlineStr">
        <is>
          <t>Viboral (10 tabs)</t>
        </is>
      </c>
      <c r="I410" t="inlineStr">
        <is>
          <t>รับประทานครั้งละ 1 เม็ด วันละ 1-3 ครั้ง หลังอาหาร</t>
        </is>
      </c>
    </row>
    <row r="411">
      <c r="A411" t="n">
        <v>409</v>
      </c>
      <c r="B411" t="inlineStr">
        <is>
          <t>วิตามินบำรุงปลายประสาท</t>
        </is>
      </c>
      <c r="C411" t="n">
        <v>4007</v>
      </c>
      <c r="D411" t="inlineStr">
        <is>
          <t>Vitamin B1-B6-B12 (GPO)</t>
        </is>
      </c>
      <c r="E411" t="inlineStr">
        <is>
          <t>ขวด 100 เม็ด</t>
        </is>
      </c>
      <c r="F411" t="inlineStr">
        <is>
          <t>Vit.B1 100 mg+Vit.B6 7.5 mg+Vit.B12 75 mcg</t>
        </is>
      </c>
      <c r="G411" t="inlineStr">
        <is>
          <t>BDS004007</t>
        </is>
      </c>
      <c r="H411" t="inlineStr">
        <is>
          <t>Vitamin B1-B6-B12 (GPO) (100 tabs)</t>
        </is>
      </c>
      <c r="I411" t="inlineStr">
        <is>
          <t>รับประทานครั้งละ 1 เม็ด วันละ 1 ครั้ง หลังอาหาร หรือตามแพทย์สั่ง</t>
        </is>
      </c>
    </row>
    <row r="412">
      <c r="A412" t="n">
        <v>410</v>
      </c>
      <c r="B412" t="inlineStr">
        <is>
          <t>ยาลดกรด, เคลือบกระเพาะ (D)</t>
        </is>
      </c>
      <c r="C412" t="n">
        <v>2449</v>
      </c>
      <c r="D412" t="inlineStr">
        <is>
          <t>Kremil-S tabslet</t>
        </is>
      </c>
      <c r="E412" t="inlineStr">
        <is>
          <t>แผง 10 เม็ด</t>
        </is>
      </c>
      <c r="F412" t="inlineStr">
        <is>
          <t>AHMC(Aluminum Hydroxide 188.8 mg.+Magnesium Carbonate 136.2 mg.) 325 mg.+Simethicone 10 mg.+Dicyclomine HCl 2.5 mg.</t>
        </is>
      </c>
      <c r="G412" t="inlineStr">
        <is>
          <t>BDS002449</t>
        </is>
      </c>
      <c r="H412" t="inlineStr">
        <is>
          <t>Kremil-S tabslet (10 tabs)</t>
        </is>
      </c>
      <c r="I412" t="inlineStr">
        <is>
          <t>รับประทานครั้งละ 2-4 เม็ด ทุก 4 ชั่วโมง หรือตามแพทย์สั่ง</t>
        </is>
      </c>
    </row>
    <row r="413">
      <c r="A413" t="n">
        <v>411</v>
      </c>
      <c r="B413" t="inlineStr">
        <is>
          <t>ยาลดกรด, เคลือบกระเพาะ (D)</t>
        </is>
      </c>
      <c r="C413" t="n">
        <v>8766</v>
      </c>
      <c r="D413" t="inlineStr">
        <is>
          <t>Sulcain</t>
        </is>
      </c>
      <c r="E413" t="inlineStr">
        <is>
          <t>แผง 10 เม็ด</t>
        </is>
      </c>
      <c r="F413" t="inlineStr">
        <is>
          <t>Sulcain (Ethyl p-piperidylacetylaminobenzoate) 100 mg+Magcerin (Magnesia-alumina hydrate) 100 mg</t>
        </is>
      </c>
      <c r="G413" t="inlineStr">
        <is>
          <t>BDS008766</t>
        </is>
      </c>
      <c r="H413" t="inlineStr">
        <is>
          <t>Sulcain (10 tabs)</t>
        </is>
      </c>
      <c r="I413" t="inlineStr">
        <is>
          <t>รับประทานครั้งละ 2 เม็ด วันละ 3-4 ครั้ง</t>
        </is>
      </c>
    </row>
    <row r="414">
      <c r="A414" t="n">
        <v>412</v>
      </c>
      <c r="B414" t="inlineStr">
        <is>
          <t>ยาขับลม (D)</t>
        </is>
      </c>
      <c r="C414" t="n">
        <v>1038</v>
      </c>
      <c r="D414" t="inlineStr">
        <is>
          <t>Avarin</t>
        </is>
      </c>
      <c r="E414" t="inlineStr">
        <is>
          <t>กล่อง 10 แคปซูล</t>
        </is>
      </c>
      <c r="F414" t="inlineStr">
        <is>
          <t>Simethicone 300 mg.+Alverine Citrate 60 mg.</t>
        </is>
      </c>
      <c r="G414" t="inlineStr">
        <is>
          <t>BDS001038</t>
        </is>
      </c>
      <c r="H414" t="inlineStr">
        <is>
          <t>Avarin (10 cap)</t>
        </is>
      </c>
      <c r="I414" t="inlineStr">
        <is>
          <t>รับประทานครั้งละ 1 แคปซูล วันละ 3  ครั้ง หลังอาหาร</t>
        </is>
      </c>
      <c r="P414" t="inlineStr">
        <is>
          <t>Carminatives (gas relief)</t>
        </is>
      </c>
    </row>
    <row r="415">
      <c r="A415" t="n">
        <v>413</v>
      </c>
      <c r="B415" t="inlineStr">
        <is>
          <t>ยาขับลม (D)</t>
        </is>
      </c>
      <c r="C415" t="n">
        <v>1234</v>
      </c>
      <c r="D415" t="inlineStr">
        <is>
          <t>Berclomin tabs</t>
        </is>
      </c>
      <c r="E415" t="inlineStr">
        <is>
          <t>แผง 10 เม็ด</t>
        </is>
      </c>
      <c r="F415" t="inlineStr">
        <is>
          <t>Dicyclomine 10 mg.+Simethicone 100 mg.</t>
        </is>
      </c>
      <c r="G415" t="inlineStr">
        <is>
          <t>BDS001234</t>
        </is>
      </c>
      <c r="H415" t="inlineStr">
        <is>
          <t>Berclomin tabs (10 tabs)</t>
        </is>
      </c>
      <c r="I415" t="inlineStr">
        <is>
          <t>รับประทานครั้งละ 1-2 เม็ด วันละ 3-4 ครั้ง ก่อนอาหาร</t>
        </is>
      </c>
      <c r="P415" t="inlineStr">
        <is>
          <t>Carminatives (gas relief)</t>
        </is>
      </c>
    </row>
    <row r="416">
      <c r="A416" t="n">
        <v>414</v>
      </c>
      <c r="B416" t="inlineStr">
        <is>
          <t>ยาขับลม (D)</t>
        </is>
      </c>
      <c r="C416" t="n">
        <v>44943</v>
      </c>
      <c r="D416" t="inlineStr">
        <is>
          <t xml:space="preserve">Meteospasmyl </t>
        </is>
      </c>
      <c r="E416" t="inlineStr">
        <is>
          <t>แผง 10 เม็ด</t>
        </is>
      </c>
      <c r="F416" t="inlineStr">
        <is>
          <t>Alverine Citrate 60 mg +Simethicone 300 mg</t>
        </is>
      </c>
      <c r="G416" t="inlineStr">
        <is>
          <t>BDS044943</t>
        </is>
      </c>
      <c r="H416" t="inlineStr">
        <is>
          <t>Meteospasmyl  (10 tabs)</t>
        </is>
      </c>
      <c r="I416" t="inlineStr">
        <is>
          <t>รับประทานครั้งละ 1 แคปซูล วันละ 3  ครั้ง หลังอาหาร</t>
        </is>
      </c>
      <c r="P416" t="inlineStr">
        <is>
          <t>Carminatives (gas relief)</t>
        </is>
      </c>
    </row>
    <row r="417">
      <c r="A417" t="n">
        <v>415</v>
      </c>
      <c r="B417" t="inlineStr">
        <is>
          <t>ยาฆ่าพยาธิ (D)</t>
        </is>
      </c>
      <c r="C417" t="n">
        <v>8455</v>
      </c>
      <c r="D417" t="inlineStr">
        <is>
          <t>CB-400</t>
        </is>
      </c>
      <c r="E417" t="inlineStr">
        <is>
          <t>กล่อง 1 เม็ด</t>
        </is>
      </c>
      <c r="F417" t="inlineStr">
        <is>
          <t>Albendazole 400 mg.</t>
        </is>
      </c>
      <c r="G417" t="inlineStr">
        <is>
          <t>BDS008455</t>
        </is>
      </c>
      <c r="H417" t="inlineStr">
        <is>
          <t>CB-400 (1 tab)</t>
        </is>
      </c>
      <c r="I417" t="inlineStr">
        <is>
          <t>สำหรับพยาธิตัวกลม รับประทานครั้งละ 1 เม็ด วันละ 1 ครั้ง</t>
        </is>
      </c>
      <c r="P417" t="inlineStr">
        <is>
          <t>Antiparasitics / deworming</t>
        </is>
      </c>
    </row>
    <row r="418">
      <c r="A418" t="n">
        <v>416</v>
      </c>
      <c r="B418" t="inlineStr">
        <is>
          <t>ยาฆ่าพยาธิ (D)</t>
        </is>
      </c>
      <c r="C418" t="n">
        <v>2104</v>
      </c>
      <c r="D418" t="inlineStr">
        <is>
          <t>Hexin ฆ่าพยาธิ</t>
        </is>
      </c>
      <c r="E418" t="inlineStr">
        <is>
          <t>แผง 4 เม็ด</t>
        </is>
      </c>
      <c r="F418" t="inlineStr">
        <is>
          <t>Niclosamide 500 mg.+Phenolphthalein 75 mg.</t>
        </is>
      </c>
      <c r="G418" t="inlineStr">
        <is>
          <t>BDS002104</t>
        </is>
      </c>
      <c r="H418" t="inlineStr">
        <is>
          <t>Hexin ฆ่าพยาธิ (4 tabs)</t>
        </is>
      </c>
      <c r="I418" t="inlineStr">
        <is>
          <t xml:space="preserve">ผู้ใหญ่รับประทาน (เคี้ยว) ครั้งละ 4 เม็ด วันละ 1 ครั้ง ก่อนนอน </t>
        </is>
      </c>
      <c r="P418" t="inlineStr">
        <is>
          <t>Antiparasitics / deworming</t>
        </is>
      </c>
    </row>
    <row r="419">
      <c r="A419" t="n">
        <v>417</v>
      </c>
      <c r="B419" t="inlineStr">
        <is>
          <t>ยาฆ่าพยาธิ (D)</t>
        </is>
      </c>
      <c r="C419" t="n">
        <v>4217</v>
      </c>
      <c r="D419" t="inlineStr">
        <is>
          <t>Zentel 400 mg</t>
        </is>
      </c>
      <c r="E419" t="inlineStr">
        <is>
          <t>กล่อง 1 เม็ด</t>
        </is>
      </c>
      <c r="F419" t="inlineStr">
        <is>
          <t>Albendazole 400 mg.</t>
        </is>
      </c>
      <c r="G419" t="inlineStr">
        <is>
          <t>BDS004217</t>
        </is>
      </c>
      <c r="H419" t="inlineStr">
        <is>
          <t>Zentel 400 mg (1 tab)</t>
        </is>
      </c>
      <c r="I419" t="inlineStr">
        <is>
          <t>สำหรับพยาธิตัวกลม รับประทานครั้งละ 1 เม็ด วันละ 1 ครั้ง</t>
        </is>
      </c>
      <c r="P419" t="inlineStr">
        <is>
          <t>Antiparasitics / deworming</t>
        </is>
      </c>
    </row>
    <row r="420">
      <c r="A420" t="n">
        <v>418</v>
      </c>
      <c r="B420" t="inlineStr">
        <is>
          <t>ยาช่วยย่อยอาหาร</t>
        </is>
      </c>
      <c r="C420" t="n">
        <v>1465</v>
      </c>
      <c r="D420" t="inlineStr">
        <is>
          <t>Combizym</t>
        </is>
      </c>
      <c r="E420" t="inlineStr">
        <is>
          <t>แผง 10 เม็ด</t>
        </is>
      </c>
      <c r="F420" t="inlineStr">
        <is>
          <t>(Cellulase+Protease+Amylase) 24 mg.+(Lipase+Protease+Amylase) 220 mg.</t>
        </is>
      </c>
      <c r="G420" t="inlineStr">
        <is>
          <t>BDS001465</t>
        </is>
      </c>
      <c r="H420" t="inlineStr">
        <is>
          <t>Combizym (10 tabs)</t>
        </is>
      </c>
      <c r="I420" t="inlineStr">
        <is>
          <t>รับประทานครั้งละ 1-2 เม็ด วันละ 3 ครั้ง หลังอาหาร</t>
        </is>
      </c>
      <c r="P420" t="inlineStr">
        <is>
          <t>Digestive aids</t>
        </is>
      </c>
    </row>
    <row r="421">
      <c r="A421" t="n">
        <v>419</v>
      </c>
      <c r="B421" t="inlineStr">
        <is>
          <t>ยาช่วยย่อยอาหาร</t>
        </is>
      </c>
      <c r="C421" t="n">
        <v>1636</v>
      </c>
      <c r="D421" t="inlineStr">
        <is>
          <t>Diasgest</t>
        </is>
      </c>
      <c r="E421" t="inlineStr">
        <is>
          <t>แผง 10 เม็ด</t>
        </is>
      </c>
      <c r="F421" t="inlineStr">
        <is>
          <t xml:space="preserve">diastase 50 mg+Aluminium magnesium silicate 100 mg+Sodium bicarbonate 60 mg+Calcium carbonate </t>
        </is>
      </c>
      <c r="G421" t="inlineStr">
        <is>
          <t>BDS001636</t>
        </is>
      </c>
      <c r="H421" t="inlineStr">
        <is>
          <t>Diasgest (10 tabs)</t>
        </is>
      </c>
      <c r="I421" t="inlineStr">
        <is>
          <t>รับประทานครั้งละ 1-2 เม็ด วันละ 3 ครั้ง หลังอาหาร หรือเมื่อมีอาการ</t>
        </is>
      </c>
      <c r="P421" t="inlineStr">
        <is>
          <t>Digestive aids</t>
        </is>
      </c>
    </row>
    <row r="422">
      <c r="A422" t="n">
        <v>420</v>
      </c>
      <c r="B422" t="inlineStr">
        <is>
          <t>ยาช่วยย่อยอาหาร</t>
        </is>
      </c>
      <c r="C422" t="n">
        <v>2043</v>
      </c>
      <c r="D422" t="inlineStr">
        <is>
          <t>Gaszym</t>
        </is>
      </c>
      <c r="E422" t="inlineStr">
        <is>
          <t>แผง 10 เม็ด</t>
        </is>
      </c>
      <c r="F422" t="inlineStr">
        <is>
          <t>Simethicone 60 mg.+Pancreatin 4NF 200 mg.</t>
        </is>
      </c>
      <c r="G422" t="inlineStr">
        <is>
          <t>BDS002043</t>
        </is>
      </c>
      <c r="H422" t="inlineStr">
        <is>
          <t>Gaszym (10 tabs)</t>
        </is>
      </c>
      <c r="I422" t="inlineStr">
        <is>
          <t>รับประทานครั้งละ 1-2 เม็ด วันละ 3 ครั้ง หลังอาหารทันที หรือเมื่อมีอาการ</t>
        </is>
      </c>
      <c r="P422" t="inlineStr">
        <is>
          <t>Digestive aids</t>
        </is>
      </c>
    </row>
    <row r="423">
      <c r="A423" t="n">
        <v>421</v>
      </c>
      <c r="B423" t="inlineStr">
        <is>
          <t>ยาช่วยย่อยอาหาร</t>
        </is>
      </c>
      <c r="C423" t="n">
        <v>2681</v>
      </c>
      <c r="D423" t="inlineStr">
        <is>
          <t>Magesto-F bottle 100s</t>
        </is>
      </c>
      <c r="E423" t="inlineStr">
        <is>
          <t>ขวด 100 เม็ด</t>
        </is>
      </c>
      <c r="F423" t="inlineStr">
        <is>
          <t>Mamylase+Thiamine mononitrate+Diastase+Scopolia extract+Calcium carbonate</t>
        </is>
      </c>
      <c r="G423" t="inlineStr">
        <is>
          <t>BDS002681</t>
        </is>
      </c>
      <c r="H423" t="inlineStr">
        <is>
          <t>Magesto-F bottle 100s (100 tabs)</t>
        </is>
      </c>
      <c r="I423" t="inlineStr">
        <is>
          <t>รับประทานครั้งละ 2-4 เม็ด วันละ 3 ครั้ง หลังอาหาร</t>
        </is>
      </c>
      <c r="P423" t="inlineStr">
        <is>
          <t>Digestive aids</t>
        </is>
      </c>
    </row>
    <row r="424">
      <c r="A424" t="n">
        <v>422</v>
      </c>
      <c r="B424" t="inlineStr">
        <is>
          <t>ยาช่วยย่อยอาหาร</t>
        </is>
      </c>
      <c r="C424" t="n">
        <v>2224</v>
      </c>
      <c r="D424" t="inlineStr">
        <is>
          <t>Magesto-F sachet 10s</t>
        </is>
      </c>
      <c r="E424" t="inlineStr">
        <is>
          <t>ซอง 10 เม็ด</t>
        </is>
      </c>
      <c r="F424" t="inlineStr">
        <is>
          <t>Mamylase+Thiamine mononitrate+Diastase+Scopolia extract+Calcium carbonate</t>
        </is>
      </c>
      <c r="G424" t="inlineStr">
        <is>
          <t>BDS002224</t>
        </is>
      </c>
      <c r="H424" t="inlineStr">
        <is>
          <t>Magesto-F sachet 10s (10 tabs)</t>
        </is>
      </c>
      <c r="I424" t="inlineStr">
        <is>
          <t>รับประทานครั้งละ 2-4 เม็ด วันละ 3 ครั้ง หลังอาหาร</t>
        </is>
      </c>
      <c r="P424" t="inlineStr">
        <is>
          <t>Digestive aids</t>
        </is>
      </c>
    </row>
    <row r="425">
      <c r="A425" t="n">
        <v>423</v>
      </c>
      <c r="B425" t="inlineStr">
        <is>
          <t>ยาอมละลายเสมหะ</t>
        </is>
      </c>
      <c r="C425" t="n">
        <v>3591</v>
      </c>
      <c r="D425" t="inlineStr">
        <is>
          <t>Strepsils Chesty Cough ซอง 8s</t>
        </is>
      </c>
      <c r="E425" t="inlineStr">
        <is>
          <t>ซอง 8 เม็ด</t>
        </is>
      </c>
      <c r="F425" t="inlineStr">
        <is>
          <t>Ambroxol HCl 15 mg.</t>
        </is>
      </c>
      <c r="G425" t="inlineStr">
        <is>
          <t>BDS003591</t>
        </is>
      </c>
      <c r="H425" t="inlineStr">
        <is>
          <t>Strepsils Chesty Cough ซอง 8s (8 tabs)</t>
        </is>
      </c>
      <c r="I425" t="inlineStr">
        <is>
          <t>รับประทาน (อม) ครั้งละ 1 เม็ด ติดต่อกัน 2 เม็ด วันละ 3 ครั้ง</t>
        </is>
      </c>
    </row>
    <row r="426">
      <c r="A426" t="n">
        <v>424</v>
      </c>
      <c r="B426" t="inlineStr">
        <is>
          <t>ยาอมละลายเสมหะ</t>
        </is>
      </c>
      <c r="C426" t="n">
        <v>3642</v>
      </c>
      <c r="D426" t="inlineStr">
        <is>
          <t>Strepsils Throat Irritation &amp; Cough กล่อง 24s</t>
        </is>
      </c>
      <c r="E426" t="inlineStr">
        <is>
          <t>กล่อง 24 เม็ด</t>
        </is>
      </c>
      <c r="F426" t="inlineStr">
        <is>
          <t>Ambroxol HCl 15 mg.</t>
        </is>
      </c>
      <c r="G426" t="inlineStr">
        <is>
          <t>BDS003642</t>
        </is>
      </c>
      <c r="H426" t="inlineStr">
        <is>
          <t>Strepsils Throat Irritation &amp; Cough กล่อง 24s (24 tabs)</t>
        </is>
      </c>
      <c r="I426" t="inlineStr">
        <is>
          <t>รับประทาน (อม) ครั้งละ 1 เม็ด ติดต่อกัน 2 เม็ด วันละ 3 ครั้ง</t>
        </is>
      </c>
    </row>
    <row r="427">
      <c r="A427" t="n">
        <v>425</v>
      </c>
      <c r="B427" t="inlineStr">
        <is>
          <t>ยาอมละลายเสมหะ</t>
        </is>
      </c>
      <c r="C427" t="n">
        <v>3641</v>
      </c>
      <c r="D427" t="inlineStr">
        <is>
          <t>Strepsils Throat Irritation &amp; Cough ซอง 8s</t>
        </is>
      </c>
      <c r="E427" t="inlineStr">
        <is>
          <t>ซอง 8 เม็ด</t>
        </is>
      </c>
      <c r="F427" t="inlineStr">
        <is>
          <t>Ambroxol HCl 15 mg.</t>
        </is>
      </c>
      <c r="G427" t="inlineStr">
        <is>
          <t>BDS003641</t>
        </is>
      </c>
      <c r="H427" t="inlineStr">
        <is>
          <t>Strepsils Throat Irritation &amp; Cough ซอง 8s (8 tabs)</t>
        </is>
      </c>
      <c r="I427" t="inlineStr">
        <is>
          <t>รับประทาน (อม) ครั้งละ 1 เม็ด ติดต่อกัน 2 เม็ด วันละ 3 ครั้ง</t>
        </is>
      </c>
    </row>
    <row r="428">
      <c r="A428" t="n">
        <v>426</v>
      </c>
      <c r="B428" t="inlineStr">
        <is>
          <t>ยาแก้ปวด, ลดไข้ ชนิดน้ำ (D)</t>
        </is>
      </c>
      <c r="C428" t="n">
        <v>1665</v>
      </c>
      <c r="D428" t="inlineStr">
        <is>
          <t>Duran Suspension</t>
        </is>
      </c>
      <c r="E428" t="inlineStr">
        <is>
          <t>ขวด 60 ml.</t>
        </is>
      </c>
      <c r="F428" t="inlineStr">
        <is>
          <t>Ibuprofen 100 mg./5 ml.</t>
        </is>
      </c>
      <c r="G428" t="inlineStr">
        <is>
          <t>BDS001665</t>
        </is>
      </c>
      <c r="H428" t="inlineStr">
        <is>
          <t>Duran Suspension (60 ml.)</t>
        </is>
      </c>
      <c r="I428" t="inlineStr">
        <is>
          <t>รับประทานครั้งละ 1-2 ช้อนชา วันละ 4 ครั้ง หลังอาหาร หรือตามแพทย์สั่ง</t>
        </is>
      </c>
      <c r="P428" t="inlineStr">
        <is>
          <t>General analgesics/antipyretics</t>
        </is>
      </c>
    </row>
    <row r="429">
      <c r="A429" t="n">
        <v>427</v>
      </c>
      <c r="B429" t="inlineStr">
        <is>
          <t>ยาแก้ปวด, ลดไข้ ชนิดน้ำ (D)</t>
        </is>
      </c>
      <c r="C429" t="n">
        <v>7151</v>
      </c>
      <c r="D429" t="inlineStr">
        <is>
          <t>Ibukids Suspension</t>
        </is>
      </c>
      <c r="E429" t="inlineStr">
        <is>
          <t>ขวด 60 ml.</t>
        </is>
      </c>
      <c r="F429" t="inlineStr">
        <is>
          <t>Ibuprofen 100 mg./5 ml.</t>
        </is>
      </c>
      <c r="G429" t="inlineStr">
        <is>
          <t>BDS007151</t>
        </is>
      </c>
      <c r="H429" t="inlineStr">
        <is>
          <t>Ibukids Suspension (60 ml.)</t>
        </is>
      </c>
      <c r="I429" t="inlineStr">
        <is>
          <t>เด็กโตรับประทานครั้งละ 2 ช้อนชา วันละ 3 ครั้ง หลังอาหาร</t>
        </is>
      </c>
      <c r="P429" t="inlineStr">
        <is>
          <t>General analgesics/antipyretics</t>
        </is>
      </c>
    </row>
    <row r="430">
      <c r="A430" t="n">
        <v>428</v>
      </c>
      <c r="B430" t="inlineStr">
        <is>
          <t>ยาแก้ปวด, ลดไข้ ชนิดน้ำ (D)</t>
        </is>
      </c>
      <c r="C430" t="n">
        <v>2845</v>
      </c>
      <c r="D430" t="inlineStr">
        <is>
          <t>Nurofen Suspension</t>
        </is>
      </c>
      <c r="E430" t="inlineStr">
        <is>
          <t>ขวด 60 ml.</t>
        </is>
      </c>
      <c r="F430" t="inlineStr">
        <is>
          <t>Ibuprofen 100 mg./5 ml.</t>
        </is>
      </c>
      <c r="G430" t="inlineStr">
        <is>
          <t>BDS002845</t>
        </is>
      </c>
      <c r="H430" t="inlineStr">
        <is>
          <t>Nurofen Suspension (60 ml.)</t>
        </is>
      </c>
      <c r="I430" t="inlineStr">
        <is>
          <t>รับประทานครั้งละ 1-2 ช้อนชา วันละ 3-4 ครั้ง หลังอาหาร</t>
        </is>
      </c>
      <c r="P430" t="inlineStr">
        <is>
          <t>General analgesics/antipyretics</t>
        </is>
      </c>
    </row>
    <row r="431">
      <c r="A431" t="n">
        <v>429</v>
      </c>
      <c r="B431" t="inlineStr">
        <is>
          <t>ยาละลายเสมหะ ชนิดน้ำ (D)</t>
        </is>
      </c>
      <c r="C431" t="n">
        <v>7031</v>
      </c>
      <c r="D431" t="inlineStr">
        <is>
          <t>Bromhexine Syrup</t>
        </is>
      </c>
      <c r="E431" t="inlineStr">
        <is>
          <t>ขวด 60 ml.</t>
        </is>
      </c>
      <c r="F431" t="inlineStr">
        <is>
          <t>Bromhexine HCl 4 mg./5 ml.</t>
        </is>
      </c>
      <c r="G431" t="inlineStr">
        <is>
          <t>BDS007031</t>
        </is>
      </c>
      <c r="H431" t="inlineStr">
        <is>
          <t>Bromhexine Syrup (60 ml.)</t>
        </is>
      </c>
      <c r="I431" t="inlineStr">
        <is>
          <t>เด็กอายุ 5-10 ปี รับประทานครั้งละ 1 ช้อนชา วันละ 3 ครั้ง</t>
        </is>
      </c>
      <c r="P431" t="inlineStr">
        <is>
          <t>Cough medicines / mucolytics / expectorants</t>
        </is>
      </c>
    </row>
    <row r="432">
      <c r="A432" t="n">
        <v>430</v>
      </c>
      <c r="B432" t="inlineStr">
        <is>
          <t>ยาแก้ปวดเกร็งท้อง ชนิดน้ำ (D)</t>
        </is>
      </c>
      <c r="C432" t="n">
        <v>8325</v>
      </c>
      <c r="D432" t="inlineStr">
        <is>
          <t>Oscin Syrup</t>
        </is>
      </c>
      <c r="E432" t="inlineStr">
        <is>
          <t>ขวด 30 ml.</t>
        </is>
      </c>
      <c r="F432" t="inlineStr">
        <is>
          <t>Hyoscine-N-butylbromide 5 mg./5 ml.</t>
        </is>
      </c>
      <c r="G432" t="inlineStr">
        <is>
          <t>BDS008325</t>
        </is>
      </c>
      <c r="H432" t="inlineStr">
        <is>
          <t>Oscin Syrup (30 ml.)</t>
        </is>
      </c>
      <c r="I432" t="inlineStr">
        <is>
          <t>เด็กเล็กรับประทานครั้งละ 1-2 ช้อนชา วันละ 3 ครั้งหรือเมื่อมีอาการ</t>
        </is>
      </c>
      <c r="P432" t="inlineStr">
        <is>
          <t>Antispasmodics (smooth muscle cramps / abdominal colic)</t>
        </is>
      </c>
    </row>
    <row r="433">
      <c r="A433" t="n">
        <v>431</v>
      </c>
      <c r="B433" t="inlineStr">
        <is>
          <t>ยาคุมกำเนิด (D)</t>
        </is>
      </c>
      <c r="C433" t="n">
        <v>1097</v>
      </c>
      <c r="D433" t="inlineStr">
        <is>
          <t>Annylyn 21</t>
        </is>
      </c>
      <c r="E433" t="inlineStr">
        <is>
          <t>แผง 21 เม็ด</t>
        </is>
      </c>
      <c r="F433" t="inlineStr">
        <is>
          <t>Gestodene 0.075 mg.+Ethinylestradiol 0.02 mg.</t>
        </is>
      </c>
      <c r="G433" t="inlineStr">
        <is>
          <t>BDS001097</t>
        </is>
      </c>
      <c r="H433" t="inlineStr">
        <is>
          <t>Annylyn 21 (21 tabs)</t>
        </is>
      </c>
      <c r="I433" t="inlineStr">
        <is>
          <t>รับประทานครั้งละ 1 เม็ด วันละ 1 ครั้ง</t>
        </is>
      </c>
    </row>
    <row r="434">
      <c r="A434" t="n">
        <v>432</v>
      </c>
      <c r="B434" t="inlineStr">
        <is>
          <t>ยาคุมกำเนิด (D)</t>
        </is>
      </c>
      <c r="C434" t="n">
        <v>1098</v>
      </c>
      <c r="D434" t="inlineStr">
        <is>
          <t>Annylyn 28</t>
        </is>
      </c>
      <c r="E434" t="inlineStr">
        <is>
          <t>แผง 28 เม็ด</t>
        </is>
      </c>
      <c r="F434" t="inlineStr">
        <is>
          <t>Gestodene 0.075 mg.+Ethinylestradiol 0.02 mg.</t>
        </is>
      </c>
      <c r="G434" t="inlineStr">
        <is>
          <t>BDS001098</t>
        </is>
      </c>
      <c r="H434" t="inlineStr">
        <is>
          <t>Annylyn 28 (28 tabs)</t>
        </is>
      </c>
      <c r="I434" t="inlineStr">
        <is>
          <t>รับประทานครั้งละ 1 เม็ด วันละ 1 ครั้ง</t>
        </is>
      </c>
    </row>
    <row r="435">
      <c r="A435" t="n">
        <v>433</v>
      </c>
      <c r="B435" t="inlineStr">
        <is>
          <t>ยาคุมกำเนิด (D)</t>
        </is>
      </c>
      <c r="C435" t="n">
        <v>1232</v>
      </c>
      <c r="D435" t="inlineStr">
        <is>
          <t>Belara</t>
        </is>
      </c>
      <c r="E435" t="inlineStr">
        <is>
          <t>แผง 21 เม็ด</t>
        </is>
      </c>
      <c r="F435" t="inlineStr">
        <is>
          <t>Chlormadinone acetate 2 mg.+ Ethinylestradiol 0.03 mg.</t>
        </is>
      </c>
      <c r="G435" t="inlineStr">
        <is>
          <t>BDS001232</t>
        </is>
      </c>
      <c r="H435" t="inlineStr">
        <is>
          <t>Belara (21 tabs)</t>
        </is>
      </c>
      <c r="I435" t="inlineStr">
        <is>
          <t>รับประทานครั้งละ 1 เม็ด วันละ 1 ครั้ง</t>
        </is>
      </c>
    </row>
    <row r="436">
      <c r="A436" t="n">
        <v>434</v>
      </c>
      <c r="B436" t="inlineStr">
        <is>
          <t>ยาคุมกำเนิด (D)</t>
        </is>
      </c>
      <c r="C436" t="n">
        <v>40601</v>
      </c>
      <c r="D436" t="inlineStr">
        <is>
          <t>Beriz</t>
        </is>
      </c>
      <c r="E436" t="inlineStr">
        <is>
          <t>กล่อง 21 เม็ด</t>
        </is>
      </c>
      <c r="F436" t="inlineStr">
        <is>
          <t>Cyproterone acetate 2 mg.+Ethinylestradiol 0.035 mg.</t>
        </is>
      </c>
      <c r="G436" t="inlineStr">
        <is>
          <t>BDS040601</t>
        </is>
      </c>
      <c r="H436" t="inlineStr">
        <is>
          <t>Beriz (21 tabs)</t>
        </is>
      </c>
      <c r="I436" t="inlineStr">
        <is>
          <t>รับประทานครั้งละ 1 เม็ด วันละ 1 ครั้ง</t>
        </is>
      </c>
    </row>
    <row r="437">
      <c r="A437" t="n">
        <v>435</v>
      </c>
      <c r="B437" t="inlineStr">
        <is>
          <t>ยาคุมกำเนิด (D)</t>
        </is>
      </c>
      <c r="C437" t="n">
        <v>41443</v>
      </c>
      <c r="D437" t="inlineStr">
        <is>
          <t>Camella 28</t>
        </is>
      </c>
      <c r="E437" t="inlineStr">
        <is>
          <t>แผง 28 เม็ด</t>
        </is>
      </c>
      <c r="F437" t="inlineStr">
        <is>
          <t>Gestodene 0.075 mg.+Ethinylestradiol 0.03 mg.</t>
        </is>
      </c>
      <c r="G437" t="inlineStr">
        <is>
          <t>BDS041443</t>
        </is>
      </c>
      <c r="H437" t="inlineStr">
        <is>
          <t>Camella 28 (28 tabs)</t>
        </is>
      </c>
      <c r="I437" t="inlineStr">
        <is>
          <t>รับประทานครั้งละ 1 เม็ด วันละ 1 ครั้ง</t>
        </is>
      </c>
    </row>
    <row r="438">
      <c r="A438" t="n">
        <v>436</v>
      </c>
      <c r="B438" t="inlineStr">
        <is>
          <t>ยาคุมกำเนิด (D)</t>
        </is>
      </c>
      <c r="C438" t="n">
        <v>1526</v>
      </c>
      <c r="D438" t="inlineStr">
        <is>
          <t>Cerazette 28</t>
        </is>
      </c>
      <c r="E438" t="inlineStr">
        <is>
          <t>แผง 28 เม็ด</t>
        </is>
      </c>
      <c r="F438" t="inlineStr">
        <is>
          <t>Desogestrel 0.075 mg.</t>
        </is>
      </c>
      <c r="G438" t="inlineStr">
        <is>
          <t>BDS001526</t>
        </is>
      </c>
      <c r="H438" t="inlineStr">
        <is>
          <t>Cerazette 28 (28 tabs)</t>
        </is>
      </c>
      <c r="I438" t="inlineStr">
        <is>
          <t>รับประทานครั้งละ 1 เม็ด วันละ 1 ครั้ง</t>
        </is>
      </c>
    </row>
    <row r="439">
      <c r="A439" t="n">
        <v>437</v>
      </c>
      <c r="B439" t="inlineStr">
        <is>
          <t>ยาคุมกำเนิด (D)</t>
        </is>
      </c>
      <c r="C439" t="n">
        <v>41401</v>
      </c>
      <c r="D439" t="inlineStr">
        <is>
          <t>Ciclomex-20</t>
        </is>
      </c>
      <c r="E439" t="inlineStr">
        <is>
          <t>แผง 21 เม็ด</t>
        </is>
      </c>
      <c r="F439" t="inlineStr">
        <is>
          <t>Gestodene 0.075 mg.+Ethinylestradiol 0.02 mg.</t>
        </is>
      </c>
      <c r="G439" t="inlineStr">
        <is>
          <t>BDS041401</t>
        </is>
      </c>
      <c r="H439" t="inlineStr">
        <is>
          <t>Ciclomex-20 (21 tabs)</t>
        </is>
      </c>
    </row>
    <row r="440">
      <c r="A440" t="n">
        <v>438</v>
      </c>
      <c r="B440" t="inlineStr">
        <is>
          <t>ยาคุมกำเนิด (D)</t>
        </is>
      </c>
      <c r="C440" t="n">
        <v>8781</v>
      </c>
      <c r="D440" t="inlineStr">
        <is>
          <t>Dafne 35</t>
        </is>
      </c>
      <c r="E440" t="inlineStr">
        <is>
          <t>แผง 21 เม็ด</t>
        </is>
      </c>
      <c r="F440" t="inlineStr">
        <is>
          <t>Cyproterone acetate 2.0 mg.+Ethinylestradiol 0.035 mg.</t>
        </is>
      </c>
      <c r="G440" t="inlineStr">
        <is>
          <t>BDS008781</t>
        </is>
      </c>
      <c r="H440" t="inlineStr">
        <is>
          <t>Dafne 35 (21 tabs)</t>
        </is>
      </c>
      <c r="I440" t="inlineStr">
        <is>
          <t>รับประทานครั้งละ 1 เม็ด วันละ 1 ครั้ง</t>
        </is>
      </c>
    </row>
    <row r="441">
      <c r="A441" t="n">
        <v>439</v>
      </c>
      <c r="B441" t="inlineStr">
        <is>
          <t>ยาคุมกำเนิด (D)</t>
        </is>
      </c>
      <c r="C441" t="n">
        <v>1640</v>
      </c>
      <c r="D441" t="inlineStr">
        <is>
          <t>Diane-35</t>
        </is>
      </c>
      <c r="E441" t="inlineStr">
        <is>
          <t>แผง 21 เม็ด</t>
        </is>
      </c>
      <c r="F441" t="inlineStr">
        <is>
          <t>Cyproterone acetate 2 mg.+Ethinylestradiol 0.035 mg.</t>
        </is>
      </c>
      <c r="G441" t="inlineStr">
        <is>
          <t>BDS001640</t>
        </is>
      </c>
      <c r="H441" t="inlineStr">
        <is>
          <t>Diane-35 (21 tabs)</t>
        </is>
      </c>
      <c r="I441" t="inlineStr">
        <is>
          <t>รับประทานครั้งละ 1 เม็ด วันละ 1 ครั้ง</t>
        </is>
      </c>
    </row>
    <row r="442">
      <c r="A442" t="n">
        <v>440</v>
      </c>
      <c r="B442" t="inlineStr">
        <is>
          <t>ยาคุมกำเนิด (D)</t>
        </is>
      </c>
      <c r="C442" t="n">
        <v>1643</v>
      </c>
      <c r="D442" t="inlineStr">
        <is>
          <t>Diora-21</t>
        </is>
      </c>
      <c r="E442" t="inlineStr">
        <is>
          <t>แผง 21 เม็ด</t>
        </is>
      </c>
      <c r="F442" t="inlineStr">
        <is>
          <t>D-Norgestrel 0.15 mg.+Ethinylestradiol 0.03 mg.</t>
        </is>
      </c>
      <c r="G442" t="inlineStr">
        <is>
          <t>BDS001643</t>
        </is>
      </c>
      <c r="H442" t="inlineStr">
        <is>
          <t>Diora-21 (21 tabs)</t>
        </is>
      </c>
      <c r="I442" t="inlineStr">
        <is>
          <t>รับประทานครั้งละ 1 เม็ด วันละ 1 ครั้ง</t>
        </is>
      </c>
    </row>
    <row r="443">
      <c r="A443" t="n">
        <v>441</v>
      </c>
      <c r="B443" t="inlineStr">
        <is>
          <t>ยาคุมกำเนิด (D)</t>
        </is>
      </c>
      <c r="C443" t="n">
        <v>1644</v>
      </c>
      <c r="D443" t="inlineStr">
        <is>
          <t>Diora-28</t>
        </is>
      </c>
      <c r="E443" t="inlineStr">
        <is>
          <t>แผง 28 เม็ด</t>
        </is>
      </c>
      <c r="F443" t="inlineStr">
        <is>
          <t>D-Norgestrel 0.15 mg.+Ethinylestradiol 0.03 mg.</t>
        </is>
      </c>
      <c r="G443" t="inlineStr">
        <is>
          <t>BDS001644</t>
        </is>
      </c>
      <c r="H443" t="inlineStr">
        <is>
          <t>Diora-28 (28 tabs)</t>
        </is>
      </c>
      <c r="I443" t="inlineStr">
        <is>
          <t>รับประทานครั้งละ 1 เม็ด วันละ 1 ครั้ง</t>
        </is>
      </c>
    </row>
    <row r="444">
      <c r="A444" t="n">
        <v>442</v>
      </c>
      <c r="B444" t="inlineStr">
        <is>
          <t>ยาคุมกำเนิด (D)</t>
        </is>
      </c>
      <c r="C444" t="n">
        <v>1858</v>
      </c>
      <c r="D444" t="inlineStr">
        <is>
          <t>Evra</t>
        </is>
      </c>
      <c r="E444" t="inlineStr">
        <is>
          <t>กล่อง 3 แผ่น</t>
        </is>
      </c>
      <c r="F444" t="inlineStr">
        <is>
          <t>Norelgestromin 6 mg.+Ethinylestradiol 600 mcg./1 patch</t>
        </is>
      </c>
      <c r="G444" t="inlineStr">
        <is>
          <t>BDS001858</t>
        </is>
      </c>
      <c r="H444" t="inlineStr">
        <is>
          <t>Evra (3 sheet)</t>
        </is>
      </c>
      <c r="I444" t="inlineStr">
        <is>
          <t>แปะที่ต้นแขนด้านนอก สะโพก หน้าท้องหรือแผ่นหลังช่วงบน นาน 1 สัปดาห์ และใช้ต่อเนื่องกัน 3 สัปดาห์</t>
        </is>
      </c>
    </row>
    <row r="445">
      <c r="A445" t="n">
        <v>443</v>
      </c>
      <c r="B445" t="inlineStr">
        <is>
          <t>ยาคุมกำเนิด (D)</t>
        </is>
      </c>
      <c r="C445" t="n">
        <v>1830</v>
      </c>
      <c r="D445" t="inlineStr">
        <is>
          <t>Exluton</t>
        </is>
      </c>
      <c r="E445" t="inlineStr">
        <is>
          <t>แผง 28 เม็ด</t>
        </is>
      </c>
      <c r="F445" t="inlineStr">
        <is>
          <t>Lynestrenol 0.5 mg.</t>
        </is>
      </c>
      <c r="G445" t="inlineStr">
        <is>
          <t>BDS001830</t>
        </is>
      </c>
      <c r="H445" t="inlineStr">
        <is>
          <t>Exluton (28 tabs)</t>
        </is>
      </c>
      <c r="I445" t="inlineStr">
        <is>
          <t xml:space="preserve">รับประทานครั้งละ 1 เม็ด วันละ 1 ครั้ง </t>
        </is>
      </c>
    </row>
    <row r="446">
      <c r="A446" t="n">
        <v>444</v>
      </c>
      <c r="B446" t="inlineStr">
        <is>
          <t>ยาคุมกำเนิด (D)</t>
        </is>
      </c>
      <c r="C446" t="n">
        <v>43846</v>
      </c>
      <c r="D446" t="inlineStr">
        <is>
          <t>Herz</t>
        </is>
      </c>
      <c r="E446" t="inlineStr">
        <is>
          <t>แผง 28 เม็ด</t>
        </is>
      </c>
      <c r="F446" t="inlineStr">
        <is>
          <t>Drospirenone 3 mg.+Ethinylestradiol 0.02 mg.+Placebo 4 tabs</t>
        </is>
      </c>
      <c r="G446" t="inlineStr">
        <is>
          <t>BDS043846</t>
        </is>
      </c>
      <c r="H446" t="inlineStr">
        <is>
          <t>Herz (28 tabs)</t>
        </is>
      </c>
      <c r="I446" t="inlineStr">
        <is>
          <t>รับประทานครั้งละ 1 เม็ด วันละ 1 ครั้ง</t>
        </is>
      </c>
    </row>
    <row r="447">
      <c r="A447" t="n">
        <v>445</v>
      </c>
      <c r="B447" t="inlineStr">
        <is>
          <t>ยาคุมกำเนิด (D)</t>
        </is>
      </c>
      <c r="C447" t="n">
        <v>3715</v>
      </c>
      <c r="D447" t="inlineStr">
        <is>
          <t>Laura-35</t>
        </is>
      </c>
      <c r="E447" t="inlineStr">
        <is>
          <t>แผง 21 เม็ด</t>
        </is>
      </c>
      <c r="F447" t="inlineStr">
        <is>
          <t>Cyproterone acetate 2 mg.+Ethinylestradiol 0.035 mg.</t>
        </is>
      </c>
      <c r="G447" t="inlineStr">
        <is>
          <t>BDS003715</t>
        </is>
      </c>
      <c r="H447" t="inlineStr">
        <is>
          <t>Laura-35 (21 tabs)</t>
        </is>
      </c>
      <c r="I447" t="inlineStr">
        <is>
          <t>รับประทานครั้งละ 1 เม็ด วันละ 1 ครั้ง</t>
        </is>
      </c>
    </row>
    <row r="448">
      <c r="A448" t="n">
        <v>446</v>
      </c>
      <c r="B448" t="inlineStr">
        <is>
          <t>ยาคุมกำเนิด (D)</t>
        </is>
      </c>
      <c r="C448" t="n">
        <v>2607</v>
      </c>
      <c r="D448" t="inlineStr">
        <is>
          <t>Marvelon 21</t>
        </is>
      </c>
      <c r="E448" t="inlineStr">
        <is>
          <t>แผง 21 เม็ด</t>
        </is>
      </c>
      <c r="F448" t="inlineStr">
        <is>
          <t>Desogestrel 0.15 mg.+Ethinylestradiol 0.03 mg.</t>
        </is>
      </c>
      <c r="G448" t="inlineStr">
        <is>
          <t>BDS002607</t>
        </is>
      </c>
      <c r="H448" t="inlineStr">
        <is>
          <t>Marvelon 21 (21 tabs)</t>
        </is>
      </c>
      <c r="I448" t="inlineStr">
        <is>
          <t>รับประทานครั้งละ 1 เม็ด วันละ 1 ครั้ง</t>
        </is>
      </c>
    </row>
    <row r="449">
      <c r="A449" t="n">
        <v>447</v>
      </c>
      <c r="B449" t="inlineStr">
        <is>
          <t>ยาคุมกำเนิด (D)</t>
        </is>
      </c>
      <c r="C449" t="n">
        <v>2608</v>
      </c>
      <c r="D449" t="inlineStr">
        <is>
          <t>Marvelon 28</t>
        </is>
      </c>
      <c r="E449" t="inlineStr">
        <is>
          <t>แผง 28 เม็ด</t>
        </is>
      </c>
      <c r="F449" t="inlineStr">
        <is>
          <t>Desogestrel 0.15 mg.+Ethinylestradiol 0.03 mg.</t>
        </is>
      </c>
      <c r="G449" t="inlineStr">
        <is>
          <t>BDS002608</t>
        </is>
      </c>
      <c r="H449" t="inlineStr">
        <is>
          <t>Marvelon 28 (28 tabs)</t>
        </is>
      </c>
      <c r="I449" t="inlineStr">
        <is>
          <t>รับประทานครั้งละ 1 เม็ด วันละ 1 ครั้ง</t>
        </is>
      </c>
    </row>
    <row r="450">
      <c r="A450" t="n">
        <v>448</v>
      </c>
      <c r="B450" t="inlineStr">
        <is>
          <t>ยาคุมกำเนิด (D)</t>
        </is>
      </c>
      <c r="C450" t="n">
        <v>2613</v>
      </c>
      <c r="D450" t="inlineStr">
        <is>
          <t>Meliane 21</t>
        </is>
      </c>
      <c r="E450" t="inlineStr">
        <is>
          <t>แผง 21 เม็ด</t>
        </is>
      </c>
      <c r="F450" t="inlineStr">
        <is>
          <t>Gestodene 0.075 mg.+Ethinylestradiol 0.02 mg.</t>
        </is>
      </c>
      <c r="G450" t="inlineStr">
        <is>
          <t>BDS002613</t>
        </is>
      </c>
      <c r="H450" t="inlineStr">
        <is>
          <t>Meliane 21 (21 tabs)</t>
        </is>
      </c>
    </row>
    <row r="451">
      <c r="A451" t="n">
        <v>449</v>
      </c>
      <c r="B451" t="inlineStr">
        <is>
          <t>ยาคุมกำเนิด (D)</t>
        </is>
      </c>
      <c r="C451" t="n">
        <v>2614</v>
      </c>
      <c r="D451" t="inlineStr">
        <is>
          <t>Meliane ED 28</t>
        </is>
      </c>
      <c r="E451" t="inlineStr">
        <is>
          <t>แผง 28 เม็ด</t>
        </is>
      </c>
      <c r="F451" t="inlineStr">
        <is>
          <t>Gestodene 0.075 mg.+Ethinylestradiol 0.02 mg.</t>
        </is>
      </c>
      <c r="G451" t="inlineStr">
        <is>
          <t>BDS002614</t>
        </is>
      </c>
      <c r="H451" t="inlineStr">
        <is>
          <t>Meliane ED 28 (28 tabs)</t>
        </is>
      </c>
    </row>
    <row r="452">
      <c r="A452" t="n">
        <v>450</v>
      </c>
      <c r="B452" t="inlineStr">
        <is>
          <t>ยาคุมกำเนิด (D)</t>
        </is>
      </c>
      <c r="C452" t="n">
        <v>2630</v>
      </c>
      <c r="D452" t="inlineStr">
        <is>
          <t>Melodia</t>
        </is>
      </c>
      <c r="E452" t="inlineStr">
        <is>
          <t>แผง 21 เม็ด</t>
        </is>
      </c>
      <c r="F452" t="inlineStr">
        <is>
          <t>Drospirenone 3 mg.+Ethinylestradiol 0.030 mg.</t>
        </is>
      </c>
      <c r="G452" t="inlineStr">
        <is>
          <t>BDS002630</t>
        </is>
      </c>
      <c r="H452" t="inlineStr">
        <is>
          <t>Melodia (21 tabs)</t>
        </is>
      </c>
      <c r="I452" t="inlineStr">
        <is>
          <t>รับประทานครั้งละ 1 เม็ด วันละ 1 ครั้ง</t>
        </is>
      </c>
    </row>
    <row r="453">
      <c r="A453" t="n">
        <v>451</v>
      </c>
      <c r="B453" t="inlineStr">
        <is>
          <t>ยาคุมกำเนิด (D)</t>
        </is>
      </c>
      <c r="C453" t="n">
        <v>2619</v>
      </c>
      <c r="D453" t="inlineStr">
        <is>
          <t>Mercilon-21</t>
        </is>
      </c>
      <c r="E453" t="inlineStr">
        <is>
          <t>แผง 21 เม็ด</t>
        </is>
      </c>
      <c r="F453" t="inlineStr">
        <is>
          <t>Desogestrel 0.15 mg.+Ethinylestradiol 0.02 mg.</t>
        </is>
      </c>
      <c r="G453" t="inlineStr">
        <is>
          <t>BDS002619</t>
        </is>
      </c>
      <c r="H453" t="inlineStr">
        <is>
          <t>Mercilon-21 (21 tabs)</t>
        </is>
      </c>
      <c r="I453" t="inlineStr">
        <is>
          <t>รับประทานครั้งละ 1 เม็ด วันละ 1 ครั้ง</t>
        </is>
      </c>
    </row>
    <row r="454">
      <c r="A454" t="n">
        <v>452</v>
      </c>
      <c r="B454" t="inlineStr">
        <is>
          <t>ยาคุมกำเนิด (D)</t>
        </is>
      </c>
      <c r="C454" t="n">
        <v>2620</v>
      </c>
      <c r="D454" t="inlineStr">
        <is>
          <t>Mercilon-28</t>
        </is>
      </c>
      <c r="E454" t="inlineStr">
        <is>
          <t>แผง 28 เม็ด</t>
        </is>
      </c>
      <c r="F454" t="inlineStr">
        <is>
          <t>Desogestrel 0.15 mg.+Ethinylestradiol 0.02 mg.</t>
        </is>
      </c>
      <c r="G454" t="inlineStr">
        <is>
          <t>BDS002620</t>
        </is>
      </c>
      <c r="H454" t="inlineStr">
        <is>
          <t>Mercilon-28 (28 tabs)</t>
        </is>
      </c>
      <c r="I454" t="inlineStr">
        <is>
          <t>รับประทานครั้งละ 1 เม็ด วันละ 1 ครั้ง</t>
        </is>
      </c>
    </row>
    <row r="455">
      <c r="A455" t="n">
        <v>453</v>
      </c>
      <c r="B455" t="inlineStr">
        <is>
          <t>ยาคุมกำเนิด (D)</t>
        </is>
      </c>
      <c r="C455" t="n">
        <v>2695</v>
      </c>
      <c r="D455" t="inlineStr">
        <is>
          <t>Minidoz 28</t>
        </is>
      </c>
      <c r="E455" t="inlineStr">
        <is>
          <t>แผง 28 เม็ด</t>
        </is>
      </c>
      <c r="F455" t="inlineStr">
        <is>
          <t>Gestodene 0.060 mg.+Ethinylestradiol 0.015 mg.</t>
        </is>
      </c>
      <c r="G455" t="inlineStr">
        <is>
          <t>BDS002695</t>
        </is>
      </c>
      <c r="H455" t="inlineStr">
        <is>
          <t>Minidoz 28 (28 tabs)</t>
        </is>
      </c>
      <c r="I455" t="inlineStr">
        <is>
          <t>รับประทานครั้งละ 1 เม็ด วันละ 1 ครั้ง</t>
        </is>
      </c>
    </row>
    <row r="456">
      <c r="A456" t="n">
        <v>454</v>
      </c>
      <c r="B456" t="inlineStr">
        <is>
          <t>ยาคุมกำเนิด (D)</t>
        </is>
      </c>
      <c r="C456" t="n">
        <v>2670</v>
      </c>
      <c r="D456" t="inlineStr">
        <is>
          <t>Minny-21</t>
        </is>
      </c>
      <c r="E456" t="inlineStr">
        <is>
          <t>แผง 21 เม็ด</t>
        </is>
      </c>
      <c r="F456" t="inlineStr">
        <is>
          <t>Desogestrel 0.15 mg.+Ethinylestradiol 0.02 mg.</t>
        </is>
      </c>
      <c r="G456" t="inlineStr">
        <is>
          <t>BDS002670</t>
        </is>
      </c>
      <c r="H456" t="inlineStr">
        <is>
          <t>Minny-21 (21 tabs)</t>
        </is>
      </c>
      <c r="I456" t="inlineStr">
        <is>
          <t>รับประทานครั้งละ 1 เม็ด วันละ 1 ครั้ง</t>
        </is>
      </c>
    </row>
    <row r="457">
      <c r="A457" t="n">
        <v>455</v>
      </c>
      <c r="B457" t="inlineStr">
        <is>
          <t>ยาคุมกำเนิด (D)</t>
        </is>
      </c>
      <c r="C457" t="n">
        <v>2671</v>
      </c>
      <c r="D457" t="inlineStr">
        <is>
          <t>Minny-28</t>
        </is>
      </c>
      <c r="E457" t="inlineStr">
        <is>
          <t>แผง 28 เม็ด</t>
        </is>
      </c>
      <c r="F457" t="inlineStr">
        <is>
          <t>Desogestrel 0.15 mg.+Ethinylestradiol 0.02 mg.</t>
        </is>
      </c>
      <c r="G457" t="inlineStr">
        <is>
          <t>BDS002671</t>
        </is>
      </c>
      <c r="H457" t="inlineStr">
        <is>
          <t>Minny-28 (28 tabs)</t>
        </is>
      </c>
      <c r="I457" t="inlineStr">
        <is>
          <t>รับประทานครั้งละ 1 เม็ด วันละ 1 ครั้ง</t>
        </is>
      </c>
    </row>
    <row r="458">
      <c r="A458" t="n">
        <v>456</v>
      </c>
      <c r="B458" t="inlineStr">
        <is>
          <t>ยาคุมกำเนิด (D)</t>
        </is>
      </c>
      <c r="C458" t="n">
        <v>44910</v>
      </c>
      <c r="D458" t="inlineStr">
        <is>
          <t>Minoz 28</t>
        </is>
      </c>
      <c r="E458" t="inlineStr">
        <is>
          <t>แผง 28 เม็ด</t>
        </is>
      </c>
      <c r="F458" t="inlineStr">
        <is>
          <t>Gestodene 0.060 mg.+Ethinylestradiol 0.015 mg.</t>
        </is>
      </c>
      <c r="G458" t="inlineStr">
        <is>
          <t>BDS044910</t>
        </is>
      </c>
      <c r="H458" t="inlineStr">
        <is>
          <t>Minoz 28 (28 tabs)</t>
        </is>
      </c>
      <c r="I458" t="inlineStr">
        <is>
          <t>รับประทานครั้งละ 1 เม็ด วันละ 1 ครั้ง</t>
        </is>
      </c>
    </row>
    <row r="459">
      <c r="A459" t="n">
        <v>457</v>
      </c>
      <c r="B459" t="inlineStr">
        <is>
          <t>ยาคุมกำเนิด (D)</t>
        </is>
      </c>
      <c r="C459" t="n">
        <v>3032</v>
      </c>
      <c r="D459" t="inlineStr">
        <is>
          <t>OC-35</t>
        </is>
      </c>
      <c r="E459" t="inlineStr">
        <is>
          <t>แผง 21 เม็ด</t>
        </is>
      </c>
      <c r="F459" t="inlineStr">
        <is>
          <t>Cyproterone acetate 2 mg.+Ethinylestradiol 0.035 mg.</t>
        </is>
      </c>
      <c r="G459" t="inlineStr">
        <is>
          <t>BDS003032</t>
        </is>
      </c>
      <c r="H459" t="inlineStr">
        <is>
          <t>OC-35 (21 tabs)</t>
        </is>
      </c>
      <c r="I459" t="inlineStr">
        <is>
          <t>รับประทานครั้งละ 1 เม็ด วันละ 1 ครั้ง</t>
        </is>
      </c>
    </row>
    <row r="460">
      <c r="A460" t="n">
        <v>458</v>
      </c>
      <c r="B460" t="inlineStr">
        <is>
          <t>ยาคุมกำเนิด (D)</t>
        </is>
      </c>
      <c r="C460" t="n">
        <v>3143</v>
      </c>
      <c r="D460" t="inlineStr">
        <is>
          <t xml:space="preserve">Preme </t>
        </is>
      </c>
      <c r="E460" t="inlineStr">
        <is>
          <t>แผง 21 เม็ด</t>
        </is>
      </c>
      <c r="F460" t="inlineStr">
        <is>
          <t>Cyproterone Acetate 2 mg.+Ethinylestradiol 0.035 mg.</t>
        </is>
      </c>
      <c r="G460" t="inlineStr">
        <is>
          <t>BDS003143</t>
        </is>
      </c>
      <c r="H460" t="inlineStr">
        <is>
          <t>Preme  (21 tabs)</t>
        </is>
      </c>
      <c r="I460" t="inlineStr">
        <is>
          <t>รับประทานครั้งละ 1 เม็ด วันละ 1 ครั้ง</t>
        </is>
      </c>
    </row>
    <row r="461">
      <c r="A461" t="n">
        <v>459</v>
      </c>
      <c r="B461" t="inlineStr">
        <is>
          <t>ยาคุมกำเนิด (D)</t>
        </is>
      </c>
      <c r="C461" t="n">
        <v>46511</v>
      </c>
      <c r="D461" t="inlineStr">
        <is>
          <t>Preme 28</t>
        </is>
      </c>
      <c r="E461" t="inlineStr">
        <is>
          <t>แผง 28 เม็ด</t>
        </is>
      </c>
      <c r="F461" t="inlineStr">
        <is>
          <t>Cyproterone Acetate 2 mg.+Ethinylestradiol 0.035 mg.</t>
        </is>
      </c>
      <c r="G461" t="inlineStr">
        <is>
          <t>BDS046511</t>
        </is>
      </c>
      <c r="H461" t="inlineStr">
        <is>
          <t>Preme 28 (28 tabs)</t>
        </is>
      </c>
      <c r="I461" t="inlineStr">
        <is>
          <t>รับประทานครั้งละ 1 เม็ด วันละ 1 ครั้ง</t>
        </is>
      </c>
    </row>
    <row r="462">
      <c r="A462" t="n">
        <v>460</v>
      </c>
      <c r="B462" t="inlineStr">
        <is>
          <t>ยาคุมกำเนิด (D)</t>
        </is>
      </c>
      <c r="C462" t="n">
        <v>47721</v>
      </c>
      <c r="D462" t="inlineStr">
        <is>
          <t>Slinda</t>
        </is>
      </c>
      <c r="E462" t="inlineStr">
        <is>
          <t>แผง 28 เม็ด</t>
        </is>
      </c>
      <c r="F462" t="inlineStr">
        <is>
          <t>Drospirenone 4 mg</t>
        </is>
      </c>
      <c r="G462" t="inlineStr">
        <is>
          <t>BDS047721</t>
        </is>
      </c>
      <c r="H462" t="inlineStr">
        <is>
          <t>Slinda (28 tabs)</t>
        </is>
      </c>
      <c r="I462" t="inlineStr">
        <is>
          <t>รับประทานครั้งละ 1 เม็ด วันละ 1 ครั้ง</t>
        </is>
      </c>
    </row>
    <row r="463">
      <c r="A463" t="n">
        <v>461</v>
      </c>
      <c r="B463" t="inlineStr">
        <is>
          <t>ยาคุมกำเนิด (D)</t>
        </is>
      </c>
      <c r="C463" t="n">
        <v>3731</v>
      </c>
      <c r="D463" t="inlineStr">
        <is>
          <t>Sucee</t>
        </is>
      </c>
      <c r="E463" t="inlineStr">
        <is>
          <t>แผง 21 เม็ด</t>
        </is>
      </c>
      <c r="F463" t="inlineStr">
        <is>
          <t>Cyproterone Acetate 2 mg.+Ethinylestradiol 0.035 mg.</t>
        </is>
      </c>
      <c r="G463" t="inlineStr">
        <is>
          <t>BDS003731</t>
        </is>
      </c>
      <c r="H463" t="inlineStr">
        <is>
          <t>Sucee (21 tabs)</t>
        </is>
      </c>
      <c r="I463" t="inlineStr">
        <is>
          <t>รับประทานครั้งละ 1 เม็ด วันละ 1 ครั้ง</t>
        </is>
      </c>
    </row>
    <row r="464">
      <c r="A464" t="n">
        <v>462</v>
      </c>
      <c r="B464" t="inlineStr">
        <is>
          <t>ยาคุมกำเนิด (D)</t>
        </is>
      </c>
      <c r="C464" t="n">
        <v>3699</v>
      </c>
      <c r="D464" t="inlineStr">
        <is>
          <t>Sucee 28</t>
        </is>
      </c>
      <c r="E464" t="inlineStr">
        <is>
          <t>แผง 28 เม็ด</t>
        </is>
      </c>
      <c r="F464" t="inlineStr">
        <is>
          <t>Cyproterone Acetate 2 mg.+Ethinylestradiol 0.035 mg.</t>
        </is>
      </c>
      <c r="G464" t="inlineStr">
        <is>
          <t>BDS003699</t>
        </is>
      </c>
      <c r="H464" t="inlineStr">
        <is>
          <t>Sucee 28 (28 tabs)</t>
        </is>
      </c>
      <c r="I464" t="inlineStr">
        <is>
          <t>รับประทานครั้งละ 1 เม็ด วันละ 1 ครั้ง</t>
        </is>
      </c>
    </row>
    <row r="465">
      <c r="A465" t="n">
        <v>463</v>
      </c>
      <c r="B465" t="inlineStr">
        <is>
          <t>ยาคุมกำเนิด (D)</t>
        </is>
      </c>
      <c r="C465" t="n">
        <v>3655</v>
      </c>
      <c r="D465" t="inlineStr">
        <is>
          <t>Synfonia</t>
        </is>
      </c>
      <c r="E465" t="inlineStr">
        <is>
          <t>แผง 28 เม็ด</t>
        </is>
      </c>
      <c r="F465" t="inlineStr">
        <is>
          <t>Drospirenone 3 mg.+Ethinylestradiol 0.02 mg.</t>
        </is>
      </c>
      <c r="G465" t="inlineStr">
        <is>
          <t>BDS003655</t>
        </is>
      </c>
      <c r="H465" t="inlineStr">
        <is>
          <t>Synfonia (28 tabs)</t>
        </is>
      </c>
      <c r="I465" t="inlineStr">
        <is>
          <t>รับประทานครั้งละ 1 เม็ด วันละ 1 ครั้ง</t>
        </is>
      </c>
    </row>
    <row r="466">
      <c r="A466" t="n">
        <v>464</v>
      </c>
      <c r="B466" t="inlineStr">
        <is>
          <t>ยาคุมกำเนิด (D)</t>
        </is>
      </c>
      <c r="C466" t="n">
        <v>4153</v>
      </c>
      <c r="D466" t="inlineStr">
        <is>
          <t>Yasmin-21</t>
        </is>
      </c>
      <c r="E466" t="inlineStr">
        <is>
          <t>แผง 21 เม็ด</t>
        </is>
      </c>
      <c r="F466" t="inlineStr">
        <is>
          <t>Drospirenone 3 mg.+Ethinylestradiol 0.030 mg.</t>
        </is>
      </c>
      <c r="G466" t="inlineStr">
        <is>
          <t>BDS004153</t>
        </is>
      </c>
      <c r="H466" t="inlineStr">
        <is>
          <t>Yasmin-21 (21 tabs)</t>
        </is>
      </c>
      <c r="I466" t="inlineStr">
        <is>
          <t>รับประทานครั้งละ 1 เม็ด วันละ 1 ครั้ง</t>
        </is>
      </c>
    </row>
    <row r="467">
      <c r="A467" t="n">
        <v>465</v>
      </c>
      <c r="B467" t="inlineStr">
        <is>
          <t>ยาคุมกำเนิด (D)</t>
        </is>
      </c>
      <c r="C467" t="n">
        <v>4154</v>
      </c>
      <c r="D467" t="inlineStr">
        <is>
          <t>Yaz</t>
        </is>
      </c>
      <c r="E467" t="inlineStr">
        <is>
          <t>แผง 28 เม็ด</t>
        </is>
      </c>
      <c r="F467" t="inlineStr">
        <is>
          <t>Drospirenone 3 mg.+Ethinylestradiol 0.02 mg.</t>
        </is>
      </c>
      <c r="G467" t="inlineStr">
        <is>
          <t>BDS004154</t>
        </is>
      </c>
      <c r="H467" t="inlineStr">
        <is>
          <t>Yaz (28 tabs)</t>
        </is>
      </c>
      <c r="I467" t="inlineStr">
        <is>
          <t>รับประทานครั้งละ 1 เม็ด วันละ 1 ครั้ง</t>
        </is>
      </c>
    </row>
    <row r="468">
      <c r="A468" t="n">
        <v>466</v>
      </c>
      <c r="B468" t="inlineStr">
        <is>
          <t>ยาป้องกันและรักษาข้อเสื่อม (D)</t>
        </is>
      </c>
      <c r="C468" t="n">
        <v>40024</v>
      </c>
      <c r="D468" t="inlineStr">
        <is>
          <t>Arthro-K Orange 1500</t>
        </is>
      </c>
      <c r="E468" t="inlineStr">
        <is>
          <t>ซอง 3.95 g.</t>
        </is>
      </c>
      <c r="F468" t="inlineStr">
        <is>
          <t>Crystalline Glucosamine Sulfate Potassium Chloride (เทียบเท่ากับ Glucosamine sulfate 1500 mg.)</t>
        </is>
      </c>
      <c r="G468" t="inlineStr">
        <is>
          <t>BDS040024</t>
        </is>
      </c>
      <c r="H468" t="inlineStr">
        <is>
          <t>Arthro-K Orange 1500 (3.95 g.)</t>
        </is>
      </c>
      <c r="I468" t="inlineStr">
        <is>
          <t>รับประทาน (ละลาย) ครั้งละ 1 ซองต่อน้ำครึ่งแก้ว (125 ml.) วันละ 1 ครั้ง</t>
        </is>
      </c>
    </row>
    <row r="469">
      <c r="A469" t="n">
        <v>467</v>
      </c>
      <c r="B469" t="inlineStr">
        <is>
          <t>ยาป้องกันและรักษาข้อเสื่อม (D)</t>
        </is>
      </c>
      <c r="C469" t="n">
        <v>40032</v>
      </c>
      <c r="D469" t="inlineStr">
        <is>
          <t>Artrofort Complex</t>
        </is>
      </c>
      <c r="E469" t="inlineStr">
        <is>
          <t>กล่อง 30 ซอง</t>
        </is>
      </c>
      <c r="F469" t="inlineStr">
        <is>
          <t>Crystalline Glucosamine Sulphate 942 mg.(เทียบเท่ากับ Glucosamine 750 mg.+Sodium Chloride 192 mg.)+Chondroitin Sulphate Sodium 600 mg.</t>
        </is>
      </c>
      <c r="G469" t="inlineStr">
        <is>
          <t>BDS040032</t>
        </is>
      </c>
      <c r="H469" t="inlineStr">
        <is>
          <t>Artrofort Complex (30 sachets)</t>
        </is>
      </c>
      <c r="I469" t="inlineStr">
        <is>
          <t>รับประทาน (ละลาย) ครั้งละ 1 ซองต่อน้ำ 1 แก้ว (125 ml.) วันละ 2 ครั้ง ก่อนอาหาร</t>
        </is>
      </c>
    </row>
    <row r="470">
      <c r="A470" t="n">
        <v>468</v>
      </c>
      <c r="B470" t="inlineStr">
        <is>
          <t>ยาป้องกันและรักษาข้อเสื่อม (D)</t>
        </is>
      </c>
      <c r="C470" t="n">
        <v>1521</v>
      </c>
      <c r="D470" t="inlineStr">
        <is>
          <t>Coxium</t>
        </is>
      </c>
      <c r="E470" t="inlineStr">
        <is>
          <t>กล่อง 30 ซอง</t>
        </is>
      </c>
      <c r="F470" t="inlineStr">
        <is>
          <t>Glucosamine Sulfate NaCl 1500 mg.</t>
        </is>
      </c>
      <c r="G470" t="inlineStr">
        <is>
          <t>BDS001521</t>
        </is>
      </c>
      <c r="H470" t="inlineStr">
        <is>
          <t>Coxium (30 sachets)</t>
        </is>
      </c>
      <c r="I470" t="inlineStr">
        <is>
          <t>รับประทาน (ละลาย) ครั้งละ 1 ซองต่อน้ำ 1 แก้ว (250 ml.) วันละ 1 ครั้ง</t>
        </is>
      </c>
    </row>
    <row r="471">
      <c r="A471" t="n">
        <v>469</v>
      </c>
      <c r="B471" t="inlineStr">
        <is>
          <t>ยาป้องกันและรักษาข้อเสื่อม (D)</t>
        </is>
      </c>
      <c r="C471" t="n">
        <v>7743</v>
      </c>
      <c r="D471" t="inlineStr">
        <is>
          <t>Glucosa 1500 ชนิดผง</t>
        </is>
      </c>
      <c r="E471" t="inlineStr">
        <is>
          <t xml:space="preserve">กล่อง 10 ซอง </t>
        </is>
      </c>
      <c r="F471" t="inlineStr">
        <is>
          <t>Glucosamine sulfate sodium 1500 mg.</t>
        </is>
      </c>
      <c r="G471" t="inlineStr">
        <is>
          <t>BDS007743</t>
        </is>
      </c>
      <c r="H471" t="inlineStr">
        <is>
          <t>Glucosa 1500 ชนิดผง (10 sachets)</t>
        </is>
      </c>
      <c r="I471" t="inlineStr">
        <is>
          <t>รับประทาน (ละลาย) ครั้งละ 1 ซองต่อน้ำ 1 แก้ว (250 ml.) วันละ 1 ครั้ง</t>
        </is>
      </c>
    </row>
    <row r="472">
      <c r="A472" t="n">
        <v>470</v>
      </c>
      <c r="B472" t="inlineStr">
        <is>
          <t>ยาป้องกันและรักษาข้อเสื่อม (D)</t>
        </is>
      </c>
      <c r="C472" t="n">
        <v>43605</v>
      </c>
      <c r="D472" t="inlineStr">
        <is>
          <t>Glucosa 1500 ชนิดผง (รสมะนาว)</t>
        </is>
      </c>
      <c r="E472" t="inlineStr">
        <is>
          <t xml:space="preserve">กล่อง 10 ซอง </t>
        </is>
      </c>
      <c r="F472" t="inlineStr">
        <is>
          <t>Glucosamine sulfate sodium 1500 mg.</t>
        </is>
      </c>
      <c r="G472" t="inlineStr">
        <is>
          <t>BDS043605</t>
        </is>
      </c>
      <c r="H472" t="inlineStr">
        <is>
          <t>Glucosa 1500 ชนิดผง (รสมะนาว) (10 sachets)</t>
        </is>
      </c>
      <c r="I472" t="inlineStr">
        <is>
          <t>รับประทาน (ละลาย) ครั้งละ 1 ซองต่อน้ำ 1 แก้ว (250 ml.) วันละ 1 ครั้ง</t>
        </is>
      </c>
    </row>
    <row r="473">
      <c r="A473" t="n">
        <v>471</v>
      </c>
      <c r="B473" t="inlineStr">
        <is>
          <t>ยาป้องกันและรักษาข้อเสื่อม (D)</t>
        </is>
      </c>
      <c r="C473" t="n">
        <v>7739</v>
      </c>
      <c r="D473" t="inlineStr">
        <is>
          <t>Glucosa 500</t>
        </is>
      </c>
      <c r="E473" t="inlineStr">
        <is>
          <t>แผง 10 แคปซูล</t>
        </is>
      </c>
      <c r="F473" t="inlineStr">
        <is>
          <t>Glucosamine sulfate sodium 500 mg.</t>
        </is>
      </c>
      <c r="G473" t="inlineStr">
        <is>
          <t>BDS007739</t>
        </is>
      </c>
      <c r="H473" t="inlineStr">
        <is>
          <t>Glucosa 500 (10 cap)</t>
        </is>
      </c>
      <c r="I473" t="inlineStr">
        <is>
          <t>รับประทานครั้งละ 1 แคปซูล วันละ 3 ครั้ง</t>
        </is>
      </c>
    </row>
    <row r="474">
      <c r="A474" t="n">
        <v>472</v>
      </c>
      <c r="B474" t="inlineStr">
        <is>
          <t>ยาป้องกันและรักษาข้อเสื่อม (D)</t>
        </is>
      </c>
      <c r="C474" t="n">
        <v>7225</v>
      </c>
      <c r="D474" t="inlineStr">
        <is>
          <t>Osteotin 500</t>
        </is>
      </c>
      <c r="E474" t="inlineStr">
        <is>
          <t>แผง 10 แคปซูล</t>
        </is>
      </c>
      <c r="F474" t="inlineStr">
        <is>
          <t>Glucosamine sulfate sodium 500 mg.</t>
        </is>
      </c>
      <c r="G474" t="inlineStr">
        <is>
          <t>BDS007225</t>
        </is>
      </c>
      <c r="H474" t="inlineStr">
        <is>
          <t>Osteotin 500 (10 cap)</t>
        </is>
      </c>
      <c r="I474" t="inlineStr">
        <is>
          <t>รับประทานครั้งละ 1 แคปซูล วันละ 3 ครั้ง</t>
        </is>
      </c>
    </row>
    <row r="475">
      <c r="A475" t="n">
        <v>473</v>
      </c>
      <c r="B475" t="inlineStr">
        <is>
          <t>ยาป้องกันและรักษาข้อเสื่อม (D)</t>
        </is>
      </c>
      <c r="C475" t="n">
        <v>1003</v>
      </c>
      <c r="D475" t="inlineStr">
        <is>
          <t>Viaflex 1500</t>
        </is>
      </c>
      <c r="E475" t="inlineStr">
        <is>
          <t>กล่อง 30 ซอง</t>
        </is>
      </c>
      <c r="F475" t="inlineStr">
        <is>
          <t>Glucosamine Sulfate Sodium Chloride  1884 mg. (Glucosamine Sulfate 1500 mg./1 ซอง)</t>
        </is>
      </c>
      <c r="G475" t="inlineStr">
        <is>
          <t>BDS001003</t>
        </is>
      </c>
      <c r="H475" t="inlineStr">
        <is>
          <t>Viaflex 1500 (30 sachets)</t>
        </is>
      </c>
      <c r="I475" t="inlineStr">
        <is>
          <t xml:space="preserve">รับประทาน (ละลาย) 1 ซอง ต่อน้ำ (150-200 ml.) วันละ 1 ครั้ง </t>
        </is>
      </c>
    </row>
    <row r="476">
      <c r="A476" t="n">
        <v>474</v>
      </c>
      <c r="B476" t="inlineStr">
        <is>
          <t>ยาป้องกันและรักษาข้อเสื่อม (D)</t>
        </is>
      </c>
      <c r="C476" t="n">
        <v>1705</v>
      </c>
      <c r="D476" t="inlineStr">
        <is>
          <t>Viartril-S</t>
        </is>
      </c>
      <c r="E476" t="inlineStr">
        <is>
          <t>กล่อง 30 ซอง</t>
        </is>
      </c>
      <c r="F476" t="inlineStr">
        <is>
          <t>Glucosamine Sulphate 1500 mg.</t>
        </is>
      </c>
      <c r="G476" t="inlineStr">
        <is>
          <t>BDS001705</t>
        </is>
      </c>
      <c r="H476" t="inlineStr">
        <is>
          <t>Viartril-S (30 sachets)</t>
        </is>
      </c>
      <c r="I476" t="inlineStr">
        <is>
          <t>รับประทาน (ละลาย) ครั้งละ 1 ซองต่อน้ำ 1 แก้ว (250 ml.) วันละ 1 ครั้ง ก่อนอาหาร 15 นาที</t>
        </is>
      </c>
    </row>
    <row r="477">
      <c r="A477" t="n">
        <v>475</v>
      </c>
      <c r="B477" t="inlineStr">
        <is>
          <t>ยาละลายเสมหะ (D)</t>
        </is>
      </c>
      <c r="C477" t="n">
        <v>40631</v>
      </c>
      <c r="D477" t="inlineStr">
        <is>
          <t>Bromcolex</t>
        </is>
      </c>
      <c r="E477" t="inlineStr">
        <is>
          <t>แผง 10 เม็ด</t>
        </is>
      </c>
      <c r="F477" t="inlineStr">
        <is>
          <t>Bromhexine HCl 8 mg.</t>
        </is>
      </c>
      <c r="G477" t="inlineStr">
        <is>
          <t>BDS040631</t>
        </is>
      </c>
      <c r="H477" t="inlineStr">
        <is>
          <t>Bromcolex (10 tabs)</t>
        </is>
      </c>
      <c r="I477" t="inlineStr">
        <is>
          <t>รับประทานครั้งละ 1 เม็ด วันละ 3 ครั้ง</t>
        </is>
      </c>
      <c r="P477" t="inlineStr">
        <is>
          <t>Cough medicines / mucolytics / expectorants</t>
        </is>
      </c>
    </row>
    <row r="478">
      <c r="A478" t="n">
        <v>476</v>
      </c>
      <c r="B478" t="inlineStr">
        <is>
          <t>ยาละลายเสมหะ (D)</t>
        </is>
      </c>
      <c r="C478" t="n">
        <v>8046</v>
      </c>
      <c r="D478" t="inlineStr">
        <is>
          <t>Extorant</t>
        </is>
      </c>
      <c r="E478" t="inlineStr">
        <is>
          <t>แผง 10 เม็ด</t>
        </is>
      </c>
      <c r="F478" t="inlineStr">
        <is>
          <t>Bromhexine HCl 4 mg+Guaifenesin 100 mg</t>
        </is>
      </c>
      <c r="G478" t="inlineStr">
        <is>
          <t>BDS008046</t>
        </is>
      </c>
      <c r="H478" t="inlineStr">
        <is>
          <t>Extorant (10 tabs)</t>
        </is>
      </c>
      <c r="I478" t="inlineStr">
        <is>
          <t xml:space="preserve">รับประทานครั้งละ 1-2 เม็ด วันละ 3-4 ครั้ง </t>
        </is>
      </c>
      <c r="P478" t="inlineStr">
        <is>
          <t>Cough medicines / mucolytics / expectorants</t>
        </is>
      </c>
    </row>
    <row r="479">
      <c r="A479" t="n">
        <v>477</v>
      </c>
      <c r="B479" t="inlineStr">
        <is>
          <t>ยาละลายเสมหะ (D)</t>
        </is>
      </c>
      <c r="C479" t="n">
        <v>7196</v>
      </c>
      <c r="D479" t="inlineStr">
        <is>
          <t>Mucoxine-F</t>
        </is>
      </c>
      <c r="E479" t="inlineStr">
        <is>
          <t>แผง 10 เม็ด</t>
        </is>
      </c>
      <c r="F479" t="inlineStr">
        <is>
          <t>Ambroxol HCl 30 mg.</t>
        </is>
      </c>
      <c r="G479" t="inlineStr">
        <is>
          <t>BDS007196</t>
        </is>
      </c>
      <c r="H479" t="inlineStr">
        <is>
          <t>Mucoxine-F (10 tabs)</t>
        </is>
      </c>
      <c r="I479" t="inlineStr">
        <is>
          <t>รับประทานครั้งละ 1-2 เม็ด วันละ 3 ครั้ง</t>
        </is>
      </c>
      <c r="P479" t="inlineStr">
        <is>
          <t>Cough medicines / mucolytics / expectorants</t>
        </is>
      </c>
    </row>
    <row r="480">
      <c r="A480" t="n">
        <v>478</v>
      </c>
      <c r="B480" t="inlineStr">
        <is>
          <t>ยาละลายเสมหะ (D)</t>
        </is>
      </c>
      <c r="C480" t="n">
        <v>7601</v>
      </c>
      <c r="D480" t="inlineStr">
        <is>
          <t>Polibroxol</t>
        </is>
      </c>
      <c r="E480" t="inlineStr">
        <is>
          <t>แผง 10 เม็ด</t>
        </is>
      </c>
      <c r="F480" t="inlineStr">
        <is>
          <t>Ambroxol HCl 30 mg.</t>
        </is>
      </c>
      <c r="G480" t="inlineStr">
        <is>
          <t>BDS007601</t>
        </is>
      </c>
      <c r="H480" t="inlineStr">
        <is>
          <t>Polibroxol (10 tabs)</t>
        </is>
      </c>
      <c r="I480" t="inlineStr">
        <is>
          <t>รับประทานครั้งละ 1-2 เม็ด วันละ 3 ครั้ง</t>
        </is>
      </c>
      <c r="P480" t="inlineStr">
        <is>
          <t>Cough medicines / mucolytics / expectorants</t>
        </is>
      </c>
    </row>
    <row r="481">
      <c r="A481" t="n">
        <v>479</v>
      </c>
      <c r="B481" t="inlineStr">
        <is>
          <t>ยาระบาย (D)</t>
        </is>
      </c>
      <c r="C481" t="n">
        <v>8201</v>
      </c>
      <c r="D481" t="inlineStr">
        <is>
          <t>Bisacod</t>
        </is>
      </c>
      <c r="E481" t="inlineStr">
        <is>
          <t>แผง 10 เม็ด</t>
        </is>
      </c>
      <c r="F481" t="inlineStr">
        <is>
          <t>Bisacodyl 5 mg.</t>
        </is>
      </c>
      <c r="G481" t="inlineStr">
        <is>
          <t>BDS008201</t>
        </is>
      </c>
      <c r="H481" t="inlineStr">
        <is>
          <t>Bisacod (10 tabs)</t>
        </is>
      </c>
      <c r="I481" t="inlineStr">
        <is>
          <t>รับประทานครั้งละ 2-4 เม็ด วันละ 1 ครั้ง ก่อนนอน</t>
        </is>
      </c>
    </row>
    <row r="482">
      <c r="A482" t="n">
        <v>480</v>
      </c>
      <c r="B482" t="inlineStr">
        <is>
          <t>ยาระบาย (D)</t>
        </is>
      </c>
      <c r="C482" t="n">
        <v>7554</v>
      </c>
      <c r="D482" t="inlineStr">
        <is>
          <t>Losalac Syrup</t>
        </is>
      </c>
      <c r="E482" t="inlineStr">
        <is>
          <t>ขวด 100 ml.</t>
        </is>
      </c>
      <c r="F482" t="inlineStr">
        <is>
          <t>Lactulose 66.7 g./100 ml.</t>
        </is>
      </c>
      <c r="G482" t="inlineStr">
        <is>
          <t>BDS007554</t>
        </is>
      </c>
      <c r="H482" t="inlineStr">
        <is>
          <t>Losalac Syrup (100 ml.)</t>
        </is>
      </c>
      <c r="I482" t="inlineStr">
        <is>
          <t>เด็กเล็กรับประทานครั้งละ 1-2 ช้อนชา วันละ 1 ครั้ง</t>
        </is>
      </c>
    </row>
    <row r="483">
      <c r="A483" t="n">
        <v>481</v>
      </c>
      <c r="B483" t="inlineStr">
        <is>
          <t>ยาระบาย (D)</t>
        </is>
      </c>
      <c r="C483" t="n">
        <v>8768</v>
      </c>
      <c r="D483" t="inlineStr">
        <is>
          <t>T.Man-Lax</t>
        </is>
      </c>
      <c r="E483" t="inlineStr">
        <is>
          <t>แผง 10 เม็ด</t>
        </is>
      </c>
      <c r="F483" t="inlineStr">
        <is>
          <t>Bisacodyl 5 mg.+Dioctyl sodium sulfosuccinate 15 mg.</t>
        </is>
      </c>
      <c r="G483" t="inlineStr">
        <is>
          <t>BDS008768</t>
        </is>
      </c>
      <c r="H483" t="inlineStr">
        <is>
          <t>T.Man-Lax (10 tabs)</t>
        </is>
      </c>
      <c r="I483" t="inlineStr">
        <is>
          <t>รับประทานครั้งละ 2-4 เม็ด วันละ 1 ครั้ง ก่อนนอน</t>
        </is>
      </c>
    </row>
    <row r="484">
      <c r="A484" t="n">
        <v>482</v>
      </c>
      <c r="B484" t="inlineStr">
        <is>
          <t>ยารักษาอาการผมร่วง (D)</t>
        </is>
      </c>
      <c r="C484" t="n">
        <v>1975</v>
      </c>
      <c r="D484" t="inlineStr">
        <is>
          <t>Firide 1 mg</t>
        </is>
      </c>
      <c r="E484" t="inlineStr">
        <is>
          <t>แผง 10 เม็ด</t>
        </is>
      </c>
      <c r="F484" t="inlineStr">
        <is>
          <t>Finasteride 1 mg.</t>
        </is>
      </c>
      <c r="G484" t="inlineStr">
        <is>
          <t>BDS001975</t>
        </is>
      </c>
      <c r="H484" t="inlineStr">
        <is>
          <t>Firide 1 mg (10 tabs)</t>
        </is>
      </c>
      <c r="I484" t="inlineStr">
        <is>
          <t>รับประทานครั้งละ 1 เม็ด วันละ 1 ครั้ง</t>
        </is>
      </c>
    </row>
    <row r="485">
      <c r="A485" t="n">
        <v>483</v>
      </c>
      <c r="B485" t="inlineStr">
        <is>
          <t>ยาฆ่าเชื้อพยาธิในช่องคลอด (D)</t>
        </is>
      </c>
      <c r="C485" t="n">
        <v>40003</v>
      </c>
      <c r="D485" t="inlineStr">
        <is>
          <t>Asiazole-T.N. tabslets</t>
        </is>
      </c>
      <c r="E485" t="inlineStr">
        <is>
          <t>กล่อง 4 เม็ด</t>
        </is>
      </c>
      <c r="F485" t="inlineStr">
        <is>
          <t>Tinidazole 500 mg.</t>
        </is>
      </c>
      <c r="G485" t="inlineStr">
        <is>
          <t>BDS040003</t>
        </is>
      </c>
      <c r="H485" t="inlineStr">
        <is>
          <t>Asiazole-T.N. tabslets (4 tabs)</t>
        </is>
      </c>
      <c r="I485" t="inlineStr">
        <is>
          <t>รับประทานครั้งละ 4 เม็ด  วันละ 1 ครั้ง ก่อนนอน</t>
        </is>
      </c>
      <c r="P485" t="inlineStr">
        <is>
          <t>Vaginal antiparasitic/anti-infective</t>
        </is>
      </c>
    </row>
    <row r="486">
      <c r="A486" t="n">
        <v>484</v>
      </c>
      <c r="B486" t="inlineStr">
        <is>
          <t>ยาฆ่าเชื้อพยาธิในช่องคลอด (D)</t>
        </is>
      </c>
      <c r="C486" t="n">
        <v>7954</v>
      </c>
      <c r="D486" t="inlineStr">
        <is>
          <t>Gyno Gena-500</t>
        </is>
      </c>
      <c r="E486" t="inlineStr">
        <is>
          <t>กล่อง 4 เม็ด</t>
        </is>
      </c>
      <c r="F486" t="inlineStr">
        <is>
          <t>Tinidazole 500 mg.</t>
        </is>
      </c>
      <c r="G486" t="inlineStr">
        <is>
          <t>BDS007954</t>
        </is>
      </c>
      <c r="H486" t="inlineStr">
        <is>
          <t>Gyno Gena-500 (4 tabs)</t>
        </is>
      </c>
      <c r="I486" t="inlineStr">
        <is>
          <t>รับประทานครั้งละ 4 เม็ด วันละ 1 ครั้ง ก่อนนอน</t>
        </is>
      </c>
      <c r="P486" t="inlineStr">
        <is>
          <t>Vaginal antiparasitic/anti-infective</t>
        </is>
      </c>
    </row>
    <row r="487">
      <c r="A487" t="n">
        <v>485</v>
      </c>
      <c r="B487" t="inlineStr">
        <is>
          <t>ยาแก้เมารถ, เมาเรือ</t>
        </is>
      </c>
      <c r="C487" t="n">
        <v>45662</v>
      </c>
      <c r="D487" t="inlineStr">
        <is>
          <t>Navamed</t>
        </is>
      </c>
      <c r="E487" t="inlineStr">
        <is>
          <t>แผง 2 เม็ด</t>
        </is>
      </c>
      <c r="F487" t="inlineStr">
        <is>
          <t>Dimenhydrinate 50 mg</t>
        </is>
      </c>
      <c r="G487" t="inlineStr">
        <is>
          <t>BDS045662</t>
        </is>
      </c>
      <c r="H487" t="inlineStr">
        <is>
          <t>Navamed (2 tabs)</t>
        </is>
      </c>
      <c r="I487" t="inlineStr">
        <is>
          <t xml:space="preserve">รับประทานครั้งละ 1 เม็ด วันละ 3 ครั้ง หรือก่อนเดินทาง 30 นาที </t>
        </is>
      </c>
    </row>
    <row r="488">
      <c r="A488" t="n">
        <v>486</v>
      </c>
      <c r="B488" t="inlineStr">
        <is>
          <t>ยาขับเสมหะ</t>
        </is>
      </c>
      <c r="C488" t="n">
        <v>48649</v>
      </c>
      <c r="D488" t="inlineStr">
        <is>
          <t>Tavipec cap</t>
        </is>
      </c>
      <c r="E488" t="inlineStr">
        <is>
          <t>แผง 10 แคปซูล</t>
        </is>
      </c>
      <c r="F488" t="inlineStr">
        <is>
          <t>Spike Lavender Oil 150 mg.</t>
        </is>
      </c>
      <c r="G488" t="inlineStr">
        <is>
          <t>BDS048649</t>
        </is>
      </c>
      <c r="H488" t="inlineStr">
        <is>
          <t>Tavipec cap (10 cap)</t>
        </is>
      </c>
      <c r="I488" t="inlineStr">
        <is>
          <t>รับประทานครั้งละ 1-2 แคปซูล วันละ 3 ครั้ง ก่อนอาหาร</t>
        </is>
      </c>
      <c r="P488" t="inlineStr">
        <is>
          <t>Cough medicines / mucolytics / expectorants</t>
        </is>
      </c>
    </row>
    <row r="489">
      <c r="A489" t="n">
        <v>487</v>
      </c>
      <c r="B489" t="inlineStr">
        <is>
          <t>ยาแก้ปวด, ลดไข้ (OTC)</t>
        </is>
      </c>
      <c r="C489" t="n">
        <v>40613</v>
      </c>
      <c r="D489" t="inlineStr">
        <is>
          <t>Bakamol 500 mg strip 10s</t>
        </is>
      </c>
      <c r="E489" t="inlineStr">
        <is>
          <t>แผง 10 เม็ด</t>
        </is>
      </c>
      <c r="F489" t="inlineStr">
        <is>
          <t>Paracetamol 500 mg.</t>
        </is>
      </c>
      <c r="G489" t="inlineStr">
        <is>
          <t>BDS040613</t>
        </is>
      </c>
      <c r="H489" t="inlineStr">
        <is>
          <t>Bakamol 500 mg strip 10s (10 tabs)</t>
        </is>
      </c>
      <c r="I489" t="inlineStr">
        <is>
          <t>รับประทานครั้งละ 1-2 เม็ด ทุก 4-6 ชั่วโมง</t>
        </is>
      </c>
      <c r="J489" t="inlineStr">
        <is>
          <t>Take 1-2 tablets every 4-6 hours</t>
        </is>
      </c>
      <c r="P489" t="inlineStr">
        <is>
          <t>General analgesics/antipyretics</t>
        </is>
      </c>
    </row>
    <row r="490">
      <c r="A490" t="n">
        <v>488</v>
      </c>
      <c r="B490" t="inlineStr">
        <is>
          <t>ยาแก้ปวด, ลดไข้ (OTC)</t>
        </is>
      </c>
      <c r="C490" t="n">
        <v>7044</v>
      </c>
      <c r="D490" t="inlineStr">
        <is>
          <t>Cemol 500 mg strip 10s เม็ดรี</t>
        </is>
      </c>
      <c r="E490" t="inlineStr">
        <is>
          <t>แผง 10 เม็ด</t>
        </is>
      </c>
      <c r="F490" t="inlineStr">
        <is>
          <t>Paracetamol 500 mg.</t>
        </is>
      </c>
      <c r="G490" t="inlineStr">
        <is>
          <t>BDS007044</t>
        </is>
      </c>
      <c r="H490" t="inlineStr">
        <is>
          <t>Cemol 500 mg strip 10s เม็ดรี (10 tabs)</t>
        </is>
      </c>
      <c r="I490" t="inlineStr">
        <is>
          <t>รับประทานครั้งละ 1-2 เม็ด ทุก 4 ชั่วโมง หรือเมื่อมีอาการ</t>
        </is>
      </c>
      <c r="J490" t="inlineStr">
        <is>
          <t>Take 1-2 tablets every 4 hours or if symptoms occur</t>
        </is>
      </c>
      <c r="P490" t="inlineStr">
        <is>
          <t>General analgesics/antipyretics</t>
        </is>
      </c>
    </row>
    <row r="491">
      <c r="A491" t="n">
        <v>489</v>
      </c>
      <c r="B491" t="inlineStr">
        <is>
          <t>ยาแก้ปวด, ลดไข้ (OTC)</t>
        </is>
      </c>
      <c r="C491" t="n">
        <v>3108</v>
      </c>
      <c r="D491" t="inlineStr">
        <is>
          <t>Para Cap strip 10s</t>
        </is>
      </c>
      <c r="E491" t="inlineStr">
        <is>
          <t>แผง 10 เม็ด</t>
        </is>
      </c>
      <c r="F491" t="inlineStr">
        <is>
          <t>Paracetamol 500 mg.</t>
        </is>
      </c>
      <c r="G491" t="inlineStr">
        <is>
          <t>BDS003108</t>
        </is>
      </c>
      <c r="H491" t="inlineStr">
        <is>
          <t>Para Cap strip 10s (10 tabs)</t>
        </is>
      </c>
      <c r="I491" t="inlineStr">
        <is>
          <t>รับประทานครั้งละ 1-2 เม็ด ทุก 4-6 ชั่วโมง</t>
        </is>
      </c>
      <c r="J491" t="inlineStr">
        <is>
          <t>Take 1-2 tablets every 4-6 hours</t>
        </is>
      </c>
      <c r="P491" t="inlineStr">
        <is>
          <t>General analgesics/antipyretics</t>
        </is>
      </c>
    </row>
    <row r="492">
      <c r="A492" t="n">
        <v>490</v>
      </c>
      <c r="B492" t="inlineStr">
        <is>
          <t>ยาแก้ปวด, ลดไข้ (OTC)</t>
        </is>
      </c>
      <c r="C492" t="n">
        <v>3503</v>
      </c>
      <c r="D492" t="inlineStr">
        <is>
          <t>Sara เม็ดกลม แผง 10s</t>
        </is>
      </c>
      <c r="E492" t="inlineStr">
        <is>
          <t>แผง 10 เม็ด</t>
        </is>
      </c>
      <c r="F492" t="inlineStr">
        <is>
          <t>Paracetamol 500 mg.</t>
        </is>
      </c>
      <c r="G492" t="inlineStr">
        <is>
          <t>BDS003503</t>
        </is>
      </c>
      <c r="H492" t="inlineStr">
        <is>
          <t>Sara เม็ดกลม แผง 10s (10 tabs)</t>
        </is>
      </c>
      <c r="I492" t="inlineStr">
        <is>
          <t>รับประทานครั้งละ 1-2 เม็ด ทุก 4-6 ชั่วโมง</t>
        </is>
      </c>
      <c r="J492" t="inlineStr">
        <is>
          <t>Take 1-2 tablets every 4-6 hours</t>
        </is>
      </c>
      <c r="P492" t="inlineStr">
        <is>
          <t>General analgesics/antipyretics</t>
        </is>
      </c>
    </row>
    <row r="493">
      <c r="A493" t="n">
        <v>491</v>
      </c>
      <c r="B493" t="inlineStr">
        <is>
          <t>ยาแก้ปวด, ลดไข้ (OTC)</t>
        </is>
      </c>
      <c r="C493" t="n">
        <v>3654</v>
      </c>
      <c r="D493" t="inlineStr">
        <is>
          <t>Sara เม็ดรี แผง 10s</t>
        </is>
      </c>
      <c r="E493" t="inlineStr">
        <is>
          <t>แผง 10 เม็ด</t>
        </is>
      </c>
      <c r="F493" t="inlineStr">
        <is>
          <t>Paracetamol 500 mg.</t>
        </is>
      </c>
      <c r="G493" t="inlineStr">
        <is>
          <t>BDS003654</t>
        </is>
      </c>
      <c r="H493" t="inlineStr">
        <is>
          <t>Sara เม็ดรี แผง 10s (10 tabs)</t>
        </is>
      </c>
      <c r="I493" t="inlineStr">
        <is>
          <t>รับประทานครั้งละ1-2 เม็ด  ทุก 4-6 ชั่วโมง</t>
        </is>
      </c>
      <c r="J493" t="inlineStr">
        <is>
          <t>Take 1-2 tablets every 4-6 hours</t>
        </is>
      </c>
      <c r="P493" t="inlineStr">
        <is>
          <t>General analgesics/antipyretics</t>
        </is>
      </c>
    </row>
    <row r="494">
      <c r="A494" t="n">
        <v>492</v>
      </c>
      <c r="B494" t="inlineStr">
        <is>
          <t>ยาแก้ปวด, ลดไข้ (OTC)</t>
        </is>
      </c>
      <c r="C494" t="n">
        <v>3762</v>
      </c>
      <c r="D494" t="inlineStr">
        <is>
          <t>Tylenol 500 mg strip 10s</t>
        </is>
      </c>
      <c r="E494" t="inlineStr">
        <is>
          <t>แผง 10 เม็ด</t>
        </is>
      </c>
      <c r="F494" t="inlineStr">
        <is>
          <t>Paracetamol 500 mg.</t>
        </is>
      </c>
      <c r="G494" t="inlineStr">
        <is>
          <t>BDS003762</t>
        </is>
      </c>
      <c r="H494" t="inlineStr">
        <is>
          <t>Tylenol 500 mg strip 10s (10 tabs)</t>
        </is>
      </c>
      <c r="I494" t="inlineStr">
        <is>
          <t>รับประทานครั้งละ 1-2  เม็ด ทุก 4-6 ชั่วโมง</t>
        </is>
      </c>
      <c r="J494" t="inlineStr">
        <is>
          <t>Take 1-2 tablets every 4-6 hours</t>
        </is>
      </c>
      <c r="K494" t="n">
        <v>36</v>
      </c>
      <c r="L494" t="n">
        <v>3.6</v>
      </c>
      <c r="M494" t="inlineStr">
        <is>
          <t>USER</t>
        </is>
      </c>
      <c r="N494" t="inlineStr">
        <is>
          <t>2026-02-07</t>
        </is>
      </c>
      <c r="O494" t="inlineStr">
        <is>
          <t>User provided price (online). Unit price per tablet (10 tabs strip).</t>
        </is>
      </c>
      <c r="P494" t="inlineStr">
        <is>
          <t>General analgesics/antipyretics</t>
        </is>
      </c>
    </row>
    <row r="495">
      <c r="A495" t="n">
        <v>493</v>
      </c>
      <c r="B495" t="inlineStr">
        <is>
          <t>ยาขับลม (OTC)</t>
        </is>
      </c>
      <c r="C495" t="n">
        <v>1014</v>
      </c>
      <c r="D495" t="inlineStr">
        <is>
          <t>Air-X</t>
        </is>
      </c>
      <c r="E495" t="inlineStr">
        <is>
          <t>แผง 10 เม็ด</t>
        </is>
      </c>
      <c r="F495" t="inlineStr">
        <is>
          <t>Simethicone 80 mg.</t>
        </is>
      </c>
      <c r="G495" t="inlineStr">
        <is>
          <t>BDS001014</t>
        </is>
      </c>
      <c r="H495" t="inlineStr">
        <is>
          <t>Air-X (10 tabs)</t>
        </is>
      </c>
      <c r="I495" t="inlineStr">
        <is>
          <t>รับประทาน (เคี้ยว) ครั้งละ 1-2 เม็ด วันละ 3-4 ครั้ง หลังอาหาร</t>
        </is>
      </c>
      <c r="P495" t="inlineStr">
        <is>
          <t>Carminatives (gas relief)</t>
        </is>
      </c>
    </row>
    <row r="496">
      <c r="A496" t="n">
        <v>494</v>
      </c>
      <c r="B496" t="inlineStr">
        <is>
          <t>ยาขับลม (OTC)</t>
        </is>
      </c>
      <c r="C496" t="n">
        <v>1089</v>
      </c>
      <c r="D496" t="inlineStr">
        <is>
          <t>Air-X Lemon</t>
        </is>
      </c>
      <c r="E496" t="inlineStr">
        <is>
          <t>แผง 10 เม็ด</t>
        </is>
      </c>
      <c r="F496" t="inlineStr">
        <is>
          <t>Simethicone 80 mg.</t>
        </is>
      </c>
      <c r="G496" t="inlineStr">
        <is>
          <t>BDS001089</t>
        </is>
      </c>
      <c r="H496" t="inlineStr">
        <is>
          <t>Air-X Lemon (10 tabs)</t>
        </is>
      </c>
      <c r="I496" t="inlineStr">
        <is>
          <t>รับประทาน (เคี้ยว) ครั้งละ 1-2 เม็ด วันละ 3-4 ครั้ง</t>
        </is>
      </c>
      <c r="P496" t="inlineStr">
        <is>
          <t>Carminatives (gas relief)</t>
        </is>
      </c>
    </row>
    <row r="497">
      <c r="A497" t="n">
        <v>495</v>
      </c>
      <c r="B497" t="inlineStr">
        <is>
          <t>ยาขับลม (OTC)</t>
        </is>
      </c>
      <c r="C497" t="n">
        <v>1085</v>
      </c>
      <c r="D497" t="inlineStr">
        <is>
          <t>Air-X Orange</t>
        </is>
      </c>
      <c r="E497" t="inlineStr">
        <is>
          <t>แผง 10 เม็ด</t>
        </is>
      </c>
      <c r="F497" t="inlineStr">
        <is>
          <t>Simethicone 80 mg.</t>
        </is>
      </c>
      <c r="G497" t="inlineStr">
        <is>
          <t>BDS001085</t>
        </is>
      </c>
      <c r="H497" t="inlineStr">
        <is>
          <t>Air-X Orange (10 tabs)</t>
        </is>
      </c>
      <c r="I497" t="inlineStr">
        <is>
          <t>รับประทาน (เคี้ยว) ครั้งละ 2 เม็ด วันละ 3-4 ครั้ง</t>
        </is>
      </c>
      <c r="P497" t="inlineStr">
        <is>
          <t>Carminatives (gas relief)</t>
        </is>
      </c>
    </row>
    <row r="498">
      <c r="A498" t="n">
        <v>496</v>
      </c>
      <c r="B498" t="inlineStr">
        <is>
          <t>ยาขับลม (OTC)</t>
        </is>
      </c>
      <c r="C498" t="n">
        <v>1088</v>
      </c>
      <c r="D498" t="inlineStr">
        <is>
          <t>Air-X Sugar Free</t>
        </is>
      </c>
      <c r="E498" t="inlineStr">
        <is>
          <t>แผง 10 เม็ด</t>
        </is>
      </c>
      <c r="F498" t="inlineStr">
        <is>
          <t>Simethicone 40 mg.</t>
        </is>
      </c>
      <c r="G498" t="inlineStr">
        <is>
          <t>BDS001088</t>
        </is>
      </c>
      <c r="H498" t="inlineStr">
        <is>
          <t>Air-X Sugar Free (10 tabs)</t>
        </is>
      </c>
      <c r="I498" t="inlineStr">
        <is>
          <t>รับประทาน (เคี้ยว) ครั้งละ 1-2 เม็ด วันละ 3-4 ครั้ง หลังอาหาร</t>
        </is>
      </c>
      <c r="P498" t="inlineStr">
        <is>
          <t>Carminatives (gas relief)</t>
        </is>
      </c>
    </row>
    <row r="499">
      <c r="A499" t="n">
        <v>497</v>
      </c>
      <c r="B499" t="inlineStr">
        <is>
          <t>ยาขับลม (OTC)</t>
        </is>
      </c>
      <c r="C499" t="n">
        <v>1641</v>
      </c>
      <c r="D499" t="inlineStr">
        <is>
          <t>Dioxzye</t>
        </is>
      </c>
      <c r="E499" t="inlineStr">
        <is>
          <t>แผง 10 เม็ด</t>
        </is>
      </c>
      <c r="F499" t="inlineStr">
        <is>
          <t>Simethicone 80 mg.</t>
        </is>
      </c>
      <c r="G499" t="inlineStr">
        <is>
          <t>BDS001641</t>
        </is>
      </c>
      <c r="H499" t="inlineStr">
        <is>
          <t>Dioxzye (10 tabs)</t>
        </is>
      </c>
      <c r="I499" t="inlineStr">
        <is>
          <t>รับประทาน (เคี้ยว) ครั้งละ 2 เม็ด วันละ3-4 ครั้ง หลังอาหาร</t>
        </is>
      </c>
      <c r="P499" t="inlineStr">
        <is>
          <t>Carminatives (gas relief)</t>
        </is>
      </c>
    </row>
    <row r="500">
      <c r="A500" t="n">
        <v>498</v>
      </c>
      <c r="B500" t="inlineStr">
        <is>
          <t>ยาทั่วไปอื่นๆ (D)</t>
        </is>
      </c>
      <c r="C500" t="n">
        <v>40030</v>
      </c>
      <c r="D500" t="inlineStr">
        <is>
          <t>Amitriptyline 10 mg</t>
        </is>
      </c>
      <c r="E500" t="inlineStr">
        <is>
          <t>แผง 10 เม็ด</t>
        </is>
      </c>
      <c r="F500" t="inlineStr">
        <is>
          <t>Amitriptyline Hydrochloride 10 mg.</t>
        </is>
      </c>
      <c r="G500" t="inlineStr">
        <is>
          <t>BDS040030</t>
        </is>
      </c>
      <c r="H500" t="inlineStr">
        <is>
          <t>Amitriptyline 10 mg (10 tabs)</t>
        </is>
      </c>
      <c r="I500" t="inlineStr">
        <is>
          <t>รับประทานครั้ง 1 เม็ด วันละ 1 ครั้ง ก่อนนอน หรือตามแพทย์สั่ง</t>
        </is>
      </c>
    </row>
    <row r="501">
      <c r="A501" t="n">
        <v>499</v>
      </c>
      <c r="B501" t="inlineStr">
        <is>
          <t>ยาทั่วไปอื่นๆ (D)</t>
        </is>
      </c>
      <c r="C501" t="n">
        <v>4039</v>
      </c>
      <c r="D501" t="inlineStr">
        <is>
          <t>Rowatinex</t>
        </is>
      </c>
      <c r="E501" t="inlineStr">
        <is>
          <t>แผง 10 แคปซูล</t>
        </is>
      </c>
      <c r="F501" t="inlineStr">
        <is>
          <t>Pinene (Alpha+Beta) 31 mg.+Camphene 15 mg.+Cineol 3 mg.+Fenchone 4 mg.+Borneol 10 mg.+Anethol 4 mg.+Olive Oil 33 mg.</t>
        </is>
      </c>
      <c r="G501" t="inlineStr">
        <is>
          <t>BDS004039</t>
        </is>
      </c>
      <c r="H501" t="inlineStr">
        <is>
          <t>Rowatinex (10 cap)</t>
        </is>
      </c>
      <c r="I501" t="inlineStr">
        <is>
          <t>รับประทานครั้งละ 1-2 แคปซูล วันละ 3 ครั้ง ก่อนอาหาร หรือตามแพทย์สั่ง</t>
        </is>
      </c>
    </row>
    <row r="502">
      <c r="A502" t="n">
        <v>500</v>
      </c>
      <c r="B502" t="inlineStr">
        <is>
          <t>ยาทั่วไปอื่นๆ (D)</t>
        </is>
      </c>
      <c r="C502" t="n">
        <v>7960</v>
      </c>
      <c r="D502" t="inlineStr">
        <is>
          <t>Tranxic</t>
        </is>
      </c>
      <c r="E502" t="inlineStr">
        <is>
          <t>แผง 10 แคปซูล</t>
        </is>
      </c>
      <c r="F502" t="inlineStr">
        <is>
          <t>Tranexamic Acid 250 mg.</t>
        </is>
      </c>
      <c r="G502" t="inlineStr">
        <is>
          <t>BDS007960</t>
        </is>
      </c>
      <c r="H502" t="inlineStr">
        <is>
          <t>Tranxic (10 cap)</t>
        </is>
      </c>
    </row>
    <row r="503">
      <c r="A503" t="n">
        <v>501</v>
      </c>
      <c r="B503" t="inlineStr">
        <is>
          <t>ยาลดความดันโลหิต (D)</t>
        </is>
      </c>
      <c r="C503" t="n">
        <v>6069</v>
      </c>
      <c r="D503" t="inlineStr">
        <is>
          <t>Ambes 10 mg (GPO)</t>
        </is>
      </c>
      <c r="E503" t="inlineStr">
        <is>
          <t>แผง 10 เม็ด</t>
        </is>
      </c>
      <c r="F503" t="inlineStr">
        <is>
          <t>Amlodipine besylate 10 mg.</t>
        </is>
      </c>
      <c r="G503" t="inlineStr">
        <is>
          <t>BDS006069</t>
        </is>
      </c>
      <c r="H503" t="inlineStr">
        <is>
          <t>Ambes 10 mg (GPO) (10 tabs)</t>
        </is>
      </c>
      <c r="I503" t="inlineStr">
        <is>
          <t>รับประทานครั้งละ 1 เม็ด วันละ 1 ครั้ง หรือตามแพทย์สั่ง</t>
        </is>
      </c>
    </row>
    <row r="504">
      <c r="A504" t="n">
        <v>502</v>
      </c>
      <c r="B504" t="inlineStr">
        <is>
          <t>ยาลดความดันโลหิต (D)</t>
        </is>
      </c>
      <c r="C504" t="n">
        <v>6070</v>
      </c>
      <c r="D504" t="inlineStr">
        <is>
          <t>Ambes 5 mg (GPO)</t>
        </is>
      </c>
      <c r="E504" t="inlineStr">
        <is>
          <t>แผง 10 เม็ด</t>
        </is>
      </c>
      <c r="F504" t="inlineStr">
        <is>
          <t>Amlodipine besylate 5 mg.</t>
        </is>
      </c>
      <c r="G504" t="inlineStr">
        <is>
          <t>BDS006070</t>
        </is>
      </c>
      <c r="H504" t="inlineStr">
        <is>
          <t>Ambes 5 mg (GPO) (10 tabs)</t>
        </is>
      </c>
      <c r="I504" t="inlineStr">
        <is>
          <t>รับประทานครั้งละ 1 เม็ด วันละ 1 ครั้ง หรือตามแพทย์สั่ง</t>
        </is>
      </c>
    </row>
    <row r="505">
      <c r="A505" t="n">
        <v>503</v>
      </c>
      <c r="B505" t="inlineStr">
        <is>
          <t>ยาลดความดันโลหิต (D)</t>
        </is>
      </c>
      <c r="C505" t="n">
        <v>40008</v>
      </c>
      <c r="D505" t="inlineStr">
        <is>
          <t>Amlodac 10</t>
        </is>
      </c>
      <c r="E505" t="inlineStr">
        <is>
          <t>แผง 10 เม็ด</t>
        </is>
      </c>
      <c r="F505" t="inlineStr">
        <is>
          <t>Amlodipine besilate 10 mg. (eq. to Amlodipine 10 mg.)</t>
        </is>
      </c>
      <c r="G505" t="inlineStr">
        <is>
          <t>BDS040008</t>
        </is>
      </c>
      <c r="H505" t="inlineStr">
        <is>
          <t>Amlodac 10 (10 tabs)</t>
        </is>
      </c>
      <c r="I505" t="inlineStr">
        <is>
          <t>รับประทานครั้งละ 1 เม็ด วันละ 1 ครั้ง หรือตามแพทย์สั่ง</t>
        </is>
      </c>
    </row>
    <row r="506">
      <c r="A506" t="n">
        <v>504</v>
      </c>
      <c r="B506" t="inlineStr">
        <is>
          <t>ยาลดความดันโลหิต (D)</t>
        </is>
      </c>
      <c r="C506" t="n">
        <v>40007</v>
      </c>
      <c r="D506" t="inlineStr">
        <is>
          <t>Amlodac 5</t>
        </is>
      </c>
      <c r="E506" t="inlineStr">
        <is>
          <t>แผง 10 เม็ด</t>
        </is>
      </c>
      <c r="F506" t="inlineStr">
        <is>
          <t>Amlodipine besilate 5 mg. (eq. to Amlodipine 5 mg.)</t>
        </is>
      </c>
      <c r="G506" t="inlineStr">
        <is>
          <t>BDS040007</t>
        </is>
      </c>
      <c r="H506" t="inlineStr">
        <is>
          <t>Amlodac 5 (10 tabs)</t>
        </is>
      </c>
      <c r="I506" t="inlineStr">
        <is>
          <t>รับประทานครั้งละ 1 เม็ด วันละ 1 ครั้ง หรือตามแพทย์สั่ง</t>
        </is>
      </c>
    </row>
    <row r="507">
      <c r="A507" t="n">
        <v>505</v>
      </c>
      <c r="B507" t="inlineStr">
        <is>
          <t>ยาลดความดันโลหิต (D)</t>
        </is>
      </c>
      <c r="C507" t="n">
        <v>1106</v>
      </c>
      <c r="D507" t="inlineStr">
        <is>
          <t>Amlopine 10 mg</t>
        </is>
      </c>
      <c r="E507" t="inlineStr">
        <is>
          <t>แผง 10 เม็ด</t>
        </is>
      </c>
      <c r="F507" t="inlineStr">
        <is>
          <t>Amlodipine besylate 10 mg.</t>
        </is>
      </c>
      <c r="G507" t="inlineStr">
        <is>
          <t>BDS001106</t>
        </is>
      </c>
      <c r="H507" t="inlineStr">
        <is>
          <t>Amlopine 10 mg (10 tabs)</t>
        </is>
      </c>
      <c r="I507" t="inlineStr">
        <is>
          <t>รับประทานครั้งละ 1 เม็ด วันละ 1 ครั้ง หรือตามแพทย์สั่ง</t>
        </is>
      </c>
    </row>
    <row r="508">
      <c r="A508" t="n">
        <v>506</v>
      </c>
      <c r="B508" t="inlineStr">
        <is>
          <t>ยาลดความดันโลหิต (D)</t>
        </is>
      </c>
      <c r="C508" t="n">
        <v>1096</v>
      </c>
      <c r="D508" t="inlineStr">
        <is>
          <t>Amlopine 5 mg</t>
        </is>
      </c>
      <c r="E508" t="inlineStr">
        <is>
          <t>แผง 10 เม็ด</t>
        </is>
      </c>
      <c r="F508" t="inlineStr">
        <is>
          <t>Amlodipine besylate 5 mg.</t>
        </is>
      </c>
      <c r="G508" t="inlineStr">
        <is>
          <t>BDS001096</t>
        </is>
      </c>
      <c r="H508" t="inlineStr">
        <is>
          <t>Amlopine 5 mg (10 tabs)</t>
        </is>
      </c>
      <c r="I508" t="inlineStr">
        <is>
          <t>รับประทานครั้งละ 1 เม็ด วันละ 1 ครั้ง หรือตามแพทย์สั่ง</t>
        </is>
      </c>
    </row>
    <row r="509">
      <c r="A509" t="n">
        <v>507</v>
      </c>
      <c r="B509" t="inlineStr">
        <is>
          <t>ยาลดความดันโลหิต (D)</t>
        </is>
      </c>
      <c r="C509" t="n">
        <v>1114</v>
      </c>
      <c r="D509" t="inlineStr">
        <is>
          <t>Anapril 20 mg</t>
        </is>
      </c>
      <c r="E509" t="inlineStr">
        <is>
          <t>แผง 10 เม็ด</t>
        </is>
      </c>
      <c r="F509" t="inlineStr">
        <is>
          <t>Enalapril Maleate 20 mg.</t>
        </is>
      </c>
      <c r="G509" t="inlineStr">
        <is>
          <t>BDS001114</t>
        </is>
      </c>
      <c r="H509" t="inlineStr">
        <is>
          <t>Anapril 20 mg (10 tabs)</t>
        </is>
      </c>
      <c r="I509" t="inlineStr">
        <is>
          <t>รับประทานครั้งละ 1 เม็ด วันละ 1-2 ครั้ง หรือตามแพทย์สั่ง</t>
        </is>
      </c>
    </row>
    <row r="510">
      <c r="A510" t="n">
        <v>508</v>
      </c>
      <c r="B510" t="inlineStr">
        <is>
          <t>ยาลดความดันโลหิต (D)</t>
        </is>
      </c>
      <c r="C510" t="n">
        <v>1113</v>
      </c>
      <c r="D510" t="inlineStr">
        <is>
          <t>Anapril 5 mg</t>
        </is>
      </c>
      <c r="E510" t="inlineStr">
        <is>
          <t>แผง 10 เม็ด</t>
        </is>
      </c>
      <c r="F510" t="inlineStr">
        <is>
          <t>Enalapril Maleate 5 mg.</t>
        </is>
      </c>
      <c r="G510" t="inlineStr">
        <is>
          <t>BDS001113</t>
        </is>
      </c>
      <c r="H510" t="inlineStr">
        <is>
          <t>Anapril 5 mg (10 tabs)</t>
        </is>
      </c>
      <c r="I510" t="inlineStr">
        <is>
          <t>รับประทานครั้งละ 1-2 เม็ด วันละ 1 ครั้ง หรือตามแพทย์สั่ง</t>
        </is>
      </c>
    </row>
    <row r="511">
      <c r="A511" t="n">
        <v>509</v>
      </c>
      <c r="B511" t="inlineStr">
        <is>
          <t>ยาลดความดันโลหิต (D)</t>
        </is>
      </c>
      <c r="C511" t="n">
        <v>7484</v>
      </c>
      <c r="D511" t="inlineStr">
        <is>
          <t>Annalol-10</t>
        </is>
      </c>
      <c r="E511" t="inlineStr">
        <is>
          <t>แผง 10 เม็ด</t>
        </is>
      </c>
      <c r="F511" t="inlineStr">
        <is>
          <t>Propranolol HCl 10 mg.</t>
        </is>
      </c>
      <c r="G511" t="inlineStr">
        <is>
          <t>BDS007484</t>
        </is>
      </c>
      <c r="H511" t="inlineStr">
        <is>
          <t>Annalol-10 (10 tabs)</t>
        </is>
      </c>
      <c r="I511" t="inlineStr">
        <is>
          <t>รับประทานครั้งละ 1 เม็ด วันละ 2 ครั้ง</t>
        </is>
      </c>
    </row>
    <row r="512">
      <c r="A512" t="n">
        <v>510</v>
      </c>
      <c r="B512" t="inlineStr">
        <is>
          <t>ยาลดความดันโลหิต (D)</t>
        </is>
      </c>
      <c r="C512" t="n">
        <v>1237</v>
      </c>
      <c r="D512" t="inlineStr">
        <is>
          <t>Betalol 10 mg</t>
        </is>
      </c>
      <c r="E512" t="inlineStr">
        <is>
          <t>แผง 10 เม็ด</t>
        </is>
      </c>
      <c r="F512" t="inlineStr">
        <is>
          <t>Propranolol 10 mg.</t>
        </is>
      </c>
      <c r="G512" t="inlineStr">
        <is>
          <t>BDS001237</t>
        </is>
      </c>
      <c r="H512" t="inlineStr">
        <is>
          <t>Betalol 10 mg (10 tabs)</t>
        </is>
      </c>
      <c r="I512" t="inlineStr">
        <is>
          <t xml:space="preserve">รับประทานตามแพทย์สั่ง </t>
        </is>
      </c>
    </row>
    <row r="513">
      <c r="A513" t="n">
        <v>511</v>
      </c>
      <c r="B513" t="inlineStr">
        <is>
          <t>ยาลดความดันโลหิต (D)</t>
        </is>
      </c>
      <c r="C513" t="n">
        <v>1281</v>
      </c>
      <c r="D513" t="inlineStr">
        <is>
          <t>Betalol 40 mg</t>
        </is>
      </c>
      <c r="E513" t="inlineStr">
        <is>
          <t>แผง 10 เม็ด</t>
        </is>
      </c>
      <c r="F513" t="inlineStr">
        <is>
          <t>Propranolol HCl 40 mg.</t>
        </is>
      </c>
      <c r="G513" t="inlineStr">
        <is>
          <t>BDS001281</t>
        </is>
      </c>
      <c r="H513" t="inlineStr">
        <is>
          <t>Betalol 40 mg (10 tabs)</t>
        </is>
      </c>
      <c r="I513" t="inlineStr">
        <is>
          <t xml:space="preserve">รับประทานตามแพทย์สั่ง </t>
        </is>
      </c>
    </row>
    <row r="514">
      <c r="A514" t="n">
        <v>512</v>
      </c>
      <c r="B514" t="inlineStr">
        <is>
          <t>ยาลดความดันโลหิต (D)</t>
        </is>
      </c>
      <c r="C514" t="n">
        <v>40634</v>
      </c>
      <c r="D514" t="inlineStr">
        <is>
          <t>Blopress 16 mg</t>
        </is>
      </c>
      <c r="E514" t="inlineStr">
        <is>
          <t>กล่อง 28 เม็ด</t>
        </is>
      </c>
      <c r="F514" t="inlineStr">
        <is>
          <t>Candesartan Cilexetil 16 mg.</t>
        </is>
      </c>
      <c r="G514" t="inlineStr">
        <is>
          <t>BDS040634</t>
        </is>
      </c>
      <c r="H514" t="inlineStr">
        <is>
          <t>Blopress 16 mg (28 tabs)</t>
        </is>
      </c>
      <c r="I514" t="inlineStr">
        <is>
          <t>รับประทานตามแพทย์สั่ง (โดยทั่วไปครั้งละ 1 เม็ด วันละ 1 ครั้ง หลังอาหารเย็น)</t>
        </is>
      </c>
    </row>
    <row r="515">
      <c r="A515" t="n">
        <v>513</v>
      </c>
      <c r="B515" t="inlineStr">
        <is>
          <t>ยาลดความดันโลหิต (D)</t>
        </is>
      </c>
      <c r="C515" t="n">
        <v>1275</v>
      </c>
      <c r="D515" t="inlineStr">
        <is>
          <t>Blopress 8 mg</t>
        </is>
      </c>
      <c r="E515" t="inlineStr">
        <is>
          <t>แผง 7 เม็ด</t>
        </is>
      </c>
      <c r="F515" t="inlineStr">
        <is>
          <t>Candesartan cilexetil 8 mg.</t>
        </is>
      </c>
      <c r="G515" t="inlineStr">
        <is>
          <t>BDS001275</t>
        </is>
      </c>
      <c r="H515" t="inlineStr">
        <is>
          <t>Blopress 8 mg (7 tabs)</t>
        </is>
      </c>
      <c r="I515" t="inlineStr">
        <is>
          <t>รับประทานตามแพทย์สั่ง (โดยทั่วไปครั้งละ 1 เม็ด วันละ 1 ครั้ง หลังอาหารเย็น)</t>
        </is>
      </c>
    </row>
    <row r="516">
      <c r="A516" t="n">
        <v>514</v>
      </c>
      <c r="B516" t="inlineStr">
        <is>
          <t>ยาลดความดันโลหิต (D)</t>
        </is>
      </c>
      <c r="C516" t="n">
        <v>41442</v>
      </c>
      <c r="D516" t="inlineStr">
        <is>
          <t xml:space="preserve">Caraten 6.25 </t>
        </is>
      </c>
      <c r="E516" t="inlineStr">
        <is>
          <t>แผง 10 เม็ด</t>
        </is>
      </c>
      <c r="F516" t="inlineStr">
        <is>
          <t>Carvedilol 6.25 mg.</t>
        </is>
      </c>
      <c r="G516" t="inlineStr">
        <is>
          <t>BDS041442</t>
        </is>
      </c>
      <c r="H516" t="inlineStr">
        <is>
          <t>Caraten 6.25  (10 tabs)</t>
        </is>
      </c>
      <c r="I516" t="inlineStr">
        <is>
          <t>รับประทานตามแพทย์สั่ง (โดยทั่วไปครั้งละ 1 เม็ด วันละ 1 ครั้ง)</t>
        </is>
      </c>
    </row>
    <row r="517">
      <c r="A517" t="n">
        <v>515</v>
      </c>
      <c r="B517" t="inlineStr">
        <is>
          <t>ยาลดความดันโลหิต (D)</t>
        </is>
      </c>
      <c r="C517" t="n">
        <v>1415</v>
      </c>
      <c r="D517" t="inlineStr">
        <is>
          <t>Cardeloc</t>
        </is>
      </c>
      <c r="E517" t="inlineStr">
        <is>
          <t>แผง 10 เม็ด</t>
        </is>
      </c>
      <c r="F517" t="inlineStr">
        <is>
          <t>Metoprolol Tartrate 100 mg.</t>
        </is>
      </c>
      <c r="G517" t="inlineStr">
        <is>
          <t>BDS001415</t>
        </is>
      </c>
      <c r="H517" t="inlineStr">
        <is>
          <t>Cardeloc (10 tabs)</t>
        </is>
      </c>
      <c r="I517" t="inlineStr">
        <is>
          <t xml:space="preserve">รับประทานตามแพทย์สั่ง </t>
        </is>
      </c>
    </row>
    <row r="518">
      <c r="A518" t="n">
        <v>516</v>
      </c>
      <c r="B518" t="inlineStr">
        <is>
          <t>ยาลดความดันโลหิต (D)</t>
        </is>
      </c>
      <c r="C518" t="n">
        <v>6702</v>
      </c>
      <c r="D518" t="inlineStr">
        <is>
          <t>Catenol 50 mg</t>
        </is>
      </c>
      <c r="E518" t="inlineStr">
        <is>
          <t>แผง 10 เม็ด</t>
        </is>
      </c>
      <c r="F518" t="inlineStr">
        <is>
          <t>Atenolol 50 mg.</t>
        </is>
      </c>
      <c r="G518" t="inlineStr">
        <is>
          <t>BDS006702</t>
        </is>
      </c>
      <c r="H518" t="inlineStr">
        <is>
          <t>Catenol 50 mg (10 tabs)</t>
        </is>
      </c>
      <c r="I518" t="inlineStr">
        <is>
          <t xml:space="preserve">รับประทานตามแพทย์สั่ง </t>
        </is>
      </c>
    </row>
    <row r="519">
      <c r="A519" t="n">
        <v>517</v>
      </c>
      <c r="B519" t="inlineStr">
        <is>
          <t>ยาลดความดันโลหิต (D)</t>
        </is>
      </c>
      <c r="C519" t="n">
        <v>1443</v>
      </c>
      <c r="D519" t="inlineStr">
        <is>
          <t>Cesoline W</t>
        </is>
      </c>
      <c r="E519" t="inlineStr">
        <is>
          <t>แผง 10 เม็ด</t>
        </is>
      </c>
      <c r="F519" t="inlineStr">
        <is>
          <t>Hydralazine HCl 25 mg.</t>
        </is>
      </c>
      <c r="G519" t="inlineStr">
        <is>
          <t>BDS001443</t>
        </is>
      </c>
      <c r="H519" t="inlineStr">
        <is>
          <t>Cesoline W (10 tabs)</t>
        </is>
      </c>
      <c r="I519" t="inlineStr">
        <is>
          <t>รับประทานครั้งละ 1 เม็ด วันละ 2 ครั้ง หรือตามแพทย์สั่ง</t>
        </is>
      </c>
    </row>
    <row r="520">
      <c r="A520" t="n">
        <v>518</v>
      </c>
      <c r="B520" t="inlineStr">
        <is>
          <t>ยาลดความดันโลหิต (D)</t>
        </is>
      </c>
      <c r="C520" t="n">
        <v>1453</v>
      </c>
      <c r="D520" t="inlineStr">
        <is>
          <t>Concor 2.5 mg</t>
        </is>
      </c>
      <c r="E520" t="inlineStr">
        <is>
          <t>แผง 10 เม็ด</t>
        </is>
      </c>
      <c r="F520" t="inlineStr">
        <is>
          <t>Bisoprolol fumarate 2.5 mg.</t>
        </is>
      </c>
      <c r="G520" t="inlineStr">
        <is>
          <t>BDS001453</t>
        </is>
      </c>
      <c r="H520" t="inlineStr">
        <is>
          <t>Concor 2.5 mg (10 tabs)</t>
        </is>
      </c>
      <c r="I520" t="inlineStr">
        <is>
          <t>รับประทานตามแพทย์สั่ง (โดยทั่วไปครั้งละ 1 เม็ด วันละ 1 ครั้ง)</t>
        </is>
      </c>
    </row>
    <row r="521">
      <c r="A521" t="n">
        <v>519</v>
      </c>
      <c r="B521" t="inlineStr">
        <is>
          <t>ยาลดความดันโลหิต (D)</t>
        </is>
      </c>
      <c r="C521" t="n">
        <v>1454</v>
      </c>
      <c r="D521" t="inlineStr">
        <is>
          <t>Concor 5 mg</t>
        </is>
      </c>
      <c r="E521" t="inlineStr">
        <is>
          <t>แผง 10 เม็ด</t>
        </is>
      </c>
      <c r="F521" t="inlineStr">
        <is>
          <t>Bisoprolol fumarate 5 mg.</t>
        </is>
      </c>
      <c r="G521" t="inlineStr">
        <is>
          <t>BDS001454</t>
        </is>
      </c>
      <c r="H521" t="inlineStr">
        <is>
          <t>Concor 5 mg (10 tabs)</t>
        </is>
      </c>
      <c r="I521" t="inlineStr">
        <is>
          <t>รับประทานตามแพทย์สั่ง (โดยทั่วไปครั้งละ 1 เม็ด วันละ 1 ครั้ง)</t>
        </is>
      </c>
    </row>
    <row r="522">
      <c r="A522" t="n">
        <v>520</v>
      </c>
      <c r="B522" t="inlineStr">
        <is>
          <t>ยาลดความดันโลหิต (D)</t>
        </is>
      </c>
      <c r="C522" t="n">
        <v>42320</v>
      </c>
      <c r="D522" t="inlineStr">
        <is>
          <t>Diovan 160 mg</t>
        </is>
      </c>
      <c r="E522" t="inlineStr">
        <is>
          <t>กล่อง 28 เม็ด</t>
        </is>
      </c>
      <c r="F522" t="inlineStr">
        <is>
          <t>Valsartan 160 mg.</t>
        </is>
      </c>
      <c r="G522" t="inlineStr">
        <is>
          <t>BDS042320</t>
        </is>
      </c>
      <c r="H522" t="inlineStr">
        <is>
          <t>Diovan 160 mg (28 tabs)</t>
        </is>
      </c>
      <c r="I522" t="inlineStr">
        <is>
          <t>รับประทานครั้งละ 1 เม็ด วันละ 1 ครั้ง หรือตามแพทย์สั่ง</t>
        </is>
      </c>
    </row>
    <row r="523">
      <c r="A523" t="n">
        <v>521</v>
      </c>
      <c r="B523" t="inlineStr">
        <is>
          <t>ยาลดความดันโลหิต (D)</t>
        </is>
      </c>
      <c r="C523" t="n">
        <v>42319</v>
      </c>
      <c r="D523" t="inlineStr">
        <is>
          <t>Diovan 80 mg</t>
        </is>
      </c>
      <c r="E523" t="inlineStr">
        <is>
          <t>กล่อง 28 เม็ด</t>
        </is>
      </c>
      <c r="F523" t="inlineStr">
        <is>
          <t>Valsartan 80 mg.</t>
        </is>
      </c>
      <c r="G523" t="inlineStr">
        <is>
          <t>BDS042319</t>
        </is>
      </c>
      <c r="H523" t="inlineStr">
        <is>
          <t>Diovan 80 mg (28 tabs)</t>
        </is>
      </c>
      <c r="I523" t="inlineStr">
        <is>
          <t>รับประทานครั้งละ 1 เม็ด วันละ 1 ครั้ง หรือตามแพทย์สั่ง</t>
        </is>
      </c>
    </row>
    <row r="524">
      <c r="A524" t="n">
        <v>522</v>
      </c>
      <c r="B524" t="inlineStr">
        <is>
          <t>ยาลดความดันโลหิต (D)</t>
        </is>
      </c>
      <c r="C524" t="n">
        <v>1845</v>
      </c>
      <c r="D524" t="inlineStr">
        <is>
          <t>Enaril 20 mg</t>
        </is>
      </c>
      <c r="E524" t="inlineStr">
        <is>
          <t>แผง 10 เม็ด</t>
        </is>
      </c>
      <c r="F524" t="inlineStr">
        <is>
          <t>Enalapril Maleate 20 mg.</t>
        </is>
      </c>
      <c r="G524" t="inlineStr">
        <is>
          <t>BDS001845</t>
        </is>
      </c>
      <c r="H524" t="inlineStr">
        <is>
          <t>Enaril 20 mg (10 tabs)</t>
        </is>
      </c>
      <c r="I524" t="inlineStr">
        <is>
          <t>รับประทานครั้งละ 1 เม็ด วันละ 1-2 ครั้ง หรือตามแพทย์สั่ง</t>
        </is>
      </c>
    </row>
    <row r="525">
      <c r="A525" t="n">
        <v>523</v>
      </c>
      <c r="B525" t="inlineStr">
        <is>
          <t>ยาลดความดันโลหิต (D)</t>
        </is>
      </c>
      <c r="C525" t="n">
        <v>1812</v>
      </c>
      <c r="D525" t="inlineStr">
        <is>
          <t>Enaril 5 mg</t>
        </is>
      </c>
      <c r="E525" t="inlineStr">
        <is>
          <t>แผง 10 เม็ด</t>
        </is>
      </c>
      <c r="F525" t="inlineStr">
        <is>
          <t>Enalapril Maleate 5 mg.</t>
        </is>
      </c>
      <c r="G525" t="inlineStr">
        <is>
          <t>BDS001812</t>
        </is>
      </c>
      <c r="H525" t="inlineStr">
        <is>
          <t>Enaril 5 mg (10 tabs)</t>
        </is>
      </c>
      <c r="I525" t="inlineStr">
        <is>
          <t>รับประทานครั้งละ 1-2 เม็ด  วันละ 1 ครั้ง หรือตามแพทย์สั่ง</t>
        </is>
      </c>
    </row>
    <row r="526">
      <c r="A526" t="n">
        <v>524</v>
      </c>
      <c r="B526" t="inlineStr">
        <is>
          <t>ยาลดความดันโลหิต (D)</t>
        </is>
      </c>
      <c r="C526" t="n">
        <v>42814</v>
      </c>
      <c r="D526" t="inlineStr">
        <is>
          <t>Exforge 5 mg/160 mg</t>
        </is>
      </c>
      <c r="E526" t="inlineStr">
        <is>
          <t>กล่อง 28 เม็ด</t>
        </is>
      </c>
      <c r="F526" t="inlineStr">
        <is>
          <t>Amlodipine 5 mg.+Valsartan 160 mg.</t>
        </is>
      </c>
      <c r="G526" t="inlineStr">
        <is>
          <t>BDS042814</t>
        </is>
      </c>
      <c r="H526" t="inlineStr">
        <is>
          <t>Exforge 5 mg/160 mg (28 tabs)</t>
        </is>
      </c>
      <c r="I526" t="inlineStr">
        <is>
          <t>รับประทานครั้งละ 1 เม็ด วันละ 1 ครั้ง หรือตามแพทย์สั่ง</t>
        </is>
      </c>
    </row>
    <row r="527">
      <c r="A527" t="n">
        <v>525</v>
      </c>
      <c r="B527" t="inlineStr">
        <is>
          <t>ยาลดความดันโลหิต (D)</t>
        </is>
      </c>
      <c r="C527" t="n">
        <v>43130</v>
      </c>
      <c r="D527" t="inlineStr">
        <is>
          <t>Felopine 5</t>
        </is>
      </c>
      <c r="E527" t="inlineStr">
        <is>
          <t>กล่อง 3 แผง</t>
        </is>
      </c>
      <c r="F527" t="inlineStr">
        <is>
          <t>Felodipine 5 mg.</t>
        </is>
      </c>
      <c r="G527" t="inlineStr">
        <is>
          <t>BDS043130</t>
        </is>
      </c>
      <c r="H527" t="inlineStr">
        <is>
          <t>Felopine 5 (3 blister)</t>
        </is>
      </c>
      <c r="I527" t="inlineStr">
        <is>
          <t>รับประทานครั้งละ 1 เม็ด วันละ 1 ครั้ง หรือตามแพทย์สั่ง</t>
        </is>
      </c>
    </row>
    <row r="528">
      <c r="A528" t="n">
        <v>526</v>
      </c>
      <c r="B528" t="inlineStr">
        <is>
          <t>ยาลดความดันโลหิต (D)</t>
        </is>
      </c>
      <c r="C528" t="n">
        <v>44317</v>
      </c>
      <c r="D528" t="inlineStr">
        <is>
          <t>Kerdica 20 mg</t>
        </is>
      </c>
      <c r="E528" t="inlineStr">
        <is>
          <t>แผง 10 เม็ด</t>
        </is>
      </c>
      <c r="F528" t="inlineStr">
        <is>
          <t>Manidipine HCl 20 mg.</t>
        </is>
      </c>
      <c r="G528" t="inlineStr">
        <is>
          <t>BDS044317</t>
        </is>
      </c>
      <c r="H528" t="inlineStr">
        <is>
          <t>Kerdica 20 mg (10 tabs)</t>
        </is>
      </c>
      <c r="I528" t="inlineStr">
        <is>
          <t>รับประทานตามแพทย์สั่ง (โดยทั่วไปครั้งละ 1 เม็ด วันละ 1 ครั้ง)</t>
        </is>
      </c>
    </row>
    <row r="529">
      <c r="A529" t="n">
        <v>527</v>
      </c>
      <c r="B529" t="inlineStr">
        <is>
          <t>ยาลดความดันโลหิต (D)</t>
        </is>
      </c>
      <c r="C529" t="n">
        <v>44532</v>
      </c>
      <c r="D529" t="inlineStr">
        <is>
          <t xml:space="preserve">Lanzaar 100 mg </t>
        </is>
      </c>
      <c r="E529" t="inlineStr">
        <is>
          <t>กล่อง 3 แผง</t>
        </is>
      </c>
      <c r="F529" t="inlineStr">
        <is>
          <t>Losartan potassium 100 mg.</t>
        </is>
      </c>
      <c r="G529" t="inlineStr">
        <is>
          <t>BDS044532</t>
        </is>
      </c>
      <c r="H529" t="inlineStr">
        <is>
          <t>Lanzaar 100 mg  (3 blister)</t>
        </is>
      </c>
      <c r="I529" t="inlineStr">
        <is>
          <t>รับประทานตามแพทย์สั่ง</t>
        </is>
      </c>
    </row>
    <row r="530">
      <c r="A530" t="n">
        <v>528</v>
      </c>
      <c r="B530" t="inlineStr">
        <is>
          <t>ยาลดความดันโลหิต (D)</t>
        </is>
      </c>
      <c r="C530" t="n">
        <v>44546</v>
      </c>
      <c r="D530" t="inlineStr">
        <is>
          <t>Lanzaar 50</t>
        </is>
      </c>
      <c r="E530" t="inlineStr">
        <is>
          <t>แผง 10  เม็ด</t>
        </is>
      </c>
      <c r="F530" t="inlineStr">
        <is>
          <t>Losartan potassium 50 mg.</t>
        </is>
      </c>
      <c r="G530" t="inlineStr">
        <is>
          <t>BDS044546</t>
        </is>
      </c>
      <c r="H530" t="inlineStr">
        <is>
          <t>Lanzaar 50 (10 tabs)</t>
        </is>
      </c>
      <c r="I530" t="inlineStr">
        <is>
          <t>รับประทานตามแพทย์สั่ง</t>
        </is>
      </c>
    </row>
    <row r="531">
      <c r="A531" t="n">
        <v>529</v>
      </c>
      <c r="B531" t="inlineStr">
        <is>
          <t>ยาลดความดันโลหิต (D)</t>
        </is>
      </c>
      <c r="C531" t="n">
        <v>2549</v>
      </c>
      <c r="D531" t="inlineStr">
        <is>
          <t>Loranta 100 mg</t>
        </is>
      </c>
      <c r="E531" t="inlineStr">
        <is>
          <t>แผง 10 เม็ด</t>
        </is>
      </c>
      <c r="F531" t="inlineStr">
        <is>
          <t>Losartan potassium 100 mg.</t>
        </is>
      </c>
      <c r="G531" t="inlineStr">
        <is>
          <t>BDS002549</t>
        </is>
      </c>
      <c r="H531" t="inlineStr">
        <is>
          <t>Loranta 100 mg (10 tabs)</t>
        </is>
      </c>
      <c r="I531" t="inlineStr">
        <is>
          <t>รับประทานตามแพทย์สั่ง</t>
        </is>
      </c>
    </row>
    <row r="532">
      <c r="A532" t="n">
        <v>530</v>
      </c>
      <c r="B532" t="inlineStr">
        <is>
          <t>ยาลดความดันโลหิต (D)</t>
        </is>
      </c>
      <c r="C532" t="n">
        <v>2522</v>
      </c>
      <c r="D532" t="inlineStr">
        <is>
          <t>Loranta 50 mg</t>
        </is>
      </c>
      <c r="E532" t="inlineStr">
        <is>
          <t>แผง 10 เม็ด</t>
        </is>
      </c>
      <c r="F532" t="inlineStr">
        <is>
          <t>Losartan potassium 50 mg.</t>
        </is>
      </c>
      <c r="G532" t="inlineStr">
        <is>
          <t>BDS002522</t>
        </is>
      </c>
      <c r="H532" t="inlineStr">
        <is>
          <t>Loranta 50 mg (10 tabs)</t>
        </is>
      </c>
      <c r="I532" t="inlineStr">
        <is>
          <t>รับประทานตามแพทย์สั่ง</t>
        </is>
      </c>
    </row>
    <row r="533">
      <c r="A533" t="n">
        <v>531</v>
      </c>
      <c r="B533" t="inlineStr">
        <is>
          <t>ยาลดความดันโลหิต (D)</t>
        </is>
      </c>
      <c r="C533" t="n">
        <v>6044</v>
      </c>
      <c r="D533" t="inlineStr">
        <is>
          <t>Losartan 50 mg (GPO)</t>
        </is>
      </c>
      <c r="E533" t="inlineStr">
        <is>
          <t>แผง 15 เม็ด</t>
        </is>
      </c>
      <c r="F533" t="inlineStr">
        <is>
          <t>Losartan potassium 50 mg.</t>
        </is>
      </c>
      <c r="G533" t="inlineStr">
        <is>
          <t>BDS006044</t>
        </is>
      </c>
      <c r="H533" t="inlineStr">
        <is>
          <t>Losartan 50 mg (GPO) (15 tabs)</t>
        </is>
      </c>
      <c r="I533" t="inlineStr">
        <is>
          <t>รับประทานตามแพทย์สั่ง (โดยทั่วไปครั้งละ 1 เม็ด วันละ 1 ครั้ง)</t>
        </is>
      </c>
    </row>
    <row r="534">
      <c r="A534" t="n">
        <v>532</v>
      </c>
      <c r="B534" t="inlineStr">
        <is>
          <t>ยาลดความดันโลหิต (D)</t>
        </is>
      </c>
      <c r="C534" t="n">
        <v>7556</v>
      </c>
      <c r="D534" t="inlineStr">
        <is>
          <t>Loxidil 5 mg 100s</t>
        </is>
      </c>
      <c r="E534" t="inlineStr">
        <is>
          <t>กระปุก 100 เม็ด</t>
        </is>
      </c>
      <c r="F534" t="inlineStr">
        <is>
          <t>Minoxidil 5 mg.</t>
        </is>
      </c>
      <c r="G534" t="inlineStr">
        <is>
          <t>BDS007556</t>
        </is>
      </c>
      <c r="H534" t="inlineStr">
        <is>
          <t>Loxidil 5 mg 100s (100 tabs)</t>
        </is>
      </c>
      <c r="I534" t="inlineStr">
        <is>
          <t>รับประทานครั้งละ 1 เม็ด วันละ 2 ครั้ง</t>
        </is>
      </c>
    </row>
    <row r="535">
      <c r="A535" t="n">
        <v>533</v>
      </c>
      <c r="B535" t="inlineStr">
        <is>
          <t>ยาลดความดันโลหิต (D)</t>
        </is>
      </c>
      <c r="C535" t="n">
        <v>3146</v>
      </c>
      <c r="D535" t="inlineStr">
        <is>
          <t>Madiplot 10 mg</t>
        </is>
      </c>
      <c r="E535" t="inlineStr">
        <is>
          <t>แผง 10 เม็ด</t>
        </is>
      </c>
      <c r="F535" t="inlineStr">
        <is>
          <t>Manidipine HCl 10 mg.</t>
        </is>
      </c>
      <c r="G535" t="inlineStr">
        <is>
          <t>BDS003146</t>
        </is>
      </c>
      <c r="H535" t="inlineStr">
        <is>
          <t>Madiplot 10 mg (10 tabs)</t>
        </is>
      </c>
      <c r="I535" t="inlineStr">
        <is>
          <t>รับประทานครั้งละ 1-2 เม็ด วันละ 1 ครั้ง หลังอาหาร</t>
        </is>
      </c>
    </row>
    <row r="536">
      <c r="A536" t="n">
        <v>534</v>
      </c>
      <c r="B536" t="inlineStr">
        <is>
          <t>ยาลดความดันโลหิต (D)</t>
        </is>
      </c>
      <c r="C536" t="n">
        <v>2638</v>
      </c>
      <c r="D536" t="inlineStr">
        <is>
          <t>Madiplot 20 mg</t>
        </is>
      </c>
      <c r="E536" t="inlineStr">
        <is>
          <t>แผง 10 เม็ด</t>
        </is>
      </c>
      <c r="F536" t="inlineStr">
        <is>
          <t>Manidipine HCl 20 mg.</t>
        </is>
      </c>
      <c r="G536" t="inlineStr">
        <is>
          <t>BDS002638</t>
        </is>
      </c>
      <c r="H536" t="inlineStr">
        <is>
          <t>Madiplot 20 mg (10 tabs)</t>
        </is>
      </c>
      <c r="I536" t="inlineStr">
        <is>
          <t>รับประทานตามแพทย์สั่ง (โดยทั่วไปครั้งละ 1 เม็ด วันละ 1 ครั้ง)</t>
        </is>
      </c>
    </row>
    <row r="537">
      <c r="A537" t="n">
        <v>535</v>
      </c>
      <c r="B537" t="inlineStr">
        <is>
          <t>ยาลดความดันโลหิต (D)</t>
        </is>
      </c>
      <c r="C537" t="n">
        <v>2808</v>
      </c>
      <c r="D537" t="inlineStr">
        <is>
          <t>Nelapine 20 SR</t>
        </is>
      </c>
      <c r="E537" t="inlineStr">
        <is>
          <t>กล่อง 3 แผง</t>
        </is>
      </c>
      <c r="F537" t="inlineStr">
        <is>
          <t>Nifedipine 20 mg.</t>
        </is>
      </c>
      <c r="G537" t="inlineStr">
        <is>
          <t>BDS002808</t>
        </is>
      </c>
      <c r="H537" t="inlineStr">
        <is>
          <t>Nelapine 20 SR (3 blister)</t>
        </is>
      </c>
      <c r="I537" t="inlineStr">
        <is>
          <t>รับประทานครั้งละ 1 แคปซูล วันละ 2 ครั้ง หรือตามแพทย์สั่ง</t>
        </is>
      </c>
    </row>
    <row r="538">
      <c r="A538" t="n">
        <v>536</v>
      </c>
      <c r="B538" t="inlineStr">
        <is>
          <t>ยาลดความดันโลหิต (D)</t>
        </is>
      </c>
      <c r="C538" t="n">
        <v>2862</v>
      </c>
      <c r="D538" t="inlineStr">
        <is>
          <t>Norvasc 5 mg</t>
        </is>
      </c>
      <c r="E538" t="inlineStr">
        <is>
          <t>แผง 10 เม็ด</t>
        </is>
      </c>
      <c r="F538" t="inlineStr">
        <is>
          <t>Amlodipine besylate 5 mg.</t>
        </is>
      </c>
      <c r="G538" t="inlineStr">
        <is>
          <t>BDS002862</t>
        </is>
      </c>
      <c r="H538" t="inlineStr">
        <is>
          <t>Norvasc 5 mg (10 tabs)</t>
        </is>
      </c>
      <c r="I538" t="inlineStr">
        <is>
          <t>รับประทานครั้งละ 1 เม็ด วันละ 1 ครั้ง หรือตามแพทย์สั่ง</t>
        </is>
      </c>
    </row>
    <row r="539">
      <c r="A539" t="n">
        <v>537</v>
      </c>
      <c r="B539" t="inlineStr">
        <is>
          <t>ยาลดความดันโลหิต (D)</t>
        </is>
      </c>
      <c r="C539" t="n">
        <v>3174</v>
      </c>
      <c r="D539" t="inlineStr">
        <is>
          <t>Plendil 5 mg</t>
        </is>
      </c>
      <c r="E539" t="inlineStr">
        <is>
          <t>ขวด 30 เม็ด</t>
        </is>
      </c>
      <c r="F539" t="inlineStr">
        <is>
          <t>Felodipine 5 mg.</t>
        </is>
      </c>
      <c r="G539" t="inlineStr">
        <is>
          <t>BDS003174</t>
        </is>
      </c>
      <c r="H539" t="inlineStr">
        <is>
          <t>Plendil 5 mg (30 tabs)</t>
        </is>
      </c>
      <c r="I539" t="inlineStr">
        <is>
          <t>รับประทานครั้งละ 1 เม็ด วันละ 1 ครั้ง หรือตามแพทย์สั่ง</t>
        </is>
      </c>
    </row>
    <row r="540">
      <c r="A540" t="n">
        <v>538</v>
      </c>
      <c r="B540" t="inlineStr">
        <is>
          <t>ยาลดความดันโลหิต (D)</t>
        </is>
      </c>
      <c r="C540" t="n">
        <v>3144</v>
      </c>
      <c r="D540" t="inlineStr">
        <is>
          <t>Prenolol 100 mg</t>
        </is>
      </c>
      <c r="E540" t="inlineStr">
        <is>
          <t>แผง 10 เม็ด</t>
        </is>
      </c>
      <c r="F540" t="inlineStr">
        <is>
          <t>Atenolol 100 mg.</t>
        </is>
      </c>
      <c r="G540" t="inlineStr">
        <is>
          <t>BDS003144</t>
        </is>
      </c>
      <c r="H540" t="inlineStr">
        <is>
          <t>Prenolol 100 mg (10 tabs)</t>
        </is>
      </c>
      <c r="I540" t="inlineStr">
        <is>
          <t xml:space="preserve">รับประทานตามแพทย์สั่ง </t>
        </is>
      </c>
    </row>
    <row r="541">
      <c r="A541" t="n">
        <v>539</v>
      </c>
      <c r="B541" t="inlineStr">
        <is>
          <t>ยาลดความดันโลหิต (D)</t>
        </is>
      </c>
      <c r="C541" t="n">
        <v>3140</v>
      </c>
      <c r="D541" t="inlineStr">
        <is>
          <t>Prenolol 25 mg</t>
        </is>
      </c>
      <c r="E541" t="inlineStr">
        <is>
          <t>แผง 10 เม็ด</t>
        </is>
      </c>
      <c r="F541" t="inlineStr">
        <is>
          <t>Atenolol 25 mg.</t>
        </is>
      </c>
      <c r="G541" t="inlineStr">
        <is>
          <t>BDS003140</t>
        </is>
      </c>
      <c r="H541" t="inlineStr">
        <is>
          <t>Prenolol 25 mg (10 tabs)</t>
        </is>
      </c>
      <c r="I541" t="inlineStr">
        <is>
          <t xml:space="preserve">รับประทานตามแพทย์สั่ง </t>
        </is>
      </c>
    </row>
    <row r="542">
      <c r="A542" t="n">
        <v>540</v>
      </c>
      <c r="B542" t="inlineStr">
        <is>
          <t>ยาลดความดันโลหิต (D)</t>
        </is>
      </c>
      <c r="C542" t="n">
        <v>3145</v>
      </c>
      <c r="D542" t="inlineStr">
        <is>
          <t>Prenolol 50 mg</t>
        </is>
      </c>
      <c r="E542" t="inlineStr">
        <is>
          <t>แผง 10 เม็ด</t>
        </is>
      </c>
      <c r="F542" t="inlineStr">
        <is>
          <t>Atenolol 50 mg.</t>
        </is>
      </c>
      <c r="G542" t="inlineStr">
        <is>
          <t>BDS003145</t>
        </is>
      </c>
      <c r="H542" t="inlineStr">
        <is>
          <t>Prenolol 50 mg (10 tabs)</t>
        </is>
      </c>
      <c r="I542" t="inlineStr">
        <is>
          <t xml:space="preserve">รับประทานตามแพทย์สั่ง </t>
        </is>
      </c>
    </row>
    <row r="543">
      <c r="A543" t="n">
        <v>541</v>
      </c>
      <c r="B543" t="inlineStr">
        <is>
          <t>ยาลดความดันโลหิต (D)</t>
        </is>
      </c>
      <c r="C543" t="n">
        <v>48635</v>
      </c>
      <c r="D543" t="inlineStr">
        <is>
          <t>Tanzaril 100 mg</t>
        </is>
      </c>
      <c r="E543" t="inlineStr">
        <is>
          <t>แผง 10 เม็ด</t>
        </is>
      </c>
      <c r="F543" t="inlineStr">
        <is>
          <t>Losartan potassium 100 mg.</t>
        </is>
      </c>
      <c r="G543" t="inlineStr">
        <is>
          <t>BDS048635</t>
        </is>
      </c>
      <c r="H543" t="inlineStr">
        <is>
          <t>Tanzaril 100 mg (10 tabs)</t>
        </is>
      </c>
      <c r="I543" t="inlineStr">
        <is>
          <t>รับประทานตามแพทย์สั่ง (โดยทั่วไปครั้งละ 1 เม็ด วันละ 1 ครั้ง)</t>
        </is>
      </c>
    </row>
    <row r="544">
      <c r="A544" t="n">
        <v>542</v>
      </c>
      <c r="B544" t="inlineStr">
        <is>
          <t>ยาลดความดันโลหิต (D)</t>
        </is>
      </c>
      <c r="C544" t="n">
        <v>3703</v>
      </c>
      <c r="D544" t="inlineStr">
        <is>
          <t>Tanzaril 50 mg</t>
        </is>
      </c>
      <c r="E544" t="inlineStr">
        <is>
          <t>แผง 10 เม็ด</t>
        </is>
      </c>
      <c r="F544" t="inlineStr">
        <is>
          <t>Losartan potassium 50 mg.</t>
        </is>
      </c>
      <c r="G544" t="inlineStr">
        <is>
          <t>BDS003703</t>
        </is>
      </c>
      <c r="H544" t="inlineStr">
        <is>
          <t>Tanzaril 50 mg (10 tabs)</t>
        </is>
      </c>
      <c r="I544" t="inlineStr">
        <is>
          <t>รับประทานตามแพทย์สั่ง (โดยทั่วไปครั้งละ 1 เม็ด วันละ 1 ครั้ง)</t>
        </is>
      </c>
    </row>
    <row r="545">
      <c r="A545" t="n">
        <v>543</v>
      </c>
      <c r="B545" t="inlineStr">
        <is>
          <t>ยาลดความดันโลหิต (D)</t>
        </is>
      </c>
      <c r="C545" t="n">
        <v>6259</v>
      </c>
      <c r="D545" t="inlineStr">
        <is>
          <t>Zanidip 10 mg</t>
        </is>
      </c>
      <c r="E545" t="inlineStr">
        <is>
          <t>กล่อง 28 เม็ด</t>
        </is>
      </c>
      <c r="F545" t="inlineStr">
        <is>
          <t>Lercanidipine HCl 10 mg.</t>
        </is>
      </c>
      <c r="G545" t="inlineStr">
        <is>
          <t>BDS006259</t>
        </is>
      </c>
      <c r="H545" t="inlineStr">
        <is>
          <t>Zanidip 10 mg (28 tabs)</t>
        </is>
      </c>
      <c r="I545" t="inlineStr">
        <is>
          <t>รับประทานครั้งละ 1 เม็ด วันละ 1 ครั้ง หรือตามแพทย์สั่ง</t>
        </is>
      </c>
    </row>
    <row r="546">
      <c r="A546" t="n">
        <v>544</v>
      </c>
      <c r="B546" t="inlineStr">
        <is>
          <t>ยารักษาเบาหวาน (D)</t>
        </is>
      </c>
      <c r="C546" t="n">
        <v>40006</v>
      </c>
      <c r="D546" t="inlineStr">
        <is>
          <t>Amaryl 2 mg</t>
        </is>
      </c>
      <c r="E546" t="inlineStr">
        <is>
          <t>แผง 10 เม็ด</t>
        </is>
      </c>
      <c r="F546" t="inlineStr">
        <is>
          <t>Glimepiride 2 mg.</t>
        </is>
      </c>
      <c r="G546" t="inlineStr">
        <is>
          <t>BDS040006</t>
        </is>
      </c>
      <c r="H546" t="inlineStr">
        <is>
          <t>Amaryl 2 mg (10 tabs)</t>
        </is>
      </c>
      <c r="I546" t="inlineStr">
        <is>
          <t xml:space="preserve">รับประทานตามแพทย์สั่ง </t>
        </is>
      </c>
    </row>
    <row r="547">
      <c r="A547" t="n">
        <v>545</v>
      </c>
      <c r="B547" t="inlineStr">
        <is>
          <t>ยารักษาเบาหวาน (D)</t>
        </is>
      </c>
      <c r="C547" t="n">
        <v>7131</v>
      </c>
      <c r="D547" t="inlineStr">
        <is>
          <t>Benclamide</t>
        </is>
      </c>
      <c r="E547" t="inlineStr">
        <is>
          <t>แผง 10 เม็ด</t>
        </is>
      </c>
      <c r="F547" t="inlineStr">
        <is>
          <t>Glibenclamide 5 mg.</t>
        </is>
      </c>
      <c r="G547" t="inlineStr">
        <is>
          <t>BDS007131</t>
        </is>
      </c>
      <c r="H547" t="inlineStr">
        <is>
          <t>Benclamide (10 tabs)</t>
        </is>
      </c>
      <c r="I547" t="inlineStr">
        <is>
          <t>รับประทานครั้งละ 1/2-1 เม็ด วันละ 1 ครั้ง หรือตามแพทย์สั่ง</t>
        </is>
      </c>
    </row>
    <row r="548">
      <c r="A548" t="n">
        <v>546</v>
      </c>
      <c r="B548" t="inlineStr">
        <is>
          <t>ยารักษาเบาหวาน (D)</t>
        </is>
      </c>
      <c r="C548" t="n">
        <v>1611</v>
      </c>
      <c r="D548" t="inlineStr">
        <is>
          <t>Daonil 5 mg</t>
        </is>
      </c>
      <c r="E548" t="inlineStr">
        <is>
          <t>แผง 10 เม็ด</t>
        </is>
      </c>
      <c r="F548" t="inlineStr">
        <is>
          <t>Glibenclamide 5 mg.</t>
        </is>
      </c>
      <c r="G548" t="inlineStr">
        <is>
          <t>BDS001611</t>
        </is>
      </c>
      <c r="H548" t="inlineStr">
        <is>
          <t>Daonil 5 mg (10 tabs)</t>
        </is>
      </c>
      <c r="I548" t="inlineStr">
        <is>
          <t>รับประทานครั้งละ 1/2-1 เม็ด วันละ 1 ครั้ง หรือตามแพทย์สั่ง</t>
        </is>
      </c>
    </row>
    <row r="549">
      <c r="A549" t="n">
        <v>547</v>
      </c>
      <c r="B549" t="inlineStr">
        <is>
          <t>ยารักษาเบาหวาน (D)</t>
        </is>
      </c>
      <c r="C549" t="n">
        <v>1639</v>
      </c>
      <c r="D549" t="inlineStr">
        <is>
          <t>Diamicron MR 60 mg</t>
        </is>
      </c>
      <c r="E549" t="inlineStr">
        <is>
          <t>แผง 15 เม็ด</t>
        </is>
      </c>
      <c r="F549" t="inlineStr">
        <is>
          <t>Gliclazide 60 mg.</t>
        </is>
      </c>
      <c r="G549" t="inlineStr">
        <is>
          <t>BDS001639</t>
        </is>
      </c>
      <c r="H549" t="inlineStr">
        <is>
          <t>Diamicron MR 60 mg (15 tabs)</t>
        </is>
      </c>
      <c r="I549" t="inlineStr">
        <is>
          <t>รับประทานตามแพทย์สั่ง (โดยทั่วไปครั้งละ 1 เม็ด วันละ 1 ครั้ง ก่อนอาหาร)</t>
        </is>
      </c>
    </row>
    <row r="550">
      <c r="A550" t="n">
        <v>548</v>
      </c>
      <c r="B550" t="inlineStr">
        <is>
          <t>ยารักษาเบาหวาน (D)</t>
        </is>
      </c>
      <c r="C550" t="n">
        <v>1649</v>
      </c>
      <c r="D550" t="inlineStr">
        <is>
          <t>Dipazide</t>
        </is>
      </c>
      <c r="E550" t="inlineStr">
        <is>
          <t>แผง 10 เม็ด</t>
        </is>
      </c>
      <c r="F550" t="inlineStr">
        <is>
          <t>Glipizide 5 mg.</t>
        </is>
      </c>
      <c r="G550" t="inlineStr">
        <is>
          <t>BDS001649</t>
        </is>
      </c>
      <c r="H550" t="inlineStr">
        <is>
          <t>Dipazide (10 tabs)</t>
        </is>
      </c>
      <c r="I550" t="inlineStr">
        <is>
          <t>รับประทานตามแพทย์สั่ง (โดยทั่วไปครั้งละ 1 เม็ด วันละ 1 ครั้ง ก่อนอาหาร)</t>
        </is>
      </c>
    </row>
    <row r="551">
      <c r="A551" t="n">
        <v>549</v>
      </c>
      <c r="B551" t="inlineStr">
        <is>
          <t>ยารักษาเบาหวาน (D)</t>
        </is>
      </c>
      <c r="C551" t="n">
        <v>43612</v>
      </c>
      <c r="D551" t="inlineStr">
        <is>
          <t>Galvus 50 mg</t>
        </is>
      </c>
      <c r="E551" t="inlineStr">
        <is>
          <t>กล่อง 56 เม็ด</t>
        </is>
      </c>
      <c r="F551" t="inlineStr">
        <is>
          <t>Vildagliptin 50 mg.</t>
        </is>
      </c>
      <c r="G551" t="inlineStr">
        <is>
          <t>BDS043612</t>
        </is>
      </c>
      <c r="H551" t="inlineStr">
        <is>
          <t>Galvus 50 mg (56 tabs)</t>
        </is>
      </c>
      <c r="I551" t="inlineStr">
        <is>
          <t>รับประทานวันละ 2 ครั้ง เช้า-เย็นหรือตามแพทย์สั่ง</t>
        </is>
      </c>
    </row>
    <row r="552">
      <c r="A552" t="n">
        <v>550</v>
      </c>
      <c r="B552" t="inlineStr">
        <is>
          <t>ยารักษาเบาหวาน (D)</t>
        </is>
      </c>
      <c r="C552" t="n">
        <v>43603</v>
      </c>
      <c r="D552" t="inlineStr">
        <is>
          <t>Glizide</t>
        </is>
      </c>
      <c r="E552" t="inlineStr">
        <is>
          <t>แผง 15 เม็ด</t>
        </is>
      </c>
      <c r="F552" t="inlineStr">
        <is>
          <t>Glipizide 5 mg.</t>
        </is>
      </c>
      <c r="G552" t="inlineStr">
        <is>
          <t>BDS043603</t>
        </is>
      </c>
      <c r="H552" t="inlineStr">
        <is>
          <t>Glizide (15 tabs)</t>
        </is>
      </c>
      <c r="I552" t="inlineStr">
        <is>
          <t>รับประทานครั้งละ 1/2-1 เม็ด วันละ 1 ครั้ง ก่อนอาหารเช้า หรือตามแพทย์สั่ง</t>
        </is>
      </c>
    </row>
    <row r="553">
      <c r="A553" t="n">
        <v>551</v>
      </c>
      <c r="B553" t="inlineStr">
        <is>
          <t>ยารักษาเบาหวาน (D)</t>
        </is>
      </c>
      <c r="C553" t="n">
        <v>2021</v>
      </c>
      <c r="D553" t="inlineStr">
        <is>
          <t>Glucophage 500 mg</t>
        </is>
      </c>
      <c r="E553" t="inlineStr">
        <is>
          <t>แผง 10 เม็ด</t>
        </is>
      </c>
      <c r="F553" t="inlineStr">
        <is>
          <t>Metformin HCI 500 mg.</t>
        </is>
      </c>
      <c r="G553" t="inlineStr">
        <is>
          <t>BDS002021</t>
        </is>
      </c>
      <c r="H553" t="inlineStr">
        <is>
          <t>Glucophage 500 mg (10 tabs)</t>
        </is>
      </c>
      <c r="I553" t="inlineStr">
        <is>
          <t xml:space="preserve">รับประทานตามแพทย์สั่ง </t>
        </is>
      </c>
    </row>
    <row r="554">
      <c r="A554" t="n">
        <v>552</v>
      </c>
      <c r="B554" t="inlineStr">
        <is>
          <t>ยารักษาเบาหวาน (D)</t>
        </is>
      </c>
      <c r="C554" t="n">
        <v>2035</v>
      </c>
      <c r="D554" t="inlineStr">
        <is>
          <t>Glucophage 850 mg</t>
        </is>
      </c>
      <c r="E554" t="inlineStr">
        <is>
          <t>แผง 10 เม็ด</t>
        </is>
      </c>
      <c r="F554" t="inlineStr">
        <is>
          <t>Metformin HCl 850 mg.</t>
        </is>
      </c>
      <c r="G554" t="inlineStr">
        <is>
          <t>BDS002035</t>
        </is>
      </c>
      <c r="H554" t="inlineStr">
        <is>
          <t>Glucophage 850 mg (10 tabs)</t>
        </is>
      </c>
      <c r="I554" t="inlineStr">
        <is>
          <t xml:space="preserve">รับประทานตามแพทย์สั่ง </t>
        </is>
      </c>
    </row>
    <row r="555">
      <c r="A555" t="n">
        <v>553</v>
      </c>
      <c r="B555" t="inlineStr">
        <is>
          <t>ยารักษาเบาหวาน (D)</t>
        </is>
      </c>
      <c r="C555" t="n">
        <v>43610</v>
      </c>
      <c r="D555" t="inlineStr">
        <is>
          <t>Glucophage XR 1000 mg</t>
        </is>
      </c>
      <c r="E555" t="inlineStr">
        <is>
          <t>กล่อง 3 แผง</t>
        </is>
      </c>
      <c r="F555" t="inlineStr">
        <is>
          <t>Metformin HCl 1000 mg.</t>
        </is>
      </c>
      <c r="G555" t="inlineStr">
        <is>
          <t>BDS043610</t>
        </is>
      </c>
      <c r="H555" t="inlineStr">
        <is>
          <t>Glucophage XR 1000 mg (3 blister)</t>
        </is>
      </c>
      <c r="I555" t="inlineStr">
        <is>
          <t>รับประทานตามแพทย์สั่ง (โดยทั่วไปครั้งละ 1 เม็ด วันละ 1 ครั้ง หลังอาหารเย็น)</t>
        </is>
      </c>
    </row>
    <row r="556">
      <c r="A556" t="n">
        <v>554</v>
      </c>
      <c r="B556" t="inlineStr">
        <is>
          <t>ยารักษาเบาหวาน (D)</t>
        </is>
      </c>
      <c r="C556" t="n">
        <v>1959</v>
      </c>
      <c r="D556" t="inlineStr">
        <is>
          <t>Glucophage XR 750 mg</t>
        </is>
      </c>
      <c r="E556" t="inlineStr">
        <is>
          <t>แผง 15 เม็ด</t>
        </is>
      </c>
      <c r="F556" t="inlineStr">
        <is>
          <t>Metformin HCl 750 mg.</t>
        </is>
      </c>
      <c r="G556" t="inlineStr">
        <is>
          <t>BDS001959</t>
        </is>
      </c>
      <c r="H556" t="inlineStr">
        <is>
          <t>Glucophage XR 750 mg (15 tabs)</t>
        </is>
      </c>
      <c r="I556" t="inlineStr">
        <is>
          <t>รับประทานตามแพทย์สั่ง (โดยทั่วไปครั้งละ 1 เม็ด วันละ 1 ครั้ง หลังอาหารเย็น)</t>
        </is>
      </c>
    </row>
    <row r="557">
      <c r="A557" t="n">
        <v>555</v>
      </c>
      <c r="B557" t="inlineStr">
        <is>
          <t>ยารักษาเบาหวาน (D)</t>
        </is>
      </c>
      <c r="C557" t="n">
        <v>43611</v>
      </c>
      <c r="D557" t="inlineStr">
        <is>
          <t>Glycediab 5 mg</t>
        </is>
      </c>
      <c r="E557" t="inlineStr">
        <is>
          <t>แผง 10 เม็ด</t>
        </is>
      </c>
      <c r="F557" t="inlineStr">
        <is>
          <t>Glipizide 5 mg.</t>
        </is>
      </c>
      <c r="G557" t="inlineStr">
        <is>
          <t>BDS043611</t>
        </is>
      </c>
      <c r="H557" t="inlineStr">
        <is>
          <t>Glycediab 5 mg (10 tabs)</t>
        </is>
      </c>
      <c r="I557" t="inlineStr">
        <is>
          <t>รับประทานครั้งละ 1/2-1 เม็ด วันละ 1 ครั้ง ก่อนอาหารเช้า หรือตามแพทย์สั่ง</t>
        </is>
      </c>
    </row>
    <row r="558">
      <c r="A558" t="n">
        <v>556</v>
      </c>
      <c r="B558" t="inlineStr">
        <is>
          <t>ยารักษาเบาหวาน (D)</t>
        </is>
      </c>
      <c r="C558" t="n">
        <v>44920</v>
      </c>
      <c r="D558" t="inlineStr">
        <is>
          <t>Metfor-500</t>
        </is>
      </c>
      <c r="E558" t="inlineStr">
        <is>
          <t>แผง 10 เม็ด</t>
        </is>
      </c>
      <c r="F558" t="inlineStr">
        <is>
          <t>Metformin HCl 500 mg.</t>
        </is>
      </c>
      <c r="G558" t="inlineStr">
        <is>
          <t>BDS044920</t>
        </is>
      </c>
      <c r="H558" t="inlineStr">
        <is>
          <t>Metfor-500 (10 tabs)</t>
        </is>
      </c>
      <c r="I558" t="inlineStr">
        <is>
          <t>รับประทานครั้งละ 1-2 เม็ด วันละ 3 ครั้ง หลังอาหาร หรือตามแพทย์สั่ง</t>
        </is>
      </c>
    </row>
    <row r="559">
      <c r="A559" t="n">
        <v>557</v>
      </c>
      <c r="B559" t="inlineStr">
        <is>
          <t>ยารักษาเบาหวาน (D)</t>
        </is>
      </c>
      <c r="C559" t="n">
        <v>6205</v>
      </c>
      <c r="D559" t="inlineStr">
        <is>
          <t>Metformin Hydrochloride 500 mg (GPO)</t>
        </is>
      </c>
      <c r="E559" t="inlineStr">
        <is>
          <t>แผง 10 เม็ด</t>
        </is>
      </c>
      <c r="F559" t="inlineStr">
        <is>
          <t>Metformin HCl 500 mg.</t>
        </is>
      </c>
      <c r="G559" t="inlineStr">
        <is>
          <t>BDS006205</t>
        </is>
      </c>
      <c r="H559" t="inlineStr">
        <is>
          <t>Metformin Hydrochloride 500 mg (GPO) (10 tabs)</t>
        </is>
      </c>
      <c r="I559" t="inlineStr">
        <is>
          <t>รับประทานครั้งละ 1-2 เม็ด วันละ 1-2 ครั้ง หลังอาหาร หรือตามแพทย์สั่ง</t>
        </is>
      </c>
    </row>
    <row r="560">
      <c r="A560" t="n">
        <v>558</v>
      </c>
      <c r="B560" t="inlineStr">
        <is>
          <t>ยารักษาเบาหวาน (D)</t>
        </is>
      </c>
      <c r="C560" t="n">
        <v>44902</v>
      </c>
      <c r="D560" t="inlineStr">
        <is>
          <t>Miformin 500 mg</t>
        </is>
      </c>
      <c r="E560" t="inlineStr">
        <is>
          <t>แผง 10 เม็ด</t>
        </is>
      </c>
      <c r="F560" t="inlineStr">
        <is>
          <t>Metformin HCl 500 mg.</t>
        </is>
      </c>
      <c r="G560" t="inlineStr">
        <is>
          <t>BDS044902</t>
        </is>
      </c>
      <c r="H560" t="inlineStr">
        <is>
          <t>Miformin 500 mg (10 tabs)</t>
        </is>
      </c>
      <c r="I560" t="inlineStr">
        <is>
          <t>รับประทานครั้งละ 1-2 เม็ด วันละ 1-2 ครั้ง หลังอาหาร หรือตามแพทย์สั่ง</t>
        </is>
      </c>
    </row>
    <row r="561">
      <c r="A561" t="n">
        <v>559</v>
      </c>
      <c r="B561" t="inlineStr">
        <is>
          <t>ยารักษาเบาหวาน (D)</t>
        </is>
      </c>
      <c r="C561" t="n">
        <v>2628</v>
      </c>
      <c r="D561" t="inlineStr">
        <is>
          <t>Minidiab</t>
        </is>
      </c>
      <c r="E561" t="inlineStr">
        <is>
          <t>แผง 15 เม็ด</t>
        </is>
      </c>
      <c r="F561" t="inlineStr">
        <is>
          <t>Glipizide 5 mg.</t>
        </is>
      </c>
      <c r="G561" t="inlineStr">
        <is>
          <t>BDS002628</t>
        </is>
      </c>
      <c r="H561" t="inlineStr">
        <is>
          <t>Minidiab (15 tabs)</t>
        </is>
      </c>
      <c r="I561" t="inlineStr">
        <is>
          <t>รับประทานครั้งละ 1/2-1 เม็ด วันละ 1 ครั้ง ก่อนอาหารเช้าหรืออาหารกลางวัน หรือตามแพทย์สั่ง</t>
        </is>
      </c>
    </row>
    <row r="562">
      <c r="A562" t="n">
        <v>560</v>
      </c>
      <c r="B562" t="inlineStr">
        <is>
          <t>ยารักษาเบาหวาน (D)</t>
        </is>
      </c>
      <c r="C562" t="n">
        <v>3612</v>
      </c>
      <c r="D562" t="inlineStr">
        <is>
          <t>Siamformet 500 mg</t>
        </is>
      </c>
      <c r="E562" t="inlineStr">
        <is>
          <t>แผง 10 เม็ด</t>
        </is>
      </c>
      <c r="F562" t="inlineStr">
        <is>
          <t>Metformin HCl 500 mg.</t>
        </is>
      </c>
      <c r="G562" t="inlineStr">
        <is>
          <t>BDS003612</t>
        </is>
      </c>
      <c r="H562" t="inlineStr">
        <is>
          <t>Siamformet 500 mg (10 tabs)</t>
        </is>
      </c>
      <c r="I562" t="inlineStr">
        <is>
          <t>รับประทานครั้งละ 1-2 เม็ด วันละ 1-2 ครั้ง หลังอาหาร หรือตามแพทย์สั่ง</t>
        </is>
      </c>
    </row>
    <row r="563">
      <c r="A563" t="n">
        <v>561</v>
      </c>
      <c r="B563" t="inlineStr">
        <is>
          <t>ยารักษาเบาหวาน (D)</t>
        </is>
      </c>
      <c r="C563" t="n">
        <v>3614</v>
      </c>
      <c r="D563" t="inlineStr">
        <is>
          <t>Siamformet 850 mg</t>
        </is>
      </c>
      <c r="E563" t="inlineStr">
        <is>
          <t>แผง 10 เม็ด</t>
        </is>
      </c>
      <c r="F563" t="inlineStr">
        <is>
          <t>Metformin HCl 850 mg.</t>
        </is>
      </c>
      <c r="G563" t="inlineStr">
        <is>
          <t>BDS003614</t>
        </is>
      </c>
      <c r="H563" t="inlineStr">
        <is>
          <t>Siamformet 850 mg (10 tabs)</t>
        </is>
      </c>
      <c r="I563" t="inlineStr">
        <is>
          <t>รับประทานตามแพทย์สั่ง (โดยทั่วไปครั้งละ 1 เม็ด วันละ 1-2 ครั้ง หลังอาหาร)</t>
        </is>
      </c>
    </row>
    <row r="564">
      <c r="A564" t="n">
        <v>562</v>
      </c>
      <c r="B564" t="inlineStr">
        <is>
          <t>ยารักษาเบาหวาน (D)</t>
        </is>
      </c>
      <c r="C564" t="n">
        <v>6734</v>
      </c>
      <c r="D564" t="inlineStr">
        <is>
          <t>Sugril 5 mg</t>
        </is>
      </c>
      <c r="E564" t="inlineStr">
        <is>
          <t>แผง 10 เม็ด</t>
        </is>
      </c>
      <c r="F564" t="inlineStr">
        <is>
          <t>Glibenclamide 5 mg.</t>
        </is>
      </c>
      <c r="G564" t="inlineStr">
        <is>
          <t>BDS006734</t>
        </is>
      </c>
      <c r="H564" t="inlineStr">
        <is>
          <t>Sugril 5 mg (10 tabs)</t>
        </is>
      </c>
      <c r="I564" t="inlineStr">
        <is>
          <t>รับประทานครั้งละ 1/2-1 เม็ด วันละ 1 ครั้ง หรือตามแพทย์สั่ง</t>
        </is>
      </c>
    </row>
    <row r="565">
      <c r="A565" t="n">
        <v>563</v>
      </c>
      <c r="B565" t="inlineStr">
        <is>
          <t>ยาลดไขมันในเลือด (D)</t>
        </is>
      </c>
      <c r="C565" t="n">
        <v>1960</v>
      </c>
      <c r="D565" t="inlineStr">
        <is>
          <t>Atorvastatin Sandoz 10 mg</t>
        </is>
      </c>
      <c r="E565" t="inlineStr">
        <is>
          <t>แผง 10 เม็ด</t>
        </is>
      </c>
      <c r="F565" t="inlineStr">
        <is>
          <t>Atorvastatin Calcium 10.34 mg. (eq. to Atorvastatin 10 mg.)</t>
        </is>
      </c>
      <c r="G565" t="inlineStr">
        <is>
          <t>BDS001960</t>
        </is>
      </c>
      <c r="H565" t="inlineStr">
        <is>
          <t>Atorvastatin Sandoz 10 mg (10 tabs)</t>
        </is>
      </c>
      <c r="I565" t="inlineStr">
        <is>
          <t xml:space="preserve">รับประทานตามแพทย์สั่ง </t>
        </is>
      </c>
    </row>
    <row r="566">
      <c r="A566" t="n">
        <v>564</v>
      </c>
      <c r="B566" t="inlineStr">
        <is>
          <t>ยาลดไขมันในเลือด (D)</t>
        </is>
      </c>
      <c r="C566" t="n">
        <v>1945</v>
      </c>
      <c r="D566" t="inlineStr">
        <is>
          <t>Atorvastatin Sandoz 20 mg</t>
        </is>
      </c>
      <c r="E566" t="inlineStr">
        <is>
          <t>แผง 10 เม็ด</t>
        </is>
      </c>
      <c r="F566" t="inlineStr">
        <is>
          <t>Atorvastatin Calcium 20.68 mg. (eq. to Atorvastatin 20 mg.)</t>
        </is>
      </c>
      <c r="G566" t="inlineStr">
        <is>
          <t>BDS001945</t>
        </is>
      </c>
      <c r="H566" t="inlineStr">
        <is>
          <t>Atorvastatin Sandoz 20 mg (10 tabs)</t>
        </is>
      </c>
      <c r="I566" t="inlineStr">
        <is>
          <t xml:space="preserve">รับประทานตามแพทย์สั่ง </t>
        </is>
      </c>
    </row>
    <row r="567">
      <c r="A567" t="n">
        <v>565</v>
      </c>
      <c r="B567" t="inlineStr">
        <is>
          <t>ยาลดไขมันในเลือด (D)</t>
        </is>
      </c>
      <c r="C567" t="n">
        <v>1918</v>
      </c>
      <c r="D567" t="inlineStr">
        <is>
          <t>Atorvastatin Sandoz 40 mg</t>
        </is>
      </c>
      <c r="E567" t="inlineStr">
        <is>
          <t>แผง 10 เม็ด</t>
        </is>
      </c>
      <c r="F567" t="inlineStr">
        <is>
          <t>Atorvastatin Calcium 41.36 mg. (eq. to Atorvastatin 40 mg.)</t>
        </is>
      </c>
      <c r="G567" t="inlineStr">
        <is>
          <t>BDS001918</t>
        </is>
      </c>
      <c r="H567" t="inlineStr">
        <is>
          <t>Atorvastatin Sandoz 40 mg (10 tabs)</t>
        </is>
      </c>
      <c r="I567" t="inlineStr">
        <is>
          <t xml:space="preserve">รับประทานตามแพทย์สั่ง </t>
        </is>
      </c>
    </row>
    <row r="568">
      <c r="A568" t="n">
        <v>566</v>
      </c>
      <c r="B568" t="inlineStr">
        <is>
          <t>ยาลดไขมันในเลือด (D)</t>
        </is>
      </c>
      <c r="C568" t="n">
        <v>1226</v>
      </c>
      <c r="D568" t="inlineStr">
        <is>
          <t>Bestatin 10 mg</t>
        </is>
      </c>
      <c r="E568" t="inlineStr">
        <is>
          <t>แผง 10 เม็ด</t>
        </is>
      </c>
      <c r="F568" t="inlineStr">
        <is>
          <t>Simvastatin 10 mg.</t>
        </is>
      </c>
      <c r="G568" t="inlineStr">
        <is>
          <t>BDS001226</t>
        </is>
      </c>
      <c r="H568" t="inlineStr">
        <is>
          <t>Bestatin 10 mg (10 tabs)</t>
        </is>
      </c>
      <c r="I568" t="inlineStr">
        <is>
          <t xml:space="preserve">รับประทานตามแพทย์สั่ง </t>
        </is>
      </c>
    </row>
    <row r="569">
      <c r="A569" t="n">
        <v>567</v>
      </c>
      <c r="B569" t="inlineStr">
        <is>
          <t>ยาลดไขมันในเลือด (D)</t>
        </is>
      </c>
      <c r="C569" t="n">
        <v>1225</v>
      </c>
      <c r="D569" t="inlineStr">
        <is>
          <t>Bestatin 20 mg</t>
        </is>
      </c>
      <c r="E569" t="inlineStr">
        <is>
          <t>แผง 10 เม็ด</t>
        </is>
      </c>
      <c r="F569" t="inlineStr">
        <is>
          <t>Simvastatin 20 mg.</t>
        </is>
      </c>
      <c r="G569" t="inlineStr">
        <is>
          <t>BDS001225</t>
        </is>
      </c>
      <c r="H569" t="inlineStr">
        <is>
          <t>Bestatin 20 mg (10 tabs)</t>
        </is>
      </c>
      <c r="I569" t="inlineStr">
        <is>
          <t xml:space="preserve">รับประทานตามแพทย์สั่ง </t>
        </is>
      </c>
    </row>
    <row r="570">
      <c r="A570" t="n">
        <v>568</v>
      </c>
      <c r="B570" t="inlineStr">
        <is>
          <t>ยาลดไขมันในเลือด (D)</t>
        </is>
      </c>
      <c r="C570" t="n">
        <v>1223</v>
      </c>
      <c r="D570" t="inlineStr">
        <is>
          <t>Bestatin 40 mg</t>
        </is>
      </c>
      <c r="E570" t="inlineStr">
        <is>
          <t>แผง 10 เม็ด</t>
        </is>
      </c>
      <c r="F570" t="inlineStr">
        <is>
          <t>Simvastatin 40 mg.</t>
        </is>
      </c>
      <c r="G570" t="inlineStr">
        <is>
          <t>BDS001223</t>
        </is>
      </c>
      <c r="H570" t="inlineStr">
        <is>
          <t>Bestatin 40 mg (10 tabs)</t>
        </is>
      </c>
      <c r="I570" t="inlineStr">
        <is>
          <t xml:space="preserve">รับประทานตามแพทย์สั่ง </t>
        </is>
      </c>
    </row>
    <row r="571">
      <c r="A571" t="n">
        <v>569</v>
      </c>
      <c r="B571" t="inlineStr">
        <is>
          <t>ยาลดไขมันในเลือด (D)</t>
        </is>
      </c>
      <c r="C571" t="n">
        <v>41432</v>
      </c>
      <c r="D571" t="inlineStr">
        <is>
          <t>Chlovas-40 mg.</t>
        </is>
      </c>
      <c r="E571" t="inlineStr">
        <is>
          <t>แผง 10 เม็ด</t>
        </is>
      </c>
      <c r="F571" t="inlineStr">
        <is>
          <t>Atorvastatin Calcium 43.3 mg. (eq. to Atorvastatin 40 mg.)</t>
        </is>
      </c>
      <c r="G571" t="inlineStr">
        <is>
          <t>BDS041432</t>
        </is>
      </c>
      <c r="H571" t="inlineStr">
        <is>
          <t>Chlovas-40 mg. (10 tabs)</t>
        </is>
      </c>
      <c r="I571" t="inlineStr">
        <is>
          <t xml:space="preserve">รับประทานตามแพทย์สั่ง </t>
        </is>
      </c>
    </row>
    <row r="572">
      <c r="A572" t="n">
        <v>570</v>
      </c>
      <c r="B572" t="inlineStr">
        <is>
          <t>ยาลดไขมันในเลือด (D)</t>
        </is>
      </c>
      <c r="C572" t="n">
        <v>1922</v>
      </c>
      <c r="D572" t="inlineStr">
        <is>
          <t>Fibril 160</t>
        </is>
      </c>
      <c r="E572" t="inlineStr">
        <is>
          <t>แผง 10 แคปซูล</t>
        </is>
      </c>
      <c r="F572" t="inlineStr">
        <is>
          <t>Fenofibrate 160 mg.</t>
        </is>
      </c>
      <c r="G572" t="inlineStr">
        <is>
          <t>BDS001922</t>
        </is>
      </c>
      <c r="H572" t="inlineStr">
        <is>
          <t>Fibril 160 (10 cap)</t>
        </is>
      </c>
      <c r="I572" t="inlineStr">
        <is>
          <t>รับประทานตามแพทย์สั่ง (โดยทั่วไปครั้งละ 1 เม็ด วันละ 1 ครั้ง)</t>
        </is>
      </c>
    </row>
    <row r="573">
      <c r="A573" t="n">
        <v>571</v>
      </c>
      <c r="B573" t="inlineStr">
        <is>
          <t>ยาลดไขมันในเลือด (D)</t>
        </is>
      </c>
      <c r="C573" t="n">
        <v>2132</v>
      </c>
      <c r="D573" t="inlineStr">
        <is>
          <t>Hidil 300 mg</t>
        </is>
      </c>
      <c r="E573" t="inlineStr">
        <is>
          <t>แผง 10 แคปซูล</t>
        </is>
      </c>
      <c r="F573" t="inlineStr">
        <is>
          <t>Gemfibrozil 300 mg.</t>
        </is>
      </c>
      <c r="G573" t="inlineStr">
        <is>
          <t>BDS002132</t>
        </is>
      </c>
      <c r="H573" t="inlineStr">
        <is>
          <t>Hidil 300 mg (10 cap)</t>
        </is>
      </c>
      <c r="I573" t="inlineStr">
        <is>
          <t>รับประทานครั้งละ 1-2 เม็ด วันละ 2 ครั้ง ก่อนอาหารครึ่งชั่วโมง หรือตามแพทย์สั่ง</t>
        </is>
      </c>
    </row>
    <row r="574">
      <c r="A574" t="n">
        <v>572</v>
      </c>
      <c r="B574" t="inlineStr">
        <is>
          <t>ยาลดไขมันในเลือด (D)</t>
        </is>
      </c>
      <c r="C574" t="n">
        <v>2133</v>
      </c>
      <c r="D574" t="inlineStr">
        <is>
          <t>Hidil 600 mg</t>
        </is>
      </c>
      <c r="E574" t="inlineStr">
        <is>
          <t>แผง 10 เม็ด</t>
        </is>
      </c>
      <c r="F574" t="inlineStr">
        <is>
          <t>Gemfibrozil 600 mg.</t>
        </is>
      </c>
      <c r="G574" t="inlineStr">
        <is>
          <t>BDS002133</t>
        </is>
      </c>
      <c r="H574" t="inlineStr">
        <is>
          <t>Hidil 600 mg (10 tabs)</t>
        </is>
      </c>
      <c r="I574" t="inlineStr">
        <is>
          <t>รับประทานครั้งละ 1 เม็ด วันละ 2 ครั้ง หรือตามแพทย์สั่ง</t>
        </is>
      </c>
    </row>
    <row r="575">
      <c r="A575" t="n">
        <v>573</v>
      </c>
      <c r="B575" t="inlineStr">
        <is>
          <t>ยาลดไขมันในเลือด (D)</t>
        </is>
      </c>
      <c r="C575" t="n">
        <v>6466</v>
      </c>
      <c r="D575" t="inlineStr">
        <is>
          <t>Supralip NT 145 mg</t>
        </is>
      </c>
      <c r="E575" t="inlineStr">
        <is>
          <t>แผง 10 เม็ด</t>
        </is>
      </c>
      <c r="F575" t="inlineStr">
        <is>
          <t>Fenofibrate 145 mg.</t>
        </is>
      </c>
      <c r="G575" t="inlineStr">
        <is>
          <t>BDS006466</t>
        </is>
      </c>
      <c r="H575" t="inlineStr">
        <is>
          <t>Supralip NT 145 mg (10 tabs)</t>
        </is>
      </c>
      <c r="I575" t="inlineStr">
        <is>
          <t>รับประทานครั้ง 1 แคปซูล วันละ 1 ครั้ง หรือตามแพทย์สั่ง</t>
        </is>
      </c>
    </row>
    <row r="576">
      <c r="A576" t="n">
        <v>574</v>
      </c>
      <c r="B576" t="inlineStr">
        <is>
          <t>ยาลดไขมันในเลือด (D)</t>
        </is>
      </c>
      <c r="C576" t="n">
        <v>49670</v>
      </c>
      <c r="D576" t="inlineStr">
        <is>
          <t>Xarator 10 mg.</t>
        </is>
      </c>
      <c r="E576" t="inlineStr">
        <is>
          <t>กล่อง 30 เม็ด</t>
        </is>
      </c>
      <c r="F576" t="inlineStr">
        <is>
          <t>Atorvastatin 10 mg.</t>
        </is>
      </c>
      <c r="G576" t="inlineStr">
        <is>
          <t>BDS049670</t>
        </is>
      </c>
      <c r="H576" t="inlineStr">
        <is>
          <t>Xarator 10 mg. (30 tabs)</t>
        </is>
      </c>
      <c r="I576" t="inlineStr">
        <is>
          <t xml:space="preserve">รับประทานตามแพทย์สั่ง </t>
        </is>
      </c>
    </row>
    <row r="577">
      <c r="A577" t="n">
        <v>575</v>
      </c>
      <c r="B577" t="inlineStr">
        <is>
          <t>ยาลดไขมันในเลือด (D)</t>
        </is>
      </c>
      <c r="C577" t="n">
        <v>49671</v>
      </c>
      <c r="D577" t="inlineStr">
        <is>
          <t>Xarator 20 mg.</t>
        </is>
      </c>
      <c r="E577" t="inlineStr">
        <is>
          <t xml:space="preserve">กล่อง 30 เม็ด </t>
        </is>
      </c>
      <c r="F577" t="inlineStr">
        <is>
          <t>Atorvastatin 20 mg.</t>
        </is>
      </c>
      <c r="G577" t="inlineStr">
        <is>
          <t>BDS049671</t>
        </is>
      </c>
      <c r="H577" t="inlineStr">
        <is>
          <t>Xarator 20 mg. (30 tabs)</t>
        </is>
      </c>
      <c r="I577" t="inlineStr">
        <is>
          <t xml:space="preserve">รับประทานตามแพทย์สั่ง </t>
        </is>
      </c>
    </row>
    <row r="578">
      <c r="A578" t="n">
        <v>576</v>
      </c>
      <c r="B578" t="inlineStr">
        <is>
          <t>ยาลดไขมันในเลือด (D)</t>
        </is>
      </c>
      <c r="C578" t="n">
        <v>4228</v>
      </c>
      <c r="D578" t="inlineStr">
        <is>
          <t>Zimmex 10 mg</t>
        </is>
      </c>
      <c r="E578" t="inlineStr">
        <is>
          <t>แผง 10 เม็ด</t>
        </is>
      </c>
      <c r="F578" t="inlineStr">
        <is>
          <t>Simvastatin 10 mg.</t>
        </is>
      </c>
      <c r="G578" t="inlineStr">
        <is>
          <t>BDS004228</t>
        </is>
      </c>
      <c r="H578" t="inlineStr">
        <is>
          <t>Zimmex 10 mg (10 tabs)</t>
        </is>
      </c>
      <c r="I578" t="inlineStr">
        <is>
          <t xml:space="preserve">รับประทานตามแพทย์สั่ง </t>
        </is>
      </c>
    </row>
    <row r="579">
      <c r="A579" t="n">
        <v>577</v>
      </c>
      <c r="B579" t="inlineStr">
        <is>
          <t>ยาลดไขมันในเลือด (D)</t>
        </is>
      </c>
      <c r="C579" t="n">
        <v>1222</v>
      </c>
      <c r="D579" t="inlineStr">
        <is>
          <t>Zimmex 20 mg</t>
        </is>
      </c>
      <c r="E579" t="inlineStr">
        <is>
          <t>แผง 10 เม็ด</t>
        </is>
      </c>
      <c r="F579" t="inlineStr">
        <is>
          <t>Simvastatin 20 mg.</t>
        </is>
      </c>
      <c r="G579" t="inlineStr">
        <is>
          <t>BDS001222</t>
        </is>
      </c>
      <c r="H579" t="inlineStr">
        <is>
          <t>Zimmex 20 mg (10 tabs)</t>
        </is>
      </c>
      <c r="I579" t="inlineStr">
        <is>
          <t xml:space="preserve">รับประทานตามแพทย์สั่ง </t>
        </is>
      </c>
    </row>
    <row r="580">
      <c r="A580" t="n">
        <v>578</v>
      </c>
      <c r="B580" t="inlineStr">
        <is>
          <t>ยาลดไขมันในเลือด (D)</t>
        </is>
      </c>
      <c r="C580" t="n">
        <v>49784</v>
      </c>
      <c r="D580" t="inlineStr">
        <is>
          <t>Zimmex 40 mg</t>
        </is>
      </c>
      <c r="E580" t="inlineStr">
        <is>
          <t>แผง 10 เม็ด</t>
        </is>
      </c>
      <c r="F580" t="inlineStr">
        <is>
          <t>Simvastatin 40 mg.</t>
        </is>
      </c>
      <c r="G580" t="inlineStr">
        <is>
          <t>BDS049784</t>
        </is>
      </c>
      <c r="H580" t="inlineStr">
        <is>
          <t>Zimmex 40 mg (10 tabs)</t>
        </is>
      </c>
      <c r="I580" t="inlineStr">
        <is>
          <t xml:space="preserve">รับประทานตามแพทย์สั่ง </t>
        </is>
      </c>
    </row>
    <row r="581">
      <c r="A581" t="n">
        <v>579</v>
      </c>
      <c r="B581" t="inlineStr">
        <is>
          <t>ยาลดไขมันในเลือด (D)</t>
        </is>
      </c>
      <c r="C581" t="n">
        <v>6693</v>
      </c>
      <c r="D581" t="inlineStr">
        <is>
          <t>Zimva 10 mg (GPO)</t>
        </is>
      </c>
      <c r="E581" t="inlineStr">
        <is>
          <t>แผง 10 เม็ด</t>
        </is>
      </c>
      <c r="F581" t="inlineStr">
        <is>
          <t>Simvastatin 10 mg.</t>
        </is>
      </c>
      <c r="G581" t="inlineStr">
        <is>
          <t>BDS006693</t>
        </is>
      </c>
      <c r="H581" t="inlineStr">
        <is>
          <t>Zimva 10 mg (GPO) (10 tabs)</t>
        </is>
      </c>
      <c r="I581" t="inlineStr">
        <is>
          <t xml:space="preserve">รับประทานตามแพทย์สั่ง </t>
        </is>
      </c>
    </row>
    <row r="582">
      <c r="A582" t="n">
        <v>580</v>
      </c>
      <c r="B582" t="inlineStr">
        <is>
          <t>ยาลดไขมันในเลือด (D)</t>
        </is>
      </c>
      <c r="C582" t="n">
        <v>6691</v>
      </c>
      <c r="D582" t="inlineStr">
        <is>
          <t>Zimva 20 mg (GPO)</t>
        </is>
      </c>
      <c r="E582" t="inlineStr">
        <is>
          <t>แผง 10 เม็ด</t>
        </is>
      </c>
      <c r="F582" t="inlineStr">
        <is>
          <t>Simvastatin 20 mg.</t>
        </is>
      </c>
      <c r="G582" t="inlineStr">
        <is>
          <t>BDS006691</t>
        </is>
      </c>
      <c r="H582" t="inlineStr">
        <is>
          <t>Zimva 20 mg (GPO) (10 tabs)</t>
        </is>
      </c>
      <c r="I582" t="inlineStr">
        <is>
          <t xml:space="preserve">รับประทานตามแพทย์สั่ง </t>
        </is>
      </c>
    </row>
    <row r="583">
      <c r="A583" t="n">
        <v>581</v>
      </c>
      <c r="B583" t="inlineStr">
        <is>
          <t>ยาขับปัสสาวะและลดความดัน (D)</t>
        </is>
      </c>
      <c r="C583" t="n">
        <v>7005</v>
      </c>
      <c r="D583" t="inlineStr">
        <is>
          <t>Altone</t>
        </is>
      </c>
      <c r="E583" t="inlineStr">
        <is>
          <t>แผง 10 เม็ด</t>
        </is>
      </c>
      <c r="F583" t="inlineStr">
        <is>
          <t>Spironolactone 25 mg.</t>
        </is>
      </c>
      <c r="G583" t="inlineStr">
        <is>
          <t>BDS007005</t>
        </is>
      </c>
      <c r="H583" t="inlineStr">
        <is>
          <t>Altone (10 tabs)</t>
        </is>
      </c>
      <c r="I583" t="inlineStr">
        <is>
          <t>รับประทานตามแพทย์สั่ง (ทั่วไปครั้งละ 1 เม็ด ตอนเช้า)</t>
        </is>
      </c>
    </row>
    <row r="584">
      <c r="A584" t="n">
        <v>582</v>
      </c>
      <c r="B584" t="inlineStr">
        <is>
          <t>ยาขับปัสสาวะและลดความดัน (D)</t>
        </is>
      </c>
      <c r="C584" t="n">
        <v>1987</v>
      </c>
      <c r="D584" t="inlineStr">
        <is>
          <t>Furetic 40 mg</t>
        </is>
      </c>
      <c r="E584" t="inlineStr">
        <is>
          <t>แผง 10 เม็ด</t>
        </is>
      </c>
      <c r="F584" t="inlineStr">
        <is>
          <t>Furosemide 40 mg.</t>
        </is>
      </c>
      <c r="G584" t="inlineStr">
        <is>
          <t>BDS001987</t>
        </is>
      </c>
      <c r="H584" t="inlineStr">
        <is>
          <t>Furetic 40 mg (10 tabs)</t>
        </is>
      </c>
      <c r="I584" t="inlineStr">
        <is>
          <t>รับประทานตามแพทย์สั่ง (โดยทั่วไปครั้งละ 1 เม็ด วันละ 1-2 ครั้ง)</t>
        </is>
      </c>
    </row>
    <row r="585">
      <c r="A585" t="n">
        <v>583</v>
      </c>
      <c r="B585" t="inlineStr">
        <is>
          <t>ยาขับปัสสาวะและลดความดัน (D)</t>
        </is>
      </c>
      <c r="C585" t="n">
        <v>6802</v>
      </c>
      <c r="D585" t="inlineStr">
        <is>
          <t>GPO - HCTZ 25</t>
        </is>
      </c>
      <c r="E585" t="inlineStr">
        <is>
          <t>แผง 10 เม็ด</t>
        </is>
      </c>
      <c r="F585" t="inlineStr">
        <is>
          <t>Hydrochlorothiazide 25 mg.</t>
        </is>
      </c>
      <c r="G585" t="inlineStr">
        <is>
          <t>BDS006802</t>
        </is>
      </c>
      <c r="H585" t="inlineStr">
        <is>
          <t>GPO - HCTZ 25 (10 tabs)</t>
        </is>
      </c>
      <c r="I585" t="inlineStr">
        <is>
          <t>รับประทานครั้งละ 1 เม็ด วันละ 1 ครั้ง หรือตามแพทย์สั่ง</t>
        </is>
      </c>
    </row>
    <row r="586">
      <c r="A586" t="n">
        <v>584</v>
      </c>
      <c r="B586" t="inlineStr">
        <is>
          <t>ยาขับปัสสาวะและลดความดัน (D)</t>
        </is>
      </c>
      <c r="C586" t="n">
        <v>6801</v>
      </c>
      <c r="D586" t="inlineStr">
        <is>
          <t>GPO - HCTZ 50</t>
        </is>
      </c>
      <c r="E586" t="inlineStr">
        <is>
          <t>แผง 10 เม็ด</t>
        </is>
      </c>
      <c r="F586" t="inlineStr">
        <is>
          <t>Hydrochlorothiazide 50 mg.</t>
        </is>
      </c>
      <c r="G586" t="inlineStr">
        <is>
          <t>BDS006801</t>
        </is>
      </c>
      <c r="H586" t="inlineStr">
        <is>
          <t>GPO - HCTZ 50 (10 tabs)</t>
        </is>
      </c>
      <c r="I586" t="inlineStr">
        <is>
          <t>รับประทานครั้งละ 1 เม็ด วันละ 1-2 ครั้ง หลังอาหารหรือตามแพทย์สั่ง</t>
        </is>
      </c>
    </row>
    <row r="587">
      <c r="A587" t="n">
        <v>585</v>
      </c>
      <c r="B587" t="inlineStr">
        <is>
          <t>ยาขับปัสสาวะและลดความดัน (D)</t>
        </is>
      </c>
      <c r="C587" t="n">
        <v>1480</v>
      </c>
      <c r="D587" t="inlineStr">
        <is>
          <t>HCTZ 25</t>
        </is>
      </c>
      <c r="E587" t="inlineStr">
        <is>
          <t>แผง 10 เม็ด</t>
        </is>
      </c>
      <c r="F587" t="inlineStr">
        <is>
          <t>Hydrochlorothiazide 25 mg.</t>
        </is>
      </c>
      <c r="G587" t="inlineStr">
        <is>
          <t>BDS001480</t>
        </is>
      </c>
      <c r="H587" t="inlineStr">
        <is>
          <t>HCTZ 25 (10 tabs)</t>
        </is>
      </c>
      <c r="I587" t="inlineStr">
        <is>
          <t>รับประทานครั้งละ 1 เม็ด วันละ 1 ครั้ง ตอนเช้า หรือตามแพทย์สั่ง</t>
        </is>
      </c>
    </row>
    <row r="588">
      <c r="A588" t="n">
        <v>586</v>
      </c>
      <c r="B588" t="inlineStr">
        <is>
          <t>ยาขับปัสสาวะและลดความดัน (D)</t>
        </is>
      </c>
      <c r="C588" t="n">
        <v>2633</v>
      </c>
      <c r="D588" t="inlineStr">
        <is>
          <t>Moduretic</t>
        </is>
      </c>
      <c r="E588" t="inlineStr">
        <is>
          <t>แผง 10 เม็ด</t>
        </is>
      </c>
      <c r="F588" t="inlineStr">
        <is>
          <t>Hydrochlorothiazide 50 mg.+ Amiloride HCl 5 mg</t>
        </is>
      </c>
      <c r="G588" t="inlineStr">
        <is>
          <t>BDS002633</t>
        </is>
      </c>
      <c r="H588" t="inlineStr">
        <is>
          <t>Moduretic (10 tabs)</t>
        </is>
      </c>
      <c r="I588" t="inlineStr">
        <is>
          <t xml:space="preserve">รับประทานตามแพทย์สั่ง </t>
        </is>
      </c>
    </row>
    <row r="589">
      <c r="A589" t="n">
        <v>587</v>
      </c>
      <c r="B589" t="inlineStr">
        <is>
          <t>ยารักษาต่อมลูกหมากโต (D)</t>
        </is>
      </c>
      <c r="C589" t="n">
        <v>1439</v>
      </c>
      <c r="D589" t="inlineStr">
        <is>
          <t>Cardura XL 4 mg</t>
        </is>
      </c>
      <c r="E589" t="inlineStr">
        <is>
          <t>แผง 10 เม็ด</t>
        </is>
      </c>
      <c r="F589" t="inlineStr">
        <is>
          <t>Doxazosin 4 mg.</t>
        </is>
      </c>
      <c r="G589" t="inlineStr">
        <is>
          <t>BDS001439</t>
        </is>
      </c>
      <c r="H589" t="inlineStr">
        <is>
          <t>Cardura XL 4 mg (10 tabs)</t>
        </is>
      </c>
      <c r="I589" t="inlineStr">
        <is>
          <t>รับประทานตามแพทย์สั่ง (โดยทั่วไปครั้งละ 1 เม็ด วันละ 1 ครั้ง)</t>
        </is>
      </c>
    </row>
    <row r="590">
      <c r="A590" t="n">
        <v>588</v>
      </c>
      <c r="B590" t="inlineStr">
        <is>
          <t>ยารักษาต่อมลูกหมากโต (D)</t>
        </is>
      </c>
      <c r="C590" t="n">
        <v>1429</v>
      </c>
      <c r="D590" t="inlineStr">
        <is>
          <t>Cazosin 2 mg</t>
        </is>
      </c>
      <c r="E590" t="inlineStr">
        <is>
          <t>แผง 10 เม็ด</t>
        </is>
      </c>
      <c r="F590" t="inlineStr">
        <is>
          <t>Doxazosin mesylate 2 mg.</t>
        </is>
      </c>
      <c r="G590" t="inlineStr">
        <is>
          <t>BDS001429</t>
        </is>
      </c>
      <c r="H590" t="inlineStr">
        <is>
          <t>Cazosin 2 mg (10 tabs)</t>
        </is>
      </c>
      <c r="I590" t="inlineStr">
        <is>
          <t xml:space="preserve">รับประทานตามแพทย์สั่ง </t>
        </is>
      </c>
    </row>
    <row r="591">
      <c r="A591" t="n">
        <v>589</v>
      </c>
      <c r="B591" t="inlineStr">
        <is>
          <t>ยารักษาต่อมลูกหมากโต (D)</t>
        </is>
      </c>
      <c r="C591" t="n">
        <v>2016</v>
      </c>
      <c r="D591" t="inlineStr">
        <is>
          <t>Firide 5 mg</t>
        </is>
      </c>
      <c r="E591" t="inlineStr">
        <is>
          <t>แผง 10 เม็ด</t>
        </is>
      </c>
      <c r="F591" t="inlineStr">
        <is>
          <t>Finasteride 5 mg.</t>
        </is>
      </c>
      <c r="G591" t="inlineStr">
        <is>
          <t>BDS002016</t>
        </is>
      </c>
      <c r="H591" t="inlineStr">
        <is>
          <t>Firide 5 mg (10 tabs)</t>
        </is>
      </c>
      <c r="I591" t="inlineStr">
        <is>
          <t>รับประทานตามแพทย์สั่ง (โดยทั่วไปครั้งละ 1 เม็ด วันละ 1 ครั้ง หลังอาหารเย็น)</t>
        </is>
      </c>
    </row>
    <row r="592">
      <c r="A592" t="n">
        <v>590</v>
      </c>
      <c r="B592" t="inlineStr">
        <is>
          <t>ยารักษาต่อมลูกหมากโต (D)</t>
        </is>
      </c>
      <c r="C592" t="n">
        <v>46561</v>
      </c>
      <c r="D592" t="inlineStr">
        <is>
          <t xml:space="preserve">Pencor 2 </t>
        </is>
      </c>
      <c r="E592" t="inlineStr">
        <is>
          <t>แผง 10 เม็ด</t>
        </is>
      </c>
      <c r="F592" t="inlineStr">
        <is>
          <t>Doxazosin 2 mg.</t>
        </is>
      </c>
      <c r="G592" t="inlineStr">
        <is>
          <t>BDS046561</t>
        </is>
      </c>
      <c r="H592" t="inlineStr">
        <is>
          <t>Pencor 2  (10 tabs)</t>
        </is>
      </c>
      <c r="I592" t="inlineStr">
        <is>
          <t>รับประทานครั้งละ 1 เม็ด วันละ 1 ครั้ง หรือตามแพทย์สั่ง</t>
        </is>
      </c>
    </row>
    <row r="593">
      <c r="A593" t="n">
        <v>591</v>
      </c>
      <c r="B593" t="inlineStr">
        <is>
          <t>ยากันชัก (D)</t>
        </is>
      </c>
      <c r="C593" t="n">
        <v>1666</v>
      </c>
      <c r="D593" t="inlineStr">
        <is>
          <t>Dilantin</t>
        </is>
      </c>
      <c r="E593" t="inlineStr">
        <is>
          <t>กระปุก 100 แคปซูล</t>
        </is>
      </c>
      <c r="F593" t="inlineStr">
        <is>
          <t>Phenytoin Sodium 100 mg.</t>
        </is>
      </c>
      <c r="G593" t="inlineStr">
        <is>
          <t>BDS001666</t>
        </is>
      </c>
      <c r="H593" t="inlineStr">
        <is>
          <t>Dilantin (100 cap)</t>
        </is>
      </c>
      <c r="I593" t="inlineStr">
        <is>
          <t>รับประทานครั้งละ 1 แคปซูล วันละ 3-4 ครั้ง หรือตามแพทย์สั่ง</t>
        </is>
      </c>
    </row>
    <row r="594">
      <c r="A594" t="n">
        <v>592</v>
      </c>
      <c r="B594" t="inlineStr">
        <is>
          <t>ยากันชัก (D)</t>
        </is>
      </c>
      <c r="C594" t="n">
        <v>2047</v>
      </c>
      <c r="D594" t="inlineStr">
        <is>
          <t>Gabutin 100 mg</t>
        </is>
      </c>
      <c r="E594" t="inlineStr">
        <is>
          <t>แผง 10 แคปซูล</t>
        </is>
      </c>
      <c r="F594" t="inlineStr">
        <is>
          <t>Gabapentin 100 mg.</t>
        </is>
      </c>
      <c r="G594" t="inlineStr">
        <is>
          <t>BDS002047</t>
        </is>
      </c>
      <c r="H594" t="inlineStr">
        <is>
          <t>Gabutin 100 mg (10 cap)</t>
        </is>
      </c>
      <c r="I594" t="inlineStr">
        <is>
          <t>รับประทานครั้งละ 1 แคปซูล วันละ 3 ครั้ง หรือตามแพทย์สั่ง</t>
        </is>
      </c>
    </row>
    <row r="595">
      <c r="A595" t="n">
        <v>593</v>
      </c>
      <c r="B595" t="inlineStr">
        <is>
          <t>ยากันชัก (D)</t>
        </is>
      </c>
      <c r="C595" t="n">
        <v>2046</v>
      </c>
      <c r="D595" t="inlineStr">
        <is>
          <t>Gabutin 300 mg</t>
        </is>
      </c>
      <c r="E595" t="inlineStr">
        <is>
          <t>แผง 10 แคปซูล</t>
        </is>
      </c>
      <c r="F595" t="inlineStr">
        <is>
          <t>Gabapentin 300 mg.</t>
        </is>
      </c>
      <c r="G595" t="inlineStr">
        <is>
          <t>BDS002046</t>
        </is>
      </c>
      <c r="H595" t="inlineStr">
        <is>
          <t>Gabutin 300 mg (10 cap)</t>
        </is>
      </c>
      <c r="I595" t="inlineStr">
        <is>
          <t>รับประทานครั้งละ 1 แคปซูล วันละ 3 ครั้ง หรือตามแพทย์สั่ง</t>
        </is>
      </c>
    </row>
    <row r="596">
      <c r="A596" t="n">
        <v>594</v>
      </c>
      <c r="B596" t="inlineStr">
        <is>
          <t>ยากันชัก (D)</t>
        </is>
      </c>
      <c r="C596" t="n">
        <v>2561</v>
      </c>
      <c r="D596" t="inlineStr">
        <is>
          <t>Lyrica 25 mg</t>
        </is>
      </c>
      <c r="E596" t="inlineStr">
        <is>
          <t>แผง 14 แคปซูล</t>
        </is>
      </c>
      <c r="F596" t="inlineStr">
        <is>
          <t>Pregabalin 25 mg.</t>
        </is>
      </c>
      <c r="G596" t="inlineStr">
        <is>
          <t>BDS002561</t>
        </is>
      </c>
      <c r="H596" t="inlineStr">
        <is>
          <t>Lyrica 25 mg (14 cap)</t>
        </is>
      </c>
      <c r="I596" t="inlineStr">
        <is>
          <t xml:space="preserve">รับประทานตามแพทย์สั่ง </t>
        </is>
      </c>
    </row>
    <row r="597">
      <c r="A597" t="n">
        <v>595</v>
      </c>
      <c r="B597" t="inlineStr">
        <is>
          <t>ยากันชัก (D)</t>
        </is>
      </c>
      <c r="C597" t="n">
        <v>2591</v>
      </c>
      <c r="D597" t="inlineStr">
        <is>
          <t>Lyrica 75 mg</t>
        </is>
      </c>
      <c r="E597" t="inlineStr">
        <is>
          <t>แผง 14 แคปซูล</t>
        </is>
      </c>
      <c r="F597" t="inlineStr">
        <is>
          <t>Pregabalin 75 mg.</t>
        </is>
      </c>
      <c r="G597" t="inlineStr">
        <is>
          <t>BDS002591</t>
        </is>
      </c>
      <c r="H597" t="inlineStr">
        <is>
          <t>Lyrica 75 mg (14 cap)</t>
        </is>
      </c>
      <c r="I597" t="inlineStr">
        <is>
          <t xml:space="preserve">รับประทานตามแพทย์สั่ง </t>
        </is>
      </c>
    </row>
    <row r="598">
      <c r="A598" t="n">
        <v>596</v>
      </c>
      <c r="B598" t="inlineStr">
        <is>
          <t>ยากันชัก (D)</t>
        </is>
      </c>
      <c r="C598" t="n">
        <v>2863</v>
      </c>
      <c r="D598" t="inlineStr">
        <is>
          <t>Neurontin 100 mg</t>
        </is>
      </c>
      <c r="E598" t="inlineStr">
        <is>
          <t>แผง 10 แคปซูล</t>
        </is>
      </c>
      <c r="F598" t="inlineStr">
        <is>
          <t>Gabapentin 100 mg.</t>
        </is>
      </c>
      <c r="G598" t="inlineStr">
        <is>
          <t>BDS002863</t>
        </is>
      </c>
      <c r="H598" t="inlineStr">
        <is>
          <t>Neurontin 100 mg (10 cap)</t>
        </is>
      </c>
      <c r="I598" t="inlineStr">
        <is>
          <t>รับประทานตามแพทย์สั่ง (โดยทั่วไปครั้งละ 1 แคปซูล วันละ 1 ครั้ง ก่อนอาหาร)</t>
        </is>
      </c>
    </row>
    <row r="599">
      <c r="A599" t="n">
        <v>597</v>
      </c>
      <c r="B599" t="inlineStr">
        <is>
          <t>ยากันชัก (D)</t>
        </is>
      </c>
      <c r="C599" t="n">
        <v>2823</v>
      </c>
      <c r="D599" t="inlineStr">
        <is>
          <t>Neurontin 300 mg</t>
        </is>
      </c>
      <c r="E599" t="inlineStr">
        <is>
          <t>แผง 10 แคปซูล</t>
        </is>
      </c>
      <c r="F599" t="inlineStr">
        <is>
          <t>Gabapentin 300 mg.</t>
        </is>
      </c>
      <c r="G599" t="inlineStr">
        <is>
          <t>BDS002823</t>
        </is>
      </c>
      <c r="H599" t="inlineStr">
        <is>
          <t>Neurontin 300 mg (10 cap)</t>
        </is>
      </c>
      <c r="I599" t="inlineStr">
        <is>
          <t xml:space="preserve">รับประทานตามแพทย์สั่ง </t>
        </is>
      </c>
    </row>
    <row r="600">
      <c r="A600" t="n">
        <v>598</v>
      </c>
      <c r="B600" t="inlineStr">
        <is>
          <t>ยากันชัก (D)</t>
        </is>
      </c>
      <c r="C600" t="n">
        <v>46516</v>
      </c>
      <c r="D600" t="inlineStr">
        <is>
          <t>Pregabalin Sandoz 25 mg</t>
        </is>
      </c>
      <c r="E600" t="inlineStr">
        <is>
          <t>แผง 7 แคปซูล</t>
        </is>
      </c>
      <c r="F600" t="inlineStr">
        <is>
          <t>Pregabalin 25 mg.</t>
        </is>
      </c>
      <c r="G600" t="inlineStr">
        <is>
          <t>BDS046516</t>
        </is>
      </c>
      <c r="H600" t="inlineStr">
        <is>
          <t>Pregabalin Sandoz 25 mg (7 cap)</t>
        </is>
      </c>
      <c r="I600" t="inlineStr">
        <is>
          <t>รับประทานตามแพทย์สั่ง (ทั่วไปครั้งละ 1 เม็ด ก่อนนอน)</t>
        </is>
      </c>
    </row>
    <row r="601">
      <c r="A601" t="n">
        <v>599</v>
      </c>
      <c r="B601" t="inlineStr">
        <is>
          <t>ยากันชัก (D)</t>
        </is>
      </c>
      <c r="C601" t="n">
        <v>46517</v>
      </c>
      <c r="D601" t="inlineStr">
        <is>
          <t>Pregabalin Sandoz 75 mg</t>
        </is>
      </c>
      <c r="E601" t="inlineStr">
        <is>
          <t>แผง 7 แคปซูล</t>
        </is>
      </c>
      <c r="F601" t="inlineStr">
        <is>
          <t>Pregabalin 75 mg.</t>
        </is>
      </c>
      <c r="G601" t="inlineStr">
        <is>
          <t>BDS046517</t>
        </is>
      </c>
      <c r="H601" t="inlineStr">
        <is>
          <t>Pregabalin Sandoz 75 mg (7 cap)</t>
        </is>
      </c>
      <c r="I601" t="inlineStr">
        <is>
          <t>รับประทานครั้ง 1 แคปซูล วันละ 1 ครั้ง ก่อนนอน</t>
        </is>
      </c>
    </row>
    <row r="602">
      <c r="A602" t="n">
        <v>600</v>
      </c>
      <c r="B602" t="inlineStr">
        <is>
          <t>ยารักษาไทรอยด์ (D)</t>
        </is>
      </c>
      <c r="C602" t="n">
        <v>42823</v>
      </c>
      <c r="D602" t="inlineStr">
        <is>
          <t>Euthyrox 100 mcg สูตรปรับปรุง</t>
        </is>
      </c>
      <c r="E602" t="inlineStr">
        <is>
          <t>กล่อง 100 เม็ด</t>
        </is>
      </c>
      <c r="F602" t="inlineStr">
        <is>
          <t>Levothyroxine Sodium 100 mcg.</t>
        </is>
      </c>
      <c r="G602" t="inlineStr">
        <is>
          <t>BDS042823</t>
        </is>
      </c>
      <c r="H602" t="inlineStr">
        <is>
          <t>Euthyrox 100 mcg สูตรปรับปรุง (100 tabs)</t>
        </is>
      </c>
      <c r="I602" t="inlineStr">
        <is>
          <t>รับประทานตามแพทย์สั่ง (โดยทั่วไปครั้งละ ครึ่ง-1 เม็ด วันละ 1 ครั้ง ก่อนอาหารเช้า)</t>
        </is>
      </c>
    </row>
    <row r="603">
      <c r="A603" t="n">
        <v>601</v>
      </c>
      <c r="B603" t="inlineStr">
        <is>
          <t>ยารักษาไทรอยด์ (D)</t>
        </is>
      </c>
      <c r="C603" t="n">
        <v>42824</v>
      </c>
      <c r="D603" t="inlineStr">
        <is>
          <t>Euthyrox 50 mcg สูตรปรับปรุง</t>
        </is>
      </c>
      <c r="E603" t="inlineStr">
        <is>
          <t>กล่อง 100 เม็ด</t>
        </is>
      </c>
      <c r="F603" t="inlineStr">
        <is>
          <t>Levothyroxine Sodium 50 mcg.</t>
        </is>
      </c>
      <c r="G603" t="inlineStr">
        <is>
          <t>BDS042824</t>
        </is>
      </c>
      <c r="H603" t="inlineStr">
        <is>
          <t>Euthyrox 50 mcg สูตรปรับปรุง (100 tabs)</t>
        </is>
      </c>
      <c r="I603" t="inlineStr">
        <is>
          <t>รับประทานตามแพทย์สั่ง (โดยทั่วไปครั้งละ ครึ่ง-1 เม็ด วันละ 1 ครั้ง ก่อนอาหารเช้า)</t>
        </is>
      </c>
    </row>
    <row r="604">
      <c r="A604" t="n">
        <v>602</v>
      </c>
      <c r="B604" t="inlineStr">
        <is>
          <t>ยารักษาไทรอยด์ (D)</t>
        </is>
      </c>
      <c r="C604" t="n">
        <v>46506</v>
      </c>
      <c r="D604" t="inlineStr">
        <is>
          <t>Pyroid</t>
        </is>
      </c>
      <c r="E604" t="inlineStr">
        <is>
          <t>แผง 10 เม็ด</t>
        </is>
      </c>
      <c r="F604" t="inlineStr">
        <is>
          <t>Propylthiouracil 50 mg</t>
        </is>
      </c>
      <c r="G604" t="inlineStr">
        <is>
          <t>BDS046506</t>
        </is>
      </c>
      <c r="H604" t="inlineStr">
        <is>
          <t>Pyroid (10 tabs)</t>
        </is>
      </c>
      <c r="I604" t="inlineStr">
        <is>
          <t xml:space="preserve">รับประทานตามแพทย์สั่ง </t>
        </is>
      </c>
    </row>
    <row r="605">
      <c r="A605" t="n">
        <v>603</v>
      </c>
      <c r="B605" t="inlineStr">
        <is>
          <t>ยารักษาไทรอยด์ (D)</t>
        </is>
      </c>
      <c r="C605" t="n">
        <v>3746</v>
      </c>
      <c r="D605" t="inlineStr">
        <is>
          <t>Timazol</t>
        </is>
      </c>
      <c r="E605" t="inlineStr">
        <is>
          <t>แผง 10 เม็ด</t>
        </is>
      </c>
      <c r="F605" t="inlineStr">
        <is>
          <t>Methimazole 5 mg.</t>
        </is>
      </c>
      <c r="G605" t="inlineStr">
        <is>
          <t>BDS003746</t>
        </is>
      </c>
      <c r="H605" t="inlineStr">
        <is>
          <t>Timazol (10 tabs)</t>
        </is>
      </c>
      <c r="I605" t="inlineStr">
        <is>
          <t xml:space="preserve">รับประทานตามแพทย์สั่ง </t>
        </is>
      </c>
    </row>
    <row r="606">
      <c r="A606" t="n">
        <v>604</v>
      </c>
      <c r="B606" t="inlineStr">
        <is>
          <t>ยารักษาเกาต์ (D)</t>
        </is>
      </c>
      <c r="C606" t="n">
        <v>7004</v>
      </c>
      <c r="D606" t="inlineStr">
        <is>
          <t>Alinol 100 mg</t>
        </is>
      </c>
      <c r="E606" t="inlineStr">
        <is>
          <t>แผง 10 เม็ด</t>
        </is>
      </c>
      <c r="F606" t="inlineStr">
        <is>
          <t>Allopurinol 100 mg.</t>
        </is>
      </c>
      <c r="G606" t="inlineStr">
        <is>
          <t>BDS007004</t>
        </is>
      </c>
      <c r="H606" t="inlineStr">
        <is>
          <t>Alinol 100 mg (10 tabs)</t>
        </is>
      </c>
      <c r="I606" t="inlineStr">
        <is>
          <t>รับประทานครั้งละ 1 เม็ด วันละ 1-3 ครั้ง หลังอาหาร</t>
        </is>
      </c>
    </row>
    <row r="607">
      <c r="A607" t="n">
        <v>605</v>
      </c>
      <c r="B607" t="inlineStr">
        <is>
          <t>ยารักษาเกาต์ (D)</t>
        </is>
      </c>
      <c r="C607" t="n">
        <v>1460</v>
      </c>
      <c r="D607" t="inlineStr">
        <is>
          <t>Colchicine 0.6 mg</t>
        </is>
      </c>
      <c r="E607" t="inlineStr">
        <is>
          <t>แผง 10 เม็ด</t>
        </is>
      </c>
      <c r="F607" t="inlineStr">
        <is>
          <t>Colchicine 0.6 mg.</t>
        </is>
      </c>
      <c r="G607" t="inlineStr">
        <is>
          <t>BDS001460</t>
        </is>
      </c>
      <c r="H607" t="inlineStr">
        <is>
          <t>Colchicine 0.6 mg (10 tabs)</t>
        </is>
      </c>
      <c r="I607" t="inlineStr">
        <is>
          <t>รับประทานครั้งละ 1 เม็ด วันละ 3 ครั้ง</t>
        </is>
      </c>
    </row>
    <row r="608">
      <c r="A608" t="n">
        <v>606</v>
      </c>
      <c r="B608" t="inlineStr">
        <is>
          <t>ยารักษาเกาต์ (D)</t>
        </is>
      </c>
      <c r="C608" t="n">
        <v>8731</v>
      </c>
      <c r="D608" t="inlineStr">
        <is>
          <t>Colchimex</t>
        </is>
      </c>
      <c r="E608" t="inlineStr">
        <is>
          <t>แผง 10 เม็ด</t>
        </is>
      </c>
      <c r="F608" t="inlineStr">
        <is>
          <t>Colchicine 0.6 mg.</t>
        </is>
      </c>
      <c r="G608" t="inlineStr">
        <is>
          <t>BDS008731</t>
        </is>
      </c>
      <c r="H608" t="inlineStr">
        <is>
          <t>Colchimex (10 tabs)</t>
        </is>
      </c>
      <c r="I608" t="inlineStr">
        <is>
          <t>รับประทานครั้งละ 1 เม็ด วันละ 3 ครั้ง หลังอาหาร</t>
        </is>
      </c>
    </row>
    <row r="609">
      <c r="A609" t="n">
        <v>607</v>
      </c>
      <c r="B609" t="inlineStr">
        <is>
          <t>ยารักษาเกาต์ (D)</t>
        </is>
      </c>
      <c r="C609" t="n">
        <v>7613</v>
      </c>
      <c r="D609" t="inlineStr">
        <is>
          <t>Puride 100 mg</t>
        </is>
      </c>
      <c r="E609" t="inlineStr">
        <is>
          <t>แผง 10 เม็ด</t>
        </is>
      </c>
      <c r="F609" t="inlineStr">
        <is>
          <t>Allopurinol 100 mg.</t>
        </is>
      </c>
      <c r="G609" t="inlineStr">
        <is>
          <t>BDS007613</t>
        </is>
      </c>
      <c r="H609" t="inlineStr">
        <is>
          <t>Puride 100 mg (10 tabs)</t>
        </is>
      </c>
      <c r="I609" t="inlineStr">
        <is>
          <t>รับประทานครั้งละ 1 เม็ด วันละ 1-3  ครั้ง หลังอาหาร</t>
        </is>
      </c>
    </row>
    <row r="610">
      <c r="A610" t="n">
        <v>608</v>
      </c>
      <c r="B610" t="inlineStr">
        <is>
          <t>ยารักษาเกาต์ (D)</t>
        </is>
      </c>
      <c r="C610" t="n">
        <v>7611</v>
      </c>
      <c r="D610" t="inlineStr">
        <is>
          <t>Puride 300 mg</t>
        </is>
      </c>
      <c r="E610" t="inlineStr">
        <is>
          <t>แผง 10 เม็ด</t>
        </is>
      </c>
      <c r="F610" t="inlineStr">
        <is>
          <t>Allopurinol 300 mg.</t>
        </is>
      </c>
      <c r="G610" t="inlineStr">
        <is>
          <t>BDS007611</t>
        </is>
      </c>
      <c r="H610" t="inlineStr">
        <is>
          <t>Puride 300 mg (10 tabs)</t>
        </is>
      </c>
      <c r="I610" t="inlineStr">
        <is>
          <t>รับประทานครั้งละ 1 เม็ด วันละ 1 ครั้ง หลังอาหาร</t>
        </is>
      </c>
    </row>
    <row r="611">
      <c r="A611" t="n">
        <v>609</v>
      </c>
      <c r="B611" t="inlineStr">
        <is>
          <t>ยารักษาเกาต์ (D)</t>
        </is>
      </c>
      <c r="C611" t="n">
        <v>3732</v>
      </c>
      <c r="D611" t="inlineStr">
        <is>
          <t>Tolchicine T.O.</t>
        </is>
      </c>
      <c r="E611" t="inlineStr">
        <is>
          <t>แผง 10 เม็ด</t>
        </is>
      </c>
      <c r="F611" t="inlineStr">
        <is>
          <t>Colchicine 0.6 mg.</t>
        </is>
      </c>
      <c r="G611" t="inlineStr">
        <is>
          <t>BDS003732</t>
        </is>
      </c>
      <c r="H611" t="inlineStr">
        <is>
          <t>Tolchicine T.O. (10 tabs)</t>
        </is>
      </c>
      <c r="I611" t="inlineStr">
        <is>
          <t>รับประทานครั้งละ 1 เม็ด  วันละ 3 ครั้ง</t>
        </is>
      </c>
    </row>
    <row r="612">
      <c r="A612" t="n">
        <v>610</v>
      </c>
      <c r="B612" t="inlineStr">
        <is>
          <t>ยารักษาเกาต์ (D)</t>
        </is>
      </c>
      <c r="C612" t="n">
        <v>7312</v>
      </c>
      <c r="D612" t="inlineStr">
        <is>
          <t>Xanol</t>
        </is>
      </c>
      <c r="E612" t="inlineStr">
        <is>
          <t>แผง 10 เม็ด</t>
        </is>
      </c>
      <c r="F612" t="inlineStr">
        <is>
          <t>Allopurinol 300 mg.</t>
        </is>
      </c>
      <c r="G612" t="inlineStr">
        <is>
          <t>BDS007312</t>
        </is>
      </c>
      <c r="H612" t="inlineStr">
        <is>
          <t>Xanol (10 tabs)</t>
        </is>
      </c>
      <c r="I612" t="inlineStr">
        <is>
          <t>รับประทานครั้งละ 1 เม็ด วันละ 1 ครั้ง หลังอาหาร</t>
        </is>
      </c>
    </row>
    <row r="613">
      <c r="A613" t="n">
        <v>611</v>
      </c>
      <c r="B613" t="inlineStr">
        <is>
          <t>ยาป้องกันการแข็งตัวของเลือด (D)</t>
        </is>
      </c>
      <c r="C613" t="n">
        <v>1107</v>
      </c>
      <c r="D613" t="inlineStr">
        <is>
          <t>Apolets</t>
        </is>
      </c>
      <c r="E613" t="inlineStr">
        <is>
          <t>แผง 10 เม็ด</t>
        </is>
      </c>
      <c r="F613" t="inlineStr">
        <is>
          <t>Clopidogrel 75 mg.</t>
        </is>
      </c>
      <c r="G613" t="inlineStr">
        <is>
          <t>BDS001107</t>
        </is>
      </c>
      <c r="H613" t="inlineStr">
        <is>
          <t>Apolets (10 tabs)</t>
        </is>
      </c>
      <c r="I613" t="inlineStr">
        <is>
          <t>รับประทานครั้งละ 1 เม็ด วันละ 1 ครั้ง หรือตามแพทย์สั่ง</t>
        </is>
      </c>
    </row>
    <row r="614">
      <c r="A614" t="n">
        <v>612</v>
      </c>
      <c r="B614" t="inlineStr">
        <is>
          <t>ยาป้องกันการแข็งตัวของเลือด (D)</t>
        </is>
      </c>
      <c r="C614" t="n">
        <v>1070</v>
      </c>
      <c r="D614" t="inlineStr">
        <is>
          <t>Asa-tabs</t>
        </is>
      </c>
      <c r="E614" t="inlineStr">
        <is>
          <t>แผง 10 เม็ด</t>
        </is>
      </c>
      <c r="F614" t="inlineStr">
        <is>
          <t>Aspirin 81 mg.</t>
        </is>
      </c>
      <c r="G614" t="inlineStr">
        <is>
          <t>BDS001070</t>
        </is>
      </c>
      <c r="H614" t="inlineStr">
        <is>
          <t>Asa-tabs (10 tabs)</t>
        </is>
      </c>
      <c r="I614" t="inlineStr">
        <is>
          <t xml:space="preserve">รับประทานตามแพทย์สั่ง </t>
        </is>
      </c>
    </row>
    <row r="615">
      <c r="A615" t="n">
        <v>613</v>
      </c>
      <c r="B615" t="inlineStr">
        <is>
          <t>ยาป้องกันการแข็งตัวของเลือด (D)</t>
        </is>
      </c>
      <c r="C615" t="n">
        <v>1077</v>
      </c>
      <c r="D615" t="inlineStr">
        <is>
          <t>Aspilets</t>
        </is>
      </c>
      <c r="E615" t="inlineStr">
        <is>
          <t>แผง 10 เม็ด</t>
        </is>
      </c>
      <c r="F615" t="inlineStr">
        <is>
          <t>Aspirin 81 mg.</t>
        </is>
      </c>
      <c r="G615" t="inlineStr">
        <is>
          <t>BDS001077</t>
        </is>
      </c>
      <c r="H615" t="inlineStr">
        <is>
          <t>Aspilets (10 tabs)</t>
        </is>
      </c>
      <c r="I615" t="inlineStr">
        <is>
          <t xml:space="preserve">รับประทานตามแพทย์สั่ง </t>
        </is>
      </c>
    </row>
    <row r="616">
      <c r="A616" t="n">
        <v>614</v>
      </c>
      <c r="B616" t="inlineStr">
        <is>
          <t>ยาเฉพาะทางอื่นๆ (D)</t>
        </is>
      </c>
      <c r="C616" t="n">
        <v>3651</v>
      </c>
      <c r="D616" t="inlineStr">
        <is>
          <t>Sermion 10 mg</t>
        </is>
      </c>
      <c r="E616" t="inlineStr">
        <is>
          <t>แผง 25 เม็ด</t>
        </is>
      </c>
      <c r="F616" t="inlineStr">
        <is>
          <t>Nicergoline 10 mg.</t>
        </is>
      </c>
      <c r="G616" t="inlineStr">
        <is>
          <t>BDS003651</t>
        </is>
      </c>
      <c r="H616" t="inlineStr">
        <is>
          <t>Sermion 10 mg (25 tabs)</t>
        </is>
      </c>
      <c r="I616" t="inlineStr">
        <is>
          <t xml:space="preserve">รับประทานครั้งละ 1 เม็ด วันละ 2 ครั้ง หลังอาหาร หรือตามแพทย์สั่ง </t>
        </is>
      </c>
    </row>
    <row r="617">
      <c r="A617" t="n">
        <v>615</v>
      </c>
      <c r="B617" t="inlineStr">
        <is>
          <t>ยาเฉพาะทางอื่นๆ (D)</t>
        </is>
      </c>
      <c r="C617" t="n">
        <v>3652</v>
      </c>
      <c r="D617" t="inlineStr">
        <is>
          <t>Sermion 30 mg</t>
        </is>
      </c>
      <c r="E617" t="inlineStr">
        <is>
          <t>แผง 15 เม็ด</t>
        </is>
      </c>
      <c r="F617" t="inlineStr">
        <is>
          <t>Nicergoline 30 mg.</t>
        </is>
      </c>
      <c r="G617" t="inlineStr">
        <is>
          <t>BDS003652</t>
        </is>
      </c>
      <c r="H617" t="inlineStr">
        <is>
          <t>Sermion 30 mg (15 tabs)</t>
        </is>
      </c>
      <c r="I617" t="inlineStr">
        <is>
          <t xml:space="preserve">รับประทานครั้งละ 1 เม็ด วันละ 2 ครั้ง หลังอาหาร หรือตามแพทย์สั่ง </t>
        </is>
      </c>
    </row>
    <row r="618">
      <c r="A618" t="n">
        <v>616</v>
      </c>
      <c r="B618" t="inlineStr">
        <is>
          <t>ยาเฉพาะทางอื่นๆ (D)</t>
        </is>
      </c>
      <c r="C618" t="n">
        <v>4151</v>
      </c>
      <c r="D618" t="inlineStr">
        <is>
          <t>Xenical</t>
        </is>
      </c>
      <c r="E618" t="inlineStr">
        <is>
          <t>กล่อง 21 แคปซูล</t>
        </is>
      </c>
      <c r="F618" t="inlineStr">
        <is>
          <t>Orlistat 120 mg.</t>
        </is>
      </c>
      <c r="G618" t="inlineStr">
        <is>
          <t>BDS004151</t>
        </is>
      </c>
      <c r="H618" t="inlineStr">
        <is>
          <t>Xenical (21 cap)</t>
        </is>
      </c>
      <c r="I618" t="inlineStr">
        <is>
          <t>รับประทานครั้งละ 1 แคปซูล วันละ 2 ครั้ง ก่อนอาหารเที่ยง-เย็น</t>
        </is>
      </c>
    </row>
    <row r="619">
      <c r="A619" t="n">
        <v>617</v>
      </c>
      <c r="B619" t="inlineStr">
        <is>
          <t>วิตามินบำรุงโลหิต</t>
        </is>
      </c>
      <c r="C619" t="n">
        <v>43159</v>
      </c>
      <c r="D619" t="inlineStr">
        <is>
          <t>Ferli-6</t>
        </is>
      </c>
      <c r="E619" t="inlineStr">
        <is>
          <t>แผง 30 เม็ด</t>
        </is>
      </c>
      <c r="F619" t="inlineStr">
        <is>
          <t>Ferrous fumarate 200 mg +Folic 0.5 mg +Pyridoxine hydrochloride 5 mg</t>
        </is>
      </c>
      <c r="G619" t="inlineStr">
        <is>
          <t>BDS043159</t>
        </is>
      </c>
      <c r="H619" t="inlineStr">
        <is>
          <t>Ferli-6 (30 tabs)</t>
        </is>
      </c>
      <c r="I619" t="inlineStr">
        <is>
          <t>รับประทานครั้งละ 1 เม็ด วันละ 3 ครั้ง หลังอาหาร หรือตามแพทย์สั่ง กรณีรับประทานเพื่อป้องกัน รับประทานครั้งละ 1 เม็ด วันละ 1 ครั้ง</t>
        </is>
      </c>
    </row>
    <row r="620">
      <c r="A620" t="n">
        <v>618</v>
      </c>
      <c r="B620" t="inlineStr">
        <is>
          <t>วิตามินบำรุงโลหิต</t>
        </is>
      </c>
      <c r="C620" t="n">
        <v>8045</v>
      </c>
      <c r="D620" t="inlineStr">
        <is>
          <t>Ferropro</t>
        </is>
      </c>
      <c r="E620" t="inlineStr">
        <is>
          <t>ขวด 100 เม็ด</t>
        </is>
      </c>
      <c r="F620" t="inlineStr">
        <is>
          <t>Ferrous Fumarate 200 mg.+Thiamine Mononitrate (B1) 2 mg.+Riboflavin (B2) 2 mg.+Cyanocobalamin (B12) 5 mcg.+Niacin (B3) 10 mg.+.Ascorbic Acid 20 mg.+Folic Acid 100 mcg.+Calcium Phosphate Tribasic 100 mg.</t>
        </is>
      </c>
      <c r="G620" t="inlineStr">
        <is>
          <t>BDS008045</t>
        </is>
      </c>
      <c r="H620" t="inlineStr">
        <is>
          <t>Ferropro (100 tabs)</t>
        </is>
      </c>
      <c r="I620" t="inlineStr">
        <is>
          <t xml:space="preserve">รับประทานครั้งละ 1 เม็ด วันละ 3 ครั้ง หลังอาหาร หรือตามแพทย์สั่ง </t>
        </is>
      </c>
    </row>
    <row r="621">
      <c r="A621" t="n">
        <v>619</v>
      </c>
      <c r="B621" t="inlineStr">
        <is>
          <t>วิตามินบำรุงโลหิต</t>
        </is>
      </c>
      <c r="C621" t="n">
        <v>7123</v>
      </c>
      <c r="D621" t="inlineStr">
        <is>
          <t>Folic Acid</t>
        </is>
      </c>
      <c r="E621" t="inlineStr">
        <is>
          <t>แผง 10 เม็ด</t>
        </is>
      </c>
      <c r="F621" t="inlineStr">
        <is>
          <t>Folic Acid 5 mg.</t>
        </is>
      </c>
      <c r="G621" t="inlineStr">
        <is>
          <t>BDS007123</t>
        </is>
      </c>
      <c r="H621" t="inlineStr">
        <is>
          <t>Folic Acid (10 tabs)</t>
        </is>
      </c>
      <c r="I621" t="inlineStr">
        <is>
          <t>รับประทานครั้งละ 1 เม็ด วันละ 1 ครั้ง หรือตามแพทย์สั่ง</t>
        </is>
      </c>
    </row>
    <row r="622">
      <c r="A622" t="n">
        <v>620</v>
      </c>
      <c r="B622" t="inlineStr">
        <is>
          <t>วิตามินบำรุงโลหิต</t>
        </is>
      </c>
      <c r="C622" t="n">
        <v>6704</v>
      </c>
      <c r="D622" t="inlineStr">
        <is>
          <t>Folivit tabslet</t>
        </is>
      </c>
      <c r="E622" t="inlineStr">
        <is>
          <t>ขวด 100 เม็ด</t>
        </is>
      </c>
      <c r="F622" t="inlineStr">
        <is>
          <t>Folic Acid 5 mg.</t>
        </is>
      </c>
      <c r="G622" t="inlineStr">
        <is>
          <t>BDS006704</t>
        </is>
      </c>
      <c r="H622" t="inlineStr">
        <is>
          <t>Folivit tabslet (100 tabs)</t>
        </is>
      </c>
      <c r="I622" t="inlineStr">
        <is>
          <t>รับประทานครั้งละ 1-2 เม็ด วันละ 1 ครั้ง หรือตามแพทย์สั่ง</t>
        </is>
      </c>
    </row>
    <row r="623">
      <c r="A623" t="n">
        <v>621</v>
      </c>
      <c r="B623" t="inlineStr">
        <is>
          <t>วิตามินบำรุงโลหิต</t>
        </is>
      </c>
      <c r="C623" t="n">
        <v>2101</v>
      </c>
      <c r="D623" t="inlineStr">
        <is>
          <t>Haemo-Vit ยาบำรุง</t>
        </is>
      </c>
      <c r="E623" t="inlineStr">
        <is>
          <t>กล่อง 100 เม็ด</t>
        </is>
      </c>
      <c r="F623" t="inlineStr">
        <is>
          <t>Dried Ferrous Sulfate 135 mg.+Aneurine HCl 2 mg.+Pyridoxine HCl (B6) 0.5 mg.+Cyanocobalamin (B12) 5 mcg.</t>
        </is>
      </c>
      <c r="G623" t="inlineStr">
        <is>
          <t>BDS002101</t>
        </is>
      </c>
      <c r="H623" t="inlineStr">
        <is>
          <t>Haemo-Vit ยาบำรุง (100 tabs)</t>
        </is>
      </c>
      <c r="I623" t="inlineStr">
        <is>
          <t>รับประทานครั้งละ 1-2 เม็ด วันละ 3 ครั้ง หลังอาหาร</t>
        </is>
      </c>
    </row>
    <row r="624">
      <c r="A624" t="n">
        <v>622</v>
      </c>
      <c r="B624" t="inlineStr">
        <is>
          <t>วิตามินบำรุงโลหิต</t>
        </is>
      </c>
      <c r="C624" t="n">
        <v>3027</v>
      </c>
      <c r="D624" t="inlineStr">
        <is>
          <t>Obimin-AZ</t>
        </is>
      </c>
      <c r="E624" t="inlineStr">
        <is>
          <t>ขวด 60 เม็ด</t>
        </is>
      </c>
      <c r="F624" t="inlineStr">
        <is>
          <t>Vit.A 5,000 IU+Vit.D 400 IU+Vit.E 10 IU+Vit. C 75 mg.+Vit.B1 2 mg.+Vit.B2 3 mg.+Vit.B6 2.5 mg.+Vit.B12 3 mcg.+Nicotinamide 20 mg.+Folic Acid 1 mg.+Ferrous Fumarate 200 mg.+Calcium Lactate 250 mg.+Potassium Iodine 0.2 mg.+Zinc Sulfate 20 mg.</t>
        </is>
      </c>
      <c r="G624" t="inlineStr">
        <is>
          <t>BDS003027</t>
        </is>
      </c>
      <c r="H624" t="inlineStr">
        <is>
          <t>Obimin-AZ (60 tabs)</t>
        </is>
      </c>
      <c r="I624" t="inlineStr">
        <is>
          <t>รับประทานครั้งละ 1 เม็ด  วันละ 1 ครั้ง</t>
        </is>
      </c>
    </row>
    <row r="625">
      <c r="A625" t="n">
        <v>623</v>
      </c>
      <c r="B625" t="inlineStr">
        <is>
          <t>วิตามินซี</t>
        </is>
      </c>
      <c r="C625" t="n">
        <v>40014</v>
      </c>
      <c r="D625" t="inlineStr">
        <is>
          <t>Amsel Nature C</t>
        </is>
      </c>
      <c r="E625" t="inlineStr">
        <is>
          <t>ขวด 30 แคปซูล</t>
        </is>
      </c>
      <c r="F625" t="inlineStr">
        <is>
          <t xml:space="preserve">Acerola Cherry Extract 360 mg. + Rosehips Extract 100 mg. + Cranberry Extract 50 mg. + Ascorbic Acid 35 mg. + Citrus Bioflavonoid 6.5 mg. + Rutin 5 mg. </t>
        </is>
      </c>
      <c r="G625" t="inlineStr">
        <is>
          <t>BDS040014</t>
        </is>
      </c>
      <c r="H625" t="inlineStr">
        <is>
          <t>Amsel Nature C (30 cap)</t>
        </is>
      </c>
      <c r="I625" t="inlineStr">
        <is>
          <t xml:space="preserve">รับประทานครั้งละ 1 แคปซูล วันละ 1 ครั้ง หลังอาหาร </t>
        </is>
      </c>
    </row>
    <row r="626">
      <c r="A626" t="n">
        <v>624</v>
      </c>
      <c r="B626" t="inlineStr">
        <is>
          <t>วิตามินซี</t>
        </is>
      </c>
      <c r="C626" t="n">
        <v>8321</v>
      </c>
      <c r="D626" t="inlineStr">
        <is>
          <t>Bio-C-Vitamin</t>
        </is>
      </c>
      <c r="E626" t="inlineStr">
        <is>
          <t>แผง 30 เม็ด</t>
        </is>
      </c>
      <c r="F626" t="inlineStr">
        <is>
          <t>Vitamin C 750 mg.+Calcium 85 mg.</t>
        </is>
      </c>
      <c r="G626" t="inlineStr">
        <is>
          <t>BDS008321</t>
        </is>
      </c>
      <c r="H626" t="inlineStr">
        <is>
          <t>Bio-C-Vitamin (30 tabs)</t>
        </is>
      </c>
      <c r="I626" t="inlineStr">
        <is>
          <t>รับประทานครั้งละ 1 เม็ด วันละ 1  ครั้ง หลังอาหาร</t>
        </is>
      </c>
    </row>
    <row r="627">
      <c r="A627" t="n">
        <v>625</v>
      </c>
      <c r="B627" t="inlineStr">
        <is>
          <t>วิตามินซี</t>
        </is>
      </c>
      <c r="C627" t="n">
        <v>1309</v>
      </c>
      <c r="D627" t="inlineStr">
        <is>
          <t>Blackmores Bio C กลาง</t>
        </is>
      </c>
      <c r="E627" t="inlineStr">
        <is>
          <t>ขวด 62 เม็ด</t>
        </is>
      </c>
      <c r="F627" t="inlineStr">
        <is>
          <t>Ascorbic acid 400 mg.+Sodium ascorbate 350 mg.+Calcium ascorbate 400 mg.+Bioflavonoids 25 mg.</t>
        </is>
      </c>
      <c r="G627" t="inlineStr">
        <is>
          <t>BDS001309</t>
        </is>
      </c>
      <c r="H627" t="inlineStr">
        <is>
          <t>Blackmores Bio C กลาง (62 tabs)</t>
        </is>
      </c>
      <c r="I627" t="inlineStr">
        <is>
          <t>รับประทานครั้งละ 1 เม็ด วันละ 1 ครั้ง หลังอาหาร</t>
        </is>
      </c>
    </row>
    <row r="628">
      <c r="A628" t="n">
        <v>626</v>
      </c>
      <c r="B628" t="inlineStr">
        <is>
          <t>วิตามินซี</t>
        </is>
      </c>
      <c r="C628" t="n">
        <v>1308</v>
      </c>
      <c r="D628" t="inlineStr">
        <is>
          <t>Blackmores Bio C เล็ก</t>
        </is>
      </c>
      <c r="E628" t="inlineStr">
        <is>
          <t>ขวด 31 เม็ด</t>
        </is>
      </c>
      <c r="F628" t="inlineStr">
        <is>
          <t>Ascorbic acid 400 mg.+Sodium ascorbate 350 mg.+Calcium ascorbate 400 mg.+Bioflavonoids 25 mg.</t>
        </is>
      </c>
      <c r="G628" t="inlineStr">
        <is>
          <t>BDS001308</t>
        </is>
      </c>
      <c r="H628" t="inlineStr">
        <is>
          <t>Blackmores Bio C เล็ก (31 tabs)</t>
        </is>
      </c>
      <c r="I628" t="inlineStr">
        <is>
          <t>รับประทานครั้งละ 1 เม็ด วันละ 1 ครั้ง หลังอาหาร</t>
        </is>
      </c>
    </row>
    <row r="629">
      <c r="A629" t="n">
        <v>627</v>
      </c>
      <c r="B629" t="inlineStr">
        <is>
          <t>วิตามินซี</t>
        </is>
      </c>
      <c r="C629" t="n">
        <v>40622</v>
      </c>
      <c r="D629" t="inlineStr">
        <is>
          <t>Blackmores Naturetime Buffered C</t>
        </is>
      </c>
      <c r="E629" t="inlineStr">
        <is>
          <t>ขวด 31 เม็ด</t>
        </is>
      </c>
      <c r="F629" t="inlineStr">
        <is>
          <t xml:space="preserve">Vitamin C 500 mg.(Ascorbic acid 280 mg.+Calcium ascorbate 266 mg.) +Bioflavonoids 25 mg.+Hesperidin 25 mg.+Rutin 50 mg.+Rosehips extract equiv. to dry fruit 250 mg. </t>
        </is>
      </c>
      <c r="G629" t="inlineStr">
        <is>
          <t>BDS040622</t>
        </is>
      </c>
      <c r="H629" t="inlineStr">
        <is>
          <t>Blackmores Naturetime Buffered C (31 tabs)</t>
        </is>
      </c>
      <c r="I629" t="inlineStr">
        <is>
          <t>รับประทานครั้งละ 1 เม็ด วันละ 1-2 ครั้ง พร้อมอาหาร</t>
        </is>
      </c>
    </row>
    <row r="630">
      <c r="A630" t="n">
        <v>628</v>
      </c>
      <c r="B630" t="inlineStr">
        <is>
          <t>วิตามินซี</t>
        </is>
      </c>
      <c r="C630" t="n">
        <v>41434</v>
      </c>
      <c r="D630" t="inlineStr">
        <is>
          <t>C-Force 1000</t>
        </is>
      </c>
      <c r="E630" t="inlineStr">
        <is>
          <t>แผง 6 เม็ด</t>
        </is>
      </c>
      <c r="F630" t="inlineStr">
        <is>
          <t>Vit.C 1000 mg. (Ascorbic acid 524 mg.+Sodium Ascorbate 476 mg.)</t>
        </is>
      </c>
      <c r="G630" t="inlineStr">
        <is>
          <t>BDS041434</t>
        </is>
      </c>
      <c r="H630" t="inlineStr">
        <is>
          <t>C-Force 1000 (6 tabs)</t>
        </is>
      </c>
      <c r="I630" t="inlineStr">
        <is>
          <t>รับประทานครั้งละ 1 เม็ด วันละ 1 ครั้ง หลังอาหารเช้า</t>
        </is>
      </c>
    </row>
    <row r="631">
      <c r="A631" t="n">
        <v>629</v>
      </c>
      <c r="B631" t="inlineStr">
        <is>
          <t>น้ำเกลือ</t>
        </is>
      </c>
      <c r="C631" t="n">
        <v>44313</v>
      </c>
      <c r="D631" t="inlineStr">
        <is>
          <t>Klean &amp; Kare Saline (ANB)</t>
        </is>
      </c>
      <c r="E631" t="inlineStr">
        <is>
          <t>ขวด 200 ml.</t>
        </is>
      </c>
      <c r="F631" t="inlineStr">
        <is>
          <t>Sodium Chloride 0.9 g./100 ml.</t>
        </is>
      </c>
      <c r="G631" t="inlineStr">
        <is>
          <t>BDS044313</t>
        </is>
      </c>
      <c r="H631" t="inlineStr">
        <is>
          <t>Klean &amp; Kare Saline (ANB) (200 ml.)</t>
        </is>
      </c>
      <c r="I631" t="inlineStr">
        <is>
          <t xml:space="preserve">ล้างทำความสะอาดในบริเวณที่ต้องการ </t>
        </is>
      </c>
      <c r="P631" t="inlineStr">
        <is>
          <t>Normal saline / irrigation</t>
        </is>
      </c>
    </row>
    <row r="632">
      <c r="A632" t="n">
        <v>630</v>
      </c>
      <c r="B632" t="inlineStr">
        <is>
          <t>น้ำเกลือ</t>
        </is>
      </c>
      <c r="C632" t="n">
        <v>44321</v>
      </c>
      <c r="D632" t="inlineStr">
        <is>
          <t>Klean &amp; Kare Saline กลาง</t>
        </is>
      </c>
      <c r="E632" t="inlineStr">
        <is>
          <t>ขวด 500 ml.</t>
        </is>
      </c>
      <c r="F632" t="inlineStr">
        <is>
          <t>Sodium Chloride 0.9 g./100 ml.</t>
        </is>
      </c>
      <c r="G632" t="inlineStr">
        <is>
          <t>BDS044321</t>
        </is>
      </c>
      <c r="H632" t="inlineStr">
        <is>
          <t>Klean &amp; Kare Saline กลาง (500 ml.)</t>
        </is>
      </c>
      <c r="I632" t="inlineStr">
        <is>
          <t xml:space="preserve">ล้างทำความสะอาดในบริเวณที่ต้องการ </t>
        </is>
      </c>
      <c r="P632" t="inlineStr">
        <is>
          <t>Normal saline / irrigation</t>
        </is>
      </c>
    </row>
    <row r="633">
      <c r="A633" t="n">
        <v>631</v>
      </c>
      <c r="B633" t="inlineStr">
        <is>
          <t>น้ำเกลือ</t>
        </is>
      </c>
      <c r="C633" t="n">
        <v>44320</v>
      </c>
      <c r="D633" t="inlineStr">
        <is>
          <t>Klean &amp; Kare Saline เล็ก</t>
        </is>
      </c>
      <c r="E633" t="inlineStr">
        <is>
          <t>ขวด 100 ml.</t>
        </is>
      </c>
      <c r="F633" t="inlineStr">
        <is>
          <t>Sodium Chloride 0.9 g./100 ml.</t>
        </is>
      </c>
      <c r="G633" t="inlineStr">
        <is>
          <t>BDS044320</t>
        </is>
      </c>
      <c r="H633" t="inlineStr">
        <is>
          <t>Klean &amp; Kare Saline เล็ก (100 ml.)</t>
        </is>
      </c>
      <c r="I633" t="inlineStr">
        <is>
          <t xml:space="preserve">ล้างทำความสะอาดในบริเวณที่ต้องการ </t>
        </is>
      </c>
      <c r="P633" t="inlineStr">
        <is>
          <t>Normal saline / irrigation</t>
        </is>
      </c>
    </row>
    <row r="634">
      <c r="A634" t="n">
        <v>632</v>
      </c>
      <c r="B634" t="inlineStr">
        <is>
          <t>น้ำเกลือ</t>
        </is>
      </c>
      <c r="C634" t="n">
        <v>44322</v>
      </c>
      <c r="D634" t="inlineStr">
        <is>
          <t>Klean &amp; Kare Saline ใหญ่</t>
        </is>
      </c>
      <c r="E634" t="inlineStr">
        <is>
          <t>ขวด 1000 ml.</t>
        </is>
      </c>
      <c r="F634" t="inlineStr">
        <is>
          <t>Sodium Chloride 0.9 g./100 ml.</t>
        </is>
      </c>
      <c r="G634" t="inlineStr">
        <is>
          <t>BDS044322</t>
        </is>
      </c>
      <c r="H634" t="inlineStr">
        <is>
          <t>Klean &amp; Kare Saline ใหญ่ (1000 ml.)</t>
        </is>
      </c>
      <c r="I634" t="inlineStr">
        <is>
          <t xml:space="preserve">ล้างทำความสะอาดในบริเวณที่ต้องการ </t>
        </is>
      </c>
      <c r="P634" t="inlineStr">
        <is>
          <t>Normal saline / irrigation</t>
        </is>
      </c>
    </row>
    <row r="635">
      <c r="A635" t="n">
        <v>633</v>
      </c>
      <c r="B635" t="inlineStr">
        <is>
          <t>น้ำเกลือ</t>
        </is>
      </c>
      <c r="C635" t="n">
        <v>4868</v>
      </c>
      <c r="D635" t="inlineStr">
        <is>
          <t>Normal Saline (Otsuka)</t>
        </is>
      </c>
      <c r="E635" t="inlineStr">
        <is>
          <t>ขวด 1000 ml.</t>
        </is>
      </c>
      <c r="F635" t="inlineStr">
        <is>
          <t>Sodium Chloride 0.9 g./100 ml.</t>
        </is>
      </c>
      <c r="G635" t="inlineStr">
        <is>
          <t>BDS004868</t>
        </is>
      </c>
      <c r="H635" t="inlineStr">
        <is>
          <t>Normal Saline (Otsuka) (1000 ml.)</t>
        </is>
      </c>
      <c r="I635" t="inlineStr">
        <is>
          <t xml:space="preserve">ทำความสะอาดในบริเวณที่ต้องการ </t>
        </is>
      </c>
      <c r="P635" t="inlineStr">
        <is>
          <t>Normal saline / irrigation</t>
        </is>
      </c>
    </row>
    <row r="636">
      <c r="A636" t="n">
        <v>634</v>
      </c>
      <c r="B636" t="inlineStr">
        <is>
          <t>น้ำเกลือ</t>
        </is>
      </c>
      <c r="C636" t="n">
        <v>45626</v>
      </c>
      <c r="D636" t="inlineStr">
        <is>
          <t>Normal Saline (Thai Nakorn Patana)</t>
        </is>
      </c>
      <c r="E636" t="inlineStr">
        <is>
          <t>ขวด 1000 ml.</t>
        </is>
      </c>
      <c r="F636" t="inlineStr">
        <is>
          <t>Sodium Chloride 0.9 g./100 ml.</t>
        </is>
      </c>
      <c r="G636" t="inlineStr">
        <is>
          <t>BDS045626</t>
        </is>
      </c>
      <c r="H636" t="inlineStr">
        <is>
          <t>Normal Saline (Thai Nakorn Patana) (1000 ml.)</t>
        </is>
      </c>
      <c r="I636" t="inlineStr">
        <is>
          <t xml:space="preserve">ทำความสะอาดในบริเวณที่ต้องการ </t>
        </is>
      </c>
      <c r="P636" t="inlineStr">
        <is>
          <t>Normal saline / irrigation</t>
        </is>
      </c>
    </row>
    <row r="637">
      <c r="A637" t="n">
        <v>635</v>
      </c>
      <c r="B637" t="inlineStr">
        <is>
          <t>น้ำเกลือ</t>
        </is>
      </c>
      <c r="C637" t="n">
        <v>47669</v>
      </c>
      <c r="D637" t="inlineStr">
        <is>
          <t>Sofclens Normal Saline Solution</t>
        </is>
      </c>
      <c r="E637" t="inlineStr">
        <is>
          <t>ขวด 100 ml.</t>
        </is>
      </c>
      <c r="F637" t="inlineStr">
        <is>
          <t>Sodium Chloride 0.9 % w/v</t>
        </is>
      </c>
      <c r="G637" t="inlineStr">
        <is>
          <t>BDS047669</t>
        </is>
      </c>
      <c r="H637" t="inlineStr">
        <is>
          <t>Sofclens Normal Saline Solution (100 ml.)</t>
        </is>
      </c>
      <c r="I637" t="inlineStr">
        <is>
          <t xml:space="preserve">ล้างทำความสะอาดในบริเวณที่ต้องการ </t>
        </is>
      </c>
      <c r="P637" t="inlineStr">
        <is>
          <t>Normal saline / irrigation</t>
        </is>
      </c>
    </row>
    <row r="638">
      <c r="A638" t="n">
        <v>636</v>
      </c>
      <c r="B638" t="inlineStr">
        <is>
          <t>น้ำเกลือ</t>
        </is>
      </c>
      <c r="C638" t="n">
        <v>4870</v>
      </c>
      <c r="D638" t="inlineStr">
        <is>
          <t>น้ำเกลือล้างแผล (วิทยาศรม)</t>
        </is>
      </c>
      <c r="E638" t="inlineStr">
        <is>
          <t>ขวด 120 ml.</t>
        </is>
      </c>
      <c r="F638" t="inlineStr">
        <is>
          <t>Sodium Chloride 0.9 g./100 ml.</t>
        </is>
      </c>
      <c r="G638" t="inlineStr">
        <is>
          <t>BDS004870</t>
        </is>
      </c>
      <c r="H638" t="inlineStr">
        <is>
          <t>น้ำเกลือล้างแผล (วิทยาศรม) (120 ml.)</t>
        </is>
      </c>
      <c r="I638" t="inlineStr">
        <is>
          <t>เช็ดทำความสะอาด วันละ 2-3 ครั้ง</t>
        </is>
      </c>
      <c r="P638" t="inlineStr">
        <is>
          <t>Normal saline / irrigation</t>
        </is>
      </c>
    </row>
    <row r="639">
      <c r="A639" t="n">
        <v>637</v>
      </c>
      <c r="B639" t="inlineStr">
        <is>
          <t xml:space="preserve">ยาทาและยาพ่นแก้ปวดเมื่อย </t>
        </is>
      </c>
      <c r="C639" t="n">
        <v>1032</v>
      </c>
      <c r="D639" t="inlineStr">
        <is>
          <t>Ammeltz เล็ก</t>
        </is>
      </c>
      <c r="E639" t="inlineStr">
        <is>
          <t>ขวด 48 ml.</t>
        </is>
      </c>
      <c r="F639" t="inlineStr">
        <is>
          <t>L-Menthol+DL-Campher+Methyl Salicylate+Vanillylamide</t>
        </is>
      </c>
      <c r="G639" t="inlineStr">
        <is>
          <t>BDS001032</t>
        </is>
      </c>
      <c r="H639" t="inlineStr">
        <is>
          <t>Ammeltz เล็ก (48 ml.)</t>
        </is>
      </c>
      <c r="I639" t="inlineStr">
        <is>
          <t>ทาบริเวณที่มีอาการปวด วันละ 2-3 ครั้ง</t>
        </is>
      </c>
      <c r="P639" t="inlineStr">
        <is>
          <t>Topical pain relief / topical NSAIDs</t>
        </is>
      </c>
    </row>
    <row r="640">
      <c r="A640" t="n">
        <v>638</v>
      </c>
      <c r="B640" t="inlineStr">
        <is>
          <t xml:space="preserve">ยาทาและยาพ่นแก้ปวดเมื่อย </t>
        </is>
      </c>
      <c r="C640" t="n">
        <v>1031</v>
      </c>
      <c r="D640" t="inlineStr">
        <is>
          <t>Ammeltz ใหญ่</t>
        </is>
      </c>
      <c r="E640" t="inlineStr">
        <is>
          <t>ขวด 82 ml.</t>
        </is>
      </c>
      <c r="F640" t="inlineStr">
        <is>
          <t>L-Menthol+DL-Campher+Methyl Salicylate+Vanillylamide</t>
        </is>
      </c>
      <c r="G640" t="inlineStr">
        <is>
          <t>BDS001031</t>
        </is>
      </c>
      <c r="H640" t="inlineStr">
        <is>
          <t>Ammeltz ใหญ่ (82 ml.)</t>
        </is>
      </c>
      <c r="I640" t="inlineStr">
        <is>
          <t>ทาบริเวณที่ปวด วันละ 2-3 ครั้ง</t>
        </is>
      </c>
      <c r="P640" t="inlineStr">
        <is>
          <t>Topical pain relief / topical NSAIDs</t>
        </is>
      </c>
    </row>
    <row r="641">
      <c r="A641" t="n">
        <v>639</v>
      </c>
      <c r="B641" t="inlineStr">
        <is>
          <t xml:space="preserve">ยาทาและยาพ่นแก้ปวดเมื่อย </t>
        </is>
      </c>
      <c r="C641" t="n">
        <v>40020</v>
      </c>
      <c r="D641" t="inlineStr">
        <is>
          <t>Arotika Rub</t>
        </is>
      </c>
      <c r="E641" t="inlineStr">
        <is>
          <t>หลอด 35 g.</t>
        </is>
      </c>
      <c r="F641" t="inlineStr">
        <is>
          <t>Capsicum Tincture 0.05% w/v 4.5 g.+Methyl Salicylate 10.2 g.+ Menthol 5.44 g.+Clove Oil 1.36 g./100 g.</t>
        </is>
      </c>
      <c r="G641" t="inlineStr">
        <is>
          <t>BDS040020</t>
        </is>
      </c>
      <c r="H641" t="inlineStr">
        <is>
          <t>Arotika Rub (35 g.)</t>
        </is>
      </c>
      <c r="I641" t="inlineStr">
        <is>
          <t>ทาบริเวณที่ปวดบางๆ  วันละ 2-3 ครั้ง</t>
        </is>
      </c>
      <c r="P641" t="inlineStr">
        <is>
          <t>Topical pain relief / topical NSAIDs</t>
        </is>
      </c>
    </row>
    <row r="642">
      <c r="A642" t="n">
        <v>640</v>
      </c>
      <c r="B642" t="inlineStr">
        <is>
          <t xml:space="preserve">ยาทาและยาพ่นแก้ปวดเมื่อย </t>
        </is>
      </c>
      <c r="C642" t="n">
        <v>7711</v>
      </c>
      <c r="D642" t="inlineStr">
        <is>
          <t>Capsika Gel</t>
        </is>
      </c>
      <c r="E642" t="inlineStr">
        <is>
          <t>หลอด 35 g.</t>
        </is>
      </c>
      <c r="F642" t="inlineStr">
        <is>
          <t>Capsaicin 0.0125%/100 g.</t>
        </is>
      </c>
      <c r="G642" t="inlineStr">
        <is>
          <t>BDS007711</t>
        </is>
      </c>
      <c r="H642" t="inlineStr">
        <is>
          <t>Capsika Gel (35 g.)</t>
        </is>
      </c>
      <c r="I642" t="inlineStr">
        <is>
          <t>ทาเจลบางๆ บริเวณที่มีอาการ วันละ 2-3 ครั้ง</t>
        </is>
      </c>
      <c r="P642" t="inlineStr">
        <is>
          <t>Topical pain relief / topical NSAIDs</t>
        </is>
      </c>
    </row>
    <row r="643">
      <c r="A643" t="n">
        <v>641</v>
      </c>
      <c r="B643" t="inlineStr">
        <is>
          <t xml:space="preserve">ยาทาและยาพ่นแก้ปวดเมื่อย </t>
        </is>
      </c>
      <c r="C643" t="n">
        <v>1541</v>
      </c>
      <c r="D643" t="inlineStr">
        <is>
          <t>Capsika-25 Gel</t>
        </is>
      </c>
      <c r="E643" t="inlineStr">
        <is>
          <t>หลอด 35 g.</t>
        </is>
      </c>
      <c r="F643" t="inlineStr">
        <is>
          <t>Capsaicin 0.025%</t>
        </is>
      </c>
      <c r="G643" t="inlineStr">
        <is>
          <t>BDS001541</t>
        </is>
      </c>
      <c r="H643" t="inlineStr">
        <is>
          <t>Capsika-25 Gel (35 g.)</t>
        </is>
      </c>
      <c r="I643" t="inlineStr">
        <is>
          <t>ทาเจลบางๆ บริเวณที่มีอาการ วันละ 3-4 ครั้ง</t>
        </is>
      </c>
      <c r="P643" t="inlineStr">
        <is>
          <t>Topical pain relief / topical NSAIDs</t>
        </is>
      </c>
    </row>
    <row r="644">
      <c r="A644" t="n">
        <v>642</v>
      </c>
      <c r="B644" t="inlineStr">
        <is>
          <t xml:space="preserve">ยาทาและยาพ่นแก้ปวดเมื่อย </t>
        </is>
      </c>
      <c r="C644" t="n">
        <v>1475</v>
      </c>
      <c r="D644" t="inlineStr">
        <is>
          <t>Counterpain Cool กลาง</t>
        </is>
      </c>
      <c r="E644" t="inlineStr">
        <is>
          <t>หลอด 60 g.</t>
        </is>
      </c>
      <c r="F644" t="inlineStr">
        <is>
          <t>Menthol 4%</t>
        </is>
      </c>
      <c r="G644" t="inlineStr">
        <is>
          <t>BDS001475</t>
        </is>
      </c>
      <c r="H644" t="inlineStr">
        <is>
          <t>Counterpain Cool กลาง (60 g.)</t>
        </is>
      </c>
      <c r="I644" t="inlineStr">
        <is>
          <t>ทาเบาๆ บริเวณที่มีอาการ จนกระทั่งยาซึมเข้าผิวหนัง วันละ 2-3 ครั้ง</t>
        </is>
      </c>
      <c r="P644" t="inlineStr">
        <is>
          <t>Topical pain relief / topical NSAIDs</t>
        </is>
      </c>
    </row>
    <row r="645">
      <c r="A645" t="n">
        <v>643</v>
      </c>
      <c r="B645" t="inlineStr">
        <is>
          <t xml:space="preserve">ยาทาและยาพ่นแก้ปวดเมื่อย </t>
        </is>
      </c>
      <c r="C645" t="n">
        <v>1474</v>
      </c>
      <c r="D645" t="inlineStr">
        <is>
          <t>Counterpain Cool เล็ก</t>
        </is>
      </c>
      <c r="E645" t="inlineStr">
        <is>
          <t>หลอด 30 g.</t>
        </is>
      </c>
      <c r="F645" t="inlineStr">
        <is>
          <t>Menthol 4%</t>
        </is>
      </c>
      <c r="G645" t="inlineStr">
        <is>
          <t>BDS001474</t>
        </is>
      </c>
      <c r="H645" t="inlineStr">
        <is>
          <t>Counterpain Cool เล็ก (30 g.)</t>
        </is>
      </c>
      <c r="I645" t="inlineStr">
        <is>
          <t>ทาเบาๆ บริเวณที่มีอาการ จนกระทั่งยาซึมเข้าผิวหนัง วันละ 2-3 ครั้ง</t>
        </is>
      </c>
      <c r="P645" t="inlineStr">
        <is>
          <t>Topical pain relief / topical NSAIDs</t>
        </is>
      </c>
    </row>
    <row r="646">
      <c r="A646" t="n">
        <v>644</v>
      </c>
      <c r="B646" t="inlineStr">
        <is>
          <t xml:space="preserve">ยาทาและยาพ่นแก้ปวดเมื่อย </t>
        </is>
      </c>
      <c r="C646" t="n">
        <v>1476</v>
      </c>
      <c r="D646" t="inlineStr">
        <is>
          <t>Counterpain Cool ใหญ่</t>
        </is>
      </c>
      <c r="E646" t="inlineStr">
        <is>
          <t>หลอด 120 g.</t>
        </is>
      </c>
      <c r="F646" t="inlineStr">
        <is>
          <t>Menthol 4%</t>
        </is>
      </c>
      <c r="G646" t="inlineStr">
        <is>
          <t>BDS001476</t>
        </is>
      </c>
      <c r="H646" t="inlineStr">
        <is>
          <t>Counterpain Cool ใหญ่ (120 g.)</t>
        </is>
      </c>
      <c r="I646" t="inlineStr">
        <is>
          <t>ทาเบาๆ บริเวณที่มีอาการ จนกระทั่งยาซึมเข้าผิวหนัง วันละ 2-3 ครั้ง</t>
        </is>
      </c>
      <c r="P646" t="inlineStr">
        <is>
          <t>Topical pain relief / topical NSAIDs</t>
        </is>
      </c>
    </row>
    <row r="647">
      <c r="A647" t="n">
        <v>645</v>
      </c>
      <c r="B647" t="inlineStr">
        <is>
          <t xml:space="preserve">ยาทาและยาพ่นแก้ปวดเมื่อย </t>
        </is>
      </c>
      <c r="C647" t="n">
        <v>1472</v>
      </c>
      <c r="D647" t="inlineStr">
        <is>
          <t>Counterpain กลาง</t>
        </is>
      </c>
      <c r="E647" t="inlineStr">
        <is>
          <t>หลอด 60 g.</t>
        </is>
      </c>
      <c r="F647" t="inlineStr">
        <is>
          <t>Methyl Salicylate 10.2%+Eugenol 1.36%+Menthol 5.44%</t>
        </is>
      </c>
      <c r="G647" t="inlineStr">
        <is>
          <t>BDS001472</t>
        </is>
      </c>
      <c r="H647" t="inlineStr">
        <is>
          <t>Counterpain กลาง (60 g.)</t>
        </is>
      </c>
      <c r="I647" t="inlineStr">
        <is>
          <t>ทาครีมบริเวณที่ปวด จนกระทั่งยาซึมเข้าผิวหนัง วันละ 2-3 ครั้ง</t>
        </is>
      </c>
      <c r="P647" t="inlineStr">
        <is>
          <t>Topical pain relief / topical NSAIDs</t>
        </is>
      </c>
    </row>
    <row r="648">
      <c r="A648" t="n">
        <v>646</v>
      </c>
      <c r="B648" t="inlineStr">
        <is>
          <t xml:space="preserve">ยาทาและยาพ่นแก้ปวดเมื่อย </t>
        </is>
      </c>
      <c r="C648" t="n">
        <v>1471</v>
      </c>
      <c r="D648" t="inlineStr">
        <is>
          <t>Counterpain เล็ก</t>
        </is>
      </c>
      <c r="E648" t="inlineStr">
        <is>
          <t>หลอด 30 g.</t>
        </is>
      </c>
      <c r="F648" t="inlineStr">
        <is>
          <t>Menthol 5.44%+Methyl Salicylate 10.2%+Eugenol 1.36%</t>
        </is>
      </c>
      <c r="G648" t="inlineStr">
        <is>
          <t>BDS001471</t>
        </is>
      </c>
      <c r="H648" t="inlineStr">
        <is>
          <t>Counterpain เล็ก (30 g.)</t>
        </is>
      </c>
      <c r="I648" t="inlineStr">
        <is>
          <t>ทาเบาๆ บริเวณที่มีอาการ จนกระทั่งยาซึมเข้าผิวหนัง วันละ 2-3 ครั้ง</t>
        </is>
      </c>
      <c r="P648" t="inlineStr">
        <is>
          <t>Topical pain relief / topical NSAIDs</t>
        </is>
      </c>
    </row>
    <row r="649">
      <c r="A649" t="n">
        <v>647</v>
      </c>
      <c r="B649" t="inlineStr">
        <is>
          <t xml:space="preserve">ยาทาและยาพ่นแก้ปวดเมื่อย </t>
        </is>
      </c>
      <c r="C649" t="n">
        <v>1473</v>
      </c>
      <c r="D649" t="inlineStr">
        <is>
          <t>Counterpain ใหญ่</t>
        </is>
      </c>
      <c r="E649" t="inlineStr">
        <is>
          <t>หลอด 120 g.</t>
        </is>
      </c>
      <c r="F649" t="inlineStr">
        <is>
          <t>Menthol 5.44%+Methyl Salicylate 10.2%+Eugenol 1.36%</t>
        </is>
      </c>
      <c r="G649" t="inlineStr">
        <is>
          <t>BDS001473</t>
        </is>
      </c>
      <c r="H649" t="inlineStr">
        <is>
          <t>Counterpain ใหญ่ (120 g.)</t>
        </is>
      </c>
      <c r="I649" t="inlineStr">
        <is>
          <t>ทาเบาๆ บริเวณที่มีอาการ จนกระทั่งยาซึมเข้าผิวหนัง วันละ 2-3 ครั้ง</t>
        </is>
      </c>
      <c r="K649" t="n">
        <v>300</v>
      </c>
      <c r="L649" t="n">
        <v>2.5</v>
      </c>
      <c r="M649" t="inlineStr">
        <is>
          <t>USER</t>
        </is>
      </c>
      <c r="N649" t="inlineStr">
        <is>
          <t>2026-02-07</t>
        </is>
      </c>
      <c r="O649" t="inlineStr">
        <is>
          <t>User provided price (Counterpain 120 g).</t>
        </is>
      </c>
      <c r="P649" t="inlineStr">
        <is>
          <t>Topical pain relief / topical NSAIDs</t>
        </is>
      </c>
    </row>
    <row r="650">
      <c r="A650" t="n">
        <v>648</v>
      </c>
      <c r="B650" t="inlineStr">
        <is>
          <t xml:space="preserve">ยาทาและยาพ่นแก้ปวดเมื่อย </t>
        </is>
      </c>
      <c r="C650" t="n">
        <v>1924</v>
      </c>
      <c r="D650" t="inlineStr">
        <is>
          <t>Flanil</t>
        </is>
      </c>
      <c r="E650" t="inlineStr">
        <is>
          <t>หลอด 30 g.</t>
        </is>
      </c>
      <c r="F650" t="inlineStr">
        <is>
          <t>Menthol 5.44 g.+Methyl Salicylate 10.20 g.+Eugenol 1.36 g./100 g.</t>
        </is>
      </c>
      <c r="G650" t="inlineStr">
        <is>
          <t>BDS001924</t>
        </is>
      </c>
      <c r="H650" t="inlineStr">
        <is>
          <t>Flanil (30 g.)</t>
        </is>
      </c>
      <c r="I650" t="inlineStr">
        <is>
          <t>ทา (นวด) เบาๆ บริเวณที่มีอาการ จนกระทั่งยาซึมเข้าผิวหนัง วันละ 2-3 ครั้ง</t>
        </is>
      </c>
      <c r="P650" t="inlineStr">
        <is>
          <t>Topical pain relief / topical NSAIDs</t>
        </is>
      </c>
    </row>
    <row r="651">
      <c r="A651" t="n">
        <v>649</v>
      </c>
      <c r="B651" t="inlineStr">
        <is>
          <t xml:space="preserve">ยาทาและยาพ่นแก้ปวดเมื่อย </t>
        </is>
      </c>
      <c r="C651" t="n">
        <v>8608</v>
      </c>
      <c r="D651" t="inlineStr">
        <is>
          <t>Muscort Cream</t>
        </is>
      </c>
      <c r="E651" t="inlineStr">
        <is>
          <t>หลอด 25 g.</t>
        </is>
      </c>
      <c r="F651" t="inlineStr">
        <is>
          <t>Menthol 5.44%+Methyl Salicylate 10.12%+Eugenol 1.36%</t>
        </is>
      </c>
      <c r="G651" t="inlineStr">
        <is>
          <t>BDS008608</t>
        </is>
      </c>
      <c r="H651" t="inlineStr">
        <is>
          <t>Muscort Cream (25 g.)</t>
        </is>
      </c>
      <c r="I651" t="inlineStr">
        <is>
          <t>ทาเบาๆ บริเวณที่มีอาการ จนกระทั่งยาซึมเข้าผิวหนัง วันละ 2-3 ครั้ง</t>
        </is>
      </c>
      <c r="P651" t="inlineStr">
        <is>
          <t>Topical pain relief / topical NSAIDs</t>
        </is>
      </c>
    </row>
    <row r="652">
      <c r="A652" t="n">
        <v>650</v>
      </c>
      <c r="B652" t="inlineStr">
        <is>
          <t xml:space="preserve">ยาทาและยาพ่นแก้ปวดเมื่อย </t>
        </is>
      </c>
      <c r="C652" t="n">
        <v>2817</v>
      </c>
      <c r="D652" t="inlineStr">
        <is>
          <t>Neotica Balm เล็ก</t>
        </is>
      </c>
      <c r="E652" t="inlineStr">
        <is>
          <t>หลอด 30 g.</t>
        </is>
      </c>
      <c r="F652" t="inlineStr">
        <is>
          <t>Menthol 5.64 g.+Camphor 1.8 g.+Methyl Salicylate 12.5 g.+Eucalyptus oil 1.8 g.+Eugenol 1.36 g./100 g</t>
        </is>
      </c>
      <c r="G652" t="inlineStr">
        <is>
          <t>BDS002817</t>
        </is>
      </c>
      <c r="H652" t="inlineStr">
        <is>
          <t>Neotica Balm เล็ก (30 g.)</t>
        </is>
      </c>
      <c r="I652" t="inlineStr">
        <is>
          <t>ทา (นวด) เบาๆ บริเวณที่มีอาการ จนกระทั่งยาซึมเข้าผิวหนัง วันละ 2-3 ครั้ง</t>
        </is>
      </c>
      <c r="P652" t="inlineStr">
        <is>
          <t>Topical pain relief / topical NSAIDs</t>
        </is>
      </c>
    </row>
    <row r="653">
      <c r="A653" t="n">
        <v>651</v>
      </c>
      <c r="B653" t="inlineStr">
        <is>
          <t xml:space="preserve">ยาทาและยาพ่นแก้ปวดเมื่อย </t>
        </is>
      </c>
      <c r="C653" t="n">
        <v>2819</v>
      </c>
      <c r="D653" t="inlineStr">
        <is>
          <t>Neotica Balm ใหญ่</t>
        </is>
      </c>
      <c r="E653" t="inlineStr">
        <is>
          <t>หลอด 100 g.</t>
        </is>
      </c>
      <c r="F653" t="inlineStr">
        <is>
          <t>Menthol 5.64 g.+Camphor 1.8 g.+Methyl Salicylate 12.5 g.+Eucalyptus oil 1.8 g.+Eugenol 1.36 g./100 g</t>
        </is>
      </c>
      <c r="G653" t="inlineStr">
        <is>
          <t>BDS002819</t>
        </is>
      </c>
      <c r="H653" t="inlineStr">
        <is>
          <t>Neotica Balm ใหญ่ (100 g.)</t>
        </is>
      </c>
      <c r="I653" t="inlineStr">
        <is>
          <t>ทา (นวด) เบาๆ บริเวณที่มีอาการ จนกระทั่งยาซึมเข้าผิวหนัง วันละ 2-3 ครั้ง</t>
        </is>
      </c>
      <c r="P653" t="inlineStr">
        <is>
          <t>Topical pain relief / topical NSAIDs</t>
        </is>
      </c>
    </row>
    <row r="654">
      <c r="A654" t="n">
        <v>652</v>
      </c>
      <c r="B654" t="inlineStr">
        <is>
          <t xml:space="preserve">ยาทาและยาพ่นแก้ปวดเมื่อย </t>
        </is>
      </c>
      <c r="C654" t="n">
        <v>3118</v>
      </c>
      <c r="D654" t="inlineStr">
        <is>
          <t>Perskindol Classic Gel</t>
        </is>
      </c>
      <c r="E654" t="inlineStr">
        <is>
          <t>กล่อง 100 ml.</t>
        </is>
      </c>
      <c r="F654" t="inlineStr">
        <is>
          <t>Menthol 1.5%+Pine Needle Oil 1.35%+Wintergreen Oil 0.35%+Orange Oil 0.4%</t>
        </is>
      </c>
      <c r="G654" t="inlineStr">
        <is>
          <t>BDS003118</t>
        </is>
      </c>
      <c r="H654" t="inlineStr">
        <is>
          <t>Perskindol Classic Gel (100 ml.)</t>
        </is>
      </c>
      <c r="I654" t="inlineStr">
        <is>
          <t>ทาบริเวณที่มีอาการ วันละ 3-4 ครั้ง นวดเบาๆ จนเนื้อเจลซึมเข้าสู่ผิวหนัง</t>
        </is>
      </c>
      <c r="P654" t="inlineStr">
        <is>
          <t>Topical pain relief / topical NSAIDs</t>
        </is>
      </c>
    </row>
    <row r="655">
      <c r="A655" t="n">
        <v>653</v>
      </c>
      <c r="B655" t="inlineStr">
        <is>
          <t xml:space="preserve">ยาทาและยาพ่นแก้ปวดเมื่อย </t>
        </is>
      </c>
      <c r="C655" t="n">
        <v>3119</v>
      </c>
      <c r="D655" t="inlineStr">
        <is>
          <t>Perskindol Classic Spray</t>
        </is>
      </c>
      <c r="E655" t="inlineStr">
        <is>
          <t>กระป๋อง 150 ml.</t>
        </is>
      </c>
      <c r="F655" t="inlineStr">
        <is>
          <t>Menthol 1.5%+Pine Needle Oil 1.35%+Wintergreen Oil 0.35%+Orange Oil 0.4%+Lemon Oil 0.1%</t>
        </is>
      </c>
      <c r="G655" t="inlineStr">
        <is>
          <t>BDS003119</t>
        </is>
      </c>
      <c r="H655" t="inlineStr">
        <is>
          <t>Perskindol Classic Spray (150 ml.)</t>
        </is>
      </c>
      <c r="I655" t="inlineStr">
        <is>
          <t>ฉีดพ่นบริเวณที่มีอาการ วันละ 3-4 ครั้ง นวดเบาๆ</t>
        </is>
      </c>
      <c r="P655" t="inlineStr">
        <is>
          <t>Topical pain relief / topical NSAIDs</t>
        </is>
      </c>
    </row>
    <row r="656">
      <c r="A656" t="n">
        <v>654</v>
      </c>
      <c r="B656" t="inlineStr">
        <is>
          <t xml:space="preserve">ยาทาและยาพ่นแก้ปวดเมื่อย </t>
        </is>
      </c>
      <c r="C656" t="n">
        <v>3117</v>
      </c>
      <c r="D656" t="inlineStr">
        <is>
          <t>Perskindol Cool Spray</t>
        </is>
      </c>
      <c r="E656" t="inlineStr">
        <is>
          <t>กระป๋อง 250 ml.</t>
        </is>
      </c>
      <c r="F656" t="inlineStr">
        <is>
          <t>I-Menthol 5 mg./1 g.</t>
        </is>
      </c>
      <c r="G656" t="inlineStr">
        <is>
          <t>BDS003117</t>
        </is>
      </c>
      <c r="H656" t="inlineStr">
        <is>
          <t>Perskindol Cool Spray (250 ml.)</t>
        </is>
      </c>
      <c r="I656" t="inlineStr">
        <is>
          <t>ฉีดพ่นบริเวณที่มีอาการ ได้บ่อยครั้งตามต้องการ</t>
        </is>
      </c>
      <c r="P656" t="inlineStr">
        <is>
          <t>Topical pain relief / topical NSAIDs</t>
        </is>
      </c>
    </row>
    <row r="657">
      <c r="A657" t="n">
        <v>655</v>
      </c>
      <c r="B657" t="inlineStr">
        <is>
          <t xml:space="preserve">ยาทาและยาพ่นแก้ปวดเมื่อย </t>
        </is>
      </c>
      <c r="C657" t="n">
        <v>46527</v>
      </c>
      <c r="D657" t="inlineStr">
        <is>
          <t>Plaivana Cream</t>
        </is>
      </c>
      <c r="E657" t="inlineStr">
        <is>
          <t>หลอด 35 g.</t>
        </is>
      </c>
      <c r="F657" t="inlineStr">
        <is>
          <t>น้ำมันไพล 14 g./100 g.</t>
        </is>
      </c>
      <c r="G657" t="inlineStr">
        <is>
          <t>BDS046527</t>
        </is>
      </c>
      <c r="H657" t="inlineStr">
        <is>
          <t>Plaivana Cream (35 g.)</t>
        </is>
      </c>
      <c r="I657" t="inlineStr">
        <is>
          <t>นวดหรือทาบริเวณที่มีอาการ วันละ 2-3 ครั้ง</t>
        </is>
      </c>
      <c r="P657" t="inlineStr">
        <is>
          <t>Topical pain relief / topical NSAIDs</t>
        </is>
      </c>
    </row>
    <row r="658">
      <c r="A658" t="n">
        <v>656</v>
      </c>
      <c r="B658" t="inlineStr">
        <is>
          <t xml:space="preserve">ยาทาและยาพ่นแก้ปวดเมื่อย </t>
        </is>
      </c>
      <c r="C658" t="n">
        <v>2875</v>
      </c>
      <c r="D658" t="inlineStr">
        <is>
          <t>Reparil Ice Spray</t>
        </is>
      </c>
      <c r="E658" t="inlineStr">
        <is>
          <t>กระป๋อง 200 ml.</t>
        </is>
      </c>
      <c r="F658" t="inlineStr">
        <is>
          <t>Butane+Pentane+Isobutane+Propane+Isopropyl alcohol+Menthol+Camphor</t>
        </is>
      </c>
      <c r="G658" t="inlineStr">
        <is>
          <t>BDS002875</t>
        </is>
      </c>
      <c r="H658" t="inlineStr">
        <is>
          <t>Reparil Ice Spray (200 ml.)</t>
        </is>
      </c>
      <c r="I658" t="inlineStr">
        <is>
          <t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t>
        </is>
      </c>
      <c r="P658" t="inlineStr">
        <is>
          <t>Topical pain relief / topical NSAIDs</t>
        </is>
      </c>
    </row>
    <row r="659">
      <c r="A659" t="n">
        <v>657</v>
      </c>
      <c r="B659" t="inlineStr">
        <is>
          <t xml:space="preserve">ยาทาและยาพ่นแก้ปวดเมื่อย </t>
        </is>
      </c>
      <c r="C659" t="n">
        <v>3602</v>
      </c>
      <c r="D659" t="inlineStr">
        <is>
          <t>Salonpas Cream</t>
        </is>
      </c>
      <c r="E659" t="inlineStr">
        <is>
          <t>หลอด 30 g.</t>
        </is>
      </c>
      <c r="F659" t="inlineStr">
        <is>
          <t xml:space="preserve">Methyl salicylate 15 g.+Menthol 7 g./100 g. </t>
        </is>
      </c>
      <c r="G659" t="inlineStr">
        <is>
          <t>BDS003602</t>
        </is>
      </c>
      <c r="H659" t="inlineStr">
        <is>
          <t>Salonpas Cream (30 g.)</t>
        </is>
      </c>
      <c r="I659" t="inlineStr">
        <is>
          <t xml:space="preserve">ทาบริเวณที่มีอาการ ไม่เกินวันละ 3-4 ครั้ง </t>
        </is>
      </c>
      <c r="P659" t="inlineStr">
        <is>
          <t>Topical pain relief / topical NSAIDs</t>
        </is>
      </c>
    </row>
    <row r="660">
      <c r="A660" t="n">
        <v>658</v>
      </c>
      <c r="B660" t="inlineStr">
        <is>
          <t>ยาทาฆ่าเชี้อแบคทีเรีย</t>
        </is>
      </c>
      <c r="C660" t="n">
        <v>1991</v>
      </c>
      <c r="D660" t="inlineStr">
        <is>
          <t>Fucidin Cream</t>
        </is>
      </c>
      <c r="E660" t="inlineStr">
        <is>
          <t>หลอด 5 g.</t>
        </is>
      </c>
      <c r="F660" t="inlineStr">
        <is>
          <t>Fusidic acid 20 mg./1 g.</t>
        </is>
      </c>
      <c r="G660" t="inlineStr">
        <is>
          <t>BDS001991</t>
        </is>
      </c>
      <c r="H660" t="inlineStr">
        <is>
          <t>Fucidin Cream (5 g.)</t>
        </is>
      </c>
      <c r="I660" t="inlineStr">
        <is>
          <t>ทาบริเวณผิวหนังที่ติดเชื้อ วันละ 2-3 ครั้ง โดยทั่วไปใช้ในระยะเวลา 7 วัน</t>
        </is>
      </c>
    </row>
    <row r="661">
      <c r="A661" t="n">
        <v>659</v>
      </c>
      <c r="B661" t="inlineStr">
        <is>
          <t>ยาทาฆ่าเชี้อแบคทีเรีย</t>
        </is>
      </c>
      <c r="C661" t="n">
        <v>1923</v>
      </c>
      <c r="D661" t="inlineStr">
        <is>
          <t>Fucidin Ointment</t>
        </is>
      </c>
      <c r="E661" t="inlineStr">
        <is>
          <t>หลอด 5 g.</t>
        </is>
      </c>
      <c r="F661" t="inlineStr">
        <is>
          <t>Sodium fusidate 20 mg./1 g.</t>
        </is>
      </c>
      <c r="G661" t="inlineStr">
        <is>
          <t>BDS001923</t>
        </is>
      </c>
      <c r="H661" t="inlineStr">
        <is>
          <t>Fucidin Ointment (5 g.)</t>
        </is>
      </c>
      <c r="I661" t="inlineStr">
        <is>
          <t>ทาบริเวณผิวหนังที่ติดเชื้อ วันละ 2-3 ครั้ง</t>
        </is>
      </c>
    </row>
    <row r="662">
      <c r="A662" t="n">
        <v>660</v>
      </c>
      <c r="B662" t="inlineStr">
        <is>
          <t>ยาทาฆ่าเชี้อแบคทีเรีย</t>
        </is>
      </c>
      <c r="C662" t="n">
        <v>2038</v>
      </c>
      <c r="D662" t="inlineStr">
        <is>
          <t>Gentrex Cream</t>
        </is>
      </c>
      <c r="E662" t="inlineStr">
        <is>
          <t>หลอด 5 g.</t>
        </is>
      </c>
      <c r="F662" t="inlineStr">
        <is>
          <t>Gentamicin Sulfate (eq. to Gentamicin 1 mg/1 g)</t>
        </is>
      </c>
      <c r="G662" t="inlineStr">
        <is>
          <t>BDS002038</t>
        </is>
      </c>
      <c r="H662" t="inlineStr">
        <is>
          <t>Gentrex Cream (5 g.)</t>
        </is>
      </c>
      <c r="I662" t="inlineStr">
        <is>
          <t>ทาบริเวณที่เป็นแผล วันละ 3-4 ครั้ง</t>
        </is>
      </c>
    </row>
    <row r="663">
      <c r="A663" t="n">
        <v>661</v>
      </c>
      <c r="B663" t="inlineStr">
        <is>
          <t>ยาทาฆ่าเชี้อแบคทีเรีย</t>
        </is>
      </c>
      <c r="C663" t="n">
        <v>8231</v>
      </c>
      <c r="D663" t="inlineStr">
        <is>
          <t>Mulacin Ointment</t>
        </is>
      </c>
      <c r="E663" t="inlineStr">
        <is>
          <t>หลอด 5 g.</t>
        </is>
      </c>
      <c r="F663" t="inlineStr">
        <is>
          <t>Mupirocin 2% w/w</t>
        </is>
      </c>
      <c r="G663" t="inlineStr">
        <is>
          <t>BDS008231</t>
        </is>
      </c>
      <c r="H663" t="inlineStr">
        <is>
          <t>Mulacin Ointment (5 g.)</t>
        </is>
      </c>
      <c r="I663" t="inlineStr">
        <is>
          <t>ทาบริเวณผิวหนังที่ติดเชื้อ วันละ 2-3 ครั้ง</t>
        </is>
      </c>
    </row>
    <row r="664">
      <c r="A664" t="n">
        <v>662</v>
      </c>
      <c r="B664" t="inlineStr">
        <is>
          <t>ยาทาฆ่าเชี้อแบคทีเรีย</t>
        </is>
      </c>
      <c r="C664" t="n">
        <v>7768</v>
      </c>
      <c r="D664" t="inlineStr">
        <is>
          <t>Skinfect Cream เล็ก</t>
        </is>
      </c>
      <c r="E664" t="inlineStr">
        <is>
          <t>หลอด 5 g.</t>
        </is>
      </c>
      <c r="F664" t="inlineStr">
        <is>
          <t>Gentamicin 1 mg./1 g.</t>
        </is>
      </c>
      <c r="G664" t="inlineStr">
        <is>
          <t>BDS007768</t>
        </is>
      </c>
      <c r="H664" t="inlineStr">
        <is>
          <t>Skinfect Cream เล็ก (5 g.)</t>
        </is>
      </c>
      <c r="I664" t="inlineStr">
        <is>
          <t xml:space="preserve">ทาบางๆ บริเวณบาดแผล หรือผิวหนังที่มีอาการติดเชื้อ เป็นหนอง </t>
        </is>
      </c>
    </row>
    <row r="665">
      <c r="A665" t="n">
        <v>663</v>
      </c>
      <c r="B665" t="inlineStr">
        <is>
          <t>ยาทาฆ่าเชี้อแบคทีเรีย</t>
        </is>
      </c>
      <c r="C665" t="n">
        <v>7766</v>
      </c>
      <c r="D665" t="inlineStr">
        <is>
          <t>Skinfect Cream ใหญ่</t>
        </is>
      </c>
      <c r="E665" t="inlineStr">
        <is>
          <t>หลอด 15 g.</t>
        </is>
      </c>
      <c r="F665" t="inlineStr">
        <is>
          <t>Gentamicin 1 mg./1 g.</t>
        </is>
      </c>
      <c r="G665" t="inlineStr">
        <is>
          <t>BDS007766</t>
        </is>
      </c>
      <c r="H665" t="inlineStr">
        <is>
          <t>Skinfect Cream ใหญ่ (15 g.)</t>
        </is>
      </c>
      <c r="I665" t="inlineStr">
        <is>
          <t xml:space="preserve">ทาบางๆ บริเวณบาดแผล หรือผิวหนังที่มีอาการติดเชื้อ เป็นหนอง </t>
        </is>
      </c>
    </row>
    <row r="666">
      <c r="A666" t="n">
        <v>664</v>
      </c>
      <c r="B666" t="inlineStr">
        <is>
          <t>ยาทาฆ่าเชี้อรา</t>
        </is>
      </c>
      <c r="C666" t="n">
        <v>6059</v>
      </c>
      <c r="D666" t="inlineStr">
        <is>
          <t>Candix Solution</t>
        </is>
      </c>
      <c r="E666" t="inlineStr">
        <is>
          <t>ขวด 15 ml.</t>
        </is>
      </c>
      <c r="F666" t="inlineStr">
        <is>
          <t>Clotrimazole 1 g./100 ml.</t>
        </is>
      </c>
      <c r="G666" t="inlineStr">
        <is>
          <t>BDS006059</t>
        </is>
      </c>
      <c r="H666" t="inlineStr">
        <is>
          <t>Candix Solution (15 ml.)</t>
        </is>
      </c>
      <c r="I666" t="inlineStr">
        <is>
          <t xml:space="preserve">ทาบางๆ บริเวณที่มีอาการ วันละ 2-3 ครั้ง </t>
        </is>
      </c>
    </row>
    <row r="667">
      <c r="A667" t="n">
        <v>665</v>
      </c>
      <c r="B667" t="inlineStr">
        <is>
          <t>ยาทาฆ่าเชี้อรา</t>
        </is>
      </c>
      <c r="C667" t="n">
        <v>1489</v>
      </c>
      <c r="D667" t="inlineStr">
        <is>
          <t>Canesten Cream 10 g</t>
        </is>
      </c>
      <c r="E667" t="inlineStr">
        <is>
          <t>หลอด 10 g.</t>
        </is>
      </c>
      <c r="F667" t="inlineStr">
        <is>
          <t>Clotrimazole 1 g./100 g.</t>
        </is>
      </c>
      <c r="G667" t="inlineStr">
        <is>
          <t>BDS001489</t>
        </is>
      </c>
      <c r="H667" t="inlineStr">
        <is>
          <t>Canesten Cream 10 g (10 g.)</t>
        </is>
      </c>
      <c r="I667" t="inlineStr">
        <is>
          <t>ทาครีมบางๆ บริเวณที่ติดเชื้อ วันละ 2-3 ครั้ง</t>
        </is>
      </c>
    </row>
    <row r="668">
      <c r="A668" t="n">
        <v>666</v>
      </c>
      <c r="B668" t="inlineStr">
        <is>
          <t>ยาทาฆ่าเชี้อรา</t>
        </is>
      </c>
      <c r="C668" t="n">
        <v>1422</v>
      </c>
      <c r="D668" t="inlineStr">
        <is>
          <t>Canesten Cream 20 g</t>
        </is>
      </c>
      <c r="E668" t="inlineStr">
        <is>
          <t>หลอด 20 g.</t>
        </is>
      </c>
      <c r="F668" t="inlineStr">
        <is>
          <t>Clotrimazole 1 g./100 g.</t>
        </is>
      </c>
      <c r="G668" t="inlineStr">
        <is>
          <t>BDS001422</t>
        </is>
      </c>
      <c r="H668" t="inlineStr">
        <is>
          <t>Canesten Cream 20 g (20 g.)</t>
        </is>
      </c>
      <c r="I668" t="inlineStr">
        <is>
          <t>ทาครีมบางๆ บริเวณที่ติดเชื้อ วันละ 2-3 ครั้ง</t>
        </is>
      </c>
    </row>
    <row r="669">
      <c r="A669" t="n">
        <v>667</v>
      </c>
      <c r="B669" t="inlineStr">
        <is>
          <t>ยาทาฆ่าเชี้อรา</t>
        </is>
      </c>
      <c r="C669" t="n">
        <v>41433</v>
      </c>
      <c r="D669" t="inlineStr">
        <is>
          <t>Canesten Cream O.D.</t>
        </is>
      </c>
      <c r="E669" t="inlineStr">
        <is>
          <t>หลอด 10 g.</t>
        </is>
      </c>
      <c r="F669" t="inlineStr">
        <is>
          <t>Bifonazole 1 g./100 g.</t>
        </is>
      </c>
      <c r="G669" t="inlineStr">
        <is>
          <t>BDS041433</t>
        </is>
      </c>
      <c r="H669" t="inlineStr">
        <is>
          <t>Canesten Cream O.D. (10 g.)</t>
        </is>
      </c>
      <c r="I669" t="inlineStr">
        <is>
          <t>ทาครีมบางๆ บริเวณที่ติดเชื้อ วันละ 1 ครั้ง ควรทาตอนเย็นก่อนเข้านอน</t>
        </is>
      </c>
    </row>
    <row r="670">
      <c r="A670" t="n">
        <v>668</v>
      </c>
      <c r="B670" t="inlineStr">
        <is>
          <t>ยาทาฆ่าเชี้อรา</t>
        </is>
      </c>
      <c r="C670" t="n">
        <v>7735</v>
      </c>
      <c r="D670" t="inlineStr">
        <is>
          <t>Fango Cream เล็ก</t>
        </is>
      </c>
      <c r="E670" t="inlineStr">
        <is>
          <t>หลอด 5 g.</t>
        </is>
      </c>
      <c r="F670" t="inlineStr">
        <is>
          <t>Clotrimazole 1 g/100 g</t>
        </is>
      </c>
      <c r="G670" t="inlineStr">
        <is>
          <t>BDS007735</t>
        </is>
      </c>
      <c r="H670" t="inlineStr">
        <is>
          <t>Fango Cream เล็ก (5 g.)</t>
        </is>
      </c>
      <c r="I670" t="inlineStr">
        <is>
          <t>ทาครีมบางๆ บริเวณผิวหนังที่มีการติดเชื้อและบริเวณรอบๆ ที่มีการติดเชื้อนั้นด้วย วันละ 2-3 ครั้ง จนหาย</t>
        </is>
      </c>
    </row>
    <row r="671">
      <c r="A671" t="n">
        <v>669</v>
      </c>
      <c r="B671" t="inlineStr">
        <is>
          <t>ยาทาฆ่าเชี้อรา</t>
        </is>
      </c>
      <c r="C671" t="n">
        <v>43117</v>
      </c>
      <c r="D671" t="inlineStr">
        <is>
          <t>Fango Cream ใหญ่</t>
        </is>
      </c>
      <c r="E671" t="inlineStr">
        <is>
          <t>หลอด 15 g.</t>
        </is>
      </c>
      <c r="F671" t="inlineStr">
        <is>
          <t>Clotrimazole 1 g/100 g</t>
        </is>
      </c>
      <c r="G671" t="inlineStr">
        <is>
          <t>BDS043117</t>
        </is>
      </c>
      <c r="H671" t="inlineStr">
        <is>
          <t>Fango Cream ใหญ่ (15 g.)</t>
        </is>
      </c>
      <c r="I671" t="inlineStr">
        <is>
          <t>ทาครีมบางๆ บริเวณผิวหนังที่มีการติดเชื้อและบริเวณรอบๆ ที่มีการติดเชื้อนั้นด้วย วันละ 2-3 ครั้ง จนหาย</t>
        </is>
      </c>
    </row>
    <row r="672">
      <c r="A672" t="n">
        <v>670</v>
      </c>
      <c r="B672" t="inlineStr">
        <is>
          <t>ยาทาฆ่าเชี้อรา</t>
        </is>
      </c>
      <c r="C672" t="n">
        <v>7542</v>
      </c>
      <c r="D672" t="inlineStr">
        <is>
          <t>Fungasin Cream เล็ก</t>
        </is>
      </c>
      <c r="E672" t="inlineStr">
        <is>
          <t>หลอด 5 g.</t>
        </is>
      </c>
      <c r="F672" t="inlineStr">
        <is>
          <t>Ketoconazole 20 mg./1 g.</t>
        </is>
      </c>
      <c r="G672" t="inlineStr">
        <is>
          <t>BDS007542</t>
        </is>
      </c>
      <c r="H672" t="inlineStr">
        <is>
          <t>Fungasin Cream เล็ก (5 g.)</t>
        </is>
      </c>
      <c r="I672" t="inlineStr">
        <is>
          <t>ทาครีมบางๆ บริเวณผิวหนังที่มีการติดเชื้อและบริเวณรอบๆ ที่มีการติดเชื้อนั้นด้วย วันละ 1-2 ครั้ง</t>
        </is>
      </c>
    </row>
    <row r="673">
      <c r="A673" t="n">
        <v>671</v>
      </c>
      <c r="B673" t="inlineStr">
        <is>
          <t>ยาทาฆ่าเชี้อรา</t>
        </is>
      </c>
      <c r="C673" t="n">
        <v>7543</v>
      </c>
      <c r="D673" t="inlineStr">
        <is>
          <t>Fungasin Cream ใหญ่</t>
        </is>
      </c>
      <c r="E673" t="inlineStr">
        <is>
          <t>หลอด 20 g.</t>
        </is>
      </c>
      <c r="F673" t="inlineStr">
        <is>
          <t>Ketoconazole 20 mg./1 g.</t>
        </is>
      </c>
      <c r="G673" t="inlineStr">
        <is>
          <t>BDS007543</t>
        </is>
      </c>
      <c r="H673" t="inlineStr">
        <is>
          <t>Fungasin Cream ใหญ่ (20 g.)</t>
        </is>
      </c>
      <c r="I673" t="inlineStr">
        <is>
          <t>ทาครีมบางๆ บริเวณผิวหนังที่มีการติดเชื้อและบริเวณรอบๆ ที่มีการติดเชื้อนั้นด้วย วันละ 1-2 ครั้ง</t>
        </is>
      </c>
    </row>
    <row r="674">
      <c r="A674" t="n">
        <v>672</v>
      </c>
      <c r="B674" t="inlineStr">
        <is>
          <t>ยาทาฆ่าเชี้อรา</t>
        </is>
      </c>
      <c r="C674" t="n">
        <v>8451</v>
      </c>
      <c r="D674" t="inlineStr">
        <is>
          <t>Funginox Solution</t>
        </is>
      </c>
      <c r="E674" t="inlineStr">
        <is>
          <t>ขวด 25 ml.</t>
        </is>
      </c>
      <c r="F674" t="inlineStr">
        <is>
          <t>Ketoconazole 2%</t>
        </is>
      </c>
      <c r="G674" t="inlineStr">
        <is>
          <t>BDS008451</t>
        </is>
      </c>
      <c r="H674" t="inlineStr">
        <is>
          <t>Funginox Solution (25 ml.)</t>
        </is>
      </c>
      <c r="I674" t="inlineStr">
        <is>
          <t>สเปรย์ลงบนผิวหนังโดยไม่ต้องล้างออก วันละ 1-2 ครั้ง</t>
        </is>
      </c>
    </row>
    <row r="675">
      <c r="A675" t="n">
        <v>673</v>
      </c>
      <c r="B675" t="inlineStr">
        <is>
          <t>ยาทาฆ่าเชี้อรา</t>
        </is>
      </c>
      <c r="C675" t="n">
        <v>2562</v>
      </c>
      <c r="D675" t="inlineStr">
        <is>
          <t>Lamazone Cream</t>
        </is>
      </c>
      <c r="E675" t="inlineStr">
        <is>
          <t>หลอด 10 g.</t>
        </is>
      </c>
      <c r="F675" t="inlineStr">
        <is>
          <t>Clotrimazole 1 g./100 g.</t>
        </is>
      </c>
      <c r="G675" t="inlineStr">
        <is>
          <t>BDS002562</t>
        </is>
      </c>
      <c r="H675" t="inlineStr">
        <is>
          <t>Lamazone Cream (10 g.)</t>
        </is>
      </c>
      <c r="I675" t="inlineStr">
        <is>
          <t>ทาครีมบางๆ บริเวณที่ติดเชื้อ วันละ 2-3 ครั้ง</t>
        </is>
      </c>
    </row>
    <row r="676">
      <c r="A676" t="n">
        <v>674</v>
      </c>
      <c r="B676" t="inlineStr">
        <is>
          <t>ยาทาฆ่าเชี้อรา</t>
        </is>
      </c>
      <c r="C676" t="n">
        <v>2563</v>
      </c>
      <c r="D676" t="inlineStr">
        <is>
          <t>Lamisil Cream</t>
        </is>
      </c>
      <c r="E676" t="inlineStr">
        <is>
          <t>หลอด 5 g.</t>
        </is>
      </c>
      <c r="F676" t="inlineStr">
        <is>
          <t>Terbinafine HCl 10 mg./1 g.</t>
        </is>
      </c>
      <c r="G676" t="inlineStr">
        <is>
          <t>BDS002563</t>
        </is>
      </c>
      <c r="H676" t="inlineStr">
        <is>
          <t>Lamisil Cream (5 g.)</t>
        </is>
      </c>
      <c r="I676" t="inlineStr">
        <is>
          <t>ทาครีมบางๆ บริเวณที่ติดเชื้อวันละ 1-2 ครั้ง</t>
        </is>
      </c>
    </row>
    <row r="677">
      <c r="A677" t="n">
        <v>675</v>
      </c>
      <c r="B677" t="inlineStr">
        <is>
          <t>ยาทาฆ่าเชี้อรา</t>
        </is>
      </c>
      <c r="C677" t="n">
        <v>2648</v>
      </c>
      <c r="D677" t="inlineStr">
        <is>
          <t>Mycoderm-C 1%</t>
        </is>
      </c>
      <c r="E677" t="inlineStr">
        <is>
          <t>ขวด 75 g.</t>
        </is>
      </c>
      <c r="F677" t="inlineStr">
        <is>
          <t>Clotrimazole BP 1% w/w</t>
        </is>
      </c>
      <c r="G677" t="inlineStr">
        <is>
          <t>BDS002648</t>
        </is>
      </c>
      <c r="H677" t="inlineStr">
        <is>
          <t>Mycoderm-C 1% (75 g.)</t>
        </is>
      </c>
      <c r="I677" t="inlineStr">
        <is>
          <t xml:space="preserve">โรยผิวหนังบริเวณที่มีการติดเชื้อราที่ใกล้จะหายแล้วหลังจากการทาด้วยโคลไตรมาโซลชนิดครีม </t>
        </is>
      </c>
    </row>
    <row r="678">
      <c r="A678" t="n">
        <v>676</v>
      </c>
      <c r="B678" t="inlineStr">
        <is>
          <t>ยาทาฆ่าเชี้อรา</t>
        </is>
      </c>
      <c r="C678" t="n">
        <v>45665</v>
      </c>
      <c r="D678" t="inlineStr">
        <is>
          <t>Nizoral Cream 15 g.</t>
        </is>
      </c>
      <c r="E678" t="inlineStr">
        <is>
          <t>หลอด 15 g.</t>
        </is>
      </c>
      <c r="F678" t="inlineStr">
        <is>
          <t>Ketoconazole 20 g.</t>
        </is>
      </c>
      <c r="G678" t="inlineStr">
        <is>
          <t>BDS045665</t>
        </is>
      </c>
      <c r="H678" t="inlineStr">
        <is>
          <t>Nizoral Cream 15 g. (15 g.)</t>
        </is>
      </c>
      <c r="I678" t="inlineStr">
        <is>
          <t xml:space="preserve">ทาครีมบางๆ บริเวณผิวหนังที่มีการติดเชื้อและบริเวณรอบๆ ที่มีการติดเชื้อนั้นด้วย วันละ 1 ครั้ง </t>
        </is>
      </c>
    </row>
    <row r="679">
      <c r="A679" t="n">
        <v>677</v>
      </c>
      <c r="B679" t="inlineStr">
        <is>
          <t>ยาทาฆ่าเชี้อรา</t>
        </is>
      </c>
      <c r="C679" t="n">
        <v>2829</v>
      </c>
      <c r="D679" t="inlineStr">
        <is>
          <t>Nizoral Cream เล็ก</t>
        </is>
      </c>
      <c r="E679" t="inlineStr">
        <is>
          <t>หลอด 5 g.</t>
        </is>
      </c>
      <c r="F679" t="inlineStr">
        <is>
          <t>Ketoconazole 20 mg./1 g.</t>
        </is>
      </c>
      <c r="G679" t="inlineStr">
        <is>
          <t>BDS002829</t>
        </is>
      </c>
      <c r="H679" t="inlineStr">
        <is>
          <t>Nizoral Cream เล็ก (5 g.)</t>
        </is>
      </c>
      <c r="I679" t="inlineStr">
        <is>
          <t>ทาครีมบางๆ บริเวณผิวหนังที่มีการติดเชื้อและบริเวณรอบๆ ที่มีการติดเชื้อ วันละ 1 ครั้ง</t>
        </is>
      </c>
    </row>
    <row r="680">
      <c r="A680" t="n">
        <v>678</v>
      </c>
      <c r="B680" t="inlineStr">
        <is>
          <t>ยาทาฆ่าเชี้อรา</t>
        </is>
      </c>
      <c r="C680" t="n">
        <v>4205</v>
      </c>
      <c r="D680" t="inlineStr">
        <is>
          <t>Zema Lotion</t>
        </is>
      </c>
      <c r="E680" t="inlineStr">
        <is>
          <t>ขวด 15 ml.</t>
        </is>
      </c>
      <c r="F680" t="inlineStr">
        <is>
          <t>Salicylic Acid 11.8%+Resorcinol 3.8%+Phenylic Acid 0.285%</t>
        </is>
      </c>
      <c r="G680" t="inlineStr">
        <is>
          <t>BDS004205</t>
        </is>
      </c>
      <c r="H680" t="inlineStr">
        <is>
          <t>Zema Lotion (15 ml.)</t>
        </is>
      </c>
      <c r="I680" t="inlineStr">
        <is>
          <t>ทาโลชั่นบางๆ บริเวณที่ติดเชื้อ วันละ 1-2 ครั้ง</t>
        </is>
      </c>
    </row>
    <row r="681">
      <c r="A681" t="n">
        <v>679</v>
      </c>
      <c r="B681" t="inlineStr">
        <is>
          <t>ยาทาแก้แพ้, แก้คัน (D)</t>
        </is>
      </c>
      <c r="C681" t="n">
        <v>6745</v>
      </c>
      <c r="D681" t="inlineStr">
        <is>
          <t>Antergan Cream</t>
        </is>
      </c>
      <c r="E681" t="inlineStr">
        <is>
          <t>หลอด 10 g.</t>
        </is>
      </c>
      <c r="F681" t="inlineStr">
        <is>
          <t>Hydrocortisone Acetate 5 mg+Mepyramine Maleate 20 mg/1 g</t>
        </is>
      </c>
      <c r="G681" t="inlineStr">
        <is>
          <t>BDS006745</t>
        </is>
      </c>
      <c r="H681" t="inlineStr">
        <is>
          <t>Antergan Cream (10 g.)</t>
        </is>
      </c>
      <c r="I681" t="inlineStr">
        <is>
          <t>ทาบางๆ วันละ 2-3 ครั้ง  หรือตามแพทย์สั่ง</t>
        </is>
      </c>
      <c r="P681" t="inlineStr">
        <is>
          <t>Eczema/diaper rash / anti-itch topicals</t>
        </is>
      </c>
    </row>
    <row r="682">
      <c r="A682" t="n">
        <v>680</v>
      </c>
      <c r="B682" t="inlineStr">
        <is>
          <t>ยาทาแก้แพ้, แก้คัน (D)</t>
        </is>
      </c>
      <c r="C682" t="n">
        <v>1057</v>
      </c>
      <c r="D682" t="inlineStr">
        <is>
          <t>Aristocort 0.02%</t>
        </is>
      </c>
      <c r="E682" t="inlineStr">
        <is>
          <t>หลอด 15 g.</t>
        </is>
      </c>
      <c r="F682" t="inlineStr">
        <is>
          <t>Triamcinolone Acetonide 0.02%</t>
        </is>
      </c>
      <c r="G682" t="inlineStr">
        <is>
          <t>BDS001057</t>
        </is>
      </c>
      <c r="H682" t="inlineStr">
        <is>
          <t>Aristocort 0.02% (15 g.)</t>
        </is>
      </c>
      <c r="I682" t="inlineStr">
        <is>
          <t>ทาครีมบางๆ บริเวณที่มีอาการ วันละ 3-4 ครั้ง</t>
        </is>
      </c>
      <c r="P682" t="inlineStr">
        <is>
          <t>Eczema/diaper rash / anti-itch topicals</t>
        </is>
      </c>
    </row>
    <row r="683">
      <c r="A683" t="n">
        <v>681</v>
      </c>
      <c r="B683" t="inlineStr">
        <is>
          <t>ยาทาแก้แพ้, แก้คัน (D)</t>
        </is>
      </c>
      <c r="C683" t="n">
        <v>1058</v>
      </c>
      <c r="D683" t="inlineStr">
        <is>
          <t>Aristocort 0.1%</t>
        </is>
      </c>
      <c r="E683" t="inlineStr">
        <is>
          <t>หลอด 15 g.</t>
        </is>
      </c>
      <c r="F683" t="inlineStr">
        <is>
          <t>Triamcinolone Acetonide 1 mg/1 g (0.1%)+Preservative (Benzyl alcohol 2.0%)</t>
        </is>
      </c>
      <c r="G683" t="inlineStr">
        <is>
          <t>BDS001058</t>
        </is>
      </c>
      <c r="H683" t="inlineStr">
        <is>
          <t>Aristocort 0.1% (15 g.)</t>
        </is>
      </c>
      <c r="I683" t="inlineStr">
        <is>
          <t>ทาครีมบางๆ บริเวณที่มีอาการ วันละ 3-4 ครั้ง</t>
        </is>
      </c>
      <c r="P683" t="inlineStr">
        <is>
          <t>Eczema/diaper rash / anti-itch topicals</t>
        </is>
      </c>
    </row>
    <row r="684">
      <c r="A684" t="n">
        <v>682</v>
      </c>
      <c r="B684" t="inlineStr">
        <is>
          <t>ยาทาแก้แพ้, แก้คัน (D)</t>
        </is>
      </c>
      <c r="C684" t="n">
        <v>7501</v>
      </c>
      <c r="D684" t="inlineStr">
        <is>
          <t>Betatone Cream เล็ก</t>
        </is>
      </c>
      <c r="E684" t="inlineStr">
        <is>
          <t>หลอด 5 g.</t>
        </is>
      </c>
      <c r="F684" t="inlineStr">
        <is>
          <t>Betamethasone Valerate (eq. to Betamethasone 0.10 g/100 g)</t>
        </is>
      </c>
      <c r="G684" t="inlineStr">
        <is>
          <t>BDS007501</t>
        </is>
      </c>
      <c r="H684" t="inlineStr">
        <is>
          <t>Betatone Cream เล็ก (5 g.)</t>
        </is>
      </c>
      <c r="I684" t="inlineStr">
        <is>
          <t>ทาครีมบางๆ บริเวณที่มีอาการ วันละ 2-3 ครั้ง</t>
        </is>
      </c>
      <c r="P684" t="inlineStr">
        <is>
          <t>Eczema/diaper rash / anti-itch topicals</t>
        </is>
      </c>
    </row>
    <row r="685">
      <c r="A685" t="n">
        <v>683</v>
      </c>
      <c r="B685" t="inlineStr">
        <is>
          <t>ยาทาแก้แพ้, แก้คัน (D)</t>
        </is>
      </c>
      <c r="C685" t="n">
        <v>7502</v>
      </c>
      <c r="D685" t="inlineStr">
        <is>
          <t>Betatone Cream ใหญ่</t>
        </is>
      </c>
      <c r="E685" t="inlineStr">
        <is>
          <t>หลอด 15 g.</t>
        </is>
      </c>
      <c r="F685" t="inlineStr">
        <is>
          <t>Betamethasone Valerate (eq. to Betamethasone 0.10 g/100 g)</t>
        </is>
      </c>
      <c r="G685" t="inlineStr">
        <is>
          <t>BDS007502</t>
        </is>
      </c>
      <c r="H685" t="inlineStr">
        <is>
          <t>Betatone Cream ใหญ่ (15 g.)</t>
        </is>
      </c>
      <c r="I685" t="inlineStr">
        <is>
          <t>ทาครีมบางๆ บริเวณที่มีอาการ วันละ 2-3 ครั้ง</t>
        </is>
      </c>
      <c r="P685" t="inlineStr">
        <is>
          <t>Eczema/diaper rash / anti-itch topicals</t>
        </is>
      </c>
    </row>
    <row r="686">
      <c r="A686" t="n">
        <v>684</v>
      </c>
      <c r="B686" t="inlineStr">
        <is>
          <t>ยาทาแก้แพ้, แก้คัน (D)</t>
        </is>
      </c>
      <c r="C686" t="n">
        <v>1246</v>
      </c>
      <c r="D686" t="inlineStr">
        <is>
          <t>Betnovate Cream ใหญ่</t>
        </is>
      </c>
      <c r="E686" t="inlineStr">
        <is>
          <t>หลอด 15 g.</t>
        </is>
      </c>
      <c r="F686" t="inlineStr">
        <is>
          <t>Betamethasone 17-Valerate 0.122 %w/w</t>
        </is>
      </c>
      <c r="G686" t="inlineStr">
        <is>
          <t>BDS001246</t>
        </is>
      </c>
      <c r="H686" t="inlineStr">
        <is>
          <t>Betnovate Cream ใหญ่ (15 g.)</t>
        </is>
      </c>
      <c r="I686" t="inlineStr">
        <is>
          <t>ทาครีมบางๆ บริเวณที่มีอาการ วันละ 2-3 ครั้ง</t>
        </is>
      </c>
      <c r="P686" t="inlineStr">
        <is>
          <t>Eczema/diaper rash / anti-itch topicals</t>
        </is>
      </c>
    </row>
    <row r="687">
      <c r="A687" t="n">
        <v>685</v>
      </c>
      <c r="B687" t="inlineStr">
        <is>
          <t>ยาทาแก้แพ้, แก้คัน (D)</t>
        </is>
      </c>
      <c r="C687" t="n">
        <v>1216</v>
      </c>
      <c r="D687" t="inlineStr">
        <is>
          <t>Betnovate Scalp</t>
        </is>
      </c>
      <c r="E687" t="inlineStr">
        <is>
          <t>ขวด 30 ml.</t>
        </is>
      </c>
      <c r="F687" t="inlineStr">
        <is>
          <t>Betamethasone 17-Valerate 0.122 % w/w</t>
        </is>
      </c>
      <c r="G687" t="inlineStr">
        <is>
          <t>BDS001216</t>
        </is>
      </c>
      <c r="H687" t="inlineStr">
        <is>
          <t>Betnovate Scalp (30 ml.)</t>
        </is>
      </c>
      <c r="I687" t="inlineStr">
        <is>
          <t xml:space="preserve">ทาบางๆ บริเวณที่มีอาการ วันละ 2 ครั้ง </t>
        </is>
      </c>
      <c r="P687" t="inlineStr">
        <is>
          <t>Eczema/diaper rash / anti-itch topicals</t>
        </is>
      </c>
    </row>
    <row r="688">
      <c r="A688" t="n">
        <v>686</v>
      </c>
      <c r="B688" t="inlineStr">
        <is>
          <t>ยาทาแก้แพ้, แก้คัน (D)</t>
        </is>
      </c>
      <c r="C688" t="n">
        <v>41408</v>
      </c>
      <c r="D688" t="inlineStr">
        <is>
          <t>Clinivate Cream ใหญ่</t>
        </is>
      </c>
      <c r="E688" t="inlineStr">
        <is>
          <t>หลอด 15 g.</t>
        </is>
      </c>
      <c r="F688" t="inlineStr">
        <is>
          <t>Betamethasone Valerate (eq. to Betamethasone 1 mg./1 g.</t>
        </is>
      </c>
      <c r="G688" t="inlineStr">
        <is>
          <t>BDS041408</t>
        </is>
      </c>
      <c r="H688" t="inlineStr">
        <is>
          <t>Clinivate Cream ใหญ่ (15 g.)</t>
        </is>
      </c>
      <c r="I688" t="inlineStr">
        <is>
          <t>ทาครีมบางๆ ในบริเวณที่มีอาการ วันละ 2-3 ครั้ง หรือใช้ตามแพทย์สั่ง</t>
        </is>
      </c>
      <c r="P688" t="inlineStr">
        <is>
          <t>Eczema/diaper rash / anti-itch topicals</t>
        </is>
      </c>
    </row>
    <row r="689">
      <c r="A689" t="n">
        <v>687</v>
      </c>
      <c r="B689" t="inlineStr">
        <is>
          <t>ยาทาแก้แพ้, แก้คัน (D)</t>
        </is>
      </c>
      <c r="C689" t="n">
        <v>6198</v>
      </c>
      <c r="D689" t="inlineStr">
        <is>
          <t>Clinoderm Cream</t>
        </is>
      </c>
      <c r="E689" t="inlineStr">
        <is>
          <t>หลอด 15 g.</t>
        </is>
      </c>
      <c r="F689" t="inlineStr">
        <is>
          <t>Clobetasol Propionate 0.05 g/100 g (0.05%)</t>
        </is>
      </c>
      <c r="G689" t="inlineStr">
        <is>
          <t>BDS006198</t>
        </is>
      </c>
      <c r="H689" t="inlineStr">
        <is>
          <t>Clinoderm Cream (15 g.)</t>
        </is>
      </c>
      <c r="I689" t="inlineStr">
        <is>
          <t xml:space="preserve">ทาครีมบางๆ บริเวณที่มีอาการ วันละ 1-2 ครั้ง </t>
        </is>
      </c>
      <c r="P689" t="inlineStr">
        <is>
          <t>Eczema/diaper rash / anti-itch topicals</t>
        </is>
      </c>
    </row>
    <row r="690">
      <c r="A690" t="n">
        <v>688</v>
      </c>
      <c r="B690" t="inlineStr">
        <is>
          <t>ยาทาแก้แพ้, แก้คัน (D)</t>
        </is>
      </c>
      <c r="C690" t="n">
        <v>7514</v>
      </c>
      <c r="D690" t="inlineStr">
        <is>
          <t>Clobevate Cream เล็ก</t>
        </is>
      </c>
      <c r="E690" t="inlineStr">
        <is>
          <t>หลอด 5 g.</t>
        </is>
      </c>
      <c r="F690" t="inlineStr">
        <is>
          <t>Clobetasol Propionate 0.05 g/100 g (0.05%)</t>
        </is>
      </c>
      <c r="G690" t="inlineStr">
        <is>
          <t>BDS007514</t>
        </is>
      </c>
      <c r="H690" t="inlineStr">
        <is>
          <t>Clobevate Cream เล็ก (5 g.)</t>
        </is>
      </c>
      <c r="I690" t="inlineStr">
        <is>
          <t>ทาครีมบางๆ บริเวณที่มีอาการ วันละ 2-3 ครั้ง</t>
        </is>
      </c>
      <c r="P690" t="inlineStr">
        <is>
          <t>Eczema/diaper rash / anti-itch topicals</t>
        </is>
      </c>
    </row>
    <row r="691">
      <c r="A691" t="n">
        <v>689</v>
      </c>
      <c r="B691" t="inlineStr">
        <is>
          <t>ยาทาแก้แพ้, แก้คัน (D)</t>
        </is>
      </c>
      <c r="C691" t="n">
        <v>7515</v>
      </c>
      <c r="D691" t="inlineStr">
        <is>
          <t>Clobevate Cream ใหญ่</t>
        </is>
      </c>
      <c r="E691" t="inlineStr">
        <is>
          <t>หลอด 15 g.</t>
        </is>
      </c>
      <c r="F691" t="inlineStr">
        <is>
          <t>Clobetasol Propionate 0.05 g/100 g (0.05%)</t>
        </is>
      </c>
      <c r="G691" t="inlineStr">
        <is>
          <t>BDS007515</t>
        </is>
      </c>
      <c r="H691" t="inlineStr">
        <is>
          <t>Clobevate Cream ใหญ่ (15 g.)</t>
        </is>
      </c>
      <c r="I691" t="inlineStr">
        <is>
          <t>ทาครีมบางๆ บริเวณที่มีอาการ วันละ 2-3 ครั้ง</t>
        </is>
      </c>
      <c r="P691" t="inlineStr">
        <is>
          <t>Eczema/diaper rash / anti-itch topicals</t>
        </is>
      </c>
    </row>
    <row r="692">
      <c r="A692" t="n">
        <v>690</v>
      </c>
      <c r="B692" t="inlineStr">
        <is>
          <t>ยาทาแก้แพ้, แก้คัน (D)</t>
        </is>
      </c>
      <c r="C692" t="n">
        <v>1621</v>
      </c>
      <c r="D692" t="inlineStr">
        <is>
          <t>Dermatop Cream เล็ก</t>
        </is>
      </c>
      <c r="E692" t="inlineStr">
        <is>
          <t>หลอด 5 g.</t>
        </is>
      </c>
      <c r="F692" t="inlineStr">
        <is>
          <t>Prednicarbate 2.5 mg/1 g (0.25%)</t>
        </is>
      </c>
      <c r="G692" t="inlineStr">
        <is>
          <t>BDS001621</t>
        </is>
      </c>
      <c r="H692" t="inlineStr">
        <is>
          <t>Dermatop Cream เล็ก (5 g.)</t>
        </is>
      </c>
      <c r="I692" t="inlineStr">
        <is>
          <t>ทาครีมบางๆ บริเวณที่มีอาการ วันละ 2-3 ครั้ง</t>
        </is>
      </c>
      <c r="P692" t="inlineStr">
        <is>
          <t>Eczema/diaper rash / anti-itch topicals</t>
        </is>
      </c>
    </row>
    <row r="693">
      <c r="A693" t="n">
        <v>691</v>
      </c>
      <c r="B693" t="inlineStr">
        <is>
          <t>ยาทาแก้แพ้, แก้คัน (D)</t>
        </is>
      </c>
      <c r="C693" t="n">
        <v>1622</v>
      </c>
      <c r="D693" t="inlineStr">
        <is>
          <t>Dermovate Cream เล็ก</t>
        </is>
      </c>
      <c r="E693" t="inlineStr">
        <is>
          <t>หลอด 5 g.</t>
        </is>
      </c>
      <c r="F693" t="inlineStr">
        <is>
          <t>Clobetasol Propionate 0.05% w/w</t>
        </is>
      </c>
      <c r="G693" t="inlineStr">
        <is>
          <t>BDS001622</t>
        </is>
      </c>
      <c r="H693" t="inlineStr">
        <is>
          <t>Dermovate Cream เล็ก (5 g.)</t>
        </is>
      </c>
      <c r="I693" t="inlineStr">
        <is>
          <t>ทาครีมบางๆ บริเวณที่มีอาการวันละ 2-3 ครั้ง</t>
        </is>
      </c>
      <c r="P693" t="inlineStr">
        <is>
          <t>Eczema/diaper rash / anti-itch topicals</t>
        </is>
      </c>
    </row>
    <row r="694">
      <c r="A694" t="n">
        <v>692</v>
      </c>
      <c r="B694" t="inlineStr">
        <is>
          <t>ยาทาแก้แพ้, แก้คัน (D)</t>
        </is>
      </c>
      <c r="C694" t="n">
        <v>1623</v>
      </c>
      <c r="D694" t="inlineStr">
        <is>
          <t>Dermovate Cream ใหญ่</t>
        </is>
      </c>
      <c r="E694" t="inlineStr">
        <is>
          <t>หลอด 15 g.</t>
        </is>
      </c>
      <c r="F694" t="inlineStr">
        <is>
          <t>Clobetasol Propionate 0.05% w/w</t>
        </is>
      </c>
      <c r="G694" t="inlineStr">
        <is>
          <t>BDS001623</t>
        </is>
      </c>
      <c r="H694" t="inlineStr">
        <is>
          <t>Dermovate Cream ใหญ่ (15 g.)</t>
        </is>
      </c>
      <c r="I694" t="inlineStr">
        <is>
          <t>ทาครีมบางๆ บริเวณที่มีอาการวันละ 2-3 ครั้ง</t>
        </is>
      </c>
      <c r="P694" t="inlineStr">
        <is>
          <t>Eczema/diaper rash / anti-itch topicals</t>
        </is>
      </c>
    </row>
    <row r="695">
      <c r="A695" t="n">
        <v>693</v>
      </c>
      <c r="B695" t="inlineStr">
        <is>
          <t>ยาทาแก้แพ้, แก้คัน (D)</t>
        </is>
      </c>
      <c r="C695" t="n">
        <v>1630</v>
      </c>
      <c r="D695" t="inlineStr">
        <is>
          <t>Dermovate Ointment</t>
        </is>
      </c>
      <c r="E695" t="inlineStr">
        <is>
          <t>หลอด 5 g.</t>
        </is>
      </c>
      <c r="F695" t="inlineStr">
        <is>
          <t>Clobetasol Propionate 0.05% w/w</t>
        </is>
      </c>
      <c r="G695" t="inlineStr">
        <is>
          <t>BDS001630</t>
        </is>
      </c>
      <c r="H695" t="inlineStr">
        <is>
          <t>Dermovate Ointment (5 g.)</t>
        </is>
      </c>
      <c r="I695" t="inlineStr">
        <is>
          <t>ทาครีมบางๆ บริเวณที่มีอาการวันละ 2-3 ครั้ง</t>
        </is>
      </c>
      <c r="P695" t="inlineStr">
        <is>
          <t>Eczema/diaper rash / anti-itch topicals</t>
        </is>
      </c>
    </row>
    <row r="696">
      <c r="A696" t="n">
        <v>694</v>
      </c>
      <c r="B696" t="inlineStr">
        <is>
          <t>ยาทาแก้แพ้, แก้คัน (D)</t>
        </is>
      </c>
      <c r="C696" t="n">
        <v>1660</v>
      </c>
      <c r="D696" t="inlineStr">
        <is>
          <t>Dermovate Scalp</t>
        </is>
      </c>
      <c r="E696" t="inlineStr">
        <is>
          <t>ขวด 30 ml.</t>
        </is>
      </c>
      <c r="F696" t="inlineStr">
        <is>
          <t>Clobetasol Propionate 0.05% w/w</t>
        </is>
      </c>
      <c r="G696" t="inlineStr">
        <is>
          <t>BDS001660</t>
        </is>
      </c>
      <c r="H696" t="inlineStr">
        <is>
          <t>Dermovate Scalp (30 ml.)</t>
        </is>
      </c>
      <c r="I696" t="inlineStr">
        <is>
          <t>ทาบางๆ บริเวณที่มีอาการ วันละ 2-3 ครั้ง</t>
        </is>
      </c>
      <c r="P696" t="inlineStr">
        <is>
          <t>Eczema/diaper rash / anti-itch topicals</t>
        </is>
      </c>
    </row>
    <row r="697">
      <c r="A697" t="n">
        <v>695</v>
      </c>
      <c r="B697" t="inlineStr">
        <is>
          <t>ยาทาแก้แพ้, แก้คัน (D)</t>
        </is>
      </c>
      <c r="C697" t="n">
        <v>1650</v>
      </c>
      <c r="D697" t="inlineStr">
        <is>
          <t>Diprosalic Ointment</t>
        </is>
      </c>
      <c r="E697" t="inlineStr">
        <is>
          <t>หลอด 5 g.</t>
        </is>
      </c>
      <c r="F697" t="inlineStr">
        <is>
          <t>Betamethasone Dipropionate (eq. to Betamethasone 0.05%)+Salicylic acid 3%</t>
        </is>
      </c>
      <c r="G697" t="inlineStr">
        <is>
          <t>BDS001650</t>
        </is>
      </c>
      <c r="H697" t="inlineStr">
        <is>
          <t>Diprosalic Ointment (5 g.)</t>
        </is>
      </c>
      <c r="I697" t="inlineStr">
        <is>
          <t xml:space="preserve">ทาขี้ผึ้งบางๆ ให้ทั่วบริเวณที่มีอาการ วันละ 2 ครั้ง </t>
        </is>
      </c>
      <c r="P697" t="inlineStr">
        <is>
          <t>Eczema/diaper rash / anti-itch topicals</t>
        </is>
      </c>
    </row>
    <row r="698">
      <c r="A698" t="n">
        <v>696</v>
      </c>
      <c r="B698" t="inlineStr">
        <is>
          <t>ยาทาแก้แพ้, แก้คัน (D)</t>
        </is>
      </c>
      <c r="C698" t="n">
        <v>1546</v>
      </c>
      <c r="D698" t="inlineStr">
        <is>
          <t>Diprosalic Ointment ใหญ่</t>
        </is>
      </c>
      <c r="E698" t="inlineStr">
        <is>
          <t>หลอด 15 g.</t>
        </is>
      </c>
      <c r="F698" t="inlineStr">
        <is>
          <t>Betamethasone Dipropionate (eq. to Betamethasone 0.05%)+Salicylic acid 3%</t>
        </is>
      </c>
      <c r="G698" t="inlineStr">
        <is>
          <t>BDS001546</t>
        </is>
      </c>
      <c r="H698" t="inlineStr">
        <is>
          <t>Diprosalic Ointment ใหญ่ (15 g.)</t>
        </is>
      </c>
      <c r="I698" t="inlineStr">
        <is>
          <t>ทาขี้ผึ้งบางๆ ให้ทั่วบริเวณที่มีอาการ วันละ 2 ครั้ง เช้า-ก่อนนอน</t>
        </is>
      </c>
      <c r="P698" t="inlineStr">
        <is>
          <t>Eczema/diaper rash / anti-itch topicals</t>
        </is>
      </c>
    </row>
    <row r="699">
      <c r="A699" t="n">
        <v>697</v>
      </c>
      <c r="B699" t="inlineStr">
        <is>
          <t>ยาทาแก้แพ้, แก้คัน (D)</t>
        </is>
      </c>
      <c r="C699" t="n">
        <v>1699</v>
      </c>
      <c r="D699" t="inlineStr">
        <is>
          <t>Diprotop Ointment</t>
        </is>
      </c>
      <c r="E699" t="inlineStr">
        <is>
          <t>หลอด 5 g.</t>
        </is>
      </c>
      <c r="F699" t="inlineStr">
        <is>
          <t>Betamethasone Dipropionate 0.64 mg (eq. to Betamethasone 0.5 mg)+Propylene Glycol</t>
        </is>
      </c>
      <c r="G699" t="inlineStr">
        <is>
          <t>BDS001699</t>
        </is>
      </c>
      <c r="H699" t="inlineStr">
        <is>
          <t>Diprotop Ointment (5 g.)</t>
        </is>
      </c>
      <c r="I699" t="inlineStr">
        <is>
          <t>ทาบางๆ ให้ทั่วผิวหนังบริเวณที่เป็น วันละ 1 ครั้ง ตอนเช้า</t>
        </is>
      </c>
      <c r="P699" t="inlineStr">
        <is>
          <t>Eczema/diaper rash / anti-itch topicals</t>
        </is>
      </c>
    </row>
    <row r="700">
      <c r="A700" t="n">
        <v>698</v>
      </c>
      <c r="B700" t="inlineStr">
        <is>
          <t>ยาทาแก้แพ้, แก้คัน (D)</t>
        </is>
      </c>
      <c r="C700" t="n">
        <v>1803</v>
      </c>
      <c r="D700" t="inlineStr">
        <is>
          <t>Elomet 0.1 %</t>
        </is>
      </c>
      <c r="E700" t="inlineStr">
        <is>
          <t>หลอด 5 g.</t>
        </is>
      </c>
      <c r="F700" t="inlineStr">
        <is>
          <t>Mometasone Furoate 1 mg/1 g (0.1%)</t>
        </is>
      </c>
      <c r="G700" t="inlineStr">
        <is>
          <t>BDS001803</t>
        </is>
      </c>
      <c r="H700" t="inlineStr">
        <is>
          <t>Elomet 0.1 % (5 g.)</t>
        </is>
      </c>
      <c r="I700" t="inlineStr">
        <is>
          <t xml:space="preserve">ทาครีมบางๆ บริเวณที่เป็น วันละ 1 ครั้ง จนรอยโรคหายหรือทาติดต่อกัน 3 อาทิตย์ </t>
        </is>
      </c>
      <c r="P700" t="inlineStr">
        <is>
          <t>Eczema/diaper rash / anti-itch topicals</t>
        </is>
      </c>
    </row>
    <row r="701">
      <c r="A701" t="n">
        <v>699</v>
      </c>
      <c r="B701" t="inlineStr">
        <is>
          <t>ยาทาแก้แพ้, แก้คัน (D)</t>
        </is>
      </c>
      <c r="C701" t="n">
        <v>1807</v>
      </c>
      <c r="D701" t="inlineStr">
        <is>
          <t>Elomet 0.1%</t>
        </is>
      </c>
      <c r="E701" t="inlineStr">
        <is>
          <t>หลอด 15 g.</t>
        </is>
      </c>
      <c r="F701" t="inlineStr">
        <is>
          <t>Mometasone Furoate 1 mg/1 g (0.1%)</t>
        </is>
      </c>
      <c r="G701" t="inlineStr">
        <is>
          <t>BDS001807</t>
        </is>
      </c>
      <c r="H701" t="inlineStr">
        <is>
          <t>Elomet 0.1% (15 g.)</t>
        </is>
      </c>
      <c r="I701" t="inlineStr">
        <is>
          <t>ทาครีมบางๆ บริเวณที่เป็น วันละ 1 ครั้ง</t>
        </is>
      </c>
      <c r="P701" t="inlineStr">
        <is>
          <t>Eczema/diaper rash / anti-itch topicals</t>
        </is>
      </c>
    </row>
    <row r="702">
      <c r="A702" t="n">
        <v>700</v>
      </c>
      <c r="B702" t="inlineStr">
        <is>
          <t>ยาทาแก้แพ้, แก้คัน (D)</t>
        </is>
      </c>
      <c r="C702" t="n">
        <v>1607</v>
      </c>
      <c r="D702" t="inlineStr">
        <is>
          <t>Elomet Lotion</t>
        </is>
      </c>
      <c r="E702" t="inlineStr">
        <is>
          <t>ขวด 30 ml.</t>
        </is>
      </c>
      <c r="F702" t="inlineStr">
        <is>
          <t>Mometasone Furoate 1 mg+Isopropyl Alcohol 400 mg/1 g</t>
        </is>
      </c>
      <c r="G702" t="inlineStr">
        <is>
          <t>BDS001607</t>
        </is>
      </c>
      <c r="H702" t="inlineStr">
        <is>
          <t>Elomet Lotion (30 ml.)</t>
        </is>
      </c>
      <c r="I702" t="inlineStr">
        <is>
          <t>ทาโลชั่น 2-3 หยด หรือปริมาณที่เพียงพอกับบริเวณที่เป็น  วันละ 1 ครั้ง</t>
        </is>
      </c>
      <c r="P702" t="inlineStr">
        <is>
          <t>Eczema/diaper rash / anti-itch topicals</t>
        </is>
      </c>
    </row>
    <row r="703">
      <c r="A703" t="n">
        <v>701</v>
      </c>
      <c r="B703" t="inlineStr">
        <is>
          <t>ยาทาแก้แพ้, แก้คัน (D)</t>
        </is>
      </c>
      <c r="C703" t="n">
        <v>6023</v>
      </c>
      <c r="D703" t="inlineStr">
        <is>
          <t>Epiklin Skin Ointment</t>
        </is>
      </c>
      <c r="E703" t="inlineStr">
        <is>
          <t>หลอด 15 g.</t>
        </is>
      </c>
      <c r="F703" t="inlineStr">
        <is>
          <t>Betamethasone Dipropionate 0.64 mg+Salicylic acid 30 mg/1 g</t>
        </is>
      </c>
      <c r="G703" t="inlineStr">
        <is>
          <t>BDS006023</t>
        </is>
      </c>
      <c r="H703" t="inlineStr">
        <is>
          <t>Epiklin Skin Ointment (15 g.)</t>
        </is>
      </c>
      <c r="I703" t="inlineStr">
        <is>
          <t xml:space="preserve">ทาบางๆ ให้ทั่วบริเวณที่เป็น วันละ 1-2 ครั้ง </t>
        </is>
      </c>
      <c r="P703" t="inlineStr">
        <is>
          <t>Eczema/diaper rash / anti-itch topicals</t>
        </is>
      </c>
    </row>
    <row r="704">
      <c r="A704" t="n">
        <v>702</v>
      </c>
      <c r="B704" t="inlineStr">
        <is>
          <t>ยาทาแก้แพ้, แก้คัน (D)</t>
        </is>
      </c>
      <c r="C704" t="n">
        <v>1825</v>
      </c>
      <c r="D704" t="inlineStr">
        <is>
          <t>Esperson</t>
        </is>
      </c>
      <c r="E704" t="inlineStr">
        <is>
          <t>หลอด 5 g.</t>
        </is>
      </c>
      <c r="F704" t="inlineStr">
        <is>
          <t>Desoximetasone 2.5 mg/1 g (0.25%)</t>
        </is>
      </c>
      <c r="G704" t="inlineStr">
        <is>
          <t>BDS001825</t>
        </is>
      </c>
      <c r="H704" t="inlineStr">
        <is>
          <t>Esperson (5 g.)</t>
        </is>
      </c>
      <c r="I704" t="inlineStr">
        <is>
          <t>ทาครีมบางๆ บริเวณที่มีอาการ วันละ 1-2 ครั้ง</t>
        </is>
      </c>
      <c r="P704" t="inlineStr">
        <is>
          <t>Eczema/diaper rash / anti-itch topicals</t>
        </is>
      </c>
    </row>
    <row r="705">
      <c r="A705" t="n">
        <v>703</v>
      </c>
      <c r="B705" t="inlineStr">
        <is>
          <t>ยาทาแก้แพ้, แก้คัน (D)</t>
        </is>
      </c>
      <c r="C705" t="n">
        <v>42807</v>
      </c>
      <c r="D705" t="inlineStr">
        <is>
          <t>Esperson กลาง</t>
        </is>
      </c>
      <c r="E705" t="inlineStr">
        <is>
          <t>หลอด 15 g.</t>
        </is>
      </c>
      <c r="F705" t="inlineStr">
        <is>
          <t>Desoximetasone 2.5 mg/1 g (0.25%)</t>
        </is>
      </c>
      <c r="G705" t="inlineStr">
        <is>
          <t>BDS042807</t>
        </is>
      </c>
      <c r="H705" t="inlineStr">
        <is>
          <t>Esperson กลาง (15 g.)</t>
        </is>
      </c>
      <c r="I705" t="inlineStr">
        <is>
          <t>ทาครีมบางๆ บริเวณที่มีอาการ วันละ 1-2 ครั้ง</t>
        </is>
      </c>
      <c r="P705" t="inlineStr">
        <is>
          <t>Eczema/diaper rash / anti-itch topicals</t>
        </is>
      </c>
    </row>
    <row r="706">
      <c r="A706" t="n">
        <v>704</v>
      </c>
      <c r="B706" t="inlineStr">
        <is>
          <t>ยาทาแก้แพ้, แก้คัน (D)</t>
        </is>
      </c>
      <c r="C706" t="n">
        <v>3719</v>
      </c>
      <c r="D706" t="inlineStr">
        <is>
          <t>T.A.Cream 0.02%</t>
        </is>
      </c>
      <c r="E706" t="inlineStr">
        <is>
          <t>หลอด 15 g.</t>
        </is>
      </c>
      <c r="F706" t="inlineStr">
        <is>
          <t>Triamcinolone Acetonide 0.02 g/100 g (0.02%)</t>
        </is>
      </c>
      <c r="G706" t="inlineStr">
        <is>
          <t>BDS003719</t>
        </is>
      </c>
      <c r="H706" t="inlineStr">
        <is>
          <t>T.A.Cream 0.02% (15 g.)</t>
        </is>
      </c>
      <c r="I706" t="inlineStr">
        <is>
          <t xml:space="preserve">ทาครีมบางๆ บริเวณที่มีอาการ วันละ 2 ครั้ง </t>
        </is>
      </c>
      <c r="P706" t="inlineStr">
        <is>
          <t>Eczema/diaper rash / anti-itch topicals</t>
        </is>
      </c>
    </row>
    <row r="707">
      <c r="A707" t="n">
        <v>705</v>
      </c>
      <c r="B707" t="inlineStr">
        <is>
          <t>ยาทาแก้แพ้, แก้คัน (D)</t>
        </is>
      </c>
      <c r="C707" t="n">
        <v>3773</v>
      </c>
      <c r="D707" t="inlineStr">
        <is>
          <t>T.A.Cream 0.1% เล็ก</t>
        </is>
      </c>
      <c r="E707" t="inlineStr">
        <is>
          <t>หลอด 5 g.</t>
        </is>
      </c>
      <c r="F707" t="inlineStr">
        <is>
          <t>Triamcinolone Acetonide 0.1 g/100 g (0.1%)</t>
        </is>
      </c>
      <c r="G707" t="inlineStr">
        <is>
          <t>BDS003773</t>
        </is>
      </c>
      <c r="H707" t="inlineStr">
        <is>
          <t>T.A.Cream 0.1% เล็ก (5 g.)</t>
        </is>
      </c>
      <c r="I707" t="inlineStr">
        <is>
          <t>ทาครีมบางๆ บริเวณที่มีอาการ วันละ 2-3 ครั้ง</t>
        </is>
      </c>
      <c r="P707" t="inlineStr">
        <is>
          <t>Eczema/diaper rash / anti-itch topicals</t>
        </is>
      </c>
    </row>
    <row r="708">
      <c r="A708" t="n">
        <v>706</v>
      </c>
      <c r="B708" t="inlineStr">
        <is>
          <t>ยาทาแก้แพ้, แก้คัน (D)</t>
        </is>
      </c>
      <c r="C708" t="n">
        <v>3780</v>
      </c>
      <c r="D708" t="inlineStr">
        <is>
          <t>T.A.Cream 0.1% ใหญ่</t>
        </is>
      </c>
      <c r="E708" t="inlineStr">
        <is>
          <t>หลอด 15 g.</t>
        </is>
      </c>
      <c r="F708" t="inlineStr">
        <is>
          <t>Triamcinolone Acetonide 0.1 g/100 g (0.1%)</t>
        </is>
      </c>
      <c r="G708" t="inlineStr">
        <is>
          <t>BDS003780</t>
        </is>
      </c>
      <c r="H708" t="inlineStr">
        <is>
          <t>T.A.Cream 0.1% ใหญ่ (15 g.)</t>
        </is>
      </c>
      <c r="I708" t="inlineStr">
        <is>
          <t>ทาครีมบางๆ บริเวณที่มีอาการ วันละ 2-3 ครั้ง</t>
        </is>
      </c>
      <c r="P708" t="inlineStr">
        <is>
          <t>Eczema/diaper rash / anti-itch topicals</t>
        </is>
      </c>
    </row>
    <row r="709">
      <c r="A709" t="n">
        <v>707</v>
      </c>
      <c r="B709" t="inlineStr">
        <is>
          <t>ยาทาแก้แพ้, แก้คัน (D)</t>
        </is>
      </c>
      <c r="C709" t="n">
        <v>8756</v>
      </c>
      <c r="D709" t="inlineStr">
        <is>
          <t>Tacinol 0.02 เล็ก</t>
        </is>
      </c>
      <c r="E709" t="inlineStr">
        <is>
          <t>หลอด 5 g.</t>
        </is>
      </c>
      <c r="F709" t="inlineStr">
        <is>
          <t>Triamcinolone Acetonide 0.02% w/w</t>
        </is>
      </c>
      <c r="G709" t="inlineStr">
        <is>
          <t>BDS008756</t>
        </is>
      </c>
      <c r="H709" t="inlineStr">
        <is>
          <t>Tacinol 0.02 เล็ก (5 g.)</t>
        </is>
      </c>
      <c r="I709" t="inlineStr">
        <is>
          <t>ทาครีมบางๆ บริเวณที่มีอาการ วันละ 2-3 ครั้ง</t>
        </is>
      </c>
      <c r="P709" t="inlineStr">
        <is>
          <t>Eczema/diaper rash / anti-itch topicals</t>
        </is>
      </c>
    </row>
    <row r="710">
      <c r="A710" t="n">
        <v>708</v>
      </c>
      <c r="B710" t="inlineStr">
        <is>
          <t>ยาทาแก้แพ้, แก้คัน (D)</t>
        </is>
      </c>
      <c r="C710" t="n">
        <v>8757</v>
      </c>
      <c r="D710" t="inlineStr">
        <is>
          <t>Tacinol 0.02 ใหญ่</t>
        </is>
      </c>
      <c r="E710" t="inlineStr">
        <is>
          <t>หลอด 15 g.</t>
        </is>
      </c>
      <c r="F710" t="inlineStr">
        <is>
          <t>Triamcinolone Acetonide 0.02% w/w</t>
        </is>
      </c>
      <c r="G710" t="inlineStr">
        <is>
          <t>BDS008757</t>
        </is>
      </c>
      <c r="H710" t="inlineStr">
        <is>
          <t>Tacinol 0.02 ใหญ่ (15 g.)</t>
        </is>
      </c>
      <c r="I710" t="inlineStr">
        <is>
          <t>ทาครีมบางๆ บริเวณที่มีอาการ วันละ 2-3 ครั้ง</t>
        </is>
      </c>
      <c r="P710" t="inlineStr">
        <is>
          <t>Eczema/diaper rash / anti-itch topicals</t>
        </is>
      </c>
    </row>
    <row r="711">
      <c r="A711" t="n">
        <v>709</v>
      </c>
      <c r="B711" t="inlineStr">
        <is>
          <t>ยาทาแก้แพ้, แก้คัน (D)</t>
        </is>
      </c>
      <c r="C711" t="n">
        <v>8758</v>
      </c>
      <c r="D711" t="inlineStr">
        <is>
          <t>Tacinol 0.1 เล็ก</t>
        </is>
      </c>
      <c r="E711" t="inlineStr">
        <is>
          <t>หลอด 5 g.</t>
        </is>
      </c>
      <c r="F711" t="inlineStr">
        <is>
          <t>Triamcinolone Acetonide 0.1 % w/w</t>
        </is>
      </c>
      <c r="G711" t="inlineStr">
        <is>
          <t>BDS008758</t>
        </is>
      </c>
      <c r="H711" t="inlineStr">
        <is>
          <t>Tacinol 0.1 เล็ก (5 g.)</t>
        </is>
      </c>
      <c r="I711" t="inlineStr">
        <is>
          <t>ทาครีมบางๆ บริเวณที่มีอาการ วันละ 2-3 ครั้ง</t>
        </is>
      </c>
      <c r="P711" t="inlineStr">
        <is>
          <t>Eczema/diaper rash / anti-itch topicals</t>
        </is>
      </c>
    </row>
    <row r="712">
      <c r="A712" t="n">
        <v>710</v>
      </c>
      <c r="B712" t="inlineStr">
        <is>
          <t>ยาทาแก้แพ้, แก้คัน (D)</t>
        </is>
      </c>
      <c r="C712" t="n">
        <v>8759</v>
      </c>
      <c r="D712" t="inlineStr">
        <is>
          <t>Tacinol 0.1 ใหญ่</t>
        </is>
      </c>
      <c r="E712" t="inlineStr">
        <is>
          <t>หลอด 15 g.</t>
        </is>
      </c>
      <c r="F712" t="inlineStr">
        <is>
          <t>Triamcinolone Acetonide 0.1 % w/w</t>
        </is>
      </c>
      <c r="G712" t="inlineStr">
        <is>
          <t>BDS008759</t>
        </is>
      </c>
      <c r="H712" t="inlineStr">
        <is>
          <t>Tacinol 0.1 ใหญ่ (15 g.)</t>
        </is>
      </c>
      <c r="I712" t="inlineStr">
        <is>
          <t>ทาครีมบางๆ บริเวณที่มีอาการ วันละ 2-3 ครั้ง</t>
        </is>
      </c>
      <c r="P712" t="inlineStr">
        <is>
          <t>Eczema/diaper rash / anti-itch topicals</t>
        </is>
      </c>
    </row>
    <row r="713">
      <c r="A713" t="n">
        <v>711</v>
      </c>
      <c r="B713" t="inlineStr">
        <is>
          <t>ยาทาแก้แพ้, แก้คัน (D)</t>
        </is>
      </c>
      <c r="C713" t="n">
        <v>1831</v>
      </c>
      <c r="D713" t="inlineStr">
        <is>
          <t>Topicort Skin Cream</t>
        </is>
      </c>
      <c r="E713" t="inlineStr">
        <is>
          <t>ขวด 15 g.</t>
        </is>
      </c>
      <c r="F713" t="inlineStr">
        <is>
          <t>Desoximetasone 2.5 mg/1 g (0.25%)</t>
        </is>
      </c>
      <c r="G713" t="inlineStr">
        <is>
          <t>BDS001831</t>
        </is>
      </c>
      <c r="H713" t="inlineStr">
        <is>
          <t>Topicort Skin Cream (15 g.)</t>
        </is>
      </c>
      <c r="I713" t="inlineStr">
        <is>
          <t>ทาบริเวณที่มีอาการ วันละ 1-4 ครั้ง</t>
        </is>
      </c>
      <c r="P713" t="inlineStr">
        <is>
          <t>Eczema/diaper rash / anti-itch topicals</t>
        </is>
      </c>
    </row>
    <row r="714">
      <c r="A714" t="n">
        <v>712</v>
      </c>
      <c r="B714" t="inlineStr">
        <is>
          <t>ยาทาแก้แพ้, แก้คัน (D)</t>
        </is>
      </c>
      <c r="C714" t="n">
        <v>48634</v>
      </c>
      <c r="D714" t="inlineStr">
        <is>
          <t>Topoxy Skin Cream</t>
        </is>
      </c>
      <c r="E714" t="inlineStr">
        <is>
          <t>ขวด 10 g.</t>
        </is>
      </c>
      <c r="F714" t="inlineStr">
        <is>
          <t>Desoximetasone 0.25%</t>
        </is>
      </c>
      <c r="G714" t="inlineStr">
        <is>
          <t>BDS048634</t>
        </is>
      </c>
      <c r="H714" t="inlineStr">
        <is>
          <t>Topoxy Skin Cream (10 g.)</t>
        </is>
      </c>
      <c r="I714" t="inlineStr">
        <is>
          <t>ทาบางๆ และถูเบาๆ บริเวณที่เป็น วันละ 2 ครั้ง</t>
        </is>
      </c>
      <c r="P714" t="inlineStr">
        <is>
          <t>Eczema/diaper rash / anti-itch topicals</t>
        </is>
      </c>
    </row>
    <row r="715">
      <c r="A715" t="n">
        <v>713</v>
      </c>
      <c r="B715" t="inlineStr">
        <is>
          <t>ยาทาแก้แพ้, แก้คัน (D)</t>
        </is>
      </c>
      <c r="C715" t="n">
        <v>7775</v>
      </c>
      <c r="D715" t="inlineStr">
        <is>
          <t>Zyno 0.02%</t>
        </is>
      </c>
      <c r="E715" t="inlineStr">
        <is>
          <t>หลอด 5 g.</t>
        </is>
      </c>
      <c r="F715" t="inlineStr">
        <is>
          <t>Triamcinolone Acetonide 0.02 g/100 g (0.02%)</t>
        </is>
      </c>
      <c r="G715" t="inlineStr">
        <is>
          <t>BDS007775</t>
        </is>
      </c>
      <c r="H715" t="inlineStr">
        <is>
          <t>Zyno 0.02% (5 g.)</t>
        </is>
      </c>
      <c r="I715" t="inlineStr">
        <is>
          <t>ทาครีมบางๆ บริเวณที่มีอาการ วันละ 2-3 ครั้ง</t>
        </is>
      </c>
      <c r="P715" t="inlineStr">
        <is>
          <t>Eczema/diaper rash / anti-itch topicals</t>
        </is>
      </c>
    </row>
    <row r="716">
      <c r="A716" t="n">
        <v>714</v>
      </c>
      <c r="B716" t="inlineStr">
        <is>
          <t>ยาทาแก้แพ้, แก้คัน (D)</t>
        </is>
      </c>
      <c r="C716" t="n">
        <v>7776</v>
      </c>
      <c r="D716" t="inlineStr">
        <is>
          <t>Zyno 0.1%</t>
        </is>
      </c>
      <c r="E716" t="inlineStr">
        <is>
          <t>หลอด 5 g.</t>
        </is>
      </c>
      <c r="F716" t="inlineStr">
        <is>
          <t>Triamcinolone Acetonide 0.1 g/100 g (0.1%)</t>
        </is>
      </c>
      <c r="G716" t="inlineStr">
        <is>
          <t>BDS007776</t>
        </is>
      </c>
      <c r="H716" t="inlineStr">
        <is>
          <t>Zyno 0.1% (5 g.)</t>
        </is>
      </c>
      <c r="I716" t="inlineStr">
        <is>
          <t>ทาครีมบางๆ บริเวณที่มีอาการ วันละ 2-3 ครั้ง</t>
        </is>
      </c>
      <c r="P716" t="inlineStr">
        <is>
          <t>Eczema/diaper rash / anti-itch topicals</t>
        </is>
      </c>
    </row>
    <row r="717">
      <c r="A717" t="n">
        <v>715</v>
      </c>
      <c r="B717" t="inlineStr">
        <is>
          <t>ยาทาฆ่าเชื้อราและแก้คัน (D)</t>
        </is>
      </c>
      <c r="C717" t="n">
        <v>1491</v>
      </c>
      <c r="D717" t="inlineStr">
        <is>
          <t>Canasone C.B. Cream</t>
        </is>
      </c>
      <c r="E717" t="inlineStr">
        <is>
          <t>หลอด 15 g.</t>
        </is>
      </c>
      <c r="F717" t="inlineStr">
        <is>
          <t>Clotrimazole 1%+Betamethasone Dipropionate (eq. to Betamethasone 0.1%) w/w</t>
        </is>
      </c>
      <c r="G717" t="inlineStr">
        <is>
          <t>BDS001491</t>
        </is>
      </c>
      <c r="H717" t="inlineStr">
        <is>
          <t>Canasone C.B. Cream (15 g.)</t>
        </is>
      </c>
      <c r="I717" t="inlineStr">
        <is>
          <t>ทาบางๆ ในบริเวณที่มีอาการ วันละ 2-3 ครั้ง จนกว่าจะหายจากอาการ</t>
        </is>
      </c>
      <c r="P717" t="inlineStr">
        <is>
          <t>Antifungals (oral/topical)</t>
        </is>
      </c>
    </row>
    <row r="718">
      <c r="A718" t="n">
        <v>716</v>
      </c>
      <c r="B718" t="inlineStr">
        <is>
          <t>ยาทาฆ่าเชื้อราและแก้คัน (D)</t>
        </is>
      </c>
      <c r="C718" t="n">
        <v>1417</v>
      </c>
      <c r="D718" t="inlineStr">
        <is>
          <t>Canazol-Be Cream ใหญ่</t>
        </is>
      </c>
      <c r="E718" t="inlineStr">
        <is>
          <t>หลอด 15 g.</t>
        </is>
      </c>
      <c r="F718" t="inlineStr">
        <is>
          <t>Clotrimazole 1 g+Betamethasone Dipropionate (eq. to Betamethasone 0.1 g)/100 g</t>
        </is>
      </c>
      <c r="G718" t="inlineStr">
        <is>
          <t>BDS001417</t>
        </is>
      </c>
      <c r="H718" t="inlineStr">
        <is>
          <t>Canazol-Be Cream ใหญ่ (15 g.)</t>
        </is>
      </c>
      <c r="I718" t="inlineStr">
        <is>
          <t>ทาบางๆ บริเวณที่มีอาการ วันละ 2-3 ครั้ง</t>
        </is>
      </c>
      <c r="P718" t="inlineStr">
        <is>
          <t>Antifungals (oral/topical)</t>
        </is>
      </c>
    </row>
    <row r="719">
      <c r="A719" t="n">
        <v>717</v>
      </c>
      <c r="B719" t="inlineStr">
        <is>
          <t>ยาทาฆ่าเชื้อราและแก้คัน (D)</t>
        </is>
      </c>
      <c r="C719" t="n">
        <v>7517</v>
      </c>
      <c r="D719" t="inlineStr">
        <is>
          <t>Clotribet-D Cream เล็ก</t>
        </is>
      </c>
      <c r="E719" t="inlineStr">
        <is>
          <t>หลอด 5 g.</t>
        </is>
      </c>
      <c r="F719" t="inlineStr">
        <is>
          <t>Clotrimazole 1 g+Betamethasone Dipropionate 0.064 g (eq. to Betamethasone 0.05 g)/100 g</t>
        </is>
      </c>
      <c r="G719" t="inlineStr">
        <is>
          <t>BDS007517</t>
        </is>
      </c>
      <c r="H719" t="inlineStr">
        <is>
          <t>Clotribet-D Cream เล็ก (5 g.)</t>
        </is>
      </c>
      <c r="I719" t="inlineStr">
        <is>
          <t>ทาครีมบางๆ บริเวณที่มีอาการ วันละ 2-3 ครั้ง</t>
        </is>
      </c>
      <c r="P719" t="inlineStr">
        <is>
          <t>Antifungals (oral/topical)</t>
        </is>
      </c>
    </row>
    <row r="720">
      <c r="A720" t="n">
        <v>718</v>
      </c>
      <c r="B720" t="inlineStr">
        <is>
          <t>ยาทาฆ่าเชื้อราและแก้คัน (D)</t>
        </is>
      </c>
      <c r="C720" t="n">
        <v>7516</v>
      </c>
      <c r="D720" t="inlineStr">
        <is>
          <t>Clotribet-D Cream ใหญ่</t>
        </is>
      </c>
      <c r="E720" t="inlineStr">
        <is>
          <t>หลอด 15 g.</t>
        </is>
      </c>
      <c r="F720" t="inlineStr">
        <is>
          <t>Clotrimazole 1 g+Betamethasone Dipropionate 0.064 g (eq. to Betamethasone 0.05 g)/100 g</t>
        </is>
      </c>
      <c r="G720" t="inlineStr">
        <is>
          <t>BDS007516</t>
        </is>
      </c>
      <c r="H720" t="inlineStr">
        <is>
          <t>Clotribet-D Cream ใหญ่ (15 g.)</t>
        </is>
      </c>
      <c r="I720" t="inlineStr">
        <is>
          <t>ทาครีมบางๆ บริเวณที่มีอาการ วันละ 2-3 ครั้ง</t>
        </is>
      </c>
      <c r="P720" t="inlineStr">
        <is>
          <t>Antifungals (oral/topical)</t>
        </is>
      </c>
    </row>
    <row r="721">
      <c r="A721" t="n">
        <v>719</v>
      </c>
      <c r="B721" t="inlineStr">
        <is>
          <t>ยาทาฆ่าเชื้อราและแก้คัน (D)</t>
        </is>
      </c>
      <c r="C721" t="n">
        <v>7736</v>
      </c>
      <c r="D721" t="inlineStr">
        <is>
          <t>Fango-B Cream เล็ก</t>
        </is>
      </c>
      <c r="E721" t="inlineStr">
        <is>
          <t>หลอด 5 g.</t>
        </is>
      </c>
      <c r="F721" t="inlineStr">
        <is>
          <t>Clotrimazole 1 g+Betamethasone Valerate (eq. to Betamethasone 0.1 g)/100 g</t>
        </is>
      </c>
      <c r="G721" t="inlineStr">
        <is>
          <t>BDS007736</t>
        </is>
      </c>
      <c r="H721" t="inlineStr">
        <is>
          <t>Fango-B Cream เล็ก (5 g.)</t>
        </is>
      </c>
      <c r="I721" t="inlineStr">
        <is>
          <t>ทาครีมบางๆ บริเวณที่มีอาการ วันละ 2-3 ครั้ง</t>
        </is>
      </c>
      <c r="P721" t="inlineStr">
        <is>
          <t>Antifungals (oral/topical)</t>
        </is>
      </c>
    </row>
    <row r="722">
      <c r="A722" t="n">
        <v>720</v>
      </c>
      <c r="B722" t="inlineStr">
        <is>
          <t>ยาทาฆ่าเชื้อราและแก้คัน (D)</t>
        </is>
      </c>
      <c r="C722" t="n">
        <v>1956</v>
      </c>
      <c r="D722" t="inlineStr">
        <is>
          <t>Fango-B Cream ใหญ่</t>
        </is>
      </c>
      <c r="E722" t="inlineStr">
        <is>
          <t>หลอด 15 g.</t>
        </is>
      </c>
      <c r="F722" t="inlineStr">
        <is>
          <t>Clotrimazole 1 g+Betamethasone Valerate (eq. to Betamethasone 0.1 g)/100 g</t>
        </is>
      </c>
      <c r="G722" t="inlineStr">
        <is>
          <t>BDS001956</t>
        </is>
      </c>
      <c r="H722" t="inlineStr">
        <is>
          <t>Fango-B Cream ใหญ่ (15 g.)</t>
        </is>
      </c>
      <c r="I722" t="inlineStr">
        <is>
          <t>ทาครีมบางๆ ในบริเวณที่มีอาการ วันละ 2-3 ครั้ง หรือใช้ตามแพทย์สั่ง</t>
        </is>
      </c>
      <c r="P722" t="inlineStr">
        <is>
          <t>Antifungals (oral/topical)</t>
        </is>
      </c>
    </row>
    <row r="723">
      <c r="A723" t="n">
        <v>721</v>
      </c>
      <c r="B723" t="inlineStr">
        <is>
          <t>ยาทาฆ่าเชื้อราและแก้คัน (D)</t>
        </is>
      </c>
      <c r="C723" t="n">
        <v>1932</v>
      </c>
      <c r="D723" t="inlineStr">
        <is>
          <t>Fungiderm-B</t>
        </is>
      </c>
      <c r="E723" t="inlineStr">
        <is>
          <t>หลอด 20 g.</t>
        </is>
      </c>
      <c r="F723" t="inlineStr">
        <is>
          <t>Clotrimazole 1 g+Betamethasone Valerate (eq. to Betamethasone 0.1 g)/100 g</t>
        </is>
      </c>
      <c r="G723" t="inlineStr">
        <is>
          <t>BDS001932</t>
        </is>
      </c>
      <c r="H723" t="inlineStr">
        <is>
          <t>Fungiderm-B (20 g.)</t>
        </is>
      </c>
      <c r="I723" t="inlineStr">
        <is>
          <t>ทาบางๆ ในบริเวณที่มีอาการ วันละ 2-3 ครั้ง จนกว่าจะหายจากอาการ</t>
        </is>
      </c>
      <c r="P723" t="inlineStr">
        <is>
          <t>Antifungals (oral/topical)</t>
        </is>
      </c>
    </row>
    <row r="724">
      <c r="A724" t="n">
        <v>722</v>
      </c>
      <c r="B724" t="inlineStr">
        <is>
          <t>ยาทาฆ่าเชื้อราและแก้คัน (D)</t>
        </is>
      </c>
      <c r="C724" t="n">
        <v>2538</v>
      </c>
      <c r="D724" t="inlineStr">
        <is>
          <t>Lymarin Cream ใหญ่</t>
        </is>
      </c>
      <c r="E724" t="inlineStr">
        <is>
          <t>หลอด 15 g.</t>
        </is>
      </c>
      <c r="F724" t="inlineStr">
        <is>
          <t>Miconazole Nitrate 2%+Triamcinolone Acetonide 0.2% w/w</t>
        </is>
      </c>
      <c r="G724" t="inlineStr">
        <is>
          <t>BDS002538</t>
        </is>
      </c>
      <c r="H724" t="inlineStr">
        <is>
          <t>Lymarin Cream ใหญ่ (15 g.)</t>
        </is>
      </c>
      <c r="I724" t="inlineStr">
        <is>
          <t>ทาครีมบางๆ บริเวณที่ติดเชื้อ วันละ 2-3 ครั้ง</t>
        </is>
      </c>
      <c r="P724" t="inlineStr">
        <is>
          <t>Antifungals (oral/topical)</t>
        </is>
      </c>
    </row>
    <row r="725">
      <c r="A725" t="n">
        <v>723</v>
      </c>
      <c r="B725" t="inlineStr">
        <is>
          <t>ยาทาฆ่าเชื้อราและแก้คัน (D)</t>
        </is>
      </c>
      <c r="C725" t="n">
        <v>2650</v>
      </c>
      <c r="D725" t="inlineStr">
        <is>
          <t>Myda-B Cream เล็ก</t>
        </is>
      </c>
      <c r="E725" t="inlineStr">
        <is>
          <t>หลอด 5 g.</t>
        </is>
      </c>
      <c r="F725" t="inlineStr">
        <is>
          <t>Clotrimazole 1%+Betamethasone Valerate (eq. to Betamethasone 0.1%) w/w</t>
        </is>
      </c>
      <c r="G725" t="inlineStr">
        <is>
          <t>BDS002650</t>
        </is>
      </c>
      <c r="H725" t="inlineStr">
        <is>
          <t>Myda-B Cream เล็ก (5 g.)</t>
        </is>
      </c>
      <c r="I725" t="inlineStr">
        <is>
          <t>ทาครีมบางๆ บริเวณที่มีอาการ วันละ 2-3 ครั้ง</t>
        </is>
      </c>
      <c r="P725" t="inlineStr">
        <is>
          <t>Antifungals (oral/topical)</t>
        </is>
      </c>
    </row>
    <row r="726">
      <c r="A726" t="n">
        <v>724</v>
      </c>
      <c r="B726" t="inlineStr">
        <is>
          <t>ยาทาฆ่าเชื้อราและแก้คัน (D)</t>
        </is>
      </c>
      <c r="C726" t="n">
        <v>2651</v>
      </c>
      <c r="D726" t="inlineStr">
        <is>
          <t>Myda-B Cream ใหญ่</t>
        </is>
      </c>
      <c r="E726" t="inlineStr">
        <is>
          <t>หลอด 15 g.</t>
        </is>
      </c>
      <c r="F726" t="inlineStr">
        <is>
          <t>Clotrimazole 1%+Betamethasone Valerate (eq. to Betamethasone 0.1%) w/w</t>
        </is>
      </c>
      <c r="G726" t="inlineStr">
        <is>
          <t>BDS002651</t>
        </is>
      </c>
      <c r="H726" t="inlineStr">
        <is>
          <t>Myda-B Cream ใหญ่ (15 g.)</t>
        </is>
      </c>
      <c r="I726" t="inlineStr">
        <is>
          <t>ทาครีมบางๆ บริเวณที่มีอาการ วันละ 2-3 ครั้ง</t>
        </is>
      </c>
      <c r="P726" t="inlineStr">
        <is>
          <t>Antifungals (oral/topical)</t>
        </is>
      </c>
    </row>
    <row r="727">
      <c r="A727" t="n">
        <v>725</v>
      </c>
      <c r="B727" t="inlineStr">
        <is>
          <t>ยาทาฆ่าเชื้อราและแก้คัน (D)</t>
        </is>
      </c>
      <c r="C727" t="n">
        <v>8239</v>
      </c>
      <c r="D727" t="inlineStr">
        <is>
          <t>Myrazole-B Cream</t>
        </is>
      </c>
      <c r="E727" t="inlineStr">
        <is>
          <t>หลอด 5 g.</t>
        </is>
      </c>
      <c r="F727" t="inlineStr">
        <is>
          <t>Clotrimazole 1%+Betamethasone Valerate (eq. to Betamethasone 0.1%) w/w</t>
        </is>
      </c>
      <c r="G727" t="inlineStr">
        <is>
          <t>BDS008239</t>
        </is>
      </c>
      <c r="H727" t="inlineStr">
        <is>
          <t>Myrazole-B Cream (5 g.)</t>
        </is>
      </c>
      <c r="I727" t="inlineStr">
        <is>
          <t>ทาครีมบางๆ บริเวณที่มีอาการ วันละ 2-3 ครั้ง</t>
        </is>
      </c>
      <c r="P727" t="inlineStr">
        <is>
          <t>Antifungals (oral/topical)</t>
        </is>
      </c>
    </row>
    <row r="728">
      <c r="A728" t="n">
        <v>726</v>
      </c>
      <c r="B728" t="inlineStr">
        <is>
          <t>ยาทาฆ่าเชื้อราและแก้คัน (D)</t>
        </is>
      </c>
      <c r="C728" t="n">
        <v>8221</v>
      </c>
      <c r="D728" t="inlineStr">
        <is>
          <t>Tara-Plus Cream</t>
        </is>
      </c>
      <c r="E728" t="inlineStr">
        <is>
          <t>หลอด 15 g.</t>
        </is>
      </c>
      <c r="F728" t="inlineStr">
        <is>
          <t xml:space="preserve">Miconazole Nitrate 2 g+Triamcinolone Acetonide 0.1 g/100 g </t>
        </is>
      </c>
      <c r="G728" t="inlineStr">
        <is>
          <t>BDS008221</t>
        </is>
      </c>
      <c r="H728" t="inlineStr">
        <is>
          <t>Tara-Plus Cream (15 g.)</t>
        </is>
      </c>
      <c r="I728" t="inlineStr">
        <is>
          <t>ทาบริเวณที่เป็น วันละ 2 ครั้ง เช้า-เย็น</t>
        </is>
      </c>
      <c r="P728" t="inlineStr">
        <is>
          <t>Antifungals (oral/topical)</t>
        </is>
      </c>
    </row>
    <row r="729">
      <c r="A729" t="n">
        <v>727</v>
      </c>
      <c r="B729" t="inlineStr">
        <is>
          <t>ยาสวนและยาเหน็บช่วยระบาย</t>
        </is>
      </c>
      <c r="C729" t="n">
        <v>2023</v>
      </c>
      <c r="D729" t="inlineStr">
        <is>
          <t xml:space="preserve">Glycerin Suppositories For Adults </t>
        </is>
      </c>
      <c r="E729" t="inlineStr">
        <is>
          <t>กระปุก 12 แท่ง</t>
        </is>
      </c>
      <c r="F729" t="inlineStr">
        <is>
          <t>Glycerol (Glycerin) 91 g.+Sodium Stearate 9 g./100 g.</t>
        </is>
      </c>
      <c r="G729" t="inlineStr">
        <is>
          <t>BDS002023</t>
        </is>
      </c>
      <c r="H729" t="inlineStr">
        <is>
          <t>Glycerin Suppositories For Adults  (12 sticks)</t>
        </is>
      </c>
      <c r="I729" t="inlineStr">
        <is>
          <t>เหน็บทวารครั้งละ 1 แท่ง เมื่อต้องการ รอ 15 นาทีเพื่อให้ตัวยาละลาย ช่วยการถ่าย</t>
        </is>
      </c>
    </row>
    <row r="730">
      <c r="A730" t="n">
        <v>728</v>
      </c>
      <c r="B730" t="inlineStr">
        <is>
          <t>ยาสวนและยาเหน็บช่วยระบาย</t>
        </is>
      </c>
      <c r="C730" t="n">
        <v>2032</v>
      </c>
      <c r="D730" t="inlineStr">
        <is>
          <t>Glycerin Suppositories For Infants</t>
        </is>
      </c>
      <c r="E730" t="inlineStr">
        <is>
          <t>กระปุก 12 แท่ง</t>
        </is>
      </c>
      <c r="F730" t="inlineStr">
        <is>
          <t>Glycerol 91 g.+Sodium Stearate 9 g./100 g.</t>
        </is>
      </c>
      <c r="G730" t="inlineStr">
        <is>
          <t>BDS002032</t>
        </is>
      </c>
      <c r="H730" t="inlineStr">
        <is>
          <t>Glycerin Suppositories For Infants (12 sticks)</t>
        </is>
      </c>
      <c r="I730" t="inlineStr">
        <is>
          <t>เหน็บทวารครั้งละ 1 แท่ง เมื่อต้องการ  รอ 15 นาที เพื่อให้ตัวยาละลาย ช่วยการถ่าย</t>
        </is>
      </c>
    </row>
    <row r="731">
      <c r="A731" t="n">
        <v>729</v>
      </c>
      <c r="B731" t="inlineStr">
        <is>
          <t>ยาสวนและยาเหน็บช่วยระบาย</t>
        </is>
      </c>
      <c r="C731" t="n">
        <v>6463</v>
      </c>
      <c r="D731" t="inlineStr">
        <is>
          <t>Glymorin Children Suppositories</t>
        </is>
      </c>
      <c r="E731" t="inlineStr">
        <is>
          <t>กล่อง 10 แท่ง</t>
        </is>
      </c>
      <c r="F731" t="inlineStr">
        <is>
          <t>Glycerin 1365 mg.</t>
        </is>
      </c>
      <c r="G731" t="inlineStr">
        <is>
          <t>BDS006463</t>
        </is>
      </c>
      <c r="H731" t="inlineStr">
        <is>
          <t>Glymorin Children Suppositories (10 sticks)</t>
        </is>
      </c>
      <c r="I731" t="inlineStr">
        <is>
          <t>เหน็บทวารครั้งละ 1 แท่ง เมื่อต้องการ รอ 15 นาทีเพื่อให้ตัวยาละลาย</t>
        </is>
      </c>
    </row>
    <row r="732">
      <c r="A732" t="n">
        <v>730</v>
      </c>
      <c r="B732" t="inlineStr">
        <is>
          <t>ยาสวนและยาเหน็บช่วยระบาย</t>
        </is>
      </c>
      <c r="C732" t="n">
        <v>6743</v>
      </c>
      <c r="D732" t="inlineStr">
        <is>
          <t>Glymorin Suppositories</t>
        </is>
      </c>
      <c r="E732" t="inlineStr">
        <is>
          <t>กล่อง 10 แท่ง</t>
        </is>
      </c>
      <c r="F732" t="inlineStr">
        <is>
          <t>Glycerin 2320 mg.</t>
        </is>
      </c>
      <c r="G732" t="inlineStr">
        <is>
          <t>BDS006743</t>
        </is>
      </c>
      <c r="H732" t="inlineStr">
        <is>
          <t>Glymorin Suppositories (10 sticks)</t>
        </is>
      </c>
      <c r="I732" t="inlineStr">
        <is>
          <t>เหน็บทวารครั้งละ 1 แท่ง เมื่อต้องการ รอ 15 นาทีเพื่อให้ตัวยาละลาย</t>
        </is>
      </c>
    </row>
    <row r="733">
      <c r="A733" t="n">
        <v>731</v>
      </c>
      <c r="B733" t="inlineStr">
        <is>
          <t>ยาสวนและยาเหน็บช่วยระบาย</t>
        </is>
      </c>
      <c r="C733" t="n">
        <v>3906</v>
      </c>
      <c r="D733" t="inlineStr">
        <is>
          <t>U-Enema</t>
        </is>
      </c>
      <c r="E733" t="inlineStr">
        <is>
          <t>หลอด 100 ml.</t>
        </is>
      </c>
      <c r="F733" t="inlineStr">
        <is>
          <t>Sodium Chloride 15 g./100 ml</t>
        </is>
      </c>
      <c r="G733" t="inlineStr">
        <is>
          <t>BDS003906</t>
        </is>
      </c>
      <c r="H733" t="inlineStr">
        <is>
          <t>U-Enema (100 ml.)</t>
        </is>
      </c>
      <c r="I733" t="inlineStr">
        <is>
          <t>สวนเข้าทวารหนัก ครั้งละ 1 หลอด เมื่อมีอาการท้องผูก</t>
        </is>
      </c>
    </row>
    <row r="734">
      <c r="A734" t="n">
        <v>732</v>
      </c>
      <c r="B734" t="inlineStr">
        <is>
          <t>ยาสวนและยาเหน็บช่วยระบาย</t>
        </is>
      </c>
      <c r="C734" t="n">
        <v>3907</v>
      </c>
      <c r="D734" t="inlineStr">
        <is>
          <t>Unison Enema เด็ก</t>
        </is>
      </c>
      <c r="E734" t="inlineStr">
        <is>
          <t>หลอด 10 ml.</t>
        </is>
      </c>
      <c r="F734" t="inlineStr">
        <is>
          <t>Sodium Chloride 15 g./100 ml.</t>
        </is>
      </c>
      <c r="G734" t="inlineStr">
        <is>
          <t>BDS003907</t>
        </is>
      </c>
      <c r="H734" t="inlineStr">
        <is>
          <t>Unison Enema เด็ก (10 ml.)</t>
        </is>
      </c>
      <c r="I734" t="inlineStr">
        <is>
          <t xml:space="preserve">เด็กโตสวนเข้าทวารหนัก ครั้งละ 10-20 ml. เมื่อมีอาการท้องผูก </t>
        </is>
      </c>
    </row>
    <row r="735">
      <c r="A735" t="n">
        <v>733</v>
      </c>
      <c r="B735" t="inlineStr">
        <is>
          <t>ยาสวนและยาเหน็บช่วยระบาย</t>
        </is>
      </c>
      <c r="C735" t="n">
        <v>3905</v>
      </c>
      <c r="D735" t="inlineStr">
        <is>
          <t>Unison Enema ผู้ใหญ่</t>
        </is>
      </c>
      <c r="E735" t="inlineStr">
        <is>
          <t>หลอด 20 ml.</t>
        </is>
      </c>
      <c r="F735" t="inlineStr">
        <is>
          <t>Sodium Chloride 15 g./100 ml.</t>
        </is>
      </c>
      <c r="G735" t="inlineStr">
        <is>
          <t>BDS003905</t>
        </is>
      </c>
      <c r="H735" t="inlineStr">
        <is>
          <t>Unison Enema ผู้ใหญ่ (20 ml.)</t>
        </is>
      </c>
      <c r="I735" t="inlineStr">
        <is>
          <t>สวนเข้าทวารหนัก ครั้งละ 20-40 ml. เมื่อมีอาการท้องผูก</t>
        </is>
      </c>
    </row>
    <row r="736">
      <c r="A736" t="n">
        <v>734</v>
      </c>
      <c r="B736" t="inlineStr">
        <is>
          <t>ยาหยอดและยาป้ายตาฆ่าเชื้อ</t>
        </is>
      </c>
      <c r="C736" t="n">
        <v>1437</v>
      </c>
      <c r="D736" t="inlineStr">
        <is>
          <t>ChlorOph Eye Drops</t>
        </is>
      </c>
      <c r="E736" t="inlineStr">
        <is>
          <t>ขวด 5 ml.</t>
        </is>
      </c>
      <c r="F736" t="inlineStr">
        <is>
          <t>Chloramphenicol 5 mg./1 ml.</t>
        </is>
      </c>
      <c r="G736" t="inlineStr">
        <is>
          <t>BDS001437</t>
        </is>
      </c>
      <c r="H736" t="inlineStr">
        <is>
          <t>ChlorOph Eye Drops (5 ml.)</t>
        </is>
      </c>
      <c r="I736" t="inlineStr">
        <is>
          <t xml:space="preserve">หยอดตาครั้งละ  2 -3 หยด วันละ 4-5 ครั้ง หรือตามแพทย์สั่ง </t>
        </is>
      </c>
    </row>
    <row r="737">
      <c r="A737" t="n">
        <v>735</v>
      </c>
      <c r="B737" t="inlineStr">
        <is>
          <t>ยาหยอดและยาป้ายตาฆ่าเชื้อ</t>
        </is>
      </c>
      <c r="C737" t="n">
        <v>1515</v>
      </c>
      <c r="D737" t="inlineStr">
        <is>
          <t>ChlorOph Eye Ointment</t>
        </is>
      </c>
      <c r="E737" t="inlineStr">
        <is>
          <t>หลอด 5 g.</t>
        </is>
      </c>
      <c r="F737" t="inlineStr">
        <is>
          <t>Chloramphenicol 10 mg./1 g.</t>
        </is>
      </c>
      <c r="G737" t="inlineStr">
        <is>
          <t>BDS001515</t>
        </is>
      </c>
      <c r="H737" t="inlineStr">
        <is>
          <t>ChlorOph Eye Ointment (5 g.)</t>
        </is>
      </c>
      <c r="I737" t="inlineStr">
        <is>
          <t>ป้ายตา วันละ 3-4 ครั้ง และก่อนนอน</t>
        </is>
      </c>
    </row>
    <row r="738">
      <c r="A738" t="n">
        <v>736</v>
      </c>
      <c r="B738" t="inlineStr">
        <is>
          <t>ยาหยอดและยาป้ายตาฆ่าเชื้อ</t>
        </is>
      </c>
      <c r="C738" t="n">
        <v>41410</v>
      </c>
      <c r="D738" t="inlineStr">
        <is>
          <t>Cogetine Ointment</t>
        </is>
      </c>
      <c r="E738" t="inlineStr">
        <is>
          <t>หลอด 5 g.</t>
        </is>
      </c>
      <c r="F738" t="inlineStr">
        <is>
          <t>Chloramphenicol 1% (1 g./100 g.)</t>
        </is>
      </c>
      <c r="G738" t="inlineStr">
        <is>
          <t>BDS041410</t>
        </is>
      </c>
      <c r="H738" t="inlineStr">
        <is>
          <t>Cogetine Ointment (5 g.)</t>
        </is>
      </c>
      <c r="I738" t="inlineStr">
        <is>
          <t xml:space="preserve">ป้ายตา อย่างน้อยวันละ 2 ครั้ง  </t>
        </is>
      </c>
    </row>
    <row r="739">
      <c r="A739" t="n">
        <v>737</v>
      </c>
      <c r="B739" t="inlineStr">
        <is>
          <t>ยาหยอดและยาป้ายตาฆ่าเชื้อ</t>
        </is>
      </c>
      <c r="C739" t="n">
        <v>1847</v>
      </c>
      <c r="D739" t="inlineStr">
        <is>
          <t>Fucithalmic Eye Drops</t>
        </is>
      </c>
      <c r="E739" t="inlineStr">
        <is>
          <t>หลอด 5 g.</t>
        </is>
      </c>
      <c r="F739" t="inlineStr">
        <is>
          <t>Fusidic acid 10 mg.+Preservative (Benzalkonium chloride 0.1%)/ 1 g.</t>
        </is>
      </c>
      <c r="G739" t="inlineStr">
        <is>
          <t>BDS001847</t>
        </is>
      </c>
      <c r="H739" t="inlineStr">
        <is>
          <t>Fucithalmic Eye Drops (5 g.)</t>
        </is>
      </c>
      <c r="I739" t="inlineStr">
        <is>
          <t xml:space="preserve">หยอดตาครั้งละ 1 หยด วันละ 2 ครั้ง หรือตามแพทย์สั่ง </t>
        </is>
      </c>
    </row>
    <row r="740">
      <c r="A740" t="n">
        <v>738</v>
      </c>
      <c r="B740" t="inlineStr">
        <is>
          <t>ยาหยอดและยาป้ายตาฆ่าเชื้อ</t>
        </is>
      </c>
      <c r="C740" t="n">
        <v>3181</v>
      </c>
      <c r="D740" t="inlineStr">
        <is>
          <t>Poly-Oph Eye Drops</t>
        </is>
      </c>
      <c r="E740" t="inlineStr">
        <is>
          <t>ขวด 5 ml.</t>
        </is>
      </c>
      <c r="F740" t="inlineStr">
        <is>
          <t>Neomycin Sulfate (eq. to Neomycin 2 mg.)+Polymyxin B Sulfate (eq. to Polymyxin B 5,000 Units)+Gramicidin 0.025 mg./1 ml.</t>
        </is>
      </c>
      <c r="G740" t="inlineStr">
        <is>
          <t>BDS003181</t>
        </is>
      </c>
      <c r="H740" t="inlineStr">
        <is>
          <t>Poly-Oph Eye Drops (5 ml.)</t>
        </is>
      </c>
      <c r="I740" t="inlineStr">
        <is>
          <t xml:space="preserve">หยอดตาครั้งละ 1-2 หยด วันละ 4-5 ครั้ง หรือตามแพทย์สั่ง </t>
        </is>
      </c>
    </row>
    <row r="741">
      <c r="A741" t="n">
        <v>739</v>
      </c>
      <c r="B741" t="inlineStr">
        <is>
          <t>ยาหยอดและยาป้ายตาฆ่าเชื้อ</t>
        </is>
      </c>
      <c r="C741" t="n">
        <v>3721</v>
      </c>
      <c r="D741" t="inlineStr">
        <is>
          <t>Terramycin Ophthalmic Ointment</t>
        </is>
      </c>
      <c r="E741" t="inlineStr">
        <is>
          <t>หลอด 3.5 g.</t>
        </is>
      </c>
      <c r="F741" t="inlineStr">
        <is>
          <t>Oxytetracycline HCl 5 mg.+Polymyxin B Sulfate 10,000 units/1 g.</t>
        </is>
      </c>
      <c r="G741" t="inlineStr">
        <is>
          <t>BDS003721</t>
        </is>
      </c>
      <c r="H741" t="inlineStr">
        <is>
          <t>Terramycin Ophthalmic Ointment (3.5 g.)</t>
        </is>
      </c>
      <c r="I741" t="inlineStr">
        <is>
          <t>ป้ายบริเวณเปลือกตาด้านนอกหรือด้านใน วันละ 1 ครั้ง ก่อนนอน</t>
        </is>
      </c>
    </row>
    <row r="742">
      <c r="A742" t="n">
        <v>740</v>
      </c>
      <c r="B742" t="inlineStr">
        <is>
          <t>ยาหยอดและยาป้ายตาฆ่าเชื้อ</t>
        </is>
      </c>
      <c r="C742" t="n">
        <v>3861</v>
      </c>
      <c r="D742" t="inlineStr">
        <is>
          <t>Tobrex Ophthalmic Solution</t>
        </is>
      </c>
      <c r="E742" t="inlineStr">
        <is>
          <t>ขวด 5 ml.</t>
        </is>
      </c>
      <c r="F742" t="inlineStr">
        <is>
          <t>Tobramycin 3 mg.+Preservative (Benzalkonium Chloride 0.1 mg.)/1 ml.</t>
        </is>
      </c>
      <c r="G742" t="inlineStr">
        <is>
          <t>BDS003861</t>
        </is>
      </c>
      <c r="H742" t="inlineStr">
        <is>
          <t>Tobrex Ophthalmic Solution (5 ml.)</t>
        </is>
      </c>
      <c r="I742" t="inlineStr">
        <is>
          <t>หยอดตาครั้งละ 1-2 หยด ทุก 4 ชั่วโมง หรือตามแพทย์สั่ง</t>
        </is>
      </c>
    </row>
    <row r="743">
      <c r="A743" t="n">
        <v>741</v>
      </c>
      <c r="B743" t="inlineStr">
        <is>
          <t>ยาหยอดตาแก้แพ้ (D)</t>
        </is>
      </c>
      <c r="C743" t="n">
        <v>1052</v>
      </c>
      <c r="D743" t="inlineStr">
        <is>
          <t>Allergis</t>
        </is>
      </c>
      <c r="E743" t="inlineStr">
        <is>
          <t>ขวด 5 ml.</t>
        </is>
      </c>
      <c r="F743" t="inlineStr">
        <is>
          <t>Antazoline HCl 0.5 mg+Tetrahydrozoline HCl 0.4 mg/1 ml</t>
        </is>
      </c>
      <c r="G743" t="inlineStr">
        <is>
          <t>BDS001052</t>
        </is>
      </c>
      <c r="H743" t="inlineStr">
        <is>
          <t>Allergis (5 ml.)</t>
        </is>
      </c>
      <c r="I743" t="inlineStr">
        <is>
          <t xml:space="preserve">หยอดตาครั้งละ 1-2 หยด วันละ 4 - 6 ครั้ง หรือตามแพทย์สั่ง </t>
        </is>
      </c>
    </row>
    <row r="744">
      <c r="A744" t="n">
        <v>742</v>
      </c>
      <c r="B744" t="inlineStr">
        <is>
          <t>ยาหยอดตาแก้แพ้ (D)</t>
        </is>
      </c>
      <c r="C744" t="n">
        <v>40035</v>
      </c>
      <c r="D744" t="inlineStr">
        <is>
          <t>Antazallerge</t>
        </is>
      </c>
      <c r="E744" t="inlineStr">
        <is>
          <t>ขวด 10 ml.</t>
        </is>
      </c>
      <c r="F744" t="inlineStr">
        <is>
          <t>Antazoline HCl 0.5 mg.+Tetrahydrozoline HCl  0.4 mg.+Preservative (Benzalkonium Cl 0.1mg.)</t>
        </is>
      </c>
      <c r="G744" t="inlineStr">
        <is>
          <t>BDS040035</t>
        </is>
      </c>
      <c r="H744" t="inlineStr">
        <is>
          <t>Antazallerge (10 ml.)</t>
        </is>
      </c>
      <c r="I744" t="inlineStr">
        <is>
          <t xml:space="preserve">หยอดตาครั้งละ 1-2 หยด วันละ 3-4 ครั้ง หรือใช้ตามแพทย์สั่ง </t>
        </is>
      </c>
    </row>
    <row r="745">
      <c r="A745" t="n">
        <v>743</v>
      </c>
      <c r="B745" t="inlineStr">
        <is>
          <t>ยาหยอดตาแก้แพ้ (D)</t>
        </is>
      </c>
      <c r="C745" t="n">
        <v>1401</v>
      </c>
      <c r="D745" t="inlineStr">
        <is>
          <t>Cadexcin.N</t>
        </is>
      </c>
      <c r="E745" t="inlineStr">
        <is>
          <t>ขวด 4 ml.</t>
        </is>
      </c>
      <c r="F745" t="inlineStr">
        <is>
          <t>Dexamethasone 21-(disodium phosphate) (eq. to Dexamethasone 21-phosphate 1 mg.)+Neomycin Sulfate (eq. to Neomycin base 3.5 mg.)/1 ml.</t>
        </is>
      </c>
      <c r="G745" t="inlineStr">
        <is>
          <t>BDS001401</t>
        </is>
      </c>
      <c r="H745" t="inlineStr">
        <is>
          <t>Cadexcin.N (4 ml.)</t>
        </is>
      </c>
      <c r="I745" t="inlineStr">
        <is>
          <t>หยอดตา ครั้งละ 1-2  ทุก 2-3 ชม. ติดต่อกันอย่างน้อย 2-3 วัน หยอดหู ครั้งละ 3-4 หยด วันละ 2-3 ครั้ง หรือตามแพทย์สั่ง</t>
        </is>
      </c>
    </row>
    <row r="746">
      <c r="A746" t="n">
        <v>744</v>
      </c>
      <c r="B746" t="inlineStr">
        <is>
          <t>ยาหยอดตาแก้แพ้ (D)</t>
        </is>
      </c>
      <c r="C746" t="n">
        <v>41404</v>
      </c>
      <c r="D746" t="inlineStr">
        <is>
          <t>CD-Oph Eye Drops</t>
        </is>
      </c>
      <c r="E746" t="inlineStr">
        <is>
          <t>ขวด 5 ml.</t>
        </is>
      </c>
      <c r="F746" t="inlineStr">
        <is>
          <t>Dexamethasone Sodium Phosphate 1 mg.+Chloramphenicol 5 mg.+Tetrahydrozoline HCl 0.25 mg./1 ml.</t>
        </is>
      </c>
      <c r="G746" t="inlineStr">
        <is>
          <t>BDS041404</t>
        </is>
      </c>
      <c r="H746" t="inlineStr">
        <is>
          <t>CD-Oph Eye Drops (5 ml.)</t>
        </is>
      </c>
      <c r="I746" t="inlineStr">
        <is>
          <t xml:space="preserve">หยอดตาครั้งละ 1 หยด วันละ 1-4 ครั้ง หรือตามแพทย์สั่ง </t>
        </is>
      </c>
    </row>
    <row r="747">
      <c r="A747" t="n">
        <v>745</v>
      </c>
      <c r="B747" t="inlineStr">
        <is>
          <t>ยาหยอดตาแก้แพ้ (D)</t>
        </is>
      </c>
      <c r="C747" t="n">
        <v>1632</v>
      </c>
      <c r="D747" t="inlineStr">
        <is>
          <t>DexOph Eye-Ear Drops</t>
        </is>
      </c>
      <c r="E747" t="inlineStr">
        <is>
          <t>ขวด 4 ml.</t>
        </is>
      </c>
      <c r="F747" t="inlineStr">
        <is>
          <t>Dexamethasone Sodium Phosphate (eq. to Dexamethasone Phosphate 0.1 %)+Neomycin Sulfate 0.5% (eq. to Neomycin Base 0.35 %)/1 ml.</t>
        </is>
      </c>
      <c r="G747" t="inlineStr">
        <is>
          <t>BDS001632</t>
        </is>
      </c>
      <c r="H747" t="inlineStr">
        <is>
          <t>DexOph Eye-Ear Drops (4 ml.)</t>
        </is>
      </c>
      <c r="I747" t="inlineStr">
        <is>
          <t xml:space="preserve">หยอดตา ครั้งละ 1-2 หยด วันละ 4-6 ครั้ง หยอดหู ครั้งละ 3-4 หยด วันละ 2-3 ครั้ง </t>
        </is>
      </c>
      <c r="K747" t="n">
        <v>120</v>
      </c>
      <c r="L747" t="n">
        <v>30</v>
      </c>
      <c r="M747" t="inlineStr">
        <is>
          <t>USER</t>
        </is>
      </c>
      <c r="N747" t="inlineStr">
        <is>
          <t>2026-02-07</t>
        </is>
      </c>
      <c r="O747" t="inlineStr">
        <is>
          <t>User provided price (DexOph Eye-Ear Drops 4 ml).</t>
        </is>
      </c>
    </row>
    <row r="748">
      <c r="A748" t="n">
        <v>746</v>
      </c>
      <c r="B748" t="inlineStr">
        <is>
          <t>ยาหยอดตาแก้แพ้ (D)</t>
        </is>
      </c>
      <c r="C748" t="n">
        <v>1981</v>
      </c>
      <c r="D748" t="inlineStr">
        <is>
          <t>Flarex</t>
        </is>
      </c>
      <c r="E748" t="inlineStr">
        <is>
          <t>ขวด 5 ml.</t>
        </is>
      </c>
      <c r="F748" t="inlineStr">
        <is>
          <t>Fluorometholone Acetate 0.1 %+Monobasic Sodium Phosphate+Sodium Chloride+Edetate Disodium+Hydroxyethylcellulose+Tyloxapol+Hydrochloric Acid+Sodium Hydroxide+Preservative (Edetate Disodium+Benzalkonium Chloride 0.01%)/1 ml.</t>
        </is>
      </c>
      <c r="G748" t="inlineStr">
        <is>
          <t>BDS001981</t>
        </is>
      </c>
      <c r="H748" t="inlineStr">
        <is>
          <t>Flarex (5 ml.)</t>
        </is>
      </c>
      <c r="I748" t="inlineStr">
        <is>
          <t xml:space="preserve">หยอดตาข้างที่มีอาการ ครั้งละ 1-2 หยด วันละ 4 ครั้ง หรือตามแพทย์สั่ง </t>
        </is>
      </c>
    </row>
    <row r="749">
      <c r="A749" t="n">
        <v>747</v>
      </c>
      <c r="B749" t="inlineStr">
        <is>
          <t>ยาหยอดตาแก้แพ้ (D)</t>
        </is>
      </c>
      <c r="C749" t="n">
        <v>6181</v>
      </c>
      <c r="D749" t="inlineStr">
        <is>
          <t>FML Ophthalmic Suspension</t>
        </is>
      </c>
      <c r="E749" t="inlineStr">
        <is>
          <t>ขวด 5 ml.</t>
        </is>
      </c>
      <c r="F749" t="inlineStr">
        <is>
          <t>Fluorometholone 0.1 %+Polyvinyl Alcohol 14 mg.+Sodium Chloride+Sodium Phosphste Monobasic+Sodium Phosphate Dibasic+Polysorbate 80+Preservative (Edetate Disodium+Benzalkonium Chloride 0.04 mg.)/1 ml.</t>
        </is>
      </c>
      <c r="G749" t="inlineStr">
        <is>
          <t>BDS006181</t>
        </is>
      </c>
      <c r="H749" t="inlineStr">
        <is>
          <t>FML Ophthalmic Suspension (5 ml.)</t>
        </is>
      </c>
      <c r="I749" t="inlineStr">
        <is>
          <t xml:space="preserve">หยอดตาข้างที่มีอาการ ครั้งละ 1-2 หยด วันละ 2-4 ครั้ง หรือตามแพทย์สั่ง </t>
        </is>
      </c>
    </row>
    <row r="750">
      <c r="A750" t="n">
        <v>748</v>
      </c>
      <c r="B750" t="inlineStr">
        <is>
          <t>ยาหยอดตาแก้แพ้ (D)</t>
        </is>
      </c>
      <c r="C750" t="n">
        <v>2117</v>
      </c>
      <c r="D750" t="inlineStr">
        <is>
          <t>Hista-Oph</t>
        </is>
      </c>
      <c r="E750" t="inlineStr">
        <is>
          <t>ขวด 5 ml.</t>
        </is>
      </c>
      <c r="F750" t="inlineStr">
        <is>
          <t>Antazoline HCl 0.05 %+Tetrahydrozoline HCl 0.04%+Hydroxypropyl Methylcellulose+Preservative (Benzalkonium Chloride 0.015%)/1 ml.</t>
        </is>
      </c>
      <c r="G750" t="inlineStr">
        <is>
          <t>BDS002117</t>
        </is>
      </c>
      <c r="H750" t="inlineStr">
        <is>
          <t>Hista-Oph (5 ml.)</t>
        </is>
      </c>
      <c r="I750" t="inlineStr">
        <is>
          <t xml:space="preserve">หยอดตาครั้งละ 1-2 หยด วันละ 4 - 6 ครั้ง หรือตามแพทย์สั่ง </t>
        </is>
      </c>
    </row>
    <row r="751">
      <c r="A751" t="n">
        <v>749</v>
      </c>
      <c r="B751" t="inlineStr">
        <is>
          <t>ยาหยอดตาแก้แพ้ (D)</t>
        </is>
      </c>
      <c r="C751" t="n">
        <v>2804</v>
      </c>
      <c r="D751" t="inlineStr">
        <is>
          <t>Naphcon-A</t>
        </is>
      </c>
      <c r="E751" t="inlineStr">
        <is>
          <t>ขวด 15 ml.</t>
        </is>
      </c>
      <c r="F751" t="inlineStr">
        <is>
          <t>Naphazoline HCl 0.025%+Pheniramine Maleate 0.3%+Preservative (Benzalkonium Chloride 0.01%)/1 ml</t>
        </is>
      </c>
      <c r="G751" t="inlineStr">
        <is>
          <t>BDS002804</t>
        </is>
      </c>
      <c r="H751" t="inlineStr">
        <is>
          <t>Naphcon-A (15 ml.)</t>
        </is>
      </c>
      <c r="I751" t="inlineStr">
        <is>
          <t xml:space="preserve">หยอดตาครั้งละ 1-2 หยด ทุก 3-4 ชั่วโมง หรือน้อยครั้งกว่านี้ เฉพาะเมื่อมีอาการ </t>
        </is>
      </c>
    </row>
    <row r="752">
      <c r="A752" t="n">
        <v>750</v>
      </c>
      <c r="B752" t="inlineStr">
        <is>
          <t>ยาหยอดตาแก้แพ้ (D)</t>
        </is>
      </c>
      <c r="C752" t="n">
        <v>3029</v>
      </c>
      <c r="D752" t="inlineStr">
        <is>
          <t>Opsa-His</t>
        </is>
      </c>
      <c r="E752" t="inlineStr">
        <is>
          <t>ขวด 5 ml.</t>
        </is>
      </c>
      <c r="F752" t="inlineStr">
        <is>
          <t>Antazoline HCl 0.5 mg+Tetrahydrozoline HCl 0.4 mg/1 ml</t>
        </is>
      </c>
      <c r="G752" t="inlineStr">
        <is>
          <t>BDS003029</t>
        </is>
      </c>
      <c r="H752" t="inlineStr">
        <is>
          <t>Opsa-His (5 ml.)</t>
        </is>
      </c>
      <c r="I752" t="inlineStr">
        <is>
          <t xml:space="preserve">หยอดตา 1 หยด วันละ 2-3 ครั้ง หรือตามแพทย์สั่ง </t>
        </is>
      </c>
    </row>
    <row r="753">
      <c r="A753" t="n">
        <v>751</v>
      </c>
      <c r="B753" t="inlineStr">
        <is>
          <t>ยาหยอดตาแก้แพ้ (D)</t>
        </is>
      </c>
      <c r="C753" t="n">
        <v>3013</v>
      </c>
      <c r="D753" t="inlineStr">
        <is>
          <t>Opsil-A</t>
        </is>
      </c>
      <c r="E753" t="inlineStr">
        <is>
          <t>ขวด 10 ml.</t>
        </is>
      </c>
      <c r="F753" t="inlineStr">
        <is>
          <t>Antazoline HCl BP 0.05 %+Tetrahydrozoline HCl USP 0.04%+Preservative (Benzalkonium Cl 0.01%)/1 ml</t>
        </is>
      </c>
      <c r="G753" t="inlineStr">
        <is>
          <t>BDS003013</t>
        </is>
      </c>
      <c r="H753" t="inlineStr">
        <is>
          <t>Opsil-A (10 ml.)</t>
        </is>
      </c>
      <c r="I753" t="inlineStr">
        <is>
          <t xml:space="preserve">หยอดตาครั้งละ 1-2 หยด วันละ 3-4 ครั้ง หรือใช้ตามแพทย์สั่ง </t>
        </is>
      </c>
    </row>
    <row r="754">
      <c r="A754" t="n">
        <v>752</v>
      </c>
      <c r="B754" t="inlineStr">
        <is>
          <t>ยาหยอดตาแก้แพ้ (D)</t>
        </is>
      </c>
      <c r="C754" t="n">
        <v>46500</v>
      </c>
      <c r="D754" t="inlineStr">
        <is>
          <t>Pataday Ophthalmic Solution</t>
        </is>
      </c>
      <c r="E754" t="inlineStr">
        <is>
          <t>ขวด 2.5 ml.</t>
        </is>
      </c>
      <c r="F754" t="inlineStr">
        <is>
          <t>Olopatadine HCl 2.22 mg (eq. to Olopatadine 2 mg (0.2%)+Povidone+Dibasic Sodium Phosphate+Sodium Chloride+Hydrochloric Acid /Sodium Hydroxide+Preservative (Edetate Disodium+Benzalkonium Chloride 0.01%)/1 ml.</t>
        </is>
      </c>
      <c r="G754" t="inlineStr">
        <is>
          <t>BDS046500</t>
        </is>
      </c>
      <c r="H754" t="inlineStr">
        <is>
          <t>Pataday Ophthalmic Solution (2.5 ml.)</t>
        </is>
      </c>
      <c r="I754" t="inlineStr">
        <is>
          <t xml:space="preserve">หยอดตาครั้งละ 1 หยด วันละ 1 ครั้ง  </t>
        </is>
      </c>
    </row>
    <row r="755">
      <c r="A755" t="n">
        <v>753</v>
      </c>
      <c r="B755" t="inlineStr">
        <is>
          <t>ยาหยอดตาแก้แพ้ (D)</t>
        </is>
      </c>
      <c r="C755" t="n">
        <v>46553</v>
      </c>
      <c r="D755" t="inlineStr">
        <is>
          <t>Pemirox Ophthalmic Solution</t>
        </is>
      </c>
      <c r="E755" t="inlineStr">
        <is>
          <t>ขวด 5 ml.</t>
        </is>
      </c>
      <c r="F755" t="inlineStr">
        <is>
          <t>Pemirolast potassium 0.1 %</t>
        </is>
      </c>
      <c r="G755" t="inlineStr">
        <is>
          <t>BDS046553</t>
        </is>
      </c>
      <c r="H755" t="inlineStr">
        <is>
          <t>Pemirox Ophthalmic Solution (5 ml.)</t>
        </is>
      </c>
      <c r="I755" t="inlineStr">
        <is>
          <t xml:space="preserve">หยอดตาครั้งละ 1 หยด วันละ 2 ครั้ง หรือใช้ตามแพทย์สั่ง </t>
        </is>
      </c>
    </row>
    <row r="756">
      <c r="A756" t="n">
        <v>754</v>
      </c>
      <c r="B756" t="inlineStr">
        <is>
          <t>ยาหยอดตาแก้แพ้ (D)</t>
        </is>
      </c>
      <c r="C756" t="n">
        <v>3862</v>
      </c>
      <c r="D756" t="inlineStr">
        <is>
          <t>Tobradex Ophthalmic Suspension</t>
        </is>
      </c>
      <c r="E756" t="inlineStr">
        <is>
          <t>ขวด 5 ml.</t>
        </is>
      </c>
      <c r="F756" t="inlineStr">
        <is>
          <t>Tobramycin 3 mg (0.3%)+Dexamethasone 1 mg (0.1%)+Tyloxapol+Sodium Chloride+Hydroxyethylcellulose+Sodium Sulfate+Sulfuric Acid+Sodium Hydroxide+Preservative (Edetate Disodium+Benzalkonium Chloride 0.01%)/1 ml.</t>
        </is>
      </c>
      <c r="G756" t="inlineStr">
        <is>
          <t>BDS003862</t>
        </is>
      </c>
      <c r="H756" t="inlineStr">
        <is>
          <t>Tobradex Ophthalmic Suspension (5 ml.)</t>
        </is>
      </c>
      <c r="I756" t="inlineStr">
        <is>
          <t>หยอดตาครั้งละ 1-2 หยด ทุก 4-6 ชั่วโมง</t>
        </is>
      </c>
    </row>
    <row r="757">
      <c r="A757" t="n">
        <v>755</v>
      </c>
      <c r="B757" t="inlineStr">
        <is>
          <t>น้ำตาเทียม</t>
        </is>
      </c>
      <c r="C757" t="n">
        <v>1552</v>
      </c>
      <c r="D757" t="inlineStr">
        <is>
          <t>Cellufresh</t>
        </is>
      </c>
      <c r="E757" t="inlineStr">
        <is>
          <t>กล่อง 30 หลอด</t>
        </is>
      </c>
      <c r="F757" t="inlineStr">
        <is>
          <t>Carboxymethylcellulose Sodium (CMC) 0.5%+Calcium Chloride+Magnesium Chloride+Potassium Chloride+Sodium Chloride+Sodium Lactate+Hydrochloric Acid+Sodium Hydroxide</t>
        </is>
      </c>
      <c r="G757" t="inlineStr">
        <is>
          <t>BDS001552</t>
        </is>
      </c>
      <c r="H757" t="inlineStr">
        <is>
          <t>Cellufresh (30 tubes)</t>
        </is>
      </c>
      <c r="I757" t="inlineStr">
        <is>
          <t>เปิดหลอดโดยการบิดฝา หยอดตาครั้งละ 1-2 หยด ในตาข้างที่เป็น ตามต้องการ</t>
        </is>
      </c>
      <c r="P757" t="inlineStr">
        <is>
          <t>Artificial tears / eye lubricants</t>
        </is>
      </c>
    </row>
    <row r="758">
      <c r="A758" t="n">
        <v>756</v>
      </c>
      <c r="B758" t="inlineStr">
        <is>
          <t>น้ำตาเทียม</t>
        </is>
      </c>
      <c r="C758" t="n">
        <v>41414</v>
      </c>
      <c r="D758" t="inlineStr">
        <is>
          <t xml:space="preserve">Cellufresh MD </t>
        </is>
      </c>
      <c r="E758" t="inlineStr">
        <is>
          <t>ขวด 3 ml.</t>
        </is>
      </c>
      <c r="F758" t="inlineStr">
        <is>
          <t xml:space="preserve">Carboxymethylcellulose Sodium (CMC) 0.5%+Boric acid+Calcium Chloride+Magnesium Chloride+Potassium Chloride+Sodium Borate+Sodium Chloride+Preservative (Stabilized Oxychloro Complex (Purite) </t>
        </is>
      </c>
      <c r="G758" t="inlineStr">
        <is>
          <t>BDS041414</t>
        </is>
      </c>
      <c r="H758" t="inlineStr">
        <is>
          <t>Cellufresh MD  (3 ml.)</t>
        </is>
      </c>
      <c r="I758" t="inlineStr">
        <is>
          <t>หยอดตาครั้งละ 1-2 หยด วันละ 2-3 ครั้ง ตามต้องการ</t>
        </is>
      </c>
      <c r="P758" t="inlineStr">
        <is>
          <t>Artificial tears / eye lubricants</t>
        </is>
      </c>
    </row>
    <row r="759">
      <c r="A759" t="n">
        <v>757</v>
      </c>
      <c r="B759" t="inlineStr">
        <is>
          <t>น้ำตาเทียม</t>
        </is>
      </c>
      <c r="C759" t="n">
        <v>1554</v>
      </c>
      <c r="D759" t="inlineStr">
        <is>
          <t>Cellufresh MD ใหญ่</t>
        </is>
      </c>
      <c r="E759" t="inlineStr">
        <is>
          <t>ขวด 15 ml.</t>
        </is>
      </c>
      <c r="F759" t="inlineStr">
        <is>
          <t xml:space="preserve">Carboxymethylcellulose Sodium (CMC) 0.5%+Boric acid+Calcium Chloride dihydrate+Magnesium Chloride+ Potassium Chloride+Sodium Borate+Sodium Chloride+Preservative (Stabilized Oxychloro complex (Purite) </t>
        </is>
      </c>
      <c r="G759" t="inlineStr">
        <is>
          <t>BDS001554</t>
        </is>
      </c>
      <c r="H759" t="inlineStr">
        <is>
          <t>Cellufresh MD ใหญ่ (15 ml.)</t>
        </is>
      </c>
      <c r="I759" t="inlineStr">
        <is>
          <t>หยอดตาครั้งละ 1-2 หยด วันละ 2-3 ครั้ง ตามต้องการ</t>
        </is>
      </c>
      <c r="P759" t="inlineStr">
        <is>
          <t>Artificial tears / eye lubricants</t>
        </is>
      </c>
    </row>
    <row r="760">
      <c r="A760" t="n">
        <v>758</v>
      </c>
      <c r="B760" t="inlineStr">
        <is>
          <t>น้ำตาเทียม</t>
        </is>
      </c>
      <c r="C760" t="n">
        <v>1551</v>
      </c>
      <c r="D760" t="inlineStr">
        <is>
          <t>Clens 100 Lens Drops</t>
        </is>
      </c>
      <c r="E760" t="inlineStr">
        <is>
          <t>ขวด 8 ml.</t>
        </is>
      </c>
      <c r="F760" t="inlineStr">
        <is>
          <t>Citrate/Borate Buffer+Sodium Chloride+Edetate Disodium 0.05%+PEG-11 Lauryl ether Carboxylic acid+Tetronic t1304+Preservative (Edetate Disodium 0.05%+Polidronium Chloride 0.001%)</t>
        </is>
      </c>
      <c r="G760" t="inlineStr">
        <is>
          <t>BDS001551</t>
        </is>
      </c>
      <c r="H760" t="inlineStr">
        <is>
          <t>Clens 100 Lens Drops (8 ml.)</t>
        </is>
      </c>
      <c r="I760" t="inlineStr">
        <is>
          <t xml:space="preserve">หยดน้ำยา 2 หยด เข้าในตาแต่ละข้าง กะพริบตา 2-3 ครั้ง  </t>
        </is>
      </c>
      <c r="P760" t="inlineStr">
        <is>
          <t>Artificial tears / eye lubricants</t>
        </is>
      </c>
    </row>
    <row r="761">
      <c r="A761" t="n">
        <v>759</v>
      </c>
      <c r="B761" t="inlineStr">
        <is>
          <t>น้ำตาเทียม</t>
        </is>
      </c>
      <c r="C761" t="n">
        <v>2107</v>
      </c>
      <c r="D761" t="inlineStr">
        <is>
          <t>Genteal Eye Drop</t>
        </is>
      </c>
      <c r="E761" t="inlineStr">
        <is>
          <t>ขวด 10 ml.</t>
        </is>
      </c>
      <c r="F761" t="inlineStr">
        <is>
          <t>Hypromellose 3 mg. (0.3%)+Sodium Chloride+Boric Acid+Potassium Chloride+Hydrochloric Acid+Preservative (Sodium Perborate+Phosphonic Acid)</t>
        </is>
      </c>
      <c r="G761" t="inlineStr">
        <is>
          <t>BDS002107</t>
        </is>
      </c>
      <c r="H761" t="inlineStr">
        <is>
          <t>Genteal Eye Drop (10 ml.)</t>
        </is>
      </c>
      <c r="I761" t="inlineStr">
        <is>
          <t>หยอดตาข้างที่เป็นครั้งละ 1-2 หยด ตามต้องการ</t>
        </is>
      </c>
      <c r="P761" t="inlineStr">
        <is>
          <t>Artificial tears / eye lubricants</t>
        </is>
      </c>
    </row>
    <row r="762">
      <c r="A762" t="n">
        <v>760</v>
      </c>
      <c r="B762" t="inlineStr">
        <is>
          <t>น้ำตาเทียม</t>
        </is>
      </c>
      <c r="C762" t="n">
        <v>2031</v>
      </c>
      <c r="D762" t="inlineStr">
        <is>
          <t>Genteal Gel</t>
        </is>
      </c>
      <c r="E762" t="inlineStr">
        <is>
          <t>หลอด 10 g.</t>
        </is>
      </c>
      <c r="F762" t="inlineStr">
        <is>
          <t>Hypromellose 3 mg. (0.3%)+Carbomer 980 2.2 mg.+Sorbitol 35 mg.+Sodium hydroxide 0.787 mg.+Dequest 2060 0.06 mg.+Preservative (Sodium Perborate Tetrahydrate 0.28 mg.)/1 g.</t>
        </is>
      </c>
      <c r="G762" t="inlineStr">
        <is>
          <t>BDS002031</t>
        </is>
      </c>
      <c r="H762" t="inlineStr">
        <is>
          <t>Genteal Gel (10 g.)</t>
        </is>
      </c>
      <c r="I762" t="inlineStr">
        <is>
          <t>หยอดยาลงในเปลือกตาล่างแต่ละข้างครั้งละ 1 หยด และกะพริบตาหลายๆ ครั้ง</t>
        </is>
      </c>
      <c r="P762" t="inlineStr">
        <is>
          <t>Artificial tears / eye lubricants</t>
        </is>
      </c>
    </row>
    <row r="763">
      <c r="A763" t="n">
        <v>761</v>
      </c>
      <c r="B763" t="inlineStr">
        <is>
          <t>น้ำตาเทียม</t>
        </is>
      </c>
      <c r="C763" t="n">
        <v>43800</v>
      </c>
      <c r="D763" t="inlineStr">
        <is>
          <t>Hialid 0.1 Opthalmic Solution</t>
        </is>
      </c>
      <c r="E763" t="inlineStr">
        <is>
          <t>ขวด 5 ml.</t>
        </is>
      </c>
      <c r="F763" t="inlineStr">
        <is>
          <t>Sodium Hyaluronate 0.1%+6-Aminocaproic Acid/1 ml.</t>
        </is>
      </c>
      <c r="G763" t="inlineStr">
        <is>
          <t>BDS043800</t>
        </is>
      </c>
      <c r="H763" t="inlineStr">
        <is>
          <t>Hialid 0.1 Opthalmic Solution (5 ml.)</t>
        </is>
      </c>
      <c r="I763" t="inlineStr">
        <is>
          <t xml:space="preserve">หยอดครั้งละ 1 หยด วันละ 5-6 ครั้ง หรือตามแพทย์สั่ง </t>
        </is>
      </c>
      <c r="P763" t="inlineStr">
        <is>
          <t>Artificial tears / eye lubricants</t>
        </is>
      </c>
    </row>
    <row r="764">
      <c r="A764" t="n">
        <v>762</v>
      </c>
      <c r="B764" t="inlineStr">
        <is>
          <t>น้ำตาเทียม</t>
        </is>
      </c>
      <c r="C764" t="n">
        <v>43847</v>
      </c>
      <c r="D764" t="inlineStr">
        <is>
          <t>Hyatear</t>
        </is>
      </c>
      <c r="E764" t="inlineStr">
        <is>
          <t>กล่อง 20 หลอด</t>
        </is>
      </c>
      <c r="F764" t="inlineStr">
        <is>
          <t>Sodium Hyaluronate 0.18% (Sodium Hyaluronate 1.8 mg.+Sodium Chloride +Potassium Chloride +Trisodium citrate +Disodium Hydrogenphosphate +Sodium dihydrogen phosphate +Magnesium chloride hexahydrate +Calcium Chloride dihydrate)</t>
        </is>
      </c>
      <c r="G764" t="inlineStr">
        <is>
          <t>BDS043847</t>
        </is>
      </c>
      <c r="H764" t="inlineStr">
        <is>
          <t>Hyatear (20 tubes)</t>
        </is>
      </c>
      <c r="I764" t="inlineStr">
        <is>
          <t>เปิดหลอดโดยการบิดฝา หยอดตาครั้งละ 1-2 หยด ในตาข้างที่เป็น วันละ 4 ครั้ง หรือตามต้องการ</t>
        </is>
      </c>
      <c r="P764" t="inlineStr">
        <is>
          <t>Artificial tears / eye lubricants</t>
        </is>
      </c>
    </row>
    <row r="765">
      <c r="A765" t="n">
        <v>763</v>
      </c>
      <c r="B765" t="inlineStr">
        <is>
          <t>น้ำตาเทียม</t>
        </is>
      </c>
      <c r="C765" t="n">
        <v>2886</v>
      </c>
      <c r="D765" t="inlineStr">
        <is>
          <t>Natear</t>
        </is>
      </c>
      <c r="E765" t="inlineStr">
        <is>
          <t>ขวด 10 ml.</t>
        </is>
      </c>
      <c r="F765" t="inlineStr">
        <is>
          <t xml:space="preserve">Hydroxypropyl Methylcellulose USP 0.3%+Preservative (Sodium Perborate) </t>
        </is>
      </c>
      <c r="G765" t="inlineStr">
        <is>
          <t>BDS002886</t>
        </is>
      </c>
      <c r="H765" t="inlineStr">
        <is>
          <t>Natear (10 ml.)</t>
        </is>
      </c>
      <c r="I765" t="inlineStr">
        <is>
          <t xml:space="preserve">หยอดครั้งละ 1-2 หยด วันละ 2-3 ครั้ง หรือเมื่อมีอาการระคายเคืองตา </t>
        </is>
      </c>
      <c r="P765" t="inlineStr">
        <is>
          <t>Artificial tears / eye lubricants</t>
        </is>
      </c>
    </row>
    <row r="766">
      <c r="A766" t="n">
        <v>764</v>
      </c>
      <c r="B766" t="inlineStr">
        <is>
          <t>น้ำตาเทียม</t>
        </is>
      </c>
      <c r="C766" t="n">
        <v>45617</v>
      </c>
      <c r="D766" t="inlineStr">
        <is>
          <t>Natear UD Lubricant Eye Drops</t>
        </is>
      </c>
      <c r="E766" t="inlineStr">
        <is>
          <t>กล่อง 7 หลอด</t>
        </is>
      </c>
      <c r="F766" t="inlineStr">
        <is>
          <t>Hypromellose (Hydroxypropyl Methylcellulose) 0.3% w/v /0.8 ml.</t>
        </is>
      </c>
      <c r="G766" t="inlineStr">
        <is>
          <t>BDS045617</t>
        </is>
      </c>
      <c r="H766" t="inlineStr">
        <is>
          <t>Natear UD Lubricant Eye Drops (7 tubes)</t>
        </is>
      </c>
      <c r="I766" t="inlineStr">
        <is>
          <t xml:space="preserve">หยอดตาครั้งละ 1-2 หยด วันละ 2-3 ครั้ง หรือเมื่อรู้สึกระคายเคืองตา </t>
        </is>
      </c>
      <c r="P766" t="inlineStr">
        <is>
          <t>Artificial tears / eye lubricants</t>
        </is>
      </c>
    </row>
    <row r="767">
      <c r="A767" t="n">
        <v>765</v>
      </c>
      <c r="B767" t="inlineStr">
        <is>
          <t>น้ำตาเทียม</t>
        </is>
      </c>
      <c r="C767" t="n">
        <v>46204</v>
      </c>
      <c r="D767" t="inlineStr">
        <is>
          <t>OcuFreshs Tear Eye Drops</t>
        </is>
      </c>
      <c r="E767" t="inlineStr">
        <is>
          <t>ขวด 10 ml.</t>
        </is>
      </c>
      <c r="F767" t="inlineStr">
        <is>
          <t>Hypromellose 3 mg. (0.3%)+Preservative (Benzalkonium Chloride 0.02%)/1 ml.</t>
        </is>
      </c>
      <c r="G767" t="inlineStr">
        <is>
          <t>BDS046204</t>
        </is>
      </c>
      <c r="H767" t="inlineStr">
        <is>
          <t>OcuFreshs Tear Eye Drops (10 ml.)</t>
        </is>
      </c>
      <c r="I767" t="inlineStr">
        <is>
          <t>หยอดตาครั้งละ 1-2 หยด วันละ 3-4 ครั้ง หรือตามต้องการ</t>
        </is>
      </c>
      <c r="P767" t="inlineStr">
        <is>
          <t>Artificial tears / eye lubricants</t>
        </is>
      </c>
    </row>
    <row r="768">
      <c r="A768" t="n">
        <v>766</v>
      </c>
      <c r="B768" t="inlineStr">
        <is>
          <t>น้ำตาเทียม</t>
        </is>
      </c>
      <c r="C768" t="n">
        <v>3014</v>
      </c>
      <c r="D768" t="inlineStr">
        <is>
          <t>Opsil Tears 0.3%</t>
        </is>
      </c>
      <c r="E768" t="inlineStr">
        <is>
          <t>ขวด 10 ml.</t>
        </is>
      </c>
      <c r="F768" t="inlineStr">
        <is>
          <t xml:space="preserve">Hydroxypropyl Methylcellulose USP 0.3%+Preservative (Benzalkonium Chloride) </t>
        </is>
      </c>
      <c r="G768" t="inlineStr">
        <is>
          <t>BDS003014</t>
        </is>
      </c>
      <c r="H768" t="inlineStr">
        <is>
          <t>Opsil Tears 0.3% (10 ml.)</t>
        </is>
      </c>
      <c r="I768" t="inlineStr">
        <is>
          <t>หยอดตาครั้งละ 1-2 หยด วันละ 2-3 ครั้ง หรือเมื่อรู้สึกเคืองตา</t>
        </is>
      </c>
      <c r="P768" t="inlineStr">
        <is>
          <t>Artificial tears / eye lubricants</t>
        </is>
      </c>
    </row>
    <row r="769">
      <c r="A769" t="n">
        <v>767</v>
      </c>
      <c r="B769" t="inlineStr">
        <is>
          <t>น้ำตาเทียม</t>
        </is>
      </c>
      <c r="C769" t="n">
        <v>3102</v>
      </c>
      <c r="D769" t="inlineStr">
        <is>
          <t>Opti-Free Rewetting Drops</t>
        </is>
      </c>
      <c r="E769" t="inlineStr">
        <is>
          <t>ขวด 10 ml.</t>
        </is>
      </c>
      <c r="F769" t="inlineStr">
        <is>
          <t>Citrate buffer+Sodium chloride+Preservative (Edetate Disodium 0.05%+Polyquaternium-1 0.001%)</t>
        </is>
      </c>
      <c r="G769" t="inlineStr">
        <is>
          <t>BDS003102</t>
        </is>
      </c>
      <c r="H769" t="inlineStr">
        <is>
          <t>Opti-Free Rewetting Drops (10 ml.)</t>
        </is>
      </c>
      <c r="I769" t="inlineStr">
        <is>
          <t xml:space="preserve">หยอดตาครั้งละ 1-2 หยด และกะพริบตา 2-3 ครั้ง เมื่อมีอาการ </t>
        </is>
      </c>
      <c r="P769" t="inlineStr">
        <is>
          <t>Artificial tears / eye lubricants</t>
        </is>
      </c>
    </row>
    <row r="770">
      <c r="A770" t="n">
        <v>768</v>
      </c>
      <c r="B770" t="inlineStr">
        <is>
          <t>น้ำตาเทียม</t>
        </is>
      </c>
      <c r="C770" t="n">
        <v>1204</v>
      </c>
      <c r="D770" t="inlineStr">
        <is>
          <t>Renu Multiplus Lubricating &amp; Rewetting Drops</t>
        </is>
      </c>
      <c r="E770" t="inlineStr">
        <is>
          <t>ขวด 8 ml.</t>
        </is>
      </c>
      <c r="F770" t="inlineStr">
        <is>
          <t>Povidone+Boric acid+Potassium chloride+Sodium chloride+ Sodium borate+Edetate disodium+Sorbic acid+Preservative (Edetate disodium 0.1%+Sorbic acid 0.1%)</t>
        </is>
      </c>
      <c r="G770" t="inlineStr">
        <is>
          <t>BDS001204</t>
        </is>
      </c>
      <c r="H770" t="inlineStr">
        <is>
          <t>Renu Multiplus Lubricating &amp; Rewetting Drops (8 ml.)</t>
        </is>
      </c>
      <c r="I770" t="inlineStr">
        <is>
          <t xml:space="preserve">หยอดตาครั้งละ 2-3 หยด เมื่อต้องการ และกะพริบตาหลายๆ ครั้ง </t>
        </is>
      </c>
      <c r="P770" t="inlineStr">
        <is>
          <t>Artificial tears / eye lubricants</t>
        </is>
      </c>
    </row>
    <row r="771">
      <c r="A771" t="n">
        <v>769</v>
      </c>
      <c r="B771" t="inlineStr">
        <is>
          <t>น้ำตาเทียม</t>
        </is>
      </c>
      <c r="C771" t="n">
        <v>47663</v>
      </c>
      <c r="D771" t="inlineStr">
        <is>
          <t>Seeview Sofs</t>
        </is>
      </c>
      <c r="E771" t="inlineStr">
        <is>
          <t>ขวด 10 ml.</t>
        </is>
      </c>
      <c r="F771" t="inlineStr">
        <is>
          <t>Hypromellose 3 mg/1 ml.</t>
        </is>
      </c>
      <c r="G771" t="inlineStr">
        <is>
          <t>BDS047663</t>
        </is>
      </c>
      <c r="H771" t="inlineStr">
        <is>
          <t>Seeview Sofs (10 ml.)</t>
        </is>
      </c>
      <c r="I771" t="inlineStr">
        <is>
          <t xml:space="preserve">หยอดตาครั้งละ 1 หยด เมื่อรู้สึกเคืองตา </t>
        </is>
      </c>
      <c r="P771" t="inlineStr">
        <is>
          <t>Artificial tears / eye lubricants</t>
        </is>
      </c>
    </row>
    <row r="772">
      <c r="A772" t="n">
        <v>770</v>
      </c>
      <c r="B772" t="inlineStr">
        <is>
          <t>น้ำตาเทียม</t>
        </is>
      </c>
      <c r="C772" t="n">
        <v>47647</v>
      </c>
      <c r="D772" t="inlineStr">
        <is>
          <t>Sof Tear Eye Drops</t>
        </is>
      </c>
      <c r="E772" t="inlineStr">
        <is>
          <t>ขวด 5 ml.</t>
        </is>
      </c>
      <c r="F772" t="inlineStr">
        <is>
          <t>Hypromellose USP 3 mg. (0.3% w/v USP)+Preservative (Sodium Perborate 0.28 mg.)/1 ml.</t>
        </is>
      </c>
      <c r="G772" t="inlineStr">
        <is>
          <t>BDS047647</t>
        </is>
      </c>
      <c r="H772" t="inlineStr">
        <is>
          <t>Sof Tear Eye Drops (5 ml.)</t>
        </is>
      </c>
      <c r="I772" t="inlineStr">
        <is>
          <t xml:space="preserve">หยอดตาครั้งละ 1-2 หยด เมื่อรู้สึกเคืองตา </t>
        </is>
      </c>
      <c r="P772" t="inlineStr">
        <is>
          <t>Artificial tears / eye lubricants</t>
        </is>
      </c>
    </row>
    <row r="773">
      <c r="A773" t="n">
        <v>771</v>
      </c>
      <c r="B773" t="inlineStr">
        <is>
          <t>น้ำตาเทียม</t>
        </is>
      </c>
      <c r="C773" t="n">
        <v>47637</v>
      </c>
      <c r="D773" t="inlineStr">
        <is>
          <t>Systane Ultra (UD) Lubricant Eye Drops</t>
        </is>
      </c>
      <c r="E773" t="inlineStr">
        <is>
          <t>กล่อง 28 หลอด</t>
        </is>
      </c>
      <c r="F773" t="inlineStr">
        <is>
          <t>Polyethylene Glycol 400 0.4%+Propylene Glycol 0.3%+Aminomethylpropanol+Boric Acid+Hydroxypropyl Guar+Potassium Chloride+Sodium Chloride+Sorbitol+Hydrochloric Acid+Sodium Hydroxide/1 ml.</t>
        </is>
      </c>
      <c r="G773" t="inlineStr">
        <is>
          <t>BDS047637</t>
        </is>
      </c>
      <c r="H773" t="inlineStr">
        <is>
          <t>Systane Ultra (UD) Lubricant Eye Drops (28 tubes)</t>
        </is>
      </c>
      <c r="I773" t="inlineStr">
        <is>
          <t xml:space="preserve">หยอดตาข้างที่เป็น ครั้งละ 1-2 หยด แล้วกะพริบตาต่อเนื่องกันประมาณ 1 นาที </t>
        </is>
      </c>
      <c r="P773" t="inlineStr">
        <is>
          <t>Artificial tears / eye lubricants</t>
        </is>
      </c>
    </row>
    <row r="774">
      <c r="A774" t="n">
        <v>772</v>
      </c>
      <c r="B774" t="inlineStr">
        <is>
          <t>น้ำตาเทียม</t>
        </is>
      </c>
      <c r="C774" t="n">
        <v>3679</v>
      </c>
      <c r="D774" t="inlineStr">
        <is>
          <t>Systane Ultra Lubricant Eye Drops</t>
        </is>
      </c>
      <c r="E774" t="inlineStr">
        <is>
          <t>ขวด 10 ml.</t>
        </is>
      </c>
      <c r="F77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G774" t="inlineStr">
        <is>
          <t>BDS003679</t>
        </is>
      </c>
      <c r="H774" t="inlineStr">
        <is>
          <t>Systane Ultra Lubricant Eye Drops (10 ml.)</t>
        </is>
      </c>
      <c r="I774" t="inlineStr">
        <is>
          <t xml:space="preserve">หยดน้ำยา 1-2 หยด เข้าในตาแต่ละข้าง กะพริบตาต่อเนื่องกันประมาณ 1 นาที </t>
        </is>
      </c>
      <c r="P774" t="inlineStr">
        <is>
          <t>Artificial tears / eye lubricants</t>
        </is>
      </c>
    </row>
    <row r="775">
      <c r="A775" t="n">
        <v>773</v>
      </c>
      <c r="B775" t="inlineStr">
        <is>
          <t>น้ำตาเทียม</t>
        </is>
      </c>
      <c r="C775" t="n">
        <v>3765</v>
      </c>
      <c r="D775" t="inlineStr">
        <is>
          <t>Tear Mac Eye Drops</t>
        </is>
      </c>
      <c r="E775" t="inlineStr">
        <is>
          <t>ขวด 10 ml.</t>
        </is>
      </c>
      <c r="F775" t="inlineStr">
        <is>
          <t xml:space="preserve">Carboxymethyl Cellulose Sodium (CMC) 0.5%w/v+Preservative (Stabilised Oxychloro Complex  0.005% w/v) </t>
        </is>
      </c>
      <c r="G775" t="inlineStr">
        <is>
          <t>BDS003765</t>
        </is>
      </c>
      <c r="H775" t="inlineStr">
        <is>
          <t>Tear Mac Eye Drops (10 ml.)</t>
        </is>
      </c>
      <c r="I775" t="inlineStr">
        <is>
          <t xml:space="preserve">หยอดครั้งละ 1-2 หยด วันละ 4 ครั้ง หรือตามต้องการ </t>
        </is>
      </c>
      <c r="P775" t="inlineStr">
        <is>
          <t>Artificial tears / eye lubricants</t>
        </is>
      </c>
    </row>
    <row r="776">
      <c r="A776" t="n">
        <v>774</v>
      </c>
      <c r="B776" t="inlineStr">
        <is>
          <t>น้ำตาเทียม</t>
        </is>
      </c>
      <c r="C776" t="n">
        <v>3709</v>
      </c>
      <c r="D776" t="inlineStr">
        <is>
          <t>Tear Natural</t>
        </is>
      </c>
      <c r="E776" t="inlineStr">
        <is>
          <t>ขวด 15 ml.</t>
        </is>
      </c>
      <c r="F776" t="inlineStr">
        <is>
          <t>Dextran 70 0.1%+Hydroxypropyl Methylcellulose 2910 0.3%+Borax+Potassium Chloride+Sodium Chloride+Hydrochloric acid+Preservative (Polyquaternium-1 0.0011%)/1 ml.</t>
        </is>
      </c>
      <c r="G776" t="inlineStr">
        <is>
          <t>BDS003709</t>
        </is>
      </c>
      <c r="H776" t="inlineStr">
        <is>
          <t>Tear Natural (15 ml.)</t>
        </is>
      </c>
      <c r="I776" t="inlineStr">
        <is>
          <t>หยอดตาข้างที่เป็นครั้งละ 1-2 หยด ตามต้องการ</t>
        </is>
      </c>
      <c r="P776" t="inlineStr">
        <is>
          <t>Artificial tears / eye lubricants</t>
        </is>
      </c>
    </row>
    <row r="777">
      <c r="A777" t="n">
        <v>775</v>
      </c>
      <c r="B777" t="inlineStr">
        <is>
          <t>น้ำตาเทียม</t>
        </is>
      </c>
      <c r="C777" t="n">
        <v>3714</v>
      </c>
      <c r="D777" t="inlineStr">
        <is>
          <t>Tears Naturale Free</t>
        </is>
      </c>
      <c r="E777" t="inlineStr">
        <is>
          <t>กล่อง 32 หลอด</t>
        </is>
      </c>
      <c r="F777" t="inlineStr">
        <is>
          <t>Dextran 70 0.1%+Hydroxypropyl Methylcellulose 2910 0.3%</t>
        </is>
      </c>
      <c r="G777" t="inlineStr">
        <is>
          <t>BDS003714</t>
        </is>
      </c>
      <c r="H777" t="inlineStr">
        <is>
          <t>Tears Naturale Free (32 tubes)</t>
        </is>
      </c>
      <c r="I777" t="inlineStr">
        <is>
          <t>เปิดหลอดโดยการบิดฝา หยอดตาครั้งละ 1-2 หยด ในตาข้างที่เป็น ตามต้องการ</t>
        </is>
      </c>
      <c r="P777" t="inlineStr">
        <is>
          <t>Artificial tears / eye lubricants</t>
        </is>
      </c>
    </row>
    <row r="778">
      <c r="A778" t="n">
        <v>776</v>
      </c>
      <c r="B778" t="inlineStr">
        <is>
          <t>น้ำตาเทียม</t>
        </is>
      </c>
      <c r="C778" t="n">
        <v>4035</v>
      </c>
      <c r="D778" t="inlineStr">
        <is>
          <t>Vislube</t>
        </is>
      </c>
      <c r="E778" t="inlineStr">
        <is>
          <t>กล่อง 20 หลอด</t>
        </is>
      </c>
      <c r="F77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G778" t="inlineStr">
        <is>
          <t>BDS004035</t>
        </is>
      </c>
      <c r="H778" t="inlineStr">
        <is>
          <t>Vislube (20 tubes)</t>
        </is>
      </c>
      <c r="I778" t="inlineStr">
        <is>
          <t>เปิดหลอดโดยการบิดฝา หยอดตาครั้งละ 1-2 หยด ในตาข้างที่เป็น ตามต้องการ</t>
        </is>
      </c>
      <c r="P778" t="inlineStr">
        <is>
          <t>Artificial tears / eye lubricants</t>
        </is>
      </c>
    </row>
    <row r="779">
      <c r="A779" t="n">
        <v>777</v>
      </c>
      <c r="B779" t="inlineStr">
        <is>
          <t>ยาทาฆ่าเชื้อแบคทีเรีย (D)</t>
        </is>
      </c>
      <c r="C779" t="n">
        <v>2003</v>
      </c>
      <c r="D779" t="inlineStr">
        <is>
          <t>Garamycin Cream</t>
        </is>
      </c>
      <c r="E779" t="inlineStr">
        <is>
          <t>หลอด 5 g.</t>
        </is>
      </c>
      <c r="F779" t="inlineStr">
        <is>
          <t>Gentamicin 1 mg./1 g.</t>
        </is>
      </c>
      <c r="G779" t="inlineStr">
        <is>
          <t>BDS002003</t>
        </is>
      </c>
      <c r="H779" t="inlineStr">
        <is>
          <t>Garamycin Cream (5 g.)</t>
        </is>
      </c>
      <c r="I779" t="inlineStr">
        <is>
          <t>ทาบางๆ บริเวณผิวหนังที่ติดเชื้อ วันละ 3-4 ครั้ง</t>
        </is>
      </c>
      <c r="P779" t="inlineStr">
        <is>
          <t>Topical antibiotic / wound care / burn care</t>
        </is>
      </c>
    </row>
    <row r="780">
      <c r="A780" t="n">
        <v>778</v>
      </c>
      <c r="B780" t="inlineStr">
        <is>
          <t>ยาทาฆ่าเชื้อแบคทีเรีย (D)</t>
        </is>
      </c>
      <c r="C780" t="n">
        <v>47636</v>
      </c>
      <c r="D780" t="inlineStr">
        <is>
          <t>Silverzine Cream</t>
        </is>
      </c>
      <c r="E780" t="inlineStr">
        <is>
          <t>หลอด 25 g.</t>
        </is>
      </c>
      <c r="F780" t="inlineStr">
        <is>
          <t>Micronized Silver Sulfadiazine 1%</t>
        </is>
      </c>
      <c r="G780" t="inlineStr">
        <is>
          <t>BDS047636</t>
        </is>
      </c>
      <c r="H780" t="inlineStr">
        <is>
          <t>Silverzine Cream (25 g.)</t>
        </is>
      </c>
      <c r="I780" t="inlineStr">
        <is>
          <t xml:space="preserve">ทาบริเวณที่เป็น วันละ 2 ครั้ง </t>
        </is>
      </c>
      <c r="P780" t="inlineStr">
        <is>
          <t>Topical antibiotic / wound care / burn care</t>
        </is>
      </c>
    </row>
    <row r="781">
      <c r="A781" t="n">
        <v>779</v>
      </c>
      <c r="B781" t="inlineStr">
        <is>
          <t>ยาล้างตา</t>
        </is>
      </c>
      <c r="C781" t="n">
        <v>46208</v>
      </c>
      <c r="D781" t="inlineStr">
        <is>
          <t>Op-Ize Eye Wash</t>
        </is>
      </c>
      <c r="E781" t="inlineStr">
        <is>
          <t>ขวด 110 ml.</t>
        </is>
      </c>
      <c r="F781" t="inlineStr">
        <is>
          <t>Boric Acid 2.0 g.+Sodium Borate 0.5 g.+Zinc Sulphate 0.004 g./100 ml.</t>
        </is>
      </c>
      <c r="G781" t="inlineStr">
        <is>
          <t>BDS046208</t>
        </is>
      </c>
      <c r="H781" t="inlineStr">
        <is>
          <t>Op-Ize Eye Wash (110 ml.)</t>
        </is>
      </c>
      <c r="I781" t="inlineStr">
        <is>
          <t>ใช้ล้างตา วันละ 2-3 ครั้ง หรือตามแพทย์สั่ง</t>
        </is>
      </c>
    </row>
    <row r="782">
      <c r="A782" t="n">
        <v>780</v>
      </c>
      <c r="B782" t="inlineStr">
        <is>
          <t>ยาล้างตา</t>
        </is>
      </c>
      <c r="C782" t="n">
        <v>3009</v>
      </c>
      <c r="D782" t="inlineStr">
        <is>
          <t>Opsar กลาง</t>
        </is>
      </c>
      <c r="E782" t="inlineStr">
        <is>
          <t>ขวด 120 ml.</t>
        </is>
      </c>
      <c r="F782" t="inlineStr">
        <is>
          <t>Sodium Borate 0.02 g.+Boric Acid 1.24 g.+Sodium Chloride+ 0.29 g.+Benzalkonium Chloride 2 mg./100 ml.</t>
        </is>
      </c>
      <c r="G782" t="inlineStr">
        <is>
          <t>BDS003009</t>
        </is>
      </c>
      <c r="H782" t="inlineStr">
        <is>
          <t>Opsar กลาง (120 ml.)</t>
        </is>
      </c>
      <c r="I782" t="inlineStr">
        <is>
          <t xml:space="preserve">เทน้ำยาล้างตาลงในถ้วยยาล้างตาประมาณ 5 ml. ล้างตา วันละ 1-2 ครั้ง หรือตามแพทย์สั่ง </t>
        </is>
      </c>
    </row>
    <row r="783">
      <c r="A783" t="n">
        <v>781</v>
      </c>
      <c r="B783" t="inlineStr">
        <is>
          <t>ยาล้างตา</t>
        </is>
      </c>
      <c r="C783" t="n">
        <v>3025</v>
      </c>
      <c r="D783" t="inlineStr">
        <is>
          <t>Opsar เล็ก</t>
        </is>
      </c>
      <c r="E783" t="inlineStr">
        <is>
          <t>ขวด 75 ml.</t>
        </is>
      </c>
      <c r="F783" t="inlineStr">
        <is>
          <t>Sodium Borate 0.02 g.+Boric Acid 1.24 g.+Sodium Chloride+ 0.29 g.+Benzalkonium Chloride 2 mg./100 ml.</t>
        </is>
      </c>
      <c r="G783" t="inlineStr">
        <is>
          <t>BDS003025</t>
        </is>
      </c>
      <c r="H783" t="inlineStr">
        <is>
          <t>Opsar เล็ก (75 ml.)</t>
        </is>
      </c>
      <c r="I783" t="inlineStr">
        <is>
          <t xml:space="preserve">เทน้ำยาล้างตาลงในถ้วยยาล้างตาประมาณ 5 ml. ล้างตา วันละ 1-2 ครั้ง หรือตามแพทย์สั่ง </t>
        </is>
      </c>
    </row>
    <row r="784">
      <c r="A784" t="n">
        <v>782</v>
      </c>
      <c r="B784" t="inlineStr">
        <is>
          <t>ยาล้างตา</t>
        </is>
      </c>
      <c r="C784" t="n">
        <v>3016</v>
      </c>
      <c r="D784" t="inlineStr">
        <is>
          <t>Optrex เล็ก</t>
        </is>
      </c>
      <c r="E784" t="inlineStr">
        <is>
          <t>ขวด 110 ml.</t>
        </is>
      </c>
      <c r="F784" t="inlineStr">
        <is>
          <t>Distilled Witch Hazel 13.0% v/v+Benzalkonium Chloride 0.005% w/v+Borax+Boric Acid/100 ml.</t>
        </is>
      </c>
      <c r="G784" t="inlineStr">
        <is>
          <t>BDS003016</t>
        </is>
      </c>
      <c r="H784" t="inlineStr">
        <is>
          <t>Optrex เล็ก (110 ml.)</t>
        </is>
      </c>
      <c r="I784" t="inlineStr">
        <is>
          <t xml:space="preserve">ล้างตา วันละ 3 ครั้ง หรือบ่อยตามต้องการ </t>
        </is>
      </c>
    </row>
    <row r="785">
      <c r="A785" t="n">
        <v>783</v>
      </c>
      <c r="B785" t="inlineStr">
        <is>
          <t>ยาทาฆ่าเชื้อไวรัส (D)</t>
        </is>
      </c>
      <c r="C785" t="n">
        <v>7001</v>
      </c>
      <c r="D785" t="inlineStr">
        <is>
          <t>Acevax Cream</t>
        </is>
      </c>
      <c r="E785" t="inlineStr">
        <is>
          <t>ซอง 1 g.</t>
        </is>
      </c>
      <c r="F785" t="inlineStr">
        <is>
          <t>Acyclovir 5 g./100 g.</t>
        </is>
      </c>
      <c r="G785" t="inlineStr">
        <is>
          <t>BDS007001</t>
        </is>
      </c>
      <c r="H785" t="inlineStr">
        <is>
          <t>Acevax Cream (1 g.)</t>
        </is>
      </c>
      <c r="I785" t="inlineStr">
        <is>
          <t>ทาครีมบางๆ บริเวณที่ติดเชื้อหรือบริเวณที่เริ่มแสดงอาการ ทุก 3-4 ชั่วโมง ต่อเนื่อง 5-7 วัน</t>
        </is>
      </c>
      <c r="P785" t="inlineStr">
        <is>
          <t>Antivirals (oral/topical)</t>
        </is>
      </c>
    </row>
    <row r="786">
      <c r="A786" t="n">
        <v>784</v>
      </c>
      <c r="B786" t="inlineStr">
        <is>
          <t>ยาทาฆ่าเชื้อไวรัส (D)</t>
        </is>
      </c>
      <c r="C786" t="n">
        <v>7719</v>
      </c>
      <c r="D786" t="inlineStr">
        <is>
          <t>Clinovir Cream</t>
        </is>
      </c>
      <c r="E786" t="inlineStr">
        <is>
          <t>หลอด 5 g.</t>
        </is>
      </c>
      <c r="F786" t="inlineStr">
        <is>
          <t>Acyclovir 5%w/w</t>
        </is>
      </c>
      <c r="G786" t="inlineStr">
        <is>
          <t>BDS007719</t>
        </is>
      </c>
      <c r="H786" t="inlineStr">
        <is>
          <t>Clinovir Cream (5 g.)</t>
        </is>
      </c>
      <c r="I786" t="inlineStr">
        <is>
          <t>ทาครีมบางๆ บริเวณที่ติดเชื้อหรือบริเวณที่เริ่มแสดงอาการ ทุก 4 ชั่วโมง (วันละ 5 ครั้ง) ต่อเนื่อง 5 วัน</t>
        </is>
      </c>
      <c r="P786" t="inlineStr">
        <is>
          <t>Antivirals (oral/topical)</t>
        </is>
      </c>
    </row>
    <row r="787">
      <c r="A787" t="n">
        <v>785</v>
      </c>
      <c r="B787" t="inlineStr">
        <is>
          <t>ยาทาฆ่าเชื้อไวรัส (D)</t>
        </is>
      </c>
      <c r="C787" t="n">
        <v>4046</v>
      </c>
      <c r="D787" t="inlineStr">
        <is>
          <t>Vilerm Cream 5 g</t>
        </is>
      </c>
      <c r="E787" t="inlineStr">
        <is>
          <t>หลอด 5 g.</t>
        </is>
      </c>
      <c r="F787" t="inlineStr">
        <is>
          <t>Acyclovir 5 g./100 g.</t>
        </is>
      </c>
      <c r="G787" t="inlineStr">
        <is>
          <t>BDS004046</t>
        </is>
      </c>
      <c r="H787" t="inlineStr">
        <is>
          <t>Vilerm Cream 5 g (5 g.)</t>
        </is>
      </c>
      <c r="I787" t="inlineStr">
        <is>
          <t>ทาบริเวณที่ติดเชื้อ วันละ 5 ครั้ง ทุก 4 ชั่วโมง</t>
        </is>
      </c>
      <c r="P787" t="inlineStr">
        <is>
          <t>Antivirals (oral/topical)</t>
        </is>
      </c>
    </row>
    <row r="788">
      <c r="A788" t="n">
        <v>786</v>
      </c>
      <c r="B788" t="inlineStr">
        <is>
          <t>ยาทาฆ่าเชื้อไวรัส (D)</t>
        </is>
      </c>
      <c r="C788" t="n">
        <v>4020</v>
      </c>
      <c r="D788" t="inlineStr">
        <is>
          <t>Vilerm Cream sachet 1 g</t>
        </is>
      </c>
      <c r="E788" t="inlineStr">
        <is>
          <t>ซอง 1 g.</t>
        </is>
      </c>
      <c r="F788" t="inlineStr">
        <is>
          <t>Acyclovir 5 g./100 g.</t>
        </is>
      </c>
      <c r="G788" t="inlineStr">
        <is>
          <t>BDS004020</t>
        </is>
      </c>
      <c r="H788" t="inlineStr">
        <is>
          <t>Vilerm Cream sachet 1 g (1 g.)</t>
        </is>
      </c>
      <c r="I788" t="inlineStr">
        <is>
          <t>ทาบริเวณที่ติดเชื้อ วันละ 5 ครั้ง ทุก 4 ชั่วโมง</t>
        </is>
      </c>
      <c r="P788" t="inlineStr">
        <is>
          <t>Antivirals (oral/topical)</t>
        </is>
      </c>
    </row>
    <row r="789">
      <c r="A789" t="n">
        <v>787</v>
      </c>
      <c r="B789" t="inlineStr">
        <is>
          <t>ยาทาฆ่าเชื้อไวรัส (D)</t>
        </is>
      </c>
      <c r="C789" t="n">
        <v>4216</v>
      </c>
      <c r="D789" t="inlineStr">
        <is>
          <t>Zevin Cream</t>
        </is>
      </c>
      <c r="E789" t="inlineStr">
        <is>
          <t>หลอด 3 g.</t>
        </is>
      </c>
      <c r="F789" t="inlineStr">
        <is>
          <t>Acyclovir 5 g./100 g.</t>
        </is>
      </c>
      <c r="G789" t="inlineStr">
        <is>
          <t>BDS004216</t>
        </is>
      </c>
      <c r="H789" t="inlineStr">
        <is>
          <t>Zevin Cream (3 g.)</t>
        </is>
      </c>
      <c r="I789" t="inlineStr">
        <is>
          <t>ทาบริเวณที่ติดเชื้อ วันละ 5 ครั้ง ทุก 4 ชั่วโมง</t>
        </is>
      </c>
      <c r="P789" t="inlineStr">
        <is>
          <t>Antivirals (oral/topical)</t>
        </is>
      </c>
    </row>
    <row r="790">
      <c r="A790" t="n">
        <v>788</v>
      </c>
      <c r="B790" t="inlineStr">
        <is>
          <t>ยาสอดช่องคลอด</t>
        </is>
      </c>
      <c r="C790" t="n">
        <v>1419</v>
      </c>
      <c r="D790" t="inlineStr">
        <is>
          <t>Canesten Vaginal tabs. 1s</t>
        </is>
      </c>
      <c r="E790" t="inlineStr">
        <is>
          <t>กล่อง 1 เม็ด</t>
        </is>
      </c>
      <c r="F790" t="inlineStr">
        <is>
          <t>Clotrimazole 500 mg.</t>
        </is>
      </c>
      <c r="G790" t="inlineStr">
        <is>
          <t>BDS001419</t>
        </is>
      </c>
      <c r="H790" t="inlineStr">
        <is>
          <t>Canesten Vaginal tabs. 1s (1 tab)</t>
        </is>
      </c>
      <c r="I790" t="inlineStr">
        <is>
          <t>สอดช่องคลอดครั้งละ 1 เม็ด วันละ 1 ครั้ง ก่อนนอน</t>
        </is>
      </c>
    </row>
    <row r="791">
      <c r="A791" t="n">
        <v>789</v>
      </c>
      <c r="B791" t="inlineStr">
        <is>
          <t>ยาสอดช่องคลอด</t>
        </is>
      </c>
      <c r="C791" t="n">
        <v>1420</v>
      </c>
      <c r="D791" t="inlineStr">
        <is>
          <t>Canesten Vaginal tabs. 6s</t>
        </is>
      </c>
      <c r="E791" t="inlineStr">
        <is>
          <t>กล่อง 6 เม็ด</t>
        </is>
      </c>
      <c r="F791" t="inlineStr">
        <is>
          <t>Clotrimazole 100 mg.</t>
        </is>
      </c>
      <c r="G791" t="inlineStr">
        <is>
          <t>BDS001420</t>
        </is>
      </c>
      <c r="H791" t="inlineStr">
        <is>
          <t>Canesten Vaginal tabs. 6s (6 tabs)</t>
        </is>
      </c>
      <c r="I791" t="inlineStr">
        <is>
          <t>สอดช่องคลอดครั้งละ 1 เม็ด วันละ 1 ครั้ง ก่อนนอน</t>
        </is>
      </c>
    </row>
    <row r="792">
      <c r="A792" t="n">
        <v>790</v>
      </c>
      <c r="B792" t="inlineStr">
        <is>
          <t>ยาสอดช่องคลอด</t>
        </is>
      </c>
      <c r="C792" t="n">
        <v>7056</v>
      </c>
      <c r="D792" t="inlineStr">
        <is>
          <t>Clomaz-Forte</t>
        </is>
      </c>
      <c r="E792" t="inlineStr">
        <is>
          <t>กล่อง 1 เม็ด</t>
        </is>
      </c>
      <c r="F792" t="inlineStr">
        <is>
          <t>Clotrimazole 500 mg.</t>
        </is>
      </c>
      <c r="G792" t="inlineStr">
        <is>
          <t>BDS007056</t>
        </is>
      </c>
      <c r="H792" t="inlineStr">
        <is>
          <t>Clomaz-Forte (1 tab)</t>
        </is>
      </c>
      <c r="I792" t="inlineStr">
        <is>
          <t>สอดช่องคลอดครั้งละ 1 เม็ด วันละ 1 ครั้ง ก่อนนอน</t>
        </is>
      </c>
    </row>
    <row r="793">
      <c r="A793" t="n">
        <v>791</v>
      </c>
      <c r="B793" t="inlineStr">
        <is>
          <t>ยาสอดช่องคลอด</t>
        </is>
      </c>
      <c r="C793" t="n">
        <v>7953</v>
      </c>
      <c r="D793" t="inlineStr">
        <is>
          <t>Gynosten-500</t>
        </is>
      </c>
      <c r="E793" t="inlineStr">
        <is>
          <t>กล่อง 1 เม็ด</t>
        </is>
      </c>
      <c r="F793" t="inlineStr">
        <is>
          <t>Clotrimazole 500 mg.</t>
        </is>
      </c>
      <c r="G793" t="inlineStr">
        <is>
          <t>BDS007953</t>
        </is>
      </c>
      <c r="H793" t="inlineStr">
        <is>
          <t>Gynosten-500 (1 tab)</t>
        </is>
      </c>
      <c r="I793" t="inlineStr">
        <is>
          <t>สอดช่องคลอดครั้งละ 1 เม็ด  วันละ 1 ครั้ง ก่อนนอน</t>
        </is>
      </c>
    </row>
    <row r="794">
      <c r="A794" t="n">
        <v>792</v>
      </c>
      <c r="B794" t="inlineStr">
        <is>
          <t>ยาสอดช่องคลอด</t>
        </is>
      </c>
      <c r="C794" t="n">
        <v>49779</v>
      </c>
      <c r="D794" t="inlineStr">
        <is>
          <t>Zalain Vaginal Suppository</t>
        </is>
      </c>
      <c r="E794" t="inlineStr">
        <is>
          <t>กล่อง 1 เม็ด</t>
        </is>
      </c>
      <c r="F794" t="inlineStr">
        <is>
          <t>Sertaconazole 300 mg.</t>
        </is>
      </c>
      <c r="G794" t="inlineStr">
        <is>
          <t>BDS049779</t>
        </is>
      </c>
      <c r="H794" t="inlineStr">
        <is>
          <t>Zalain Vaginal Suppository (1 tab)</t>
        </is>
      </c>
      <c r="I794" t="inlineStr">
        <is>
          <t>สอดช่องคลอดครั้งละ 1 เม็ด  วันละ 1 ครั้ง ก่อนนอน</t>
        </is>
      </c>
    </row>
    <row r="795">
      <c r="A795" t="n">
        <v>793</v>
      </c>
      <c r="B795" t="inlineStr">
        <is>
          <t>ยาใส่แผล</t>
        </is>
      </c>
      <c r="C795" t="n">
        <v>1280</v>
      </c>
      <c r="D795" t="inlineStr">
        <is>
          <t>Betadine Ointment</t>
        </is>
      </c>
      <c r="E795" t="inlineStr">
        <is>
          <t>กระปุก 50 g.</t>
        </is>
      </c>
      <c r="F795" t="inlineStr">
        <is>
          <t>Povidone Iodine 10 %</t>
        </is>
      </c>
      <c r="G795" t="inlineStr">
        <is>
          <t>BDS001280</t>
        </is>
      </c>
      <c r="H795" t="inlineStr">
        <is>
          <t>Betadine Ointment (50 g.)</t>
        </is>
      </c>
      <c r="I795" t="inlineStr">
        <is>
          <t xml:space="preserve">ทาบริเวณรอบๆ บาดแผล  </t>
        </is>
      </c>
    </row>
    <row r="796">
      <c r="A796" t="n">
        <v>794</v>
      </c>
      <c r="B796" t="inlineStr">
        <is>
          <t>ยาใส่แผล</t>
        </is>
      </c>
      <c r="C796" t="n">
        <v>1238</v>
      </c>
      <c r="D796" t="inlineStr">
        <is>
          <t>Betadine Solution 15 ml</t>
        </is>
      </c>
      <c r="E796" t="inlineStr">
        <is>
          <t>ขวด 15 ml.</t>
        </is>
      </c>
      <c r="F796" t="inlineStr">
        <is>
          <t>Povidone-Iodine USP 10 % w/v</t>
        </is>
      </c>
      <c r="G796" t="inlineStr">
        <is>
          <t>BDS001238</t>
        </is>
      </c>
      <c r="H796" t="inlineStr">
        <is>
          <t>Betadine Solution 15 ml (15 ml.)</t>
        </is>
      </c>
      <c r="I796" t="inlineStr">
        <is>
          <t xml:space="preserve">ทาบริเวณรอบๆ บาดแผล </t>
        </is>
      </c>
    </row>
    <row r="797">
      <c r="A797" t="n">
        <v>795</v>
      </c>
      <c r="B797" t="inlineStr">
        <is>
          <t>ยาใส่แผล</t>
        </is>
      </c>
      <c r="C797" t="n">
        <v>1239</v>
      </c>
      <c r="D797" t="inlineStr">
        <is>
          <t>Betadine Solution 30 ml</t>
        </is>
      </c>
      <c r="E797" t="inlineStr">
        <is>
          <t>ขวด 30 ml.</t>
        </is>
      </c>
      <c r="F797" t="inlineStr">
        <is>
          <t>Povidone-Iodine USP 10% w/v</t>
        </is>
      </c>
      <c r="G797" t="inlineStr">
        <is>
          <t>BDS001239</t>
        </is>
      </c>
      <c r="H797" t="inlineStr">
        <is>
          <t>Betadine Solution 30 ml (30 ml.)</t>
        </is>
      </c>
      <c r="I797" t="inlineStr">
        <is>
          <t xml:space="preserve">ทาบริเวณรอบๆ บาดแผล </t>
        </is>
      </c>
    </row>
    <row r="798">
      <c r="A798" t="n">
        <v>796</v>
      </c>
      <c r="B798" t="inlineStr">
        <is>
          <t>ยาใส่แผล</t>
        </is>
      </c>
      <c r="C798" t="n">
        <v>44520</v>
      </c>
      <c r="D798" t="inlineStr">
        <is>
          <t>LeoPovidone</t>
        </is>
      </c>
      <c r="E798" t="inlineStr">
        <is>
          <t>ขวด 15 ml.</t>
        </is>
      </c>
      <c r="F798" t="inlineStr">
        <is>
          <t>Povidone-Iodine 10% w/v</t>
        </is>
      </c>
      <c r="G798" t="inlineStr">
        <is>
          <t>BDS044520</t>
        </is>
      </c>
      <c r="H798" t="inlineStr">
        <is>
          <t>LeoPovidone (15 ml.)</t>
        </is>
      </c>
      <c r="I798" t="inlineStr">
        <is>
          <t xml:space="preserve">ใช้สำลีสะอาดชุบยาทาบริเวณรอบๆ บาดแผล </t>
        </is>
      </c>
    </row>
    <row r="799">
      <c r="A799" t="n">
        <v>797</v>
      </c>
      <c r="B799" t="inlineStr">
        <is>
          <t>ยาใส่แผล</t>
        </is>
      </c>
      <c r="C799" t="n">
        <v>44106</v>
      </c>
      <c r="D799" t="inlineStr">
        <is>
          <t>Povidone-Iodine</t>
        </is>
      </c>
      <c r="E799" t="inlineStr">
        <is>
          <t>ขวด 30 ml.</t>
        </is>
      </c>
      <c r="F799" t="inlineStr">
        <is>
          <t>Povidone-Iodine 10% w/v</t>
        </is>
      </c>
      <c r="G799" t="inlineStr">
        <is>
          <t>BDS044106</t>
        </is>
      </c>
      <c r="H799" t="inlineStr">
        <is>
          <t>Povidone-Iodine (30 ml.)</t>
        </is>
      </c>
      <c r="I799" t="inlineStr">
        <is>
          <t xml:space="preserve">ทาบริเวณรอบๆ บาดแผล </t>
        </is>
      </c>
    </row>
    <row r="800">
      <c r="A800" t="n">
        <v>798</v>
      </c>
      <c r="B800" t="inlineStr">
        <is>
          <t>ยาทาและยาพ่นแก้ปวดอักเสบ NSAIDs</t>
        </is>
      </c>
      <c r="C800" t="n">
        <v>1470</v>
      </c>
      <c r="D800" t="inlineStr">
        <is>
          <t>Counterpain Plus</t>
        </is>
      </c>
      <c r="E800" t="inlineStr">
        <is>
          <t>หลอด 25 g.</t>
        </is>
      </c>
      <c r="F800" t="inlineStr">
        <is>
          <t>Piroxicam 0.5%+Methyl salicylate 10.2%+Menthol 5.43%+Eugenol 1.37%</t>
        </is>
      </c>
      <c r="G800" t="inlineStr">
        <is>
          <t>BDS001470</t>
        </is>
      </c>
      <c r="H800" t="inlineStr">
        <is>
          <t>Counterpain Plus (25 g.)</t>
        </is>
      </c>
      <c r="I800" t="inlineStr">
        <is>
          <t>ทา (นวด) เบาๆ บริเวณที่มีอาการ จนกระทั่งยาซึมเข้าผิวหนัง วันละ 2-3 ครั้ง</t>
        </is>
      </c>
      <c r="P800" t="inlineStr">
        <is>
          <t>Topical pain relief / topical NSAIDs</t>
        </is>
      </c>
    </row>
    <row r="801">
      <c r="A801" t="n">
        <v>799</v>
      </c>
      <c r="B801" t="inlineStr">
        <is>
          <t>ยาทาและยาพ่นแก้ปวดอักเสบ NSAIDs</t>
        </is>
      </c>
      <c r="C801" t="n">
        <v>1656</v>
      </c>
      <c r="D801" t="inlineStr">
        <is>
          <t>Difelene Gel เล็ก</t>
        </is>
      </c>
      <c r="E801" t="inlineStr">
        <is>
          <t>หลอด 30 g.</t>
        </is>
      </c>
      <c r="F801" t="inlineStr">
        <is>
          <t>Diclofenac diethylammonium 1.16 g./100 g (eq. to Diclofenac Sodium 1.0 g)</t>
        </is>
      </c>
      <c r="G801" t="inlineStr">
        <is>
          <t>BDS001656</t>
        </is>
      </c>
      <c r="H801" t="inlineStr">
        <is>
          <t>Difelene Gel เล็ก (30 g.)</t>
        </is>
      </c>
      <c r="I801" t="inlineStr">
        <is>
          <t>ทา (นวด) เบาๆ บริเวณที่มีอาการ จนกระทั่งยาซึมเข้าผิวหนัง วันละ 2-3 ครั้ง</t>
        </is>
      </c>
      <c r="P801" t="inlineStr">
        <is>
          <t>Topical pain relief / topical NSAIDs</t>
        </is>
      </c>
    </row>
    <row r="802">
      <c r="A802" t="n">
        <v>800</v>
      </c>
      <c r="B802" t="inlineStr">
        <is>
          <t>ยาทาและยาพ่นแก้ปวดอักเสบ NSAIDs</t>
        </is>
      </c>
      <c r="C802" t="n">
        <v>1654</v>
      </c>
      <c r="D802" t="inlineStr">
        <is>
          <t>Difelene Gel ใหญ่</t>
        </is>
      </c>
      <c r="E802" t="inlineStr">
        <is>
          <t>หลอด 60 g.</t>
        </is>
      </c>
      <c r="F802" t="inlineStr">
        <is>
          <t>Diclofenac diethylammonium 1.16 g./100 g (eq. to Diclofenac Sodium 1.0 g).</t>
        </is>
      </c>
      <c r="G802" t="inlineStr">
        <is>
          <t>BDS001654</t>
        </is>
      </c>
      <c r="H802" t="inlineStr">
        <is>
          <t>Difelene Gel ใหญ่ (60 g.)</t>
        </is>
      </c>
      <c r="I802" t="inlineStr">
        <is>
          <t>ทา (นวด) เบาๆ บริเวณที่มีอาการ จนกระทั่งยาซึมเข้าผิวหนัง วันละ 2-3 ครั้ง</t>
        </is>
      </c>
      <c r="P802" t="inlineStr">
        <is>
          <t>Topical pain relief / topical NSAIDs</t>
        </is>
      </c>
    </row>
    <row r="803">
      <c r="A803" t="n">
        <v>801</v>
      </c>
      <c r="B803" t="inlineStr">
        <is>
          <t>ยาทาและยาพ่นแก้ปวดอักเสบ NSAIDs</t>
        </is>
      </c>
      <c r="C803" t="n">
        <v>1806</v>
      </c>
      <c r="D803" t="inlineStr">
        <is>
          <t>Elmetacin พ่นแก้ปวด</t>
        </is>
      </c>
      <c r="E803" t="inlineStr">
        <is>
          <t>ขวด 50 ml.</t>
        </is>
      </c>
      <c r="F803" t="inlineStr">
        <is>
          <t>Indomethacin 8 mg./0.8 g.</t>
        </is>
      </c>
      <c r="G803" t="inlineStr">
        <is>
          <t>BDS001806</t>
        </is>
      </c>
      <c r="H803" t="inlineStr">
        <is>
          <t>Elmetacin พ่นแก้ปวด (50 ml.)</t>
        </is>
      </c>
      <c r="I803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  <c r="P803" t="inlineStr">
        <is>
          <t>Topical pain relief / topical NSAIDs</t>
        </is>
      </c>
    </row>
    <row r="804">
      <c r="A804" t="n">
        <v>802</v>
      </c>
      <c r="B804" t="inlineStr">
        <is>
          <t>ยาทาและยาพ่นแก้ปวดอักเสบ NSAIDs</t>
        </is>
      </c>
      <c r="C804" t="n">
        <v>6242</v>
      </c>
      <c r="D804" t="inlineStr">
        <is>
          <t>Fastum Gel</t>
        </is>
      </c>
      <c r="E804" t="inlineStr">
        <is>
          <t>หลอด 30 g.</t>
        </is>
      </c>
      <c r="F804" t="inlineStr">
        <is>
          <t>Ketoprofen 2.5%</t>
        </is>
      </c>
      <c r="G804" t="inlineStr">
        <is>
          <t>BDS006242</t>
        </is>
      </c>
      <c r="H804" t="inlineStr">
        <is>
          <t>Fastum Gel (30 g.)</t>
        </is>
      </c>
      <c r="I804" t="inlineStr">
        <is>
          <t>ทาเจลบางๆ บริเวณที่มีอาการ วันละ 1-2 ครั้ง</t>
        </is>
      </c>
      <c r="P804" t="inlineStr">
        <is>
          <t>Topical pain relief / topical NSAIDs</t>
        </is>
      </c>
    </row>
    <row r="805">
      <c r="A805" t="n">
        <v>803</v>
      </c>
      <c r="B805" t="inlineStr">
        <is>
          <t>ยาทาและยาพ่นแก้ปวดอักเสบ NSAIDs</t>
        </is>
      </c>
      <c r="C805" t="n">
        <v>7952</v>
      </c>
      <c r="D805" t="inlineStr">
        <is>
          <t>Felgesic Gel</t>
        </is>
      </c>
      <c r="E805" t="inlineStr">
        <is>
          <t>หลอด 30 g.</t>
        </is>
      </c>
      <c r="F805" t="inlineStr">
        <is>
          <t>Piroxicam 0.5 g/100 ml.</t>
        </is>
      </c>
      <c r="G805" t="inlineStr">
        <is>
          <t>BDS007952</t>
        </is>
      </c>
      <c r="H805" t="inlineStr">
        <is>
          <t>Felgesic Gel (30 g.)</t>
        </is>
      </c>
      <c r="I805" t="inlineStr">
        <is>
          <t>ทาบริเวณที่มีอาการปวด วันละ 2-3 ครั้ง</t>
        </is>
      </c>
      <c r="P805" t="inlineStr">
        <is>
          <t>Topical pain relief / topical NSAIDs</t>
        </is>
      </c>
    </row>
    <row r="806">
      <c r="A806" t="n">
        <v>804</v>
      </c>
      <c r="B806" t="inlineStr">
        <is>
          <t>ยาทาและยาพ่นแก้ปวดอักเสบ NSAIDs</t>
        </is>
      </c>
      <c r="C806" t="n">
        <v>1917</v>
      </c>
      <c r="D806" t="inlineStr">
        <is>
          <t>Flamic Gel</t>
        </is>
      </c>
      <c r="E806" t="inlineStr">
        <is>
          <t>หลอด 25 g.</t>
        </is>
      </c>
      <c r="F806" t="inlineStr">
        <is>
          <t>Piroxicam 5 mg./1 g.</t>
        </is>
      </c>
      <c r="G806" t="inlineStr">
        <is>
          <t>BDS001917</t>
        </is>
      </c>
      <c r="H806" t="inlineStr">
        <is>
          <t>Flamic Gel (25 g.)</t>
        </is>
      </c>
      <c r="I806" t="inlineStr">
        <is>
          <t>ทา (นวด) เบาๆ บริเวณที่มีอาการ จนกระทั่งยาซึมเข้าผิวหนัง วันละ 2-3 ครั้ง</t>
        </is>
      </c>
      <c r="P806" t="inlineStr">
        <is>
          <t>Topical pain relief / topical NSAIDs</t>
        </is>
      </c>
    </row>
    <row r="807">
      <c r="A807" t="n">
        <v>805</v>
      </c>
      <c r="B807" t="inlineStr">
        <is>
          <t>ยาทาและยาพ่นแก้ปวดอักเสบ NSAIDs</t>
        </is>
      </c>
      <c r="C807" t="n">
        <v>2684</v>
      </c>
      <c r="D807" t="inlineStr">
        <is>
          <t>M-Cin</t>
        </is>
      </c>
      <c r="E807" t="inlineStr">
        <is>
          <t>ขวด 50 ml.</t>
        </is>
      </c>
      <c r="F807" t="inlineStr">
        <is>
          <t>Indomethacin 8 mg./1 ml.</t>
        </is>
      </c>
      <c r="G807" t="inlineStr">
        <is>
          <t>BDS002684</t>
        </is>
      </c>
      <c r="H807" t="inlineStr">
        <is>
          <t>M-Cin (50 ml.)</t>
        </is>
      </c>
      <c r="I807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  <c r="P807" t="inlineStr">
        <is>
          <t>Topical pain relief / topical NSAIDs</t>
        </is>
      </c>
    </row>
    <row r="808">
      <c r="A808" t="n">
        <v>806</v>
      </c>
      <c r="B808" t="inlineStr">
        <is>
          <t>ยาทาและยาพ่นแก้ปวดอักเสบ NSAIDs</t>
        </is>
      </c>
      <c r="C808" t="n">
        <v>7574</v>
      </c>
      <c r="D808" t="inlineStr">
        <is>
          <t>Neofenac Gel เล็ก</t>
        </is>
      </c>
      <c r="E808" t="inlineStr">
        <is>
          <t>หลอด 20 g.</t>
        </is>
      </c>
      <c r="F808" t="inlineStr">
        <is>
          <t>Diclofenac Sodium 1 g./100 g.</t>
        </is>
      </c>
      <c r="G808" t="inlineStr">
        <is>
          <t>BDS007574</t>
        </is>
      </c>
      <c r="H808" t="inlineStr">
        <is>
          <t>Neofenac Gel เล็ก (20 g.)</t>
        </is>
      </c>
      <c r="I808" t="inlineStr">
        <is>
          <t>ทาเจลบางๆ บริเวณที่มีอาการ วันละ 2-4 ครั้ง</t>
        </is>
      </c>
      <c r="P808" t="inlineStr">
        <is>
          <t>Topical pain relief / topical NSAIDs</t>
        </is>
      </c>
    </row>
    <row r="809">
      <c r="A809" t="n">
        <v>807</v>
      </c>
      <c r="B809" t="inlineStr">
        <is>
          <t>ยาทาและยาพ่นแก้ปวดอักเสบ NSAIDs</t>
        </is>
      </c>
      <c r="C809" t="n">
        <v>7575</v>
      </c>
      <c r="D809" t="inlineStr">
        <is>
          <t>Neofenac Gel ใหญ่</t>
        </is>
      </c>
      <c r="E809" t="inlineStr">
        <is>
          <t>หลอด 50 g.</t>
        </is>
      </c>
      <c r="F809" t="inlineStr">
        <is>
          <t>Diclofenac Sodium 1 g./100 g.</t>
        </is>
      </c>
      <c r="G809" t="inlineStr">
        <is>
          <t>BDS007575</t>
        </is>
      </c>
      <c r="H809" t="inlineStr">
        <is>
          <t>Neofenac Gel ใหญ่ (50 g.)</t>
        </is>
      </c>
      <c r="I809" t="inlineStr">
        <is>
          <t>ทาเจลบางๆ บริเวณที่มีอาการ วันละ 2-4 ครั้ง</t>
        </is>
      </c>
      <c r="P809" t="inlineStr">
        <is>
          <t>Topical pain relief / topical NSAIDs</t>
        </is>
      </c>
    </row>
    <row r="810">
      <c r="A810" t="n">
        <v>808</v>
      </c>
      <c r="B810" t="inlineStr">
        <is>
          <t>ยาทาและยาพ่นแก้ปวดอักเสบ NSAIDs</t>
        </is>
      </c>
      <c r="C810" t="n">
        <v>45623</v>
      </c>
      <c r="D810" t="inlineStr">
        <is>
          <t>Neotica Cool</t>
        </is>
      </c>
      <c r="E810" t="inlineStr">
        <is>
          <t>หลอด 30 g.</t>
        </is>
      </c>
      <c r="F810" t="inlineStr">
        <is>
          <t>Piroxicam 5 mg./1 g.</t>
        </is>
      </c>
      <c r="G810" t="inlineStr">
        <is>
          <t>BDS045623</t>
        </is>
      </c>
      <c r="H810" t="inlineStr">
        <is>
          <t>Neotica Cool (30 g.)</t>
        </is>
      </c>
      <c r="I810" t="inlineStr">
        <is>
          <t>ทา (นวด) เบาๆ บริเวณที่มีอาการ จนกระทั่งยาซึมเข้าผิวหนัง วันละ 2-4 ครั้ง</t>
        </is>
      </c>
      <c r="P810" t="inlineStr">
        <is>
          <t>Topical pain relief / topical NSAIDs</t>
        </is>
      </c>
    </row>
    <row r="811">
      <c r="A811" t="n">
        <v>809</v>
      </c>
      <c r="B811" t="inlineStr">
        <is>
          <t>ยาทาและยาพ่นแก้ปวดอักเสบ NSAIDs</t>
        </is>
      </c>
      <c r="C811" t="n">
        <v>6730</v>
      </c>
      <c r="D811" t="inlineStr">
        <is>
          <t>N-Zen Gel ใหญ่</t>
        </is>
      </c>
      <c r="E811" t="inlineStr">
        <is>
          <t>หลอด 60 g.</t>
        </is>
      </c>
      <c r="F811" t="inlineStr">
        <is>
          <t>Diclofenac Sodium 1 g./100 g.</t>
        </is>
      </c>
      <c r="G811" t="inlineStr">
        <is>
          <t>BDS006730</t>
        </is>
      </c>
      <c r="H811" t="inlineStr">
        <is>
          <t>N-Zen Gel ใหญ่ (60 g.)</t>
        </is>
      </c>
      <c r="I811" t="inlineStr">
        <is>
          <t>ทาบริเวณที่เป็น แล้วนวดเบาๆ   วันละ 3-4 ครั้ง</t>
        </is>
      </c>
      <c r="P811" t="inlineStr">
        <is>
          <t>Topical pain relief / topical NSAIDs</t>
        </is>
      </c>
    </row>
    <row r="812">
      <c r="A812" t="n">
        <v>810</v>
      </c>
      <c r="B812" t="inlineStr">
        <is>
          <t>ยาทาและยาพ่นแก้ปวดอักเสบ NSAIDs</t>
        </is>
      </c>
      <c r="C812" t="n">
        <v>6814</v>
      </c>
      <c r="D812" t="inlineStr">
        <is>
          <t>Painelief Cool Gel</t>
        </is>
      </c>
      <c r="E812" t="inlineStr">
        <is>
          <t>หลอด 30 g.</t>
        </is>
      </c>
      <c r="F812" t="inlineStr">
        <is>
          <t>Diclofenac Sodium (as diethylammonium) 10 mg.</t>
        </is>
      </c>
      <c r="G812" t="inlineStr">
        <is>
          <t>BDS006814</t>
        </is>
      </c>
      <c r="H812" t="inlineStr">
        <is>
          <t>Painelief Cool Gel (30 g.)</t>
        </is>
      </c>
      <c r="I812" t="inlineStr">
        <is>
          <t>ทาบริเวณที่มีอาการ วันละ 3-4 ครั้ง</t>
        </is>
      </c>
      <c r="P812" t="inlineStr">
        <is>
          <t>Topical pain relief / topical NSAIDs</t>
        </is>
      </c>
    </row>
    <row r="813">
      <c r="A813" t="n">
        <v>811</v>
      </c>
      <c r="B813" t="inlineStr">
        <is>
          <t>ยาทาและยาพ่นแก้ปวดอักเสบ NSAIDs</t>
        </is>
      </c>
      <c r="C813" t="n">
        <v>46515</v>
      </c>
      <c r="D813" t="inlineStr">
        <is>
          <t>Painelief Cool Gel ใหญ่</t>
        </is>
      </c>
      <c r="E813" t="inlineStr">
        <is>
          <t>หลอด 60 g.</t>
        </is>
      </c>
      <c r="F813" t="inlineStr">
        <is>
          <t>Diclofenac Sodium (as diethylammonium) 10 mg.</t>
        </is>
      </c>
      <c r="G813" t="inlineStr">
        <is>
          <t>BDS046515</t>
        </is>
      </c>
      <c r="H813" t="inlineStr">
        <is>
          <t>Painelief Cool Gel ใหญ่ (60 g.)</t>
        </is>
      </c>
      <c r="I813" t="inlineStr">
        <is>
          <t>ทาบริเวณที่มีอาการ วันละ 3-4 ครั้ง</t>
        </is>
      </c>
      <c r="P813" t="inlineStr">
        <is>
          <t>Topical pain relief / topical NSAIDs</t>
        </is>
      </c>
    </row>
    <row r="814">
      <c r="A814" t="n">
        <v>812</v>
      </c>
      <c r="B814" t="inlineStr">
        <is>
          <t>ยาทาและยาพ่นแก้ปวดอักเสบ NSAIDs</t>
        </is>
      </c>
      <c r="C814" t="n">
        <v>7224</v>
      </c>
      <c r="D814" t="inlineStr">
        <is>
          <t>Piridene Gel</t>
        </is>
      </c>
      <c r="E814" t="inlineStr">
        <is>
          <t>หลอด 25 g.</t>
        </is>
      </c>
      <c r="F814" t="inlineStr">
        <is>
          <t>Piroxicam 0.5 g./100 g.</t>
        </is>
      </c>
      <c r="G814" t="inlineStr">
        <is>
          <t>BDS007224</t>
        </is>
      </c>
      <c r="H814" t="inlineStr">
        <is>
          <t>Piridene Gel (25 g.)</t>
        </is>
      </c>
      <c r="I814" t="inlineStr">
        <is>
          <t>ทาเจลบางๆ บริเวณที่มีอาการ วันละ 2-4 ครั้ง</t>
        </is>
      </c>
      <c r="P814" t="inlineStr">
        <is>
          <t>Topical pain relief / topical NSAIDs</t>
        </is>
      </c>
    </row>
    <row r="815">
      <c r="A815" t="n">
        <v>813</v>
      </c>
      <c r="B815" t="inlineStr">
        <is>
          <t>ยาทาและยาพ่นแก้ปวดอักเสบ NSAIDs</t>
        </is>
      </c>
      <c r="C815" t="n">
        <v>47729</v>
      </c>
      <c r="D815" t="inlineStr">
        <is>
          <t>Satogesic Gel</t>
        </is>
      </c>
      <c r="E815" t="inlineStr">
        <is>
          <t>หลอด 35 g.</t>
        </is>
      </c>
      <c r="F815" t="inlineStr">
        <is>
          <t>Indomethacin 0.75 g + L-menthol  0.3 g.</t>
        </is>
      </c>
      <c r="G815" t="inlineStr">
        <is>
          <t>BDS047729</t>
        </is>
      </c>
      <c r="H815" t="inlineStr">
        <is>
          <t>Satogesic Gel (35 g.)</t>
        </is>
      </c>
      <c r="I815" t="inlineStr">
        <is>
          <t xml:space="preserve">ทายาในปริมาณที่เหมาะสมบริเวณที่มีอาการ </t>
        </is>
      </c>
      <c r="P815" t="inlineStr">
        <is>
          <t>Topical pain relief / topical NSAIDs</t>
        </is>
      </c>
    </row>
    <row r="816">
      <c r="A816" t="n">
        <v>814</v>
      </c>
      <c r="B816" t="inlineStr">
        <is>
          <t>ยาทาและยาพ่นแก้ปวดอักเสบ NSAIDs</t>
        </is>
      </c>
      <c r="C816" t="n">
        <v>3914</v>
      </c>
      <c r="D816" t="inlineStr">
        <is>
          <t>Uniren Spray</t>
        </is>
      </c>
      <c r="E816" t="inlineStr">
        <is>
          <t>ขวด 60 ml.</t>
        </is>
      </c>
      <c r="F816" t="inlineStr">
        <is>
          <t>Diclofenac Sodium 1 % w/w</t>
        </is>
      </c>
      <c r="G816" t="inlineStr">
        <is>
          <t>BDS003914</t>
        </is>
      </c>
      <c r="H816" t="inlineStr">
        <is>
          <t>Uniren Spray (60 ml.)</t>
        </is>
      </c>
      <c r="I816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  <c r="K816" t="n">
        <v>346</v>
      </c>
      <c r="L816" t="n">
        <v>5.77</v>
      </c>
      <c r="M816" t="inlineStr">
        <is>
          <t>USER</t>
        </is>
      </c>
      <c r="N816" t="inlineStr">
        <is>
          <t>2026-02-07</t>
        </is>
      </c>
      <c r="O816" t="inlineStr">
        <is>
          <t>User provided price (Uniren Spray 60 ml).</t>
        </is>
      </c>
      <c r="P816" t="inlineStr">
        <is>
          <t>Topical pain relief / topical NSAIDs</t>
        </is>
      </c>
    </row>
    <row r="817">
      <c r="A817" t="n">
        <v>815</v>
      </c>
      <c r="B817" t="inlineStr">
        <is>
          <t>ยาทาและยาพ่นแก้ปวดอักเสบ NSAIDs</t>
        </is>
      </c>
      <c r="C817" t="n">
        <v>4043</v>
      </c>
      <c r="D817" t="inlineStr">
        <is>
          <t>Voltaren Emulgel กลาง</t>
        </is>
      </c>
      <c r="E817" t="inlineStr">
        <is>
          <t>หลอด 25 g.</t>
        </is>
      </c>
      <c r="F817" t="inlineStr">
        <is>
          <t>Diclofenac Sodium 1 g./100 g.</t>
        </is>
      </c>
      <c r="G817" t="inlineStr">
        <is>
          <t>BDS004043</t>
        </is>
      </c>
      <c r="H817" t="inlineStr">
        <is>
          <t>Voltaren Emulgel กลาง (25 g.)</t>
        </is>
      </c>
      <c r="I817" t="inlineStr">
        <is>
          <t>ทา (นวด) เบาๆ บริเวณที่มีอาการ จนกระทั่งยาซึมเข้าผิวหนัง วันละ 2-3 ครั้ง</t>
        </is>
      </c>
      <c r="K817" t="n">
        <v>235</v>
      </c>
      <c r="L817" t="n">
        <v>235</v>
      </c>
      <c r="M817" t="inlineStr">
        <is>
          <t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t>
        </is>
      </c>
      <c r="N817" t="inlineStr">
        <is>
          <t>2026-02-07</t>
        </is>
      </c>
      <c r="O817" t="inlineStr">
        <is>
          <t>Page shows 25 g variant; price fields are inconsistent—used 235 THB as best visible pack price.</t>
        </is>
      </c>
      <c r="P817" t="inlineStr">
        <is>
          <t>Topical pain relief / topical NSAIDs</t>
        </is>
      </c>
    </row>
    <row r="818">
      <c r="A818" t="n">
        <v>816</v>
      </c>
      <c r="B818" t="inlineStr">
        <is>
          <t>ยาทาและยาพ่นแก้ปวดอักเสบ NSAIDs</t>
        </is>
      </c>
      <c r="C818" t="n">
        <v>4042</v>
      </c>
      <c r="D818" t="inlineStr">
        <is>
          <t>Voltaren Emulgel เล็ก</t>
        </is>
      </c>
      <c r="E818" t="inlineStr">
        <is>
          <t>หลอด 10 g.</t>
        </is>
      </c>
      <c r="F818" t="inlineStr">
        <is>
          <t>Diclofenac Sodium 1 g./100 g.</t>
        </is>
      </c>
      <c r="G818" t="inlineStr">
        <is>
          <t>BDS004042</t>
        </is>
      </c>
      <c r="H818" t="inlineStr">
        <is>
          <t>Voltaren Emulgel เล็ก (10 g.)</t>
        </is>
      </c>
      <c r="I818" t="inlineStr">
        <is>
          <t>ทา (นวด) เบาๆ บริเวณที่มีอาการ จนกระทั่งยาซึมเข้าผิวหนัง วันละ 2-3 ครั้ง</t>
        </is>
      </c>
      <c r="P818" t="inlineStr">
        <is>
          <t>Topical pain relief / topical NSAIDs</t>
        </is>
      </c>
    </row>
    <row r="819">
      <c r="A819" t="n">
        <v>817</v>
      </c>
      <c r="B819" t="inlineStr">
        <is>
          <t>ยาทาและยาพ่นแก้ปวดอักเสบ NSAIDs</t>
        </is>
      </c>
      <c r="C819" t="n">
        <v>4044</v>
      </c>
      <c r="D819" t="inlineStr">
        <is>
          <t>Voltaren Emulgel ใหญ่</t>
        </is>
      </c>
      <c r="E819" t="inlineStr">
        <is>
          <t>หลอด 50 g.</t>
        </is>
      </c>
      <c r="F819" t="inlineStr">
        <is>
          <t>Diclofenac Sodium 1 g./100 g.</t>
        </is>
      </c>
      <c r="G819" t="inlineStr">
        <is>
          <t>BDS004044</t>
        </is>
      </c>
      <c r="H819" t="inlineStr">
        <is>
          <t>Voltaren Emulgel ใหญ่ (50 g.)</t>
        </is>
      </c>
      <c r="I819" t="inlineStr">
        <is>
          <t>ทา (นวด) เบาๆ บริเวณที่มีอาการ จนกระทั่งยาซึมเข้าผิวหนัง วันละ 2-3 ครั้ง</t>
        </is>
      </c>
      <c r="P819" t="inlineStr">
        <is>
          <t>Topical pain relief / topical NSAIDs</t>
        </is>
      </c>
    </row>
    <row r="820">
      <c r="A820" t="n">
        <v>818</v>
      </c>
      <c r="B820" t="inlineStr">
        <is>
          <t>ยาทาแผลในปาก (D)</t>
        </is>
      </c>
      <c r="C820" t="n">
        <v>2430</v>
      </c>
      <c r="D820" t="inlineStr">
        <is>
          <t>Kamistad-Gel N</t>
        </is>
      </c>
      <c r="E820" t="inlineStr">
        <is>
          <t>หลอด 10 g.</t>
        </is>
      </c>
      <c r="F820" t="inlineStr">
        <is>
          <t>Lidocaine HCl 20 mg.+Chamomile Flower Extract 185 mg.+Ethanol 50% v/v+Tromethamole 1.37% w/w+Preservative (Benzalkonium Chloride 1 mg.)/1 g.</t>
        </is>
      </c>
      <c r="G820" t="inlineStr">
        <is>
          <t>BDS002430</t>
        </is>
      </c>
      <c r="H820" t="inlineStr">
        <is>
          <t>Kamistad-Gel N (10 g.)</t>
        </is>
      </c>
      <c r="I820" t="inlineStr">
        <is>
          <t>ป้ายยาบริเวณที่เป็นแผล วันละ 2-3 ครั้ง หลังอาหาร และก่อนนอน</t>
        </is>
      </c>
      <c r="P820" t="inlineStr">
        <is>
          <t>Mouthwash / throat/oral care</t>
        </is>
      </c>
    </row>
    <row r="821">
      <c r="A821" t="n">
        <v>819</v>
      </c>
      <c r="B821" t="inlineStr">
        <is>
          <t>ยาทาแผลในปาก (D)</t>
        </is>
      </c>
      <c r="C821" t="n">
        <v>7549</v>
      </c>
      <c r="D821" t="inlineStr">
        <is>
          <t>Kenalone Oral Paste 5 g</t>
        </is>
      </c>
      <c r="E821" t="inlineStr">
        <is>
          <t>หลอด 5 g.</t>
        </is>
      </c>
      <c r="F821" t="inlineStr">
        <is>
          <t>Triamcinolone Acetonide 0.1%</t>
        </is>
      </c>
      <c r="G821" t="inlineStr">
        <is>
          <t>BDS007549</t>
        </is>
      </c>
      <c r="H821" t="inlineStr">
        <is>
          <t>Kenalone Oral Paste 5 g (5 g.)</t>
        </is>
      </c>
      <c r="I821" t="inlineStr">
        <is>
          <t xml:space="preserve">ป้ายยาประมาณ 1/4 นิ้ว บริเวณที่มีอาการ วันละ 2-3 ครั้ง หลังอาหาร หรือตามแพทย์สั่ง </t>
        </is>
      </c>
      <c r="P821" t="inlineStr">
        <is>
          <t>Mouthwash / throat/oral care</t>
        </is>
      </c>
    </row>
    <row r="822">
      <c r="A822" t="n">
        <v>820</v>
      </c>
      <c r="B822" t="inlineStr">
        <is>
          <t>ยาทาแผลในปาก (D)</t>
        </is>
      </c>
      <c r="C822" t="n">
        <v>7548</v>
      </c>
      <c r="D822" t="inlineStr">
        <is>
          <t>Kenalone Oral Paste sachet 1 g</t>
        </is>
      </c>
      <c r="E822" t="inlineStr">
        <is>
          <t>ซอง 1 g.</t>
        </is>
      </c>
      <c r="F822" t="inlineStr">
        <is>
          <t>Triamcinolone Acetonide 0.1%</t>
        </is>
      </c>
      <c r="G822" t="inlineStr">
        <is>
          <t>BDS007548</t>
        </is>
      </c>
      <c r="H822" t="inlineStr">
        <is>
          <t>Kenalone Oral Paste sachet 1 g (1 g.)</t>
        </is>
      </c>
      <c r="I822" t="inlineStr">
        <is>
          <t xml:space="preserve">ป้ายยาประมาณ 1/4 นิ้ว บริเวณที่มีอาการ วันละ 2-3 ครั้ง หลังอาหาร หรือตามแพทย์สั่ง </t>
        </is>
      </c>
      <c r="P822" t="inlineStr">
        <is>
          <t>Mouthwash / throat/oral care</t>
        </is>
      </c>
    </row>
    <row r="823">
      <c r="A823" t="n">
        <v>821</v>
      </c>
      <c r="B823" t="inlineStr">
        <is>
          <t>ยาทาแผลในปาก (D)</t>
        </is>
      </c>
      <c r="C823" t="n">
        <v>3751</v>
      </c>
      <c r="D823" t="inlineStr">
        <is>
          <t>Trinolone Oral Paste 5 g</t>
        </is>
      </c>
      <c r="E823" t="inlineStr">
        <is>
          <t>หลอด 5 g.</t>
        </is>
      </c>
      <c r="F823" t="inlineStr">
        <is>
          <t>Triamcinolone Acetonide 0.1%</t>
        </is>
      </c>
      <c r="G823" t="inlineStr">
        <is>
          <t>BDS003751</t>
        </is>
      </c>
      <c r="H823" t="inlineStr">
        <is>
          <t>Trinolone Oral Paste 5 g (5 g.)</t>
        </is>
      </c>
      <c r="I823" t="inlineStr">
        <is>
          <t xml:space="preserve">ป้ายยาประมาณ 1/4 นิ้ว บริเวณที่เป็น วันละ 2-3 ครั้ง หลังอาหาร และก่อนนอน </t>
        </is>
      </c>
      <c r="P823" t="inlineStr">
        <is>
          <t>Mouthwash / throat/oral care</t>
        </is>
      </c>
    </row>
    <row r="824">
      <c r="A824" t="n">
        <v>822</v>
      </c>
      <c r="B824" t="inlineStr">
        <is>
          <t>ยาทาแผลในปาก (D)</t>
        </is>
      </c>
      <c r="C824" t="n">
        <v>3750</v>
      </c>
      <c r="D824" t="inlineStr">
        <is>
          <t>Trinolone Oral Paste sachet 1 g</t>
        </is>
      </c>
      <c r="E824" t="inlineStr">
        <is>
          <t>ซอง 1 g.</t>
        </is>
      </c>
      <c r="F824" t="inlineStr">
        <is>
          <t>Triamcinolone Acetonide 0.1%</t>
        </is>
      </c>
      <c r="G824" t="inlineStr">
        <is>
          <t>BDS003750</t>
        </is>
      </c>
      <c r="H824" t="inlineStr">
        <is>
          <t>Trinolone Oral Paste sachet 1 g (1 g.)</t>
        </is>
      </c>
      <c r="I824" t="inlineStr">
        <is>
          <t xml:space="preserve">ป้ายยาประมาณ 1/4 นิ้ว บริเวณที่เป็น วันละ 2-3 ครั้ง หลังอาหาร และก่อนนอน </t>
        </is>
      </c>
      <c r="P824" t="inlineStr">
        <is>
          <t>Mouthwash / throat/oral care</t>
        </is>
      </c>
    </row>
    <row r="825">
      <c r="A825" t="n">
        <v>823</v>
      </c>
      <c r="B825" t="inlineStr">
        <is>
          <t>ยาทาแก้แพ้, แก้คัน ชนิดน้ำ (D)</t>
        </is>
      </c>
      <c r="C825" t="n">
        <v>7547</v>
      </c>
      <c r="D825" t="inlineStr">
        <is>
          <t>Kanolone Lotion 30 ml</t>
        </is>
      </c>
      <c r="E825" t="inlineStr">
        <is>
          <t>ขวด 30 ml.</t>
        </is>
      </c>
      <c r="F825" t="inlineStr">
        <is>
          <t>Triamcinolone Acetonide 0.1 g/100 ml (0.1% w/v)</t>
        </is>
      </c>
      <c r="G825" t="inlineStr">
        <is>
          <t>BDS007547</t>
        </is>
      </c>
      <c r="H825" t="inlineStr">
        <is>
          <t>Kanolone Lotion 30 ml (30 ml.)</t>
        </is>
      </c>
      <c r="I825" t="inlineStr">
        <is>
          <t>ทาบางๆ บริเวณที่มีอาการ วันละ 2-3 ครั้ง</t>
        </is>
      </c>
      <c r="P825" t="inlineStr">
        <is>
          <t>Eczema/diaper rash / anti-itch topicals</t>
        </is>
      </c>
    </row>
    <row r="826">
      <c r="A826" t="n">
        <v>824</v>
      </c>
      <c r="B826" t="inlineStr">
        <is>
          <t>ยาทาแก้แพ้, แก้คัน ชนิดน้ำ (D)</t>
        </is>
      </c>
      <c r="C826" t="n">
        <v>7551</v>
      </c>
      <c r="D826" t="inlineStr">
        <is>
          <t>Kanolone Lotion 60 ml</t>
        </is>
      </c>
      <c r="E826" t="inlineStr">
        <is>
          <t>ขวด 60 ml.</t>
        </is>
      </c>
      <c r="F826" t="inlineStr">
        <is>
          <t>Triamcinolone Acetonide 0.1 g/100 ml (0.1% w/v)</t>
        </is>
      </c>
      <c r="G826" t="inlineStr">
        <is>
          <t>BDS007551</t>
        </is>
      </c>
      <c r="H826" t="inlineStr">
        <is>
          <t>Kanolone Lotion 60 ml (60 ml.)</t>
        </is>
      </c>
      <c r="I826" t="inlineStr">
        <is>
          <t>ทาบางๆ บริเวณที่มีอาการ วันละ 2-3 ครั้ง</t>
        </is>
      </c>
      <c r="P826" t="inlineStr">
        <is>
          <t>Eczema/diaper rash / anti-itch topicals</t>
        </is>
      </c>
    </row>
    <row r="827">
      <c r="A827" t="n">
        <v>825</v>
      </c>
      <c r="B827" t="inlineStr">
        <is>
          <t>ยาทาแก้แพ้, แก้คัน ชนิดน้ำ (D)</t>
        </is>
      </c>
      <c r="C827" t="n">
        <v>48630</v>
      </c>
      <c r="D827" t="inlineStr">
        <is>
          <t>TA 0.1% Lotion</t>
        </is>
      </c>
      <c r="E827" t="inlineStr">
        <is>
          <t>ขวด 30 g.</t>
        </is>
      </c>
      <c r="F827" t="inlineStr">
        <is>
          <t>Triamcinolone Acetonide 0.1 g/100 g (0.1 % w/w)</t>
        </is>
      </c>
      <c r="G827" t="inlineStr">
        <is>
          <t>BDS048630</t>
        </is>
      </c>
      <c r="H827" t="inlineStr">
        <is>
          <t>TA 0.1% Lotion (30 g.)</t>
        </is>
      </c>
      <c r="I827" t="inlineStr">
        <is>
          <t xml:space="preserve">ทาโลชั่นบางๆ บริเวณที่มีอาการ วันละ 2-4 ครั้ง </t>
        </is>
      </c>
      <c r="K827" t="n">
        <v>116</v>
      </c>
      <c r="L827" t="n">
        <v>3.87</v>
      </c>
      <c r="M827" t="inlineStr">
        <is>
          <t>USER</t>
        </is>
      </c>
      <c r="N827" t="inlineStr">
        <is>
          <t>2026-02-07</t>
        </is>
      </c>
      <c r="O827" t="inlineStr">
        <is>
          <t>User provided price (TA 0.1% Lotion 30 g).</t>
        </is>
      </c>
      <c r="P827" t="inlineStr">
        <is>
          <t>Eczema/diaper rash / anti-itch topicals</t>
        </is>
      </c>
    </row>
    <row r="828">
      <c r="A828" t="n">
        <v>826</v>
      </c>
      <c r="B828" t="inlineStr">
        <is>
          <t>ยาทาแก้แพ้, แก้คัน ชนิดน้ำ (D)</t>
        </is>
      </c>
      <c r="C828" t="n">
        <v>3799</v>
      </c>
      <c r="D828" t="inlineStr">
        <is>
          <t>Tram Lotion</t>
        </is>
      </c>
      <c r="E828" t="inlineStr">
        <is>
          <t>ขวด 30 ml.</t>
        </is>
      </c>
      <c r="F828" t="inlineStr">
        <is>
          <t>Triamcinolone Acetonide 0.1 % w/v</t>
        </is>
      </c>
      <c r="G828" t="inlineStr">
        <is>
          <t>BDS003799</t>
        </is>
      </c>
      <c r="H828" t="inlineStr">
        <is>
          <t>Tram Lotion (30 ml.)</t>
        </is>
      </c>
      <c r="I828" t="inlineStr">
        <is>
          <t>ทาบางๆ บริเวณที่มีอาการ วันละ 2-3 ครั้ง</t>
        </is>
      </c>
      <c r="P828" t="inlineStr">
        <is>
          <t>Eczema/diaper rash / anti-itch topicals</t>
        </is>
      </c>
    </row>
    <row r="829">
      <c r="A829" t="n">
        <v>827</v>
      </c>
      <c r="B829" t="inlineStr">
        <is>
          <t>ยาทาสมานแผล</t>
        </is>
      </c>
      <c r="C829" t="n">
        <v>1099</v>
      </c>
      <c r="D829" t="inlineStr">
        <is>
          <t>Intrasite Gel</t>
        </is>
      </c>
      <c r="E829" t="inlineStr">
        <is>
          <t>หลอด 25 g.</t>
        </is>
      </c>
      <c r="F829" t="inlineStr">
        <is>
          <t>Carboxymethyl Cellulose Polymer+Propylene Glycol+Water</t>
        </is>
      </c>
      <c r="G829" t="inlineStr">
        <is>
          <t>BDS001099</t>
        </is>
      </c>
      <c r="H829" t="inlineStr">
        <is>
          <t>Intrasite Gel (25 g.)</t>
        </is>
      </c>
      <c r="I829" t="inlineStr">
        <is>
          <t xml:space="preserve">เปิดจุกสีส้มออก ค่อยๆ บีบเจลเข้าไปในแผล ให้มีเจลหนาประมาณ 5 มิลลิเมตร </t>
        </is>
      </c>
      <c r="P829" t="inlineStr">
        <is>
          <t>Topical antibiotic / wound care / burn care</t>
        </is>
      </c>
    </row>
    <row r="830">
      <c r="A830" t="n">
        <v>828</v>
      </c>
      <c r="B830" t="inlineStr">
        <is>
          <t>ยาเหน็บแก้ปวด, ลดไข้</t>
        </is>
      </c>
      <c r="C830" t="n">
        <v>3753</v>
      </c>
      <c r="D830" t="inlineStr">
        <is>
          <t>Poro Suppository</t>
        </is>
      </c>
      <c r="E830" t="inlineStr">
        <is>
          <t>กล่อง 5 แท่ง</t>
        </is>
      </c>
      <c r="F830" t="inlineStr">
        <is>
          <t>Paracetamol 125 mg.</t>
        </is>
      </c>
      <c r="G830" t="inlineStr">
        <is>
          <t>BDS003753</t>
        </is>
      </c>
      <c r="H830" t="inlineStr">
        <is>
          <t>Poro Suppository (5 sticks)</t>
        </is>
      </c>
      <c r="I830" t="inlineStr">
        <is>
          <t>เหน็บยาเข้าทางทวารหนัก 1-2 แท่ง ทุก 4 ชั่วโมง</t>
        </is>
      </c>
    </row>
    <row r="831">
      <c r="A831" t="n">
        <v>829</v>
      </c>
      <c r="B831" t="inlineStr">
        <is>
          <t>ยาทาแผลไฟไหม้, น้ำร้อนลวก</t>
        </is>
      </c>
      <c r="C831" t="n">
        <v>1007</v>
      </c>
      <c r="D831" t="inlineStr">
        <is>
          <t>Aloe Gel</t>
        </is>
      </c>
      <c r="E831" t="inlineStr">
        <is>
          <t>หลอด 30 g.</t>
        </is>
      </c>
      <c r="F831" t="inlineStr">
        <is>
          <t>วุ้นจากว่านหางจระเข้ 87.399 %</t>
        </is>
      </c>
      <c r="G831" t="inlineStr">
        <is>
          <t>BDS001007</t>
        </is>
      </c>
      <c r="H831" t="inlineStr">
        <is>
          <t>Aloe Gel (30 g.)</t>
        </is>
      </c>
      <c r="I831" t="inlineStr">
        <is>
          <t>ทาเจลบริเวณที่มีอาการ วันละ 2-3 ครั้ง</t>
        </is>
      </c>
      <c r="P831" t="inlineStr">
        <is>
          <t>Topical antibiotic / wound care / burn care</t>
        </is>
      </c>
    </row>
    <row r="832">
      <c r="A832" t="n">
        <v>830</v>
      </c>
      <c r="B832" t="inlineStr">
        <is>
          <t>ยาทาแผลไฟไหม้, น้ำร้อนลวก</t>
        </is>
      </c>
      <c r="C832" t="n">
        <v>2801</v>
      </c>
      <c r="D832" t="inlineStr">
        <is>
          <t>Mebo</t>
        </is>
      </c>
      <c r="E832" t="inlineStr">
        <is>
          <t>หลอด 10 g.</t>
        </is>
      </c>
      <c r="F832" t="inlineStr">
        <is>
          <t>Beta-sitosterol 0.25%</t>
        </is>
      </c>
      <c r="G832" t="inlineStr">
        <is>
          <t>BDS002801</t>
        </is>
      </c>
      <c r="H832" t="inlineStr">
        <is>
          <t>Mebo (10 g.)</t>
        </is>
      </c>
      <c r="I832" t="inlineStr">
        <is>
          <t>ทาบริเวณที่มีอาการ วันละ 2-3 ครั้ง</t>
        </is>
      </c>
      <c r="P832" t="inlineStr">
        <is>
          <t>Topical antibiotic / wound care / burn care</t>
        </is>
      </c>
    </row>
    <row r="833">
      <c r="A833" t="n">
        <v>831</v>
      </c>
      <c r="B833" t="inlineStr">
        <is>
          <t>เจลและครีมรักษาเส้นเลือดขอด</t>
        </is>
      </c>
      <c r="C833" t="n">
        <v>2121</v>
      </c>
      <c r="D833" t="inlineStr">
        <is>
          <t>Hirudoid Cream เล็ก</t>
        </is>
      </c>
      <c r="E833" t="inlineStr">
        <is>
          <t>หลอด 10 g.</t>
        </is>
      </c>
      <c r="F833" t="inlineStr">
        <is>
          <t>Mucopolysaccharide polysulphate 0.3 g./100 g.</t>
        </is>
      </c>
      <c r="G833" t="inlineStr">
        <is>
          <t>BDS002121</t>
        </is>
      </c>
      <c r="H833" t="inlineStr">
        <is>
          <t>Hirudoid Cream เล็ก (10 g.)</t>
        </is>
      </c>
      <c r="I833" t="inlineStr">
        <is>
          <t xml:space="preserve">ใช้ยายาวประมาณ 3-5 cm. ทาบริเวณที่เป็นหรือถูนวดเบาๆ วันละ 1-2 ครั้ง </t>
        </is>
      </c>
    </row>
    <row r="834">
      <c r="A834" t="n">
        <v>832</v>
      </c>
      <c r="B834" t="inlineStr">
        <is>
          <t>เจลและครีมรักษาเส้นเลือดขอด</t>
        </is>
      </c>
      <c r="C834" t="n">
        <v>2110</v>
      </c>
      <c r="D834" t="inlineStr">
        <is>
          <t>Hirudoid Cream ใหญ่</t>
        </is>
      </c>
      <c r="E834" t="inlineStr">
        <is>
          <t>หลอด 40 g.</t>
        </is>
      </c>
      <c r="F834" t="inlineStr">
        <is>
          <t>Mucopolysaccharide polysulphate 0.3 g./100 g.</t>
        </is>
      </c>
      <c r="G834" t="inlineStr">
        <is>
          <t>BDS002110</t>
        </is>
      </c>
      <c r="H834" t="inlineStr">
        <is>
          <t>Hirudoid Cream ใหญ่ (40 g.)</t>
        </is>
      </c>
      <c r="I834" t="inlineStr">
        <is>
          <t xml:space="preserve">ใช้ยายาวประมาณ 3-5 cm. ทาบริเวณที่เป็นหรือถูนวดเบาๆ วันละ 1-2 ครั้ง </t>
        </is>
      </c>
    </row>
    <row r="835">
      <c r="A835" t="n">
        <v>833</v>
      </c>
      <c r="B835" t="inlineStr">
        <is>
          <t>เจลและครีมรักษาเส้นเลือดขอด</t>
        </is>
      </c>
      <c r="C835" t="n">
        <v>2130</v>
      </c>
      <c r="D835" t="inlineStr">
        <is>
          <t>Hirudoid Forte Cream เล็ก</t>
        </is>
      </c>
      <c r="E835" t="inlineStr">
        <is>
          <t>หลอด 10 g.</t>
        </is>
      </c>
      <c r="F835" t="inlineStr">
        <is>
          <t>Mucopolysaccharide polysulphate 0.445 g./100 g.</t>
        </is>
      </c>
      <c r="G835" t="inlineStr">
        <is>
          <t>BDS002130</t>
        </is>
      </c>
      <c r="H835" t="inlineStr">
        <is>
          <t>Hirudoid Forte Cream เล็ก (10 g.)</t>
        </is>
      </c>
      <c r="I835" t="inlineStr">
        <is>
          <t xml:space="preserve">ใช้ยายาวประมาณ 3-5 cm. ทาบริเวณที่เป็นหรือถูนวดเบาๆ วันละ 1-2 ครั้ง </t>
        </is>
      </c>
    </row>
    <row r="836">
      <c r="A836" t="n">
        <v>834</v>
      </c>
      <c r="B836" t="inlineStr">
        <is>
          <t>เจลและครีมรักษาเส้นเลือดขอด</t>
        </is>
      </c>
      <c r="C836" t="n">
        <v>2113</v>
      </c>
      <c r="D836" t="inlineStr">
        <is>
          <t>Hirudoid Forte Cream ใหญ่</t>
        </is>
      </c>
      <c r="E836" t="inlineStr">
        <is>
          <t>หลอด 40 g.</t>
        </is>
      </c>
      <c r="F836" t="inlineStr">
        <is>
          <t>Mucopolysaccharide polysulphate 0.445 g./100 g.</t>
        </is>
      </c>
      <c r="G836" t="inlineStr">
        <is>
          <t>BDS002113</t>
        </is>
      </c>
      <c r="H836" t="inlineStr">
        <is>
          <t>Hirudoid Forte Cream ใหญ่ (40 g.)</t>
        </is>
      </c>
      <c r="I836" t="inlineStr">
        <is>
          <t xml:space="preserve">ใช้ยายาวประมาณ 3-5 cm. ทาบริเวณที่เป็นหรือถูนวดเบาๆ วันละ 1-2 ครั้ง </t>
        </is>
      </c>
    </row>
    <row r="837">
      <c r="A837" t="n">
        <v>835</v>
      </c>
      <c r="B837" t="inlineStr">
        <is>
          <t>ยาป้ายตา (D)</t>
        </is>
      </c>
      <c r="C837" t="n">
        <v>2649</v>
      </c>
      <c r="D837" t="inlineStr">
        <is>
          <t>Maxitrol Ophthalmic Ointment</t>
        </is>
      </c>
      <c r="E837" t="inlineStr">
        <is>
          <t>หลอด 3.5 g.</t>
        </is>
      </c>
      <c r="F837" t="inlineStr">
        <is>
          <t>Dexamethasone 0.1%+Neomycin Sulfate 3,500 I.U./g.+Polymyxin B Sulfate 6,000 I.U./g.+Preservative (Methylparaben 0.05%+Propylparaben 0.01%)/1 g.</t>
        </is>
      </c>
      <c r="G837" t="inlineStr">
        <is>
          <t>BDS002649</t>
        </is>
      </c>
      <c r="H837" t="inlineStr">
        <is>
          <t>Maxitrol Ophthalmic Ointment (3.5 g.)</t>
        </is>
      </c>
      <c r="I837" t="inlineStr">
        <is>
          <t xml:space="preserve">ป้ายตาข้างที่มีอาการครั้งละประมาณ 1.5 cm. วันละ 3-4 ครั้ง หรือตามแพทย์สั่ง </t>
        </is>
      </c>
    </row>
    <row r="838">
      <c r="A838" t="n">
        <v>836</v>
      </c>
      <c r="B838" t="inlineStr">
        <is>
          <t>ยาป้ายตา (D)</t>
        </is>
      </c>
      <c r="C838" t="n">
        <v>3637</v>
      </c>
      <c r="D838" t="inlineStr">
        <is>
          <t>Tobradex Ophthalmic Ointment</t>
        </is>
      </c>
      <c r="E838" t="inlineStr">
        <is>
          <t>หลอด 3.5 g.</t>
        </is>
      </c>
      <c r="F838" t="inlineStr">
        <is>
          <t>Tobramycin 0.3%+Dexamethasone 0.1%+Preservative (Chlorobutanol 0.5%)/1 g</t>
        </is>
      </c>
      <c r="G838" t="inlineStr">
        <is>
          <t>BDS003637</t>
        </is>
      </c>
      <c r="H838" t="inlineStr">
        <is>
          <t>Tobradex Ophthalmic Ointment (3.5 g.)</t>
        </is>
      </c>
      <c r="I838" t="inlineStr">
        <is>
          <t xml:space="preserve">ป้ายตาข้างที่มีอาการครั้งละประมาณ 1.5 cm. วันละ 3-4 ครั้ง หรือตามแพทย์สั่ง </t>
        </is>
      </c>
    </row>
    <row r="839">
      <c r="A839" t="n">
        <v>837</v>
      </c>
      <c r="B839" t="inlineStr">
        <is>
          <t>ยาทาและยาเหน็บริดสีดวงทวาร (D)</t>
        </is>
      </c>
      <c r="C839" t="n">
        <v>1685</v>
      </c>
      <c r="D839" t="inlineStr">
        <is>
          <t>Doproct Ointment</t>
        </is>
      </c>
      <c r="E839" t="inlineStr">
        <is>
          <t>หลอด 10 g.</t>
        </is>
      </c>
      <c r="F839" t="inlineStr">
        <is>
          <t>Hydrocortisone Acetate 5 mg+Zinc Oxide 200 mg+Benzocaine 10 mg/1 g</t>
        </is>
      </c>
      <c r="G839" t="inlineStr">
        <is>
          <t>BDS001685</t>
        </is>
      </c>
      <c r="H839" t="inlineStr">
        <is>
          <t>Doproct Ointment (10 g.)</t>
        </is>
      </c>
      <c r="I839" t="inlineStr">
        <is>
          <t>ทาบริเวณทวารหนัก วันละ 2 ครั้ง เช้าและเย็น</t>
        </is>
      </c>
    </row>
    <row r="840">
      <c r="A840" t="n">
        <v>838</v>
      </c>
      <c r="B840" t="inlineStr">
        <is>
          <t>ยาทาและยาเหน็บริดสีดวงทวาร (D)</t>
        </is>
      </c>
      <c r="C840" t="n">
        <v>1605</v>
      </c>
      <c r="D840" t="inlineStr">
        <is>
          <t>Doproct Suppository</t>
        </is>
      </c>
      <c r="E840" t="inlineStr">
        <is>
          <t>กล่อง 10 แท่ง</t>
        </is>
      </c>
      <c r="F840" t="inlineStr">
        <is>
          <t>Hydrocortisone Acetate 7.5 mg+Zinc Oxide 250 mg+Benzocaine 40 mg/1 Suppository</t>
        </is>
      </c>
      <c r="G840" t="inlineStr">
        <is>
          <t>BDS001605</t>
        </is>
      </c>
      <c r="H840" t="inlineStr">
        <is>
          <t>Doproct Suppository (10 sticks)</t>
        </is>
      </c>
      <c r="I840" t="inlineStr">
        <is>
          <t>เหน็บยาเข้าทางทวารหนัก 1 แท่ง วันละ 2 ครั้ง เช้า-เย็น</t>
        </is>
      </c>
    </row>
    <row r="841">
      <c r="A841" t="n">
        <v>839</v>
      </c>
      <c r="B841" t="inlineStr">
        <is>
          <t>ยาทาและยาเหน็บริดสีดวงทวาร (D)</t>
        </is>
      </c>
      <c r="C841" t="n">
        <v>3167</v>
      </c>
      <c r="D841" t="inlineStr">
        <is>
          <t>Proctosedyl Ointment</t>
        </is>
      </c>
      <c r="E841" t="inlineStr">
        <is>
          <t>หลอด 15 g.</t>
        </is>
      </c>
      <c r="F841" t="inlineStr">
        <is>
          <t>Hydrocortisone BP 5 mg+Cinchocaine HCl BP 5 mg+Aesculin 10 mg/1 g</t>
        </is>
      </c>
      <c r="G841" t="inlineStr">
        <is>
          <t>BDS003167</t>
        </is>
      </c>
      <c r="H841" t="inlineStr">
        <is>
          <t>Proctosedyl Ointment (15 g.)</t>
        </is>
      </c>
      <c r="I841" t="inlineStr">
        <is>
          <t>ทาขี้ผึ้งเล็กน้อยในบริเวณที่เจ็บหรือคัน วันละ 2 ครั้ง เช้า-เย็น และหลังจากการถ่ายอุจจาระ</t>
        </is>
      </c>
    </row>
    <row r="842">
      <c r="A842" t="n">
        <v>840</v>
      </c>
      <c r="B842" t="inlineStr">
        <is>
          <t>ยาทาและยาเหน็บริดสีดวงทวาร (D)</t>
        </is>
      </c>
      <c r="C842" t="n">
        <v>3162</v>
      </c>
      <c r="D842" t="inlineStr">
        <is>
          <t>Proctosedyl Suppositories</t>
        </is>
      </c>
      <c r="E842" t="inlineStr">
        <is>
          <t>กล่อง 12 แท่ง</t>
        </is>
      </c>
      <c r="F842" t="inlineStr">
        <is>
          <t>Hydrocortisone Micronized 5 mg+Cinchocaine HCl 5 mg/1 Suppository</t>
        </is>
      </c>
      <c r="G842" t="inlineStr">
        <is>
          <t>BDS003162</t>
        </is>
      </c>
      <c r="H842" t="inlineStr">
        <is>
          <t>Proctosedyl Suppositories (12 sticks)</t>
        </is>
      </c>
      <c r="I842" t="inlineStr">
        <is>
          <t>เหน็บยาเข้าทางทวารหนัก 1 แท่ง วันละ 2 ครั้ง เช้า-เย็น</t>
        </is>
      </c>
    </row>
    <row r="843">
      <c r="A843" t="n">
        <v>841</v>
      </c>
      <c r="B843" t="inlineStr">
        <is>
          <t>ยาหยอดหู</t>
        </is>
      </c>
      <c r="C843" t="n">
        <v>1712</v>
      </c>
      <c r="D843" t="inlineStr">
        <is>
          <t>Dewax Ear Drops</t>
        </is>
      </c>
      <c r="E843" t="inlineStr">
        <is>
          <t>ขวด 15 ml.</t>
        </is>
      </c>
      <c r="F843" t="inlineStr">
        <is>
          <t>Docusate Sodium 0.5% w/v (5 mg./1 ml.)</t>
        </is>
      </c>
      <c r="G843" t="inlineStr">
        <is>
          <t>BDS001712</t>
        </is>
      </c>
      <c r="H843" t="inlineStr">
        <is>
          <t>Dewax Ear Drops (15 ml.)</t>
        </is>
      </c>
      <c r="I843" t="inlineStr">
        <is>
          <t xml:space="preserve">หยอดยาลงในหู 5-10 หยด ทิ้งไว้ 15 นาที วันละ 2 ครั้ง หรือตามแพทย์สั่ง  </t>
        </is>
      </c>
    </row>
    <row r="844">
      <c r="A844" t="n">
        <v>842</v>
      </c>
      <c r="B844" t="inlineStr">
        <is>
          <t>ยาทารักษาหูด</t>
        </is>
      </c>
      <c r="C844" t="n">
        <v>1468</v>
      </c>
      <c r="D844" t="inlineStr">
        <is>
          <t>Con Con</t>
        </is>
      </c>
      <c r="E844" t="inlineStr">
        <is>
          <t>ขวด 15 ml.</t>
        </is>
      </c>
      <c r="F844" t="inlineStr">
        <is>
          <t>Salicylic Acid 25 g.+Liquified Phenol 1.5 ml./100 ml.</t>
        </is>
      </c>
      <c r="G844" t="inlineStr">
        <is>
          <t>BDS001468</t>
        </is>
      </c>
      <c r="H844" t="inlineStr">
        <is>
          <t>Con Con (15 ml.)</t>
        </is>
      </c>
      <c r="I844" t="inlineStr">
        <is>
          <t>ทายาบนตาปลาหรือหูด  วันละ  2-3 ครั้ง</t>
        </is>
      </c>
      <c r="P844" t="inlineStr">
        <is>
          <t>Wart treatment</t>
        </is>
      </c>
    </row>
    <row r="845">
      <c r="A845" t="n">
        <v>843</v>
      </c>
      <c r="B845" t="inlineStr">
        <is>
          <t>ยาทารักษาหูด</t>
        </is>
      </c>
      <c r="C845" t="n">
        <v>47738</v>
      </c>
      <c r="D845" t="inlineStr">
        <is>
          <t>SOS Plus Corn Plaster Removal</t>
        </is>
      </c>
      <c r="E845" t="inlineStr">
        <is>
          <t xml:space="preserve">กล่อง 4 ชิ้น </t>
        </is>
      </c>
      <c r="F845" t="inlineStr">
        <is>
          <t>Salicylic acid 40 g (40%w/w)+Titanium dioxide+Liquid paraffin+Polyvinyl alkyl ethers+อื่นๆ</t>
        </is>
      </c>
      <c r="G845" t="inlineStr">
        <is>
          <t>BDS047738</t>
        </is>
      </c>
      <c r="H845" t="inlineStr">
        <is>
          <t>SOS Plus Corn Plaster Removal (4 pieces)</t>
        </is>
      </c>
      <c r="I845" t="inlineStr">
        <is>
          <t>ดึงแถบพลาสติกออก แล้วปิดพลาสเตอร์โดยให้ผ้าก๊อซอยู่กึ่งกลางของแผล//เปลี่ยนแผ่นยาและพลาสเตอร์ทุกวันจนกว่าจะหาย</t>
        </is>
      </c>
      <c r="P845" t="inlineStr">
        <is>
          <t>Wart treatment</t>
        </is>
      </c>
    </row>
    <row r="846">
      <c r="A846" t="n">
        <v>844</v>
      </c>
      <c r="B846" t="inlineStr">
        <is>
          <t>ยาล้างแผล</t>
        </is>
      </c>
      <c r="C846" t="n">
        <v>1023</v>
      </c>
      <c r="D846" t="inlineStr">
        <is>
          <t>Alcohol Alsoff กลาง</t>
        </is>
      </c>
      <c r="E846" t="inlineStr">
        <is>
          <t>ขวด 180 ml.</t>
        </is>
      </c>
      <c r="F846" t="inlineStr">
        <is>
          <t>Ethyl Alcohol Solution 70% v/v</t>
        </is>
      </c>
      <c r="G846" t="inlineStr">
        <is>
          <t>BDS001023</t>
        </is>
      </c>
      <c r="H846" t="inlineStr">
        <is>
          <t>Alcohol Alsoff กลาง (180 ml.)</t>
        </is>
      </c>
      <c r="I846" t="inlineStr">
        <is>
          <t>ใช้สำลีชุบยา แล้วเช็ดบริเวณรอบบาดแผล หรือบริเวณที่ต้องการฆ่าเชื้อโรค</t>
        </is>
      </c>
    </row>
    <row r="847">
      <c r="A847" t="n">
        <v>845</v>
      </c>
      <c r="B847" t="inlineStr">
        <is>
          <t>ยาล้างแผล</t>
        </is>
      </c>
      <c r="C847" t="n">
        <v>1018</v>
      </c>
      <c r="D847" t="inlineStr">
        <is>
          <t>Alcohol Alsoff ใหญ่</t>
        </is>
      </c>
      <c r="E847" t="inlineStr">
        <is>
          <t>ขวด 450 ml.</t>
        </is>
      </c>
      <c r="F847" t="inlineStr">
        <is>
          <t>Ethyl Alcohol Solution 70% v/v</t>
        </is>
      </c>
      <c r="G847" t="inlineStr">
        <is>
          <t>BDS001018</t>
        </is>
      </c>
      <c r="H847" t="inlineStr">
        <is>
          <t>Alcohol Alsoff ใหญ่ (450 ml.)</t>
        </is>
      </c>
      <c r="I847" t="inlineStr">
        <is>
          <t>ใช้สำลีชุบยา แล้วเช็ดบริเวณรอบบาดแผล หรือบริเวณที่ต้องการฆ่าเชื้อโรค</t>
        </is>
      </c>
    </row>
    <row r="848">
      <c r="A848" t="n">
        <v>846</v>
      </c>
      <c r="B848" t="inlineStr">
        <is>
          <t>ครีมรักษาผิวแห้ง</t>
        </is>
      </c>
      <c r="C848" t="n">
        <v>1682</v>
      </c>
      <c r="D848" t="inlineStr">
        <is>
          <t>Diabederm Urea Cream 10%</t>
        </is>
      </c>
      <c r="E848" t="inlineStr">
        <is>
          <t>หลอด 35 g.</t>
        </is>
      </c>
      <c r="F848" t="inlineStr">
        <is>
          <t>10% Urea</t>
        </is>
      </c>
      <c r="G848" t="inlineStr">
        <is>
          <t>BDS001682</t>
        </is>
      </c>
      <c r="H848" t="inlineStr">
        <is>
          <t>Diabederm Urea Cream 10% (35 g.)</t>
        </is>
      </c>
      <c r="I848" t="inlineStr">
        <is>
          <t>ทาบริเวณที่เป็น วันละ 1-3 ครั้ง</t>
        </is>
      </c>
      <c r="P848" t="inlineStr">
        <is>
          <t>Dry skin creams</t>
        </is>
      </c>
    </row>
    <row r="849">
      <c r="A849" t="n">
        <v>847</v>
      </c>
      <c r="B849" t="inlineStr">
        <is>
          <t>ครีมรักษาผิวแห้ง</t>
        </is>
      </c>
      <c r="C849" t="n">
        <v>1683</v>
      </c>
      <c r="D849" t="inlineStr">
        <is>
          <t>Diabederm Urea Cream 20%</t>
        </is>
      </c>
      <c r="E849" t="inlineStr">
        <is>
          <t>หลอด 35 g.</t>
        </is>
      </c>
      <c r="F849" t="inlineStr">
        <is>
          <t>20% Urea</t>
        </is>
      </c>
      <c r="G849" t="inlineStr">
        <is>
          <t>BDS001683</t>
        </is>
      </c>
      <c r="H849" t="inlineStr">
        <is>
          <t>Diabederm Urea Cream 20% (35 g.)</t>
        </is>
      </c>
      <c r="I849" t="inlineStr">
        <is>
          <t>ทาบริเวณที่เป็น วันละ 1-3 ครั้ง</t>
        </is>
      </c>
      <c r="P849" t="inlineStr">
        <is>
          <t>Dry skin creams</t>
        </is>
      </c>
    </row>
    <row r="850">
      <c r="A850" t="n">
        <v>848</v>
      </c>
      <c r="B850" t="inlineStr">
        <is>
          <t>น้ำยาบ้วนปาก</t>
        </is>
      </c>
      <c r="C850" t="n">
        <v>40609</v>
      </c>
      <c r="D850" t="inlineStr">
        <is>
          <t>Betadine Gargle</t>
        </is>
      </c>
      <c r="E850" t="inlineStr">
        <is>
          <t>ขวด 30 ml.</t>
        </is>
      </c>
      <c r="F850" t="inlineStr">
        <is>
          <t>Povidone-Iodine 70 mg./1 ml.</t>
        </is>
      </c>
      <c r="G850" t="inlineStr">
        <is>
          <t>BDS040609</t>
        </is>
      </c>
      <c r="H850" t="inlineStr">
        <is>
          <t>Betadine Gargle (30 ml.)</t>
        </is>
      </c>
      <c r="I850" t="inlineStr">
        <is>
          <t>หยดน้ำยา 1-2 ml. ในถ้วยผสม เติมน้ำสะอาดจบครบ 30 ml. ใช้อมกลั้วคอ 30 วินาทีแล้วบ้วนทิ้ง  วันละ 2-3 ครั้ง</t>
        </is>
      </c>
      <c r="P850" t="inlineStr">
        <is>
          <t>Mouthwash / throat/oral care</t>
        </is>
      </c>
    </row>
    <row r="851">
      <c r="A851" t="n">
        <v>849</v>
      </c>
      <c r="B851" t="inlineStr">
        <is>
          <t>น้ำยาบ้วนปาก</t>
        </is>
      </c>
      <c r="C851" t="n">
        <v>1407</v>
      </c>
      <c r="D851" t="inlineStr">
        <is>
          <t>C-20 Blue Sally</t>
        </is>
      </c>
      <c r="E851" t="inlineStr">
        <is>
          <t>ขวด 180 ml.</t>
        </is>
      </c>
      <c r="F851" t="inlineStr">
        <is>
          <t>Chlorhexidine Gluconate 0.12 g./100 ml.</t>
        </is>
      </c>
      <c r="G851" t="inlineStr">
        <is>
          <t>BDS001407</t>
        </is>
      </c>
      <c r="H851" t="inlineStr">
        <is>
          <t>C-20 Blue Sally (180 ml.)</t>
        </is>
      </c>
      <c r="I851" t="inlineStr">
        <is>
          <t>อมกลั้วปากครั้งละ 15-30 ml. โดยไม่ต้องผสมน้ำ นาน 1 นาที แล้วบ้วนทิ้ง วันละ 2 ครั้ง หลังอาหารเช้าและก่อนนอน</t>
        </is>
      </c>
      <c r="P851" t="inlineStr">
        <is>
          <t>Mouthwash / throat/oral care</t>
        </is>
      </c>
    </row>
    <row r="852">
      <c r="A852" t="n">
        <v>850</v>
      </c>
      <c r="B852" t="inlineStr">
        <is>
          <t>น้ำยาบ้วนปาก</t>
        </is>
      </c>
      <c r="C852" t="n">
        <v>1406</v>
      </c>
      <c r="D852" t="inlineStr">
        <is>
          <t>C-20 Original เล็ก</t>
        </is>
      </c>
      <c r="E852" t="inlineStr">
        <is>
          <t>ขวด 180 ml.</t>
        </is>
      </c>
      <c r="F852" t="inlineStr">
        <is>
          <t>Chlorhexidine Gluconate 0.12 g./100 ml.</t>
        </is>
      </c>
      <c r="G852" t="inlineStr">
        <is>
          <t>BDS001406</t>
        </is>
      </c>
      <c r="H852" t="inlineStr">
        <is>
          <t>C-20 Original เล็ก (180 ml.)</t>
        </is>
      </c>
      <c r="I852" t="inlineStr">
        <is>
          <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t>
        </is>
      </c>
      <c r="P852" t="inlineStr">
        <is>
          <t>Mouthwash / throat/oral care</t>
        </is>
      </c>
    </row>
    <row r="853">
      <c r="A853" t="n">
        <v>851</v>
      </c>
      <c r="B853" t="inlineStr">
        <is>
          <t>น้ำยาบ้วนปาก</t>
        </is>
      </c>
      <c r="C853" t="n">
        <v>1409</v>
      </c>
      <c r="D853" t="inlineStr">
        <is>
          <t>C-20 Original ใหญ่</t>
        </is>
      </c>
      <c r="E853" t="inlineStr">
        <is>
          <t>ขวด 360 ml.</t>
        </is>
      </c>
      <c r="F853" t="inlineStr">
        <is>
          <t>Chlorhexidine Gluconate 0.12 g./100 ml.</t>
        </is>
      </c>
      <c r="G853" t="inlineStr">
        <is>
          <t>BDS001409</t>
        </is>
      </c>
      <c r="H853" t="inlineStr">
        <is>
          <t>C-20 Original ใหญ่ (360 ml.)</t>
        </is>
      </c>
      <c r="I853" t="inlineStr">
        <is>
          <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t>
        </is>
      </c>
      <c r="P853" t="inlineStr">
        <is>
          <t>Mouthwash / throat/oral care</t>
        </is>
      </c>
    </row>
    <row r="854">
      <c r="A854" t="n">
        <v>852</v>
      </c>
      <c r="B854" t="inlineStr">
        <is>
          <t>น้ำยาบ้วนปาก</t>
        </is>
      </c>
      <c r="C854" t="n">
        <v>46547</v>
      </c>
      <c r="D854" t="inlineStr">
        <is>
          <t>Puvadon Gargle</t>
        </is>
      </c>
      <c r="E854" t="inlineStr">
        <is>
          <t>ขวด 30 ml.</t>
        </is>
      </c>
      <c r="F854" t="inlineStr">
        <is>
          <t>Povidone-Iodine 70 mg eq. to Iodine 7 mg/1 ml.</t>
        </is>
      </c>
      <c r="G854" t="inlineStr">
        <is>
          <t>BDS046547</t>
        </is>
      </c>
      <c r="H854" t="inlineStr">
        <is>
          <t>Puvadon Gargle (30 ml.)</t>
        </is>
      </c>
      <c r="I854" t="inlineStr">
        <is>
          <t>หยดน้ำยา 1 ml. ในถ้วยผสม เติมน้ำสะอาดจนครบ 30 ml. ใช้อมกลั้วคอ 30 วินาทีแล้วบ้วนทิ้ง  วันละ 3-4 ครั้ง</t>
        </is>
      </c>
      <c r="P854" t="inlineStr">
        <is>
          <t>Mouthwash / throat/oral care</t>
        </is>
      </c>
    </row>
    <row r="855">
      <c r="A855" t="n">
        <v>853</v>
      </c>
      <c r="B855" t="inlineStr">
        <is>
          <t>ยาหยอดตาฆ่าเชื้อ (D)</t>
        </is>
      </c>
      <c r="C855" t="n">
        <v>1462</v>
      </c>
      <c r="D855" t="inlineStr">
        <is>
          <t>Cravit Ophthalmic Solution</t>
        </is>
      </c>
      <c r="E855" t="inlineStr">
        <is>
          <t>ขวด 5 ml.</t>
        </is>
      </c>
      <c r="F855" t="inlineStr">
        <is>
          <t>Levofloxacin 0.5%/1 ml.</t>
        </is>
      </c>
      <c r="G855" t="inlineStr">
        <is>
          <t>BDS001462</t>
        </is>
      </c>
      <c r="H855" t="inlineStr">
        <is>
          <t>Cravit Ophthalmic Solution (5 ml.)</t>
        </is>
      </c>
      <c r="I855" t="inlineStr">
        <is>
          <t xml:space="preserve">หยอดตาครั้งละ 1 หยด วันละ 3 ครั้ง หรือตามแพทย์สั่ง </t>
        </is>
      </c>
    </row>
    <row r="856">
      <c r="A856" t="n">
        <v>854</v>
      </c>
      <c r="B856" t="inlineStr">
        <is>
          <t>ยาหยอดตาฆ่าเชื้อ (D)</t>
        </is>
      </c>
      <c r="C856" t="n">
        <v>1606</v>
      </c>
      <c r="D856" t="inlineStr">
        <is>
          <t>Grafadex</t>
        </is>
      </c>
      <c r="E856" t="inlineStr">
        <is>
          <t>ขวด 5 ml.</t>
        </is>
      </c>
      <c r="F856" t="inlineStr">
        <is>
          <t>Gentamicin 0.3 %w/v+Preservative (Benzalkonium Chloride)</t>
        </is>
      </c>
      <c r="G856" t="inlineStr">
        <is>
          <t>BDS001606</t>
        </is>
      </c>
      <c r="H856" t="inlineStr">
        <is>
          <t>Grafadex (5 ml.)</t>
        </is>
      </c>
      <c r="I856" t="inlineStr">
        <is>
          <t xml:space="preserve">หยอดตาครั้งละ 1-2 หยด ทุกๆ 4 ชั่วโมง หรือตามแพทย์สั่ง </t>
        </is>
      </c>
    </row>
    <row r="857">
      <c r="A857" t="n">
        <v>855</v>
      </c>
      <c r="B857" t="inlineStr">
        <is>
          <t>ยาหยอดตาฆ่าเชื้อ (D)</t>
        </is>
      </c>
      <c r="C857" t="n">
        <v>4018</v>
      </c>
      <c r="D857" t="inlineStr">
        <is>
          <t>Vigamox</t>
        </is>
      </c>
      <c r="E857" t="inlineStr">
        <is>
          <t>ขวด 5 ml.</t>
        </is>
      </c>
      <c r="F857" t="inlineStr">
        <is>
          <t>Moxifloxacin Hydrochloride 5.45 mg. (eq. to Moxifloxacin 5 mg.)+Boric Acid+Sodium Chloride+Hydrochloric Acid+Sodium Hydroxide/1 ml.</t>
        </is>
      </c>
      <c r="G857" t="inlineStr">
        <is>
          <t>BDS004018</t>
        </is>
      </c>
      <c r="H857" t="inlineStr">
        <is>
          <t>Vigamox (5 ml.)</t>
        </is>
      </c>
      <c r="I857" t="inlineStr">
        <is>
          <t xml:space="preserve">หยอดตาครั้งละ 1 หยด วันละ 3 ครั้ง ติดต่อกัน 4 วัน หรือตามแพทย์สั่ง </t>
        </is>
      </c>
    </row>
    <row r="858">
      <c r="A858" t="n">
        <v>856</v>
      </c>
      <c r="B858" t="inlineStr">
        <is>
          <t>ยาสอดช่องคลอด (D)</t>
        </is>
      </c>
      <c r="C858" t="n">
        <v>2034</v>
      </c>
      <c r="D858" t="inlineStr">
        <is>
          <t>Gynecon ยาสอด</t>
        </is>
      </c>
      <c r="E858" t="inlineStr">
        <is>
          <t>กล่อง 7 เม็ด</t>
        </is>
      </c>
      <c r="F858" t="inlineStr">
        <is>
          <t>Nystatin 100,000 Unit+Di-iodohydroxyquin 100 mg.+Benzalkonium Cl 7 mg.</t>
        </is>
      </c>
      <c r="G858" t="inlineStr">
        <is>
          <t>BDS002034</t>
        </is>
      </c>
      <c r="H858" t="inlineStr">
        <is>
          <t>Gynecon ยาสอด (7 tabs)</t>
        </is>
      </c>
      <c r="I858" t="inlineStr">
        <is>
          <t>สอดเข้าช่องคลอดครั้งละ 1 เม็ด วันละ 1-2 ครั้ง เช้าและก่อนนอน เป็นเวลา  6-7 วัน หรือตามแพทย์สั่ง</t>
        </is>
      </c>
    </row>
    <row r="859">
      <c r="A859" t="n">
        <v>857</v>
      </c>
      <c r="B859" t="inlineStr">
        <is>
          <t>ยาสอดช่องคลอด (D)</t>
        </is>
      </c>
      <c r="C859" t="n">
        <v>45605</v>
      </c>
      <c r="D859" t="inlineStr">
        <is>
          <t>Neo-Penotran Forte</t>
        </is>
      </c>
      <c r="E859" t="inlineStr">
        <is>
          <t>กล่อง 7 เม็ด</t>
        </is>
      </c>
      <c r="F859" t="inlineStr">
        <is>
          <t>Metronidazole 750 mg.+Miconazole Nitrate 200 mg.</t>
        </is>
      </c>
      <c r="G859" t="inlineStr">
        <is>
          <t>BDS045605</t>
        </is>
      </c>
      <c r="H859" t="inlineStr">
        <is>
          <t>Neo-Penotran Forte (7 tabs)</t>
        </is>
      </c>
      <c r="I859" t="inlineStr">
        <is>
          <t>สอดช่องคลอดครั้งละ 1 เม็ด วันละ 1 ครั้ง ก่อนนอน ติดต่อกันเป็นเวลา 7 วัน</t>
        </is>
      </c>
    </row>
    <row r="860">
      <c r="A860" t="n">
        <v>858</v>
      </c>
      <c r="B860" t="inlineStr">
        <is>
          <t>ยาสอดช่องคลอด (D)</t>
        </is>
      </c>
      <c r="C860" t="n">
        <v>8491</v>
      </c>
      <c r="D860" t="inlineStr">
        <is>
          <t>Vagicin</t>
        </is>
      </c>
      <c r="E860" t="inlineStr">
        <is>
          <t>กล่อง 1 แผง</t>
        </is>
      </c>
      <c r="F860" t="inlineStr">
        <is>
          <t>Nystatin 100,000 units.+Chloramphenicol 250 mg.+Diiodohydroxyguin 100 mg.</t>
        </is>
      </c>
      <c r="G860" t="inlineStr">
        <is>
          <t>BDS008491</t>
        </is>
      </c>
      <c r="H860" t="inlineStr">
        <is>
          <t>Vagicin (1 blister)</t>
        </is>
      </c>
      <c r="I860" t="inlineStr">
        <is>
          <t xml:space="preserve">สอดเข้าช่องคลอด ครั้งละ 1 เม็ด วันละ 1-2 ครั้ง เช้าและก่อนนอน ติดต่อกันครบ 14 วัน หรือตามแพทย์สั่ง </t>
        </is>
      </c>
    </row>
    <row r="861">
      <c r="A861" t="n">
        <v>859</v>
      </c>
      <c r="B861" t="inlineStr">
        <is>
          <t>ยาทาแก้แพ้, แก้คัน</t>
        </is>
      </c>
      <c r="C861" t="n">
        <v>8031</v>
      </c>
      <c r="D861" t="inlineStr">
        <is>
          <t>Cabana Lotion</t>
        </is>
      </c>
      <c r="E861" t="inlineStr">
        <is>
          <t>ขวด 60 ml.</t>
        </is>
      </c>
      <c r="F861" t="inlineStr">
        <is>
          <t>Diphenhydramine HCl 10 mg.+Calamine 100 mg.+Zinc Oxide 30 mg./1 ml.</t>
        </is>
      </c>
      <c r="G861" t="inlineStr">
        <is>
          <t>BDS008031</t>
        </is>
      </c>
      <c r="H861" t="inlineStr">
        <is>
          <t>Cabana Lotion (60 ml.)</t>
        </is>
      </c>
      <c r="I861" t="inlineStr">
        <is>
          <t>ทาบริเวณผิวหนังที่มีผื่นคัน หรือลมพิษ วันละ 2-3 ครั้ง หรือเมื่อมีอาการ</t>
        </is>
      </c>
      <c r="P861" t="inlineStr">
        <is>
          <t>Eczema/diaper rash / anti-itch topicals</t>
        </is>
      </c>
    </row>
    <row r="862">
      <c r="A862" t="n">
        <v>860</v>
      </c>
      <c r="B862" t="inlineStr">
        <is>
          <t>ยาทาแก้แพ้, แก้คัน</t>
        </is>
      </c>
      <c r="C862" t="n">
        <v>1402</v>
      </c>
      <c r="D862" t="inlineStr">
        <is>
          <t>Cadramine-V เล็ก</t>
        </is>
      </c>
      <c r="E862" t="inlineStr">
        <is>
          <t>ขวด 60 ml.</t>
        </is>
      </c>
      <c r="F862" t="inlineStr">
        <is>
          <t>Diphenhydramine HCl 10 mg.+Calamine 100 mg.+Zinc oxide 30 mg.+Camphor 15 mg./1 ml.</t>
        </is>
      </c>
      <c r="G862" t="inlineStr">
        <is>
          <t>BDS001402</t>
        </is>
      </c>
      <c r="H862" t="inlineStr">
        <is>
          <t>Cadramine-V เล็ก (60 ml.)</t>
        </is>
      </c>
      <c r="I862" t="inlineStr">
        <is>
          <t>ทาบริเวณที่มีอาการในขนาดพอเหมาะ วันละ 2-3 ครั้ง หรือตามต้องการ</t>
        </is>
      </c>
      <c r="P862" t="inlineStr">
        <is>
          <t>Eczema/diaper rash / anti-itch topicals</t>
        </is>
      </c>
    </row>
    <row r="863">
      <c r="A863" t="n">
        <v>861</v>
      </c>
      <c r="B863" t="inlineStr">
        <is>
          <t>ยาทาแก้แพ้, แก้คัน</t>
        </is>
      </c>
      <c r="C863" t="n">
        <v>1403</v>
      </c>
      <c r="D863" t="inlineStr">
        <is>
          <t>Cadramine-V ใหญ่</t>
        </is>
      </c>
      <c r="E863" t="inlineStr">
        <is>
          <t>ขวด 120 ml.</t>
        </is>
      </c>
      <c r="F863" t="inlineStr">
        <is>
          <t>Diphenhydramine HCl 10 mg.+Calamine 100 mg.+Zinc oxide 30 mg.+Camphor 15 mg./1 ml.</t>
        </is>
      </c>
      <c r="G863" t="inlineStr">
        <is>
          <t>BDS001403</t>
        </is>
      </c>
      <c r="H863" t="inlineStr">
        <is>
          <t>Cadramine-V ใหญ่ (120 ml.)</t>
        </is>
      </c>
      <c r="I863" t="inlineStr">
        <is>
          <t>ทาบริเวณที่มีอาการในขนาดพอเหมาะ วันละ 2-3 ครั้ง หรือตามต้องการ</t>
        </is>
      </c>
      <c r="P863" t="inlineStr">
        <is>
          <t>Eczema/diaper rash / anti-itch topicals</t>
        </is>
      </c>
    </row>
    <row r="864">
      <c r="A864" t="n">
        <v>862</v>
      </c>
      <c r="B864" t="inlineStr">
        <is>
          <t>ยาทาแก้แพ้, แก้คัน</t>
        </is>
      </c>
      <c r="C864" t="n">
        <v>1846</v>
      </c>
      <c r="D864" t="inlineStr">
        <is>
          <t>Fenistil Gel</t>
        </is>
      </c>
      <c r="E864" t="inlineStr">
        <is>
          <t>หลอด 20 g.</t>
        </is>
      </c>
      <c r="F864" t="inlineStr">
        <is>
          <t>Dimethindene maleate 1 mg.</t>
        </is>
      </c>
      <c r="G864" t="inlineStr">
        <is>
          <t>BDS001846</t>
        </is>
      </c>
      <c r="H864" t="inlineStr">
        <is>
          <t>Fenistil Gel (20 g.)</t>
        </is>
      </c>
      <c r="I864" t="inlineStr">
        <is>
          <t>ทาบางๆ บริเวณที่มีอาการ วันละ 2-4 ครั้ง</t>
        </is>
      </c>
      <c r="P864" t="inlineStr">
        <is>
          <t>Eczema/diaper rash / anti-itch topicals</t>
        </is>
      </c>
    </row>
    <row r="865">
      <c r="A865" t="n">
        <v>863</v>
      </c>
      <c r="B865" t="inlineStr">
        <is>
          <t>ยาทาแก้แพ้, แก้คัน</t>
        </is>
      </c>
      <c r="C865" t="n">
        <v>3669</v>
      </c>
      <c r="D865" t="inlineStr">
        <is>
          <t>Systral Cream เล็ก</t>
        </is>
      </c>
      <c r="E865" t="inlineStr">
        <is>
          <t>หลอด 10 g.</t>
        </is>
      </c>
      <c r="F865" t="inlineStr">
        <is>
          <t>Chlorphenoxamine HCl 1.5 %</t>
        </is>
      </c>
      <c r="G865" t="inlineStr">
        <is>
          <t>BDS003669</t>
        </is>
      </c>
      <c r="H865" t="inlineStr">
        <is>
          <t>Systral Cream เล็ก (10 g.)</t>
        </is>
      </c>
      <c r="I865" t="inlineStr">
        <is>
          <t>ทาบางๆ บริเวณที่มีอาการ วันละ 3-4 ครั้ง</t>
        </is>
      </c>
      <c r="P865" t="inlineStr">
        <is>
          <t>Eczema/diaper rash / anti-itch topicals</t>
        </is>
      </c>
    </row>
    <row r="866">
      <c r="A866" t="n">
        <v>864</v>
      </c>
      <c r="B866" t="inlineStr">
        <is>
          <t>ยาทาแก้แพ้, แก้คัน</t>
        </is>
      </c>
      <c r="C866" t="n">
        <v>3681</v>
      </c>
      <c r="D866" t="inlineStr">
        <is>
          <t>Systral Cream ใหญ่</t>
        </is>
      </c>
      <c r="E866" t="inlineStr">
        <is>
          <t>หลอด 25 g.</t>
        </is>
      </c>
      <c r="F866" t="inlineStr">
        <is>
          <t>Chlorphenoxamine HCl 1.5 %</t>
        </is>
      </c>
      <c r="G866" t="inlineStr">
        <is>
          <t>BDS003681</t>
        </is>
      </c>
      <c r="H866" t="inlineStr">
        <is>
          <t>Systral Cream ใหญ่ (25 g.)</t>
        </is>
      </c>
      <c r="I866" t="inlineStr">
        <is>
          <t>ทาบางๆ บริเวณที่มีอาการ วันละ 3-4 ครั้ง</t>
        </is>
      </c>
      <c r="P866" t="inlineStr">
        <is>
          <t>Eczema/diaper rash / anti-itch topicals</t>
        </is>
      </c>
    </row>
    <row r="867">
      <c r="A867" t="n">
        <v>865</v>
      </c>
      <c r="B867" t="inlineStr">
        <is>
          <t>น้ำตาเทียม (D)</t>
        </is>
      </c>
      <c r="C867" t="n">
        <v>3904</v>
      </c>
      <c r="D867" t="inlineStr">
        <is>
          <t>Vidisic Gel</t>
        </is>
      </c>
      <c r="E867" t="inlineStr">
        <is>
          <t>หลอด 10 g.</t>
        </is>
      </c>
      <c r="F867" t="inlineStr">
        <is>
          <t>Carbomer 2 mg.+Cetrimide 0.1 mg.+Sorbitol+Sodium hydroxide +Water for injections/1 g.</t>
        </is>
      </c>
      <c r="G867" t="inlineStr">
        <is>
          <t>BDS003904</t>
        </is>
      </c>
      <c r="H867" t="inlineStr">
        <is>
          <t>Vidisic Gel (10 g.)</t>
        </is>
      </c>
      <c r="I867" t="inlineStr">
        <is>
          <t>ป้ายตา วันละ 3-5 ครั้ง</t>
        </is>
      </c>
      <c r="P867" t="inlineStr">
        <is>
          <t>Artificial tears / eye lubricants</t>
        </is>
      </c>
    </row>
    <row r="868">
      <c r="A868" t="n">
        <v>866</v>
      </c>
      <c r="B868" t="inlineStr">
        <is>
          <t>ยาหยอดหู (D)</t>
        </is>
      </c>
      <c r="C868" t="n">
        <v>42303</v>
      </c>
      <c r="D868" t="inlineStr">
        <is>
          <t>Docusate Earwax</t>
        </is>
      </c>
      <c r="E868" t="inlineStr">
        <is>
          <t>ขวด 15 ml.</t>
        </is>
      </c>
      <c r="F868" t="inlineStr">
        <is>
          <t>Docusate Sodium 5 mg./1 ml.</t>
        </is>
      </c>
      <c r="G868" t="inlineStr">
        <is>
          <t>BDS042303</t>
        </is>
      </c>
      <c r="H868" t="inlineStr">
        <is>
          <t>Docusate Earwax (15 ml.)</t>
        </is>
      </c>
      <c r="I868" t="inlineStr">
        <is>
          <t xml:space="preserve">หยอดยาลงในหู 5-10 หยด ทิ้งไว้ 15 นาที วันละ 2 ครั้ง หรือตามแพทย์สั่ง  </t>
        </is>
      </c>
    </row>
    <row r="869">
      <c r="A869" t="n">
        <v>867</v>
      </c>
      <c r="B869" t="inlineStr">
        <is>
          <t>ยาทารักษาหูด (D)</t>
        </is>
      </c>
      <c r="C869" t="n">
        <v>1102</v>
      </c>
      <c r="D869" t="inlineStr">
        <is>
          <t>Aldara</t>
        </is>
      </c>
      <c r="E869" t="inlineStr">
        <is>
          <t>ซอง 0.25 g.</t>
        </is>
      </c>
      <c r="F869" t="inlineStr">
        <is>
          <t>Imiquimod 5% w/w</t>
        </is>
      </c>
      <c r="G869" t="inlineStr">
        <is>
          <t>BDS001102</t>
        </is>
      </c>
      <c r="H869" t="inlineStr">
        <is>
          <t>Aldara (0.25 g.)</t>
        </is>
      </c>
      <c r="I869" t="inlineStr">
        <is>
          <t>ทาครีมที่หูด วันละ 1 ครั้ง ก่อนนอน สัปดาห์ละ 3 ครั้ง ต่อเนื่องจนกว่าหูดจะหลุด</t>
        </is>
      </c>
      <c r="P869" t="inlineStr">
        <is>
          <t>Wart treatment</t>
        </is>
      </c>
    </row>
    <row r="870">
      <c r="A870" t="n">
        <v>868</v>
      </c>
      <c r="B870" t="inlineStr">
        <is>
          <t>ยาทาแก้แพ้และฆ่าเชื้อแบคทีเรีย (D)</t>
        </is>
      </c>
      <c r="C870" t="n">
        <v>1236</v>
      </c>
      <c r="D870" t="inlineStr">
        <is>
          <t>Betagram ใหญ่</t>
        </is>
      </c>
      <c r="E870" t="inlineStr">
        <is>
          <t>หลอด 15 g.</t>
        </is>
      </c>
      <c r="F870" t="inlineStr">
        <is>
          <t>Betamethasone Valerate (eq. to Betamethasone 0.1%)+Gentamicin Sulfate (eq. to Gentamicin 0.1%)</t>
        </is>
      </c>
      <c r="G870" t="inlineStr">
        <is>
          <t>BDS001236</t>
        </is>
      </c>
      <c r="H870" t="inlineStr">
        <is>
          <t>Betagram ใหญ่ (15 g.)</t>
        </is>
      </c>
      <c r="I870" t="inlineStr">
        <is>
          <t>ทาครีมบางๆ บริเวณที่มีอาการวันละ 2-3 ครั้ง</t>
        </is>
      </c>
    </row>
    <row r="871">
      <c r="A871" t="n">
        <v>869</v>
      </c>
      <c r="B871" t="inlineStr">
        <is>
          <t>ยาทาแก้แพ้และฆ่าเชื้อแบคทีเรีย (D)</t>
        </is>
      </c>
      <c r="C871" t="n">
        <v>7505</v>
      </c>
      <c r="D871" t="inlineStr">
        <is>
          <t>Betatone-N Cream เล็ก</t>
        </is>
      </c>
      <c r="E871" t="inlineStr">
        <is>
          <t>หลอด 5 g.</t>
        </is>
      </c>
      <c r="F871" t="inlineStr">
        <is>
          <t>Betamethasone Valerate (eq. to Betamethasone 1 mg)+Neomycin Sulphate 5 mg (eq. to Neomycin 3 mg)/1 g</t>
        </is>
      </c>
      <c r="G871" t="inlineStr">
        <is>
          <t>BDS007505</t>
        </is>
      </c>
      <c r="H871" t="inlineStr">
        <is>
          <t>Betatone-N Cream เล็ก (5 g.)</t>
        </is>
      </c>
      <c r="I871" t="inlineStr">
        <is>
          <t>ทาครีมบางๆ บริเวณที่มีอาการ วันละ 2-3 ครั้ง</t>
        </is>
      </c>
    </row>
    <row r="872">
      <c r="A872" t="n">
        <v>870</v>
      </c>
      <c r="B872" t="inlineStr">
        <is>
          <t>ยาทาแก้แพ้และฆ่าเชื้อแบคทีเรีย (D)</t>
        </is>
      </c>
      <c r="C872" t="n">
        <v>7506</v>
      </c>
      <c r="D872" t="inlineStr">
        <is>
          <t>Betatone-N Cream ใหญ่</t>
        </is>
      </c>
      <c r="E872" t="inlineStr">
        <is>
          <t>หลอด 15 g.</t>
        </is>
      </c>
      <c r="F872" t="inlineStr">
        <is>
          <t>Betamethasone Valerate (eq. to Betamethasone 1 mg)+Neomycin Sulphate 5 mg (eq. to Neomycin 3 mg)/1 g</t>
        </is>
      </c>
      <c r="G872" t="inlineStr">
        <is>
          <t>BDS007506</t>
        </is>
      </c>
      <c r="H872" t="inlineStr">
        <is>
          <t>Betatone-N Cream ใหญ่ (15 g.)</t>
        </is>
      </c>
      <c r="I872" t="inlineStr">
        <is>
          <t>ทาครีมบางๆ บริเวณที่มีอาการ วันละ 2-3 ครั้ง</t>
        </is>
      </c>
    </row>
    <row r="873">
      <c r="A873" t="n">
        <v>871</v>
      </c>
      <c r="B873" t="inlineStr">
        <is>
          <t>ยาทาแก้แพ้และฆ่าเชื้อแบคทีเรีย (D)</t>
        </is>
      </c>
      <c r="C873" t="n">
        <v>1250</v>
      </c>
      <c r="D873" t="inlineStr">
        <is>
          <t>Betnovate-N Cream ใหญ่</t>
        </is>
      </c>
      <c r="E873" t="inlineStr">
        <is>
          <t>หลอด 15 g.</t>
        </is>
      </c>
      <c r="F873" t="inlineStr">
        <is>
          <t>Betamethasone 17-Valerate 0.1% w/w + Neomycin Sulphate 0.5% w/w</t>
        </is>
      </c>
      <c r="G873" t="inlineStr">
        <is>
          <t>BDS001250</t>
        </is>
      </c>
      <c r="H873" t="inlineStr">
        <is>
          <t>Betnovate-N Cream ใหญ่ (15 g.)</t>
        </is>
      </c>
      <c r="I873" t="inlineStr">
        <is>
          <t>ทาครีมบางๆ บริเวณที่มีอาการ วันละ 2-3 ครั้ง</t>
        </is>
      </c>
    </row>
    <row r="874">
      <c r="A874" t="n">
        <v>872</v>
      </c>
      <c r="B874" t="inlineStr">
        <is>
          <t>ยาทาแก้แพ้และฆ่าเชื้อแบคทีเรีย (D)</t>
        </is>
      </c>
      <c r="C874" t="n">
        <v>1908</v>
      </c>
      <c r="D874" t="inlineStr">
        <is>
          <t>Fucicort Cream</t>
        </is>
      </c>
      <c r="E874" t="inlineStr">
        <is>
          <t>หลอด 5 g.</t>
        </is>
      </c>
      <c r="F874" t="inlineStr">
        <is>
          <t>Fusidic acid 20 mg+Betamethasone Valerate (eq. to Betamethasone 1 mg)+Preservative (Chlorocresol)/1 g</t>
        </is>
      </c>
      <c r="G874" t="inlineStr">
        <is>
          <t>BDS001908</t>
        </is>
      </c>
      <c r="H874" t="inlineStr">
        <is>
          <t>Fucicort Cream (5 g.)</t>
        </is>
      </c>
      <c r="I874" t="inlineStr">
        <is>
          <t>ทาครีมบางๆ บริเวณที่มีอาการ วันละ 2-3 ครั้ง</t>
        </is>
      </c>
    </row>
    <row r="875">
      <c r="A875" t="n">
        <v>873</v>
      </c>
      <c r="B875" t="inlineStr">
        <is>
          <t>ยาทาแก้แพ้และฆ่าเชื้อแบคทีเรีย (D)</t>
        </is>
      </c>
      <c r="C875" t="n">
        <v>1910</v>
      </c>
      <c r="D875" t="inlineStr">
        <is>
          <t>Fucidin H Cream</t>
        </is>
      </c>
      <c r="E875" t="inlineStr">
        <is>
          <t>หลอด 5 g.</t>
        </is>
      </c>
      <c r="F875" t="inlineStr">
        <is>
          <t>Fusidic acid 20 mg+Hydrocortisone Acetate 10 mg+อื่นๆ/1 g</t>
        </is>
      </c>
      <c r="G875" t="inlineStr">
        <is>
          <t>BDS001910</t>
        </is>
      </c>
      <c r="H875" t="inlineStr">
        <is>
          <t>Fucidin H Cream (5 g.)</t>
        </is>
      </c>
      <c r="I875" t="inlineStr">
        <is>
          <t>ทาครีมบางๆ บริเวณที่มีอาการ วันละ 2-3 ครั้ง</t>
        </is>
      </c>
    </row>
    <row r="876">
      <c r="A876" t="n">
        <v>874</v>
      </c>
      <c r="B876" t="inlineStr">
        <is>
          <t>ยาทาแก้แพ้สูตรผสม (D)</t>
        </is>
      </c>
      <c r="C876" t="n">
        <v>1678</v>
      </c>
      <c r="D876" t="inlineStr">
        <is>
          <t>Dermacombin Cream</t>
        </is>
      </c>
      <c r="E876" t="inlineStr">
        <is>
          <t>หลอด 5 g.</t>
        </is>
      </c>
      <c r="F876" t="inlineStr">
        <is>
          <t>Nystatin 100,000 Units+Neomycin Sulphate (eq. to Neomycin 2.5 mg)+Gramicidin 0.25 mg+Triamcinolone Acetonide 1 mg/1 g</t>
        </is>
      </c>
      <c r="G876" t="inlineStr">
        <is>
          <t>BDS001678</t>
        </is>
      </c>
      <c r="H876" t="inlineStr">
        <is>
          <t>Dermacombin Cream (5 g.)</t>
        </is>
      </c>
      <c r="I876" t="inlineStr">
        <is>
          <t>ทาครีมบางๆ บริเวณผิวหนังที่เป็น วันละ 2-3 ครั้ง</t>
        </is>
      </c>
    </row>
    <row r="877">
      <c r="A877" t="n">
        <v>875</v>
      </c>
      <c r="B877" t="inlineStr">
        <is>
          <t>ยาทาแก้แพ้สูตรผสม (D)</t>
        </is>
      </c>
      <c r="C877" t="n">
        <v>1628</v>
      </c>
      <c r="D877" t="inlineStr">
        <is>
          <t>Dermaheu Cream เล็ก</t>
        </is>
      </c>
      <c r="E877" t="inlineStr">
        <is>
          <t>หลอด 5 g.</t>
        </is>
      </c>
      <c r="F877" t="inlineStr">
        <is>
          <t>Betamethasone Dipropionate (eq. to Betamethasone 0.05 g+Gentamicin Sulfate (eq. to Gentamicin 0.1 g)+Tolnaftate 1 g+Iodochlorhydroxyquin 1 g/100 g</t>
        </is>
      </c>
      <c r="G877" t="inlineStr">
        <is>
          <t>BDS001628</t>
        </is>
      </c>
      <c r="H877" t="inlineStr">
        <is>
          <t>Dermaheu Cream เล็ก (5 g.)</t>
        </is>
      </c>
      <c r="I877" t="inlineStr">
        <is>
          <t>ทาครีมบางๆ บริเวณผิวหนังที่เป็น วันละ 2-3 ครั้ง</t>
        </is>
      </c>
    </row>
    <row r="878">
      <c r="A878" t="n">
        <v>876</v>
      </c>
      <c r="B878" t="inlineStr">
        <is>
          <t>ยาทาแก้แพ้สูตรผสม (D)</t>
        </is>
      </c>
      <c r="C878" t="n">
        <v>1629</v>
      </c>
      <c r="D878" t="inlineStr">
        <is>
          <t>Dermaheu Cream ใหญ่</t>
        </is>
      </c>
      <c r="E878" t="inlineStr">
        <is>
          <t>หลอด 15 g.</t>
        </is>
      </c>
      <c r="F878" t="inlineStr">
        <is>
          <t>Betamethasone Dipropionate (eq. to Betamethasone 0.05 g+Gentamicin Sulfate (eq. to Gentamicin 0.1 g)+Tolnaftate 1 g+Iodochlorhydroxyquin 1 g/100 g</t>
        </is>
      </c>
      <c r="G878" t="inlineStr">
        <is>
          <t>BDS001629</t>
        </is>
      </c>
      <c r="H878" t="inlineStr">
        <is>
          <t>Dermaheu Cream ใหญ่ (15 g.)</t>
        </is>
      </c>
      <c r="I878" t="inlineStr">
        <is>
          <t>ทาครีมบางๆ บริเวณผิวหนังที่เป็น วันละ 2-3 ครั้ง</t>
        </is>
      </c>
    </row>
    <row r="879">
      <c r="A879" t="n">
        <v>877</v>
      </c>
      <c r="B879" t="inlineStr">
        <is>
          <t>ยาทาแก้แพ้สูตรผสม (D)</t>
        </is>
      </c>
      <c r="C879" t="n">
        <v>6718</v>
      </c>
      <c r="D879" t="inlineStr">
        <is>
          <t>Dertec Cream เล็ก</t>
        </is>
      </c>
      <c r="E879" t="inlineStr">
        <is>
          <t>หลอด 5 g.</t>
        </is>
      </c>
      <c r="F879" t="inlineStr">
        <is>
          <t>Betamethasone Valerate (eq. to Betamethasone 0.5 mg)+Gentamicin Sulfate (eq. to Gentamicin 1 mg)+Tolnaftate 10 mg+Iodochlorhydroxyquin 10 mg/1 g</t>
        </is>
      </c>
      <c r="G879" t="inlineStr">
        <is>
          <t>BDS006718</t>
        </is>
      </c>
      <c r="H879" t="inlineStr">
        <is>
          <t>Dertec Cream เล็ก (5 g.)</t>
        </is>
      </c>
      <c r="I879" t="inlineStr">
        <is>
          <t>ทาบางๆ บริเวณที่มีอาการ วันละ 2-3 ครั้ง หรือตามแพทย์สั่ง</t>
        </is>
      </c>
    </row>
    <row r="880">
      <c r="A880" t="n">
        <v>878</v>
      </c>
      <c r="B880" t="inlineStr">
        <is>
          <t>ยาทาแก้แพ้สูตรผสม (D)</t>
        </is>
      </c>
      <c r="C880" t="n">
        <v>6011</v>
      </c>
      <c r="D880" t="inlineStr">
        <is>
          <t>Dertec Cream ใหญ่</t>
        </is>
      </c>
      <c r="E880" t="inlineStr">
        <is>
          <t>หลอด 15 g.</t>
        </is>
      </c>
      <c r="F880" t="inlineStr">
        <is>
          <t>Betamethasone Valerate (eq. to Betamethasone 0.5 mg)+Gentamicin Sulfate (eq. to Gentamicin 1 mg)+Tolnaftate 10 mg+Iodochlorhydroxyquin 10 mg/1 g</t>
        </is>
      </c>
      <c r="G880" t="inlineStr">
        <is>
          <t>BDS006011</t>
        </is>
      </c>
      <c r="H880" t="inlineStr">
        <is>
          <t>Dertec Cream ใหญ่ (15 g.)</t>
        </is>
      </c>
      <c r="I880" t="inlineStr">
        <is>
          <t>ทาบางๆ บริเวณที่มีอาการ วันละ 2-3 ครั้ง หรือตามแพทย์สั่ง</t>
        </is>
      </c>
    </row>
    <row r="881">
      <c r="A881" t="n">
        <v>879</v>
      </c>
      <c r="B881" t="inlineStr">
        <is>
          <t>ยาทาแก้แพ้สูตรผสม (D)</t>
        </is>
      </c>
      <c r="C881" t="n">
        <v>3301</v>
      </c>
      <c r="D881" t="inlineStr">
        <is>
          <t>Quadriderm Cream เล็ก</t>
        </is>
      </c>
      <c r="E881" t="inlineStr">
        <is>
          <t>หลอด 5 g.</t>
        </is>
      </c>
      <c r="F881" t="inlineStr">
        <is>
          <t>Betamethasone Valerate (eq. to Betamethasone 0.5 mg)+Gentamicin Sulfate (eq. to Gentamicin 1 mg)+Tolnaftate 10 mg+Iodochlorhydroxyquin 10 mg/1 g</t>
        </is>
      </c>
      <c r="G881" t="inlineStr">
        <is>
          <t>BDS003301</t>
        </is>
      </c>
      <c r="H881" t="inlineStr">
        <is>
          <t>Quadriderm Cream เล็ก (5 g.)</t>
        </is>
      </c>
      <c r="I881" t="inlineStr">
        <is>
          <t>ทาครีมบางๆ บริเวณผิวหนังที่เป็น วันละ 2-3 ครั้ง</t>
        </is>
      </c>
    </row>
    <row r="882">
      <c r="A882" t="n">
        <v>880</v>
      </c>
      <c r="B882" t="inlineStr">
        <is>
          <t>ยาทาแก้แพ้สูตรผสม (D)</t>
        </is>
      </c>
      <c r="C882" t="n">
        <v>3302</v>
      </c>
      <c r="D882" t="inlineStr">
        <is>
          <t>Quadriderm Cream ใหญ่</t>
        </is>
      </c>
      <c r="E882" t="inlineStr">
        <is>
          <t>หลอด 15 g.</t>
        </is>
      </c>
      <c r="F882" t="inlineStr">
        <is>
          <t>Betamethasone Valerate (eq. to Betamethasone 0.5 mg)+Gentamicin Sulfate (eq. to Gentamicin 1 mg)+Tolnaftate 10 mg+Iodochlorhydroxyquin 10 mg/1 g</t>
        </is>
      </c>
      <c r="G882" t="inlineStr">
        <is>
          <t>BDS003302</t>
        </is>
      </c>
      <c r="H882" t="inlineStr">
        <is>
          <t>Quadriderm Cream ใหญ่ (15 g.)</t>
        </is>
      </c>
      <c r="I882" t="inlineStr">
        <is>
          <t>ทาครีมบางๆ บริเวณผิวหนังที่เป็น วันละ 2-3 ครั้ง</t>
        </is>
      </c>
    </row>
    <row r="883">
      <c r="A883" t="n">
        <v>881</v>
      </c>
      <c r="B883" t="inlineStr">
        <is>
          <t>ยาทาแก้แพ้, ผื่นผ้าอ้อม</t>
        </is>
      </c>
      <c r="C883" t="n">
        <v>1219</v>
      </c>
      <c r="D883" t="inlineStr">
        <is>
          <t>Bepanthen Ointment</t>
        </is>
      </c>
      <c r="E883" t="inlineStr">
        <is>
          <t>หลอด 30 g.</t>
        </is>
      </c>
      <c r="F883" t="inlineStr">
        <is>
          <t>Dexpanthenol 50 mg.</t>
        </is>
      </c>
      <c r="G883" t="inlineStr">
        <is>
          <t>BDS001219</t>
        </is>
      </c>
      <c r="H883" t="inlineStr">
        <is>
          <t>Bepanthen Ointment (30 g.)</t>
        </is>
      </c>
      <c r="I883" t="inlineStr">
        <is>
          <t xml:space="preserve">ทาทุกครั้งที่เปลี่ยนผ้าอ้อม ภายหลังจากได้ทำความสะอาดก้นเด็กด้วยการใช้น้ำ แล้วซับให้แห้ง </t>
        </is>
      </c>
      <c r="P883" t="inlineStr">
        <is>
          <t>Eczema/diaper rash / anti-itch topicals</t>
        </is>
      </c>
    </row>
    <row r="884">
      <c r="A884" t="n">
        <v>882</v>
      </c>
      <c r="B884" t="inlineStr">
        <is>
          <t>ยาทาแก้แพ้, ผื่นผ้าอ้อม</t>
        </is>
      </c>
      <c r="C884" t="n">
        <v>2806</v>
      </c>
      <c r="D884" t="inlineStr">
        <is>
          <t>Nappy-Hippo</t>
        </is>
      </c>
      <c r="E884" t="inlineStr">
        <is>
          <t>หลอด 25 g.</t>
        </is>
      </c>
      <c r="F884" t="inlineStr">
        <is>
          <t>Zinc Oxide 7.5 g./100 g.</t>
        </is>
      </c>
      <c r="G884" t="inlineStr">
        <is>
          <t>BDS002806</t>
        </is>
      </c>
      <c r="H884" t="inlineStr">
        <is>
          <t>Nappy-Hippo (25 g.)</t>
        </is>
      </c>
      <c r="I884" t="inlineStr">
        <is>
          <t>ทาครีมบางๆ บริเวณที่มีอาการ วันละ 3-4 ครั้ง</t>
        </is>
      </c>
      <c r="P884" t="inlineStr">
        <is>
          <t>Eczema/diaper rash / anti-itch topicals</t>
        </is>
      </c>
    </row>
    <row r="885">
      <c r="A885" t="n">
        <v>883</v>
      </c>
      <c r="B885" t="inlineStr">
        <is>
          <t>ยาพ่นและยาหยอดจมูก (D)</t>
        </is>
      </c>
      <c r="C885" t="n">
        <v>1009</v>
      </c>
      <c r="D885" t="inlineStr">
        <is>
          <t>Avamys</t>
        </is>
      </c>
      <c r="E885" t="inlineStr">
        <is>
          <t>ขวด 120 doses</t>
        </is>
      </c>
      <c r="F885" t="inlineStr">
        <is>
          <t>Fluticasone furoate 27.5 mcg/spray+Preservative (Benzalkonium Chloride)+อื่นๆ</t>
        </is>
      </c>
      <c r="G885" t="inlineStr">
        <is>
          <t>BDS001009</t>
        </is>
      </c>
      <c r="H885" t="inlineStr">
        <is>
          <t>Avamys (120 doses)</t>
        </is>
      </c>
      <c r="I885" t="inlineStr">
        <is>
          <t xml:space="preserve">พ่นเข้าจมูกข้างละ 1-2 ครั้ง วันละ 1 ครั้ง หรือตามแพทย์สั่ง </t>
        </is>
      </c>
    </row>
    <row r="886">
      <c r="A886" t="n">
        <v>884</v>
      </c>
      <c r="B886" t="inlineStr">
        <is>
          <t>ยาพ่นและยาหยอดจมูก (D)</t>
        </is>
      </c>
      <c r="C886" t="n">
        <v>40624</v>
      </c>
      <c r="D886" t="inlineStr">
        <is>
          <t>Busonase</t>
        </is>
      </c>
      <c r="E886" t="inlineStr">
        <is>
          <t>ขวด 6 ml.</t>
        </is>
      </c>
      <c r="F886" t="inlineStr">
        <is>
          <t>budesonide 1.28 mg/1 ml (64 mcg/dose)</t>
        </is>
      </c>
      <c r="G886" t="inlineStr">
        <is>
          <t>BDS040624</t>
        </is>
      </c>
      <c r="H886" t="inlineStr">
        <is>
          <t>Busonase (6 ml.)</t>
        </is>
      </c>
      <c r="I886" t="inlineStr">
        <is>
          <t xml:space="preserve">พ่นเข้าจมูกแต่ละข้าง 1-2 สเปรย์ วันละ 2 ครั้ง หรือตามแพทย์สั่ง </t>
        </is>
      </c>
    </row>
    <row r="887">
      <c r="A887" t="n">
        <v>885</v>
      </c>
      <c r="B887" t="inlineStr">
        <is>
          <t>ยาพ่นและยาหยอดจมูก (D)</t>
        </is>
      </c>
      <c r="C887" t="n">
        <v>2874</v>
      </c>
      <c r="D887" t="inlineStr">
        <is>
          <t>Nasacort AQ Spray Suspension</t>
        </is>
      </c>
      <c r="E887" t="inlineStr">
        <is>
          <t>ขวด 120 doses</t>
        </is>
      </c>
      <c r="F887" t="inlineStr">
        <is>
          <t>Triamcinolone Acetonide 9.075 mg/16.5 g (55 mcg/dose)+Preservative (Benzalkonium Chloride)+อื่นๆ</t>
        </is>
      </c>
      <c r="G887" t="inlineStr">
        <is>
          <t>BDS002874</t>
        </is>
      </c>
      <c r="H887" t="inlineStr">
        <is>
          <t>Nasacort AQ Spray Suspension (120 doses)</t>
        </is>
      </c>
      <c r="I887" t="inlineStr">
        <is>
          <t xml:space="preserve">พ่นเข้าจมูกข้างละ 1-2 ครั้ง วันละ 2 ครั้ง หรือตามแพทย์สั่ง </t>
        </is>
      </c>
    </row>
    <row r="888">
      <c r="A888" t="n">
        <v>886</v>
      </c>
      <c r="B888" t="inlineStr">
        <is>
          <t>ยาพ่นและยาหยอดจมูก (D)</t>
        </is>
      </c>
      <c r="C888" t="n">
        <v>45641</v>
      </c>
      <c r="D888" t="inlineStr">
        <is>
          <t>Nasol Nebuliser</t>
        </is>
      </c>
      <c r="E888" t="inlineStr">
        <is>
          <t>ขวด 15 ml.</t>
        </is>
      </c>
      <c r="F888" t="inlineStr">
        <is>
          <t>Naphazoline HCl 1 mg+Chlorpheniramine Maleate 2.5 mg/1 ml</t>
        </is>
      </c>
      <c r="G888" t="inlineStr">
        <is>
          <t>BDS045641</t>
        </is>
      </c>
      <c r="H888" t="inlineStr">
        <is>
          <t>Nasol Nebuliser (15 ml.)</t>
        </is>
      </c>
      <c r="I888" t="inlineStr">
        <is>
          <t xml:space="preserve">พ่นเข้าช่องจมูกข้างละ 1-2 สเปรย์ ทุก 4-6 ชั่วโมง หรือตามแพทย์สั่ง </t>
        </is>
      </c>
    </row>
    <row r="889">
      <c r="A889" t="n">
        <v>887</v>
      </c>
      <c r="B889" t="inlineStr">
        <is>
          <t>ยาพ่นและยาหยอดจมูก (D)</t>
        </is>
      </c>
      <c r="C889" t="n">
        <v>2807</v>
      </c>
      <c r="D889" t="inlineStr">
        <is>
          <t>Nasonex 140 doses</t>
        </is>
      </c>
      <c r="E889" t="inlineStr">
        <is>
          <t>ขวด 140 doses</t>
        </is>
      </c>
      <c r="F889" t="inlineStr">
        <is>
          <t>Mometasone Furoate Monohydrate (eq. to Mometasone Furoate 50 mcg/dose)+Preservative (Benzalkonium Chloride 0.2 mg/g)</t>
        </is>
      </c>
      <c r="G889" t="inlineStr">
        <is>
          <t>BDS002807</t>
        </is>
      </c>
      <c r="H889" t="inlineStr">
        <is>
          <t>Nasonex 140 doses (140 doses)</t>
        </is>
      </c>
      <c r="I889" t="inlineStr">
        <is>
          <t xml:space="preserve">ผู้ใหญ่พ่นเข้าจมูกข้างละ 2-4 สเปรย์ วันละ 1-2 ครั้ง หรือตามแพทย์สั่ง </t>
        </is>
      </c>
    </row>
    <row r="890">
      <c r="A890" t="n">
        <v>888</v>
      </c>
      <c r="B890" t="inlineStr">
        <is>
          <t>ยาพ่นและยาหยอดจมูก (D)</t>
        </is>
      </c>
      <c r="C890" t="n">
        <v>2805</v>
      </c>
      <c r="D890" t="inlineStr">
        <is>
          <t>Nasonex 60 doses</t>
        </is>
      </c>
      <c r="E890" t="inlineStr">
        <is>
          <t>ขวด 60 doses</t>
        </is>
      </c>
      <c r="F890" t="inlineStr">
        <is>
          <t>Mometasone Furoate Monohydrate (eq. to Mometasone Furoate 50 mcg/dose)+Preservative (Benzalkonium Chloride 0.2 mg/g)</t>
        </is>
      </c>
      <c r="G890" t="inlineStr">
        <is>
          <t>BDS002805</t>
        </is>
      </c>
      <c r="H890" t="inlineStr">
        <is>
          <t>Nasonex 60 doses (60 doses)</t>
        </is>
      </c>
      <c r="I890" t="inlineStr">
        <is>
          <t xml:space="preserve">ผู้ใหญ่พ่นเข้าจมูกข้างละ 2-4 สเปรย์ วันละ 1-2 ครั้ง หรือตามแพทย์สั่ง </t>
        </is>
      </c>
    </row>
    <row r="891">
      <c r="A891" t="n">
        <v>889</v>
      </c>
      <c r="B891" t="inlineStr">
        <is>
          <t>ยาพ่นและยาหยอดจมูก (D)</t>
        </is>
      </c>
      <c r="C891" t="n">
        <v>3432</v>
      </c>
      <c r="D891" t="inlineStr">
        <is>
          <t>Rhinocort Aqua</t>
        </is>
      </c>
      <c r="E891" t="inlineStr">
        <is>
          <t>ขวด 120 doses</t>
        </is>
      </c>
      <c r="F891" t="inlineStr">
        <is>
          <t>Budesonide 1.28 mg/1 ml (64 mcg/dose)</t>
        </is>
      </c>
      <c r="G891" t="inlineStr">
        <is>
          <t>BDS003432</t>
        </is>
      </c>
      <c r="H891" t="inlineStr">
        <is>
          <t>Rhinocort Aqua (120 doses)</t>
        </is>
      </c>
      <c r="I891" t="inlineStr">
        <is>
          <t xml:space="preserve">พ่นเข้าจมูกแต่ละข้าง 1-2 สเปรย์ วันละ 2 ครั้ง หรือตามแพทย์สั่ง </t>
        </is>
      </c>
    </row>
    <row r="892">
      <c r="A892" t="n">
        <v>890</v>
      </c>
      <c r="B892" t="inlineStr">
        <is>
          <t>ยาพ่นและยาหยอดจมูก</t>
        </is>
      </c>
      <c r="C892" t="n">
        <v>40080</v>
      </c>
      <c r="D892" t="inlineStr">
        <is>
          <t>Actavia</t>
        </is>
      </c>
      <c r="E892" t="inlineStr">
        <is>
          <t>ขวด 10 ml.</t>
        </is>
      </c>
      <c r="F892" t="inlineStr">
        <is>
          <t>Xylometazoline Hydrochloride 0.1% (1 mg./1 ml.)</t>
        </is>
      </c>
      <c r="G892" t="inlineStr">
        <is>
          <t>BDS040080</t>
        </is>
      </c>
      <c r="H892" t="inlineStr">
        <is>
          <t>Actavia (10 ml.)</t>
        </is>
      </c>
      <c r="I892" t="inlineStr">
        <is>
          <t xml:space="preserve">พ่นเข้าจมูก 1-2 สเปรย์ในจมูกแต่ละข้าง ทุก 8-10 ชั่วโมง </t>
        </is>
      </c>
    </row>
    <row r="893">
      <c r="A893" t="n">
        <v>891</v>
      </c>
      <c r="B893" t="inlineStr">
        <is>
          <t>ยาพ่นและยาหยอดจมูก</t>
        </is>
      </c>
      <c r="C893" t="n">
        <v>43102</v>
      </c>
      <c r="D893" t="inlineStr">
        <is>
          <t>Feenoze</t>
        </is>
      </c>
      <c r="E893" t="inlineStr">
        <is>
          <t>ขวด 20 ml.</t>
        </is>
      </c>
      <c r="F893" t="inlineStr">
        <is>
          <t>Oxymetazoline Hydrochloride 0.05% (0.5 mg./1 ml.).</t>
        </is>
      </c>
      <c r="G893" t="inlineStr">
        <is>
          <t>BDS043102</t>
        </is>
      </c>
      <c r="H893" t="inlineStr">
        <is>
          <t>Feenoze (20 ml.)</t>
        </is>
      </c>
      <c r="I893" t="inlineStr">
        <is>
          <t>พ่นจมูกข้างละ 1 ครั้ง วันละ 2-3 ครั้ง</t>
        </is>
      </c>
    </row>
    <row r="894">
      <c r="A894" t="n">
        <v>892</v>
      </c>
      <c r="B894" t="inlineStr">
        <is>
          <t>ยาพ่นและยาหยอดจมูก</t>
        </is>
      </c>
      <c r="C894" t="n">
        <v>2228</v>
      </c>
      <c r="D894" t="inlineStr">
        <is>
          <t>Iliadin 0.025% ชนิดหยด</t>
        </is>
      </c>
      <c r="E894" t="inlineStr">
        <is>
          <t>ขวด 10 ml.</t>
        </is>
      </c>
      <c r="F894" t="inlineStr">
        <is>
          <t>Oxymetazoline Hydrochloride 0.025% (0.25 mg./1 ml.)</t>
        </is>
      </c>
      <c r="G894" t="inlineStr">
        <is>
          <t>BDS002228</t>
        </is>
      </c>
      <c r="H894" t="inlineStr">
        <is>
          <t>Iliadin 0.025% ชนิดหยด (10 ml.)</t>
        </is>
      </c>
      <c r="I894" t="inlineStr">
        <is>
          <t xml:space="preserve">หยอดลงในช่องจมูกแต่ละข้างครั้งละ 1-2 หยด  วันละ 2-3 ครั้ง หรือตามแพทย์สั่ง </t>
        </is>
      </c>
    </row>
    <row r="895">
      <c r="A895" t="n">
        <v>893</v>
      </c>
      <c r="B895" t="inlineStr">
        <is>
          <t>ยาพ่นและยาหยอดจมูก</t>
        </is>
      </c>
      <c r="C895" t="n">
        <v>2209</v>
      </c>
      <c r="D895" t="inlineStr">
        <is>
          <t>Iliadin 0.05% ชนิดหยด</t>
        </is>
      </c>
      <c r="E895" t="inlineStr">
        <is>
          <t>ขวด 10 ml.</t>
        </is>
      </c>
      <c r="F895" t="inlineStr">
        <is>
          <t>Oxymetazoline Hydrochloride 0.05% (0.5 mg./1 ml.)</t>
        </is>
      </c>
      <c r="G895" t="inlineStr">
        <is>
          <t>BDS002209</t>
        </is>
      </c>
      <c r="H895" t="inlineStr">
        <is>
          <t>Iliadin 0.05% ชนิดหยด (10 ml.)</t>
        </is>
      </c>
      <c r="I895" t="inlineStr">
        <is>
          <t xml:space="preserve">หยอดลงในช่องจมูกแต่ละข้างครั้งละ 1-2 หยด  วันละ 2-3 ครั้ง หรือตามแพทย์สั่ง </t>
        </is>
      </c>
    </row>
    <row r="896">
      <c r="A896" t="n">
        <v>894</v>
      </c>
      <c r="B896" t="inlineStr">
        <is>
          <t>ยาพ่นและยาหยอดจมูก</t>
        </is>
      </c>
      <c r="C896" t="n">
        <v>2215</v>
      </c>
      <c r="D896" t="inlineStr">
        <is>
          <t>Iliadin Spray</t>
        </is>
      </c>
      <c r="E896" t="inlineStr">
        <is>
          <t>ขวด 10 ml.</t>
        </is>
      </c>
      <c r="F896" t="inlineStr">
        <is>
          <t>Oxymetazoline Hydrochloride 0.05% (0.5 mg./1 ml.)</t>
        </is>
      </c>
      <c r="G896" t="inlineStr">
        <is>
          <t>BDS002215</t>
        </is>
      </c>
      <c r="H896" t="inlineStr">
        <is>
          <t>Iliadin Spray (10 ml.)</t>
        </is>
      </c>
      <c r="I896" t="inlineStr">
        <is>
          <t xml:space="preserve">พ่นเข้าช่องจมูกข้างละ 1-2 สเปรย์ วันละ 2-3 ครั้ง หรือตามแพทย์สั่ง </t>
        </is>
      </c>
      <c r="K896" t="n">
        <v>262</v>
      </c>
      <c r="L896" t="n">
        <v>26.2</v>
      </c>
      <c r="M896" t="inlineStr">
        <is>
          <t>USER</t>
        </is>
      </c>
      <c r="N896" t="inlineStr">
        <is>
          <t>2026-02-07</t>
        </is>
      </c>
      <c r="O896" t="inlineStr">
        <is>
          <t>User provided price (online). Unit price is per mL (10 mL bottle).</t>
        </is>
      </c>
    </row>
    <row r="897">
      <c r="A897" t="n">
        <v>895</v>
      </c>
      <c r="B897" t="inlineStr">
        <is>
          <t>ยาพ่นและยาหยอดจมูก</t>
        </is>
      </c>
      <c r="C897" t="n">
        <v>2605</v>
      </c>
      <c r="D897" t="inlineStr">
        <is>
          <t>Mar Plus 5% Nasal Spray</t>
        </is>
      </c>
      <c r="E897" t="inlineStr">
        <is>
          <t>ขวด 20 ml.</t>
        </is>
      </c>
      <c r="F897" t="inlineStr">
        <is>
          <t>Dexpanthenol 50 mg.+Sodium Chloride 9 mg./1 ml.</t>
        </is>
      </c>
      <c r="G897" t="inlineStr">
        <is>
          <t>BDS002605</t>
        </is>
      </c>
      <c r="H897" t="inlineStr">
        <is>
          <t>Mar Plus 5% Nasal Spray (20 ml.)</t>
        </is>
      </c>
      <c r="I897" t="inlineStr">
        <is>
          <t>พ่นเข้าจมูกแต่ละข้าง 1-2 สเปรย์ วันละ 1 ครั้ง หรือตามแพทย์สั่ง</t>
        </is>
      </c>
    </row>
    <row r="898">
      <c r="A898" t="n">
        <v>896</v>
      </c>
      <c r="B898" t="inlineStr">
        <is>
          <t>ยาพ่นและยาหยอดจมูก</t>
        </is>
      </c>
      <c r="C898" t="n">
        <v>7191</v>
      </c>
      <c r="D898" t="inlineStr">
        <is>
          <t>Metzodin</t>
        </is>
      </c>
      <c r="E898" t="inlineStr">
        <is>
          <t>ขวด 10 ml.</t>
        </is>
      </c>
      <c r="F898" t="inlineStr">
        <is>
          <t>Oxymetazoline Hydrochloride 0.05% (0.05 g./100 ml.)</t>
        </is>
      </c>
      <c r="G898" t="inlineStr">
        <is>
          <t>BDS007191</t>
        </is>
      </c>
      <c r="H898" t="inlineStr">
        <is>
          <t>Metzodin (10 ml.)</t>
        </is>
      </c>
      <c r="I898" t="inlineStr">
        <is>
          <t xml:space="preserve">พ่นจมูกข้างละ 2-3 สเปรย์ วันละ ทุก 10-12 ชั่วโมง หรือตามแพทย์สั่ง  </t>
        </is>
      </c>
    </row>
    <row r="899">
      <c r="A899" t="n">
        <v>897</v>
      </c>
      <c r="B899" t="inlineStr">
        <is>
          <t>ยาพ่นและยาหยอดจมูก</t>
        </is>
      </c>
      <c r="C899" t="n">
        <v>2813</v>
      </c>
      <c r="D899" t="inlineStr">
        <is>
          <t>Nasaline-ISO</t>
        </is>
      </c>
      <c r="E899" t="inlineStr">
        <is>
          <t>ขวด 30 ml.</t>
        </is>
      </c>
      <c r="F899" t="inlineStr">
        <is>
          <t>Dexpanthenol 10 mg.+Sodium Chloride 9 mg./1 ml.</t>
        </is>
      </c>
      <c r="G899" t="inlineStr">
        <is>
          <t>BDS002813</t>
        </is>
      </c>
      <c r="H899" t="inlineStr">
        <is>
          <t>Nasaline-ISO (30 ml.)</t>
        </is>
      </c>
      <c r="I899" t="inlineStr">
        <is>
          <t>พ่นเข้าจมูกแต่ละข้าง ข้างละ 1-2 สเปรย์ วันละ 1-2 ครั้ง หรือตามแพทย์สั่ง</t>
        </is>
      </c>
      <c r="K899" t="n">
        <v>96</v>
      </c>
      <c r="L899" t="n">
        <v>96</v>
      </c>
      <c r="M899" t="inlineStr">
        <is>
          <t>https://vcare-plus.com/nasaline-iso-30-ml/</t>
        </is>
      </c>
      <c r="N899" t="inlineStr">
        <is>
          <t>2026-02-07</t>
        </is>
      </c>
      <c r="O899" t="inlineStr">
        <is>
          <t>Retail price shown (30 ml bottle).</t>
        </is>
      </c>
    </row>
    <row r="900">
      <c r="A900" t="n">
        <v>898</v>
      </c>
      <c r="B900" t="inlineStr">
        <is>
          <t>ยาพ่นและยาหยอดจมูก</t>
        </is>
      </c>
      <c r="C900" t="n">
        <v>3019</v>
      </c>
      <c r="D900" t="inlineStr">
        <is>
          <t>Otrivin 0.1%</t>
        </is>
      </c>
      <c r="E900" t="inlineStr">
        <is>
          <t>ขวด 10 ml.</t>
        </is>
      </c>
      <c r="F900" t="inlineStr">
        <is>
          <t>Xylometazoline Hydrochloride 0.1% (1 mg./1 ml.)</t>
        </is>
      </c>
      <c r="G900" t="inlineStr">
        <is>
          <t>BDS003019</t>
        </is>
      </c>
      <c r="H900" t="inlineStr">
        <is>
          <t>Otrivin 0.1% (10 ml.)</t>
        </is>
      </c>
      <c r="I900" t="inlineStr">
        <is>
          <t xml:space="preserve">พ่นเข้าจมูกแต่ละข้าง 1 สเปรย์ วันละ 3 ครั้ง หรือตามแพทย์สั่ง </t>
        </is>
      </c>
      <c r="K900" t="n">
        <v>244</v>
      </c>
      <c r="L900" t="n">
        <v>24.4</v>
      </c>
      <c r="M900" t="inlineStr">
        <is>
          <t>USER</t>
        </is>
      </c>
      <c r="N900" t="inlineStr">
        <is>
          <t>2026-02-07</t>
        </is>
      </c>
      <c r="O900" t="inlineStr">
        <is>
          <t>User provided price (online). Unit price per mL (10 mL bottle).</t>
        </is>
      </c>
    </row>
    <row r="901">
      <c r="A901" t="n">
        <v>899</v>
      </c>
      <c r="B901" t="inlineStr">
        <is>
          <t>ยาพ่นและยาหยอดจมูก</t>
        </is>
      </c>
      <c r="C901" t="n">
        <v>3105</v>
      </c>
      <c r="D901" t="inlineStr">
        <is>
          <t>Otrivin Child Spray 0.05%</t>
        </is>
      </c>
      <c r="E901" t="inlineStr">
        <is>
          <t>ขวด 10 ml.</t>
        </is>
      </c>
      <c r="F901" t="inlineStr">
        <is>
          <t>Xylometazoline Hydrochloride 0.05% (0.5 mg./1 ml.)</t>
        </is>
      </c>
      <c r="G901" t="inlineStr">
        <is>
          <t>BDS003105</t>
        </is>
      </c>
      <c r="H901" t="inlineStr">
        <is>
          <t>Otrivin Child Spray 0.05% (10 ml.)</t>
        </is>
      </c>
      <c r="I901" t="inlineStr">
        <is>
          <t xml:space="preserve">พ่นเข้าจมูกแต่ละข้าง 1 สเปรย์ วันละ 1-2 ครั้ง หรือตามแพทย์สั่ง </t>
        </is>
      </c>
      <c r="K901" t="n">
        <v>244</v>
      </c>
      <c r="L901" t="n">
        <v>24.4</v>
      </c>
      <c r="M901" t="inlineStr">
        <is>
          <t>USER</t>
        </is>
      </c>
      <c r="N901" t="inlineStr">
        <is>
          <t>2026-02-07</t>
        </is>
      </c>
      <c r="O901" t="inlineStr">
        <is>
          <t>User provided price (Otrivin Child Spray 10 ml).</t>
        </is>
      </c>
    </row>
    <row r="902">
      <c r="A902" t="n">
        <v>900</v>
      </c>
      <c r="B902" t="inlineStr">
        <is>
          <t>ยาพ่นคอ</t>
        </is>
      </c>
      <c r="C902" t="n">
        <v>40610</v>
      </c>
      <c r="D902" t="inlineStr">
        <is>
          <t>Betadine Throat Spray 12 ml</t>
        </is>
      </c>
      <c r="E902" t="inlineStr">
        <is>
          <t>ขวด 12 ml.</t>
        </is>
      </c>
      <c r="F902" t="inlineStr">
        <is>
          <t>Povidone-Iodine 4.5 mg./1 ml.</t>
        </is>
      </c>
      <c r="G902" t="inlineStr">
        <is>
          <t>BDS040610</t>
        </is>
      </c>
      <c r="H902" t="inlineStr">
        <is>
          <t>Betadine Throat Spray 12 ml (12 ml.)</t>
        </is>
      </c>
      <c r="I902" t="inlineStr">
        <is>
          <t xml:space="preserve">ฉีดพ่น 2-3 ครั้ง ที่บริเวณช่องปากและลำคอ เมื่อมีอาการ </t>
        </is>
      </c>
      <c r="J902" t="inlineStr">
        <is>
          <t xml:space="preserve">Spray 2-3 times on the mouth and throat area. </t>
        </is>
      </c>
    </row>
    <row r="903">
      <c r="A903" t="n">
        <v>901</v>
      </c>
      <c r="B903" t="inlineStr">
        <is>
          <t>ยาพ่นคอ</t>
        </is>
      </c>
      <c r="C903" t="n">
        <v>40617</v>
      </c>
      <c r="D903" t="inlineStr">
        <is>
          <t>Betadine Throat Spray 25 ml</t>
        </is>
      </c>
      <c r="E903" t="inlineStr">
        <is>
          <t>ขวด 25 ml.</t>
        </is>
      </c>
      <c r="F903" t="inlineStr">
        <is>
          <t>Povidone-Iodine 4.5 mg./1 ml.</t>
        </is>
      </c>
      <c r="G903" t="inlineStr">
        <is>
          <t>BDS040617</t>
        </is>
      </c>
      <c r="H903" t="inlineStr">
        <is>
          <t>Betadine Throat Spray 25 ml (25 ml.)</t>
        </is>
      </c>
      <c r="I903" t="inlineStr">
        <is>
          <t xml:space="preserve">ฉีดพ่น 2-3 ครั้ง ที่บริเวณช่องปากและลำคอ เมื่อมีอาการ </t>
        </is>
      </c>
      <c r="J903" t="inlineStr">
        <is>
          <t xml:space="preserve">Spray 2-3 times on the mouth and throat area. </t>
        </is>
      </c>
    </row>
    <row r="904">
      <c r="A904" t="n">
        <v>902</v>
      </c>
      <c r="B904" t="inlineStr">
        <is>
          <t>ยาพ่นคอ</t>
        </is>
      </c>
      <c r="C904" t="n">
        <v>2411</v>
      </c>
      <c r="D904" t="inlineStr">
        <is>
          <t>Kamillosan-M Spray</t>
        </is>
      </c>
      <c r="E904" t="inlineStr">
        <is>
          <t>ขวด 15 ml.</t>
        </is>
      </c>
      <c r="F904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G904" t="inlineStr">
        <is>
          <t>BDS002411</t>
        </is>
      </c>
      <c r="H904" t="inlineStr">
        <is>
          <t>Kamillosan-M Spray (15 ml.)</t>
        </is>
      </c>
      <c r="I904" t="inlineStr">
        <is>
          <t>กดหัวพ่นฉีดครั้งละ 2 ที ในบริเวณช่องปากและลำคอ วันละ 3 ครั้ง</t>
        </is>
      </c>
      <c r="K904" t="n">
        <v>163.5</v>
      </c>
      <c r="L904" t="n">
        <v>10.9</v>
      </c>
      <c r="M904" t="inlineStr">
        <is>
          <t>USER</t>
        </is>
      </c>
      <c r="N904" t="inlineStr">
        <is>
          <t>2026-02-07</t>
        </is>
      </c>
      <c r="O904" t="inlineStr">
        <is>
          <t>User provided price (online). Unit price per mL (15 mL bottle).</t>
        </is>
      </c>
    </row>
    <row r="905">
      <c r="A905" t="n">
        <v>903</v>
      </c>
      <c r="B905" t="inlineStr">
        <is>
          <t>ยาพ่นคอ</t>
        </is>
      </c>
      <c r="C905" t="n">
        <v>68420</v>
      </c>
      <c r="D905" t="inlineStr">
        <is>
          <t>สเปรย์แก้ไอตราตะขาบ 5 ตัว</t>
        </is>
      </c>
      <c r="E905" t="inlineStr">
        <is>
          <t>ขวด 20 ml.</t>
        </is>
      </c>
      <c r="F905" t="inlineStr">
        <is>
          <t>โง้วปวยจี้+ชะเอมเทศ+รากบัวหลวง+เฮ้งยิ้ง+เง็กเต็ก+แบะตงและอื่นๆ</t>
        </is>
      </c>
      <c r="G905" t="inlineStr">
        <is>
          <t>BDS068420</t>
        </is>
      </c>
      <c r="H905" t="inlineStr">
        <is>
          <t>สเปรย์แก้ไอตราตะขาบ 5 ตัว (20 ml.)</t>
        </is>
      </c>
      <c r="I905" t="inlineStr">
        <is>
          <t xml:space="preserve">พ่นสเปรย์บริเวณช่องปาก วันละ 2-3 ครั้ง หรือตามต้องการ </t>
        </is>
      </c>
    </row>
    <row r="906">
      <c r="A906" t="n">
        <v>904</v>
      </c>
      <c r="B906" t="inlineStr">
        <is>
          <t>ยาพ่นขยายหลอดลม (D)</t>
        </is>
      </c>
      <c r="C906" t="n">
        <v>40000</v>
      </c>
      <c r="D906" t="inlineStr">
        <is>
          <t>Aerobidol Inhaler</t>
        </is>
      </c>
      <c r="E906" t="inlineStr">
        <is>
          <t>ขวด 200 doses</t>
        </is>
      </c>
      <c r="F906" t="inlineStr">
        <is>
          <t>Ipratropium Bromide Monohydrate (eq. to Ipratropium Bromide Anhydrous 20 ug.+Fenoterol Hydrobromide 50 ug./dose</t>
        </is>
      </c>
      <c r="G906" t="inlineStr">
        <is>
          <t>BDS040000</t>
        </is>
      </c>
      <c r="H906" t="inlineStr">
        <is>
          <t>Aerobidol Inhaler (200 doses)</t>
        </is>
      </c>
      <c r="I906" t="inlineStr">
        <is>
          <t>พ่นยาเข้าทางปากครั้งละ 1-2 ครั้ง เมื่อมีอาการหอบหืด หรือตามแพทย์สั่ง</t>
        </is>
      </c>
    </row>
    <row r="907">
      <c r="A907" t="n">
        <v>905</v>
      </c>
      <c r="B907" t="inlineStr">
        <is>
          <t>ยาพ่นขยายหลอดลม (D)</t>
        </is>
      </c>
      <c r="C907" t="n">
        <v>1033</v>
      </c>
      <c r="D907" t="inlineStr">
        <is>
          <t>Aerotamol 100 mcg</t>
        </is>
      </c>
      <c r="E907" t="inlineStr">
        <is>
          <t>ขวด 200 doses</t>
        </is>
      </c>
      <c r="F907" t="inlineStr">
        <is>
          <t>Salbutamol Sulphate (eq. to Salbutamol 100 mcg./dose)</t>
        </is>
      </c>
      <c r="G907" t="inlineStr">
        <is>
          <t>BDS001033</t>
        </is>
      </c>
      <c r="H907" t="inlineStr">
        <is>
          <t>Aerotamol 100 mcg (200 doses)</t>
        </is>
      </c>
      <c r="I907" t="inlineStr">
        <is>
          <t>พ่นเข้าทางปากครั้งละ 1-2 สเปรย์ วันละ 1-3 ครั้ง หรือตามแพทย์สั่ง</t>
        </is>
      </c>
    </row>
    <row r="908">
      <c r="A908" t="n">
        <v>906</v>
      </c>
      <c r="B908" t="inlineStr">
        <is>
          <t>ยาพ่นขยายหลอดลม (D)</t>
        </is>
      </c>
      <c r="C908" t="n">
        <v>1235</v>
      </c>
      <c r="D908" t="inlineStr">
        <is>
          <t>Berodual Metered Doses</t>
        </is>
      </c>
      <c r="E908" t="inlineStr">
        <is>
          <t>ขวด 10 ml.</t>
        </is>
      </c>
      <c r="F908" t="inlineStr">
        <is>
          <t>Ipratropium Bromide Monohydrate 21 mcg. (eq. to Ipratropium Bromide Anhydrous 20 ug.+Fenoterol Hydrobromide 50 mcg./dose</t>
        </is>
      </c>
      <c r="G908" t="inlineStr">
        <is>
          <t>BDS001235</t>
        </is>
      </c>
      <c r="H908" t="inlineStr">
        <is>
          <t>Berodual Metered Doses (10 ml.)</t>
        </is>
      </c>
      <c r="I908" t="inlineStr">
        <is>
          <t>พ่นเข้าทางปากครั้งละ 1-2 ครั้ง เมื่อมีอาการหอบหืด หรือตามแพทย์สั่ง</t>
        </is>
      </c>
    </row>
    <row r="909">
      <c r="A909" t="n">
        <v>907</v>
      </c>
      <c r="B909" t="inlineStr">
        <is>
          <t>ยาพ่นขยายหลอดลม (D)</t>
        </is>
      </c>
      <c r="C909" t="n">
        <v>4009</v>
      </c>
      <c r="D909" t="inlineStr">
        <is>
          <t>Ventolin Evohaler</t>
        </is>
      </c>
      <c r="E909" t="inlineStr">
        <is>
          <t>ขวด 200 MET</t>
        </is>
      </c>
      <c r="F909" t="inlineStr">
        <is>
          <t>Salbutamol Sulphate (eq. to Salbutamol 100 mcg./dose)</t>
        </is>
      </c>
      <c r="G909" t="inlineStr">
        <is>
          <t>BDS004009</t>
        </is>
      </c>
      <c r="H909" t="inlineStr">
        <is>
          <t>Ventolin Evohaler (200 doses)</t>
        </is>
      </c>
      <c r="I909" t="inlineStr">
        <is>
          <t xml:space="preserve">พ่นเข้าทางปากครั้งละ 1-2 สเปรย์ วันละ 1-3 ครั้ง หรือตามแพทย์สั่ง </t>
        </is>
      </c>
    </row>
    <row r="910">
      <c r="A910" t="n">
        <v>908</v>
      </c>
      <c r="B910" t="inlineStr">
        <is>
          <t>ยาพ่นคอ (D)</t>
        </is>
      </c>
      <c r="C910" t="n">
        <v>6462</v>
      </c>
      <c r="D910" t="inlineStr">
        <is>
          <t>Difflam Forte Spray</t>
        </is>
      </c>
      <c r="E910" t="inlineStr">
        <is>
          <t>ขวด 15 ml.</t>
        </is>
      </c>
      <c r="F910" t="inlineStr">
        <is>
          <t>Benzydamine Hydrochloride 3 mg.+Ethanol+Saccharin Sodium+Methyl Hydroxybenzoate+Glycerol+PEG-40 Hydrogenated castor oil/ml.</t>
        </is>
      </c>
      <c r="G910" t="inlineStr">
        <is>
          <t>BDS006462</t>
        </is>
      </c>
      <c r="H910" t="inlineStr">
        <is>
          <t>Difflam Forte Spray (15 ml.)</t>
        </is>
      </c>
      <c r="I910" t="inlineStr">
        <is>
          <t xml:space="preserve">พ่นยาครั้งละ 2-4 ที บริเวณที่ปวดหรืออักเสบโดยตรงและกลืนเบาๆ หรือตามแพทย์สั่ง  </t>
        </is>
      </c>
      <c r="K910" t="n">
        <v>529</v>
      </c>
      <c r="L910" t="n">
        <v>35.27</v>
      </c>
      <c r="M910" t="inlineStr">
        <is>
          <t>USER</t>
        </is>
      </c>
      <c r="N910" t="inlineStr">
        <is>
          <t>2026-02-07</t>
        </is>
      </c>
      <c r="O910" t="inlineStr">
        <is>
          <t>User provided price (online). Unit price is per mL (15 mL bottle).</t>
        </is>
      </c>
    </row>
    <row r="911">
      <c r="A911" t="n">
        <v>909</v>
      </c>
      <c r="B911" t="inlineStr">
        <is>
          <t>เจลและครีมรักษาอาการฟกช้ำ</t>
        </is>
      </c>
      <c r="C911" t="n">
        <v>3439</v>
      </c>
      <c r="D911" t="inlineStr">
        <is>
          <t>Reparil-Gel N เล็ก</t>
        </is>
      </c>
      <c r="E911" t="inlineStr">
        <is>
          <t>หลอด 20 g.</t>
        </is>
      </c>
      <c r="F911" t="inlineStr">
        <is>
          <t>Aescin 1.0 g.+Diethylamine Salicylate 5.0 g./100 g.</t>
        </is>
      </c>
      <c r="G911" t="inlineStr">
        <is>
          <t>BDS003439</t>
        </is>
      </c>
      <c r="H911" t="inlineStr">
        <is>
          <t>Reparil-Gel N เล็ก (20 g.)</t>
        </is>
      </c>
      <c r="I911" t="inlineStr">
        <is>
          <t>ทาหรือนวดบริเวณที่มีอาการ วันละ 2-3 ครั้ง หรือตามแพทย์สั่ง</t>
        </is>
      </c>
    </row>
    <row r="912">
      <c r="A912" t="n">
        <v>910</v>
      </c>
      <c r="B912" t="inlineStr">
        <is>
          <t>เจลและครีมรักษาอาการฟกช้ำ</t>
        </is>
      </c>
      <c r="C912" t="n">
        <v>3408</v>
      </c>
      <c r="D912" t="inlineStr">
        <is>
          <t>Reparil-Gel N ใหญ่</t>
        </is>
      </c>
      <c r="E912" t="inlineStr">
        <is>
          <t>หลอด 40 g.</t>
        </is>
      </c>
      <c r="F912" t="inlineStr">
        <is>
          <t>Aescin 1.0 g.+Diethylamine Salicylate 5.0 g./100 g.</t>
        </is>
      </c>
      <c r="G912" t="inlineStr">
        <is>
          <t>BDS003408</t>
        </is>
      </c>
      <c r="H912" t="inlineStr">
        <is>
          <t>Reparil-Gel N ใหญ่ (40 g.)</t>
        </is>
      </c>
      <c r="I912" t="inlineStr">
        <is>
          <t>ทาหรือนวดบริเวณที่มีอาการ วันละ 2-3 ครั้ง หรือตามแพทย์สั่ง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BDS code</t>
        </is>
      </c>
      <c r="B1" s="1" t="inlineStr">
        <is>
          <t>Market name</t>
        </is>
      </c>
      <c r="C1" s="1" t="inlineStr">
        <is>
          <t>Generic</t>
        </is>
      </c>
      <c r="D1" s="1" t="inlineStr">
        <is>
          <t>Pack size</t>
        </is>
      </c>
      <c r="E1" s="1" t="inlineStr">
        <is>
          <t>Est pack price (THB)</t>
        </is>
      </c>
      <c r="F1" s="1" t="inlineStr">
        <is>
          <t>Est unit price (THB)</t>
        </is>
      </c>
      <c r="G1" s="1" t="inlineStr">
        <is>
          <t>Source URL</t>
        </is>
      </c>
      <c r="H1" s="1" t="inlineStr">
        <is>
          <t>Date checked</t>
        </is>
      </c>
      <c r="I1" s="1" t="inlineStr">
        <is>
          <t>Notes</t>
        </is>
      </c>
    </row>
    <row r="2">
      <c r="A2" t="inlineStr">
        <is>
          <t>BDS001271</t>
        </is>
      </c>
      <c r="B2" t="inlineStr">
        <is>
          <t>Biocalm</t>
        </is>
      </c>
      <c r="C2" t="inlineStr">
        <is>
          <t>Tolperisone 50 mg.</t>
        </is>
      </c>
      <c r="D2" t="inlineStr">
        <is>
          <t>แผง 10 เม็ด</t>
        </is>
      </c>
      <c r="E2" t="n">
        <v>80</v>
      </c>
      <c r="F2" t="n">
        <v>8</v>
      </c>
      <c r="G2" t="inlineStr">
        <is>
          <t>USER</t>
        </is>
      </c>
      <c r="H2" t="inlineStr">
        <is>
          <t>2026-02-07</t>
        </is>
      </c>
      <c r="I2" t="inlineStr">
        <is>
          <t>User provided price (Biocalm 10 tabs).</t>
        </is>
      </c>
    </row>
    <row r="3">
      <c r="A3" t="inlineStr">
        <is>
          <t>BDS006462</t>
        </is>
      </c>
      <c r="B3" t="inlineStr">
        <is>
          <t>Difflam Forte Spray</t>
        </is>
      </c>
      <c r="C3" t="inlineStr">
        <is>
          <t>Benzydamine Hydrochloride 3 mg.+Ethanol+Saccharin Sodium+Methyl Hydroxybenzoate+Glycerol+PEG-40 Hydrogenated castor oil/ml.</t>
        </is>
      </c>
      <c r="D3" t="inlineStr">
        <is>
          <t>ขวด 15 ml.</t>
        </is>
      </c>
      <c r="E3" t="n">
        <v>529</v>
      </c>
      <c r="F3" t="n">
        <v>35.27</v>
      </c>
      <c r="G3" t="inlineStr">
        <is>
          <t>USER</t>
        </is>
      </c>
      <c r="H3" t="inlineStr">
        <is>
          <t>2026-02-07</t>
        </is>
      </c>
      <c r="I3" t="inlineStr">
        <is>
          <t>User provided price (online). Unit price is per mL (15 mL bottle).</t>
        </is>
      </c>
    </row>
    <row r="4">
      <c r="A4" t="inlineStr">
        <is>
          <t>BDS001618</t>
        </is>
      </c>
      <c r="B4" t="inlineStr">
        <is>
          <t>Duran</t>
        </is>
      </c>
      <c r="C4" t="inlineStr">
        <is>
          <t>Ibuprofen 400 mg.</t>
        </is>
      </c>
      <c r="D4" t="inlineStr">
        <is>
          <t>กล่อง 10 เม็ด</t>
        </is>
      </c>
      <c r="E4" t="n">
        <v>30</v>
      </c>
      <c r="F4" t="n">
        <v>3</v>
      </c>
      <c r="G4" t="inlineStr">
        <is>
          <t>https://www.migrainethailand.com/ibuprofen-migraine/</t>
        </is>
      </c>
      <c r="H4" t="inlineStr">
        <is>
          <t>2026-02-07</t>
        </is>
      </c>
      <c r="I4" t="inlineStr">
        <is>
          <t>Estimated midpoint from Thai retail range 25–34 THB per 10 tablets (generic ibuprofen 400 mg).</t>
        </is>
      </c>
    </row>
    <row r="5">
      <c r="A5" t="inlineStr">
        <is>
          <t>BDS002042</t>
        </is>
      </c>
      <c r="B5" t="inlineStr">
        <is>
          <t>Gofen 400</t>
        </is>
      </c>
      <c r="C5" t="inlineStr">
        <is>
          <t>Ibuprofen 400 mg.+Polyethylene 400+Porpylene Glycol</t>
        </is>
      </c>
      <c r="D5" t="inlineStr">
        <is>
          <t>กล่อง 10 แคปซูล</t>
        </is>
      </c>
      <c r="E5" t="n">
        <v>177</v>
      </c>
      <c r="F5" t="n">
        <v>17.7</v>
      </c>
      <c r="G5" t="inlineStr">
        <is>
          <t>USER</t>
        </is>
      </c>
      <c r="H5" t="inlineStr">
        <is>
          <t>2026-02-07</t>
        </is>
      </c>
      <c r="I5" t="inlineStr">
        <is>
          <t>User provided price (Gofen 400 10 caps).</t>
        </is>
      </c>
    </row>
    <row r="6">
      <c r="A6" t="inlineStr">
        <is>
          <t>BDS002211</t>
        </is>
      </c>
      <c r="B6" t="inlineStr">
        <is>
          <t>Icolid (ควบคุมจำนวน)</t>
        </is>
      </c>
      <c r="C6" t="inlineStr">
        <is>
          <t>Dextromethorphan HBr 15 mg.</t>
        </is>
      </c>
      <c r="D6" t="inlineStr">
        <is>
          <t>แผง 10 เม็ด</t>
        </is>
      </c>
      <c r="E6" t="n">
        <v>50</v>
      </c>
      <c r="F6" t="n">
        <v>5</v>
      </c>
      <c r="G6" t="inlineStr">
        <is>
          <t>USER</t>
        </is>
      </c>
      <c r="H6" t="inlineStr">
        <is>
          <t>2026-02-07</t>
        </is>
      </c>
      <c r="I6" t="inlineStr">
        <is>
          <t>User provided price (online). Unit price per tablet (10 tabs pack).</t>
        </is>
      </c>
    </row>
    <row r="7">
      <c r="A7" t="inlineStr">
        <is>
          <t>BDS002652</t>
        </is>
      </c>
      <c r="B7" t="inlineStr">
        <is>
          <t>Mydocalm</t>
        </is>
      </c>
      <c r="C7" t="inlineStr">
        <is>
          <t>Tolperisone 50 mg.</t>
        </is>
      </c>
      <c r="D7" t="inlineStr">
        <is>
          <t>แผง 10 เม็ด</t>
        </is>
      </c>
      <c r="E7" t="n">
        <v>58</v>
      </c>
      <c r="F7" t="n">
        <v>5.8</v>
      </c>
      <c r="G7" t="inlineStr">
        <is>
          <t>https://bigya.co.th/product-detail/320</t>
        </is>
      </c>
      <c r="H7" t="inlineStr">
        <is>
          <t>2026-02-07</t>
        </is>
      </c>
      <c r="I7" t="inlineStr">
        <is>
          <t>Retail price at BIGYA (strip 10 tablets).</t>
        </is>
      </c>
    </row>
    <row r="8">
      <c r="A8" t="inlineStr">
        <is>
          <t>BDS002701</t>
        </is>
      </c>
      <c r="B8" t="inlineStr">
        <is>
          <t>Myonal 50 mg</t>
        </is>
      </c>
      <c r="C8" t="inlineStr">
        <is>
          <t>Eperisone hydrochloride 50 mg.</t>
        </is>
      </c>
      <c r="D8" t="inlineStr">
        <is>
          <t>แผง 10 เม็ด</t>
        </is>
      </c>
      <c r="E8" t="n">
        <v>116.6666666666667</v>
      </c>
      <c r="F8" t="n">
        <v>11.66666666666667</v>
      </c>
      <c r="G8" t="inlineStr">
        <is>
          <t>https://medtide.com/meds/pain-and-inflammation/muscle-relaxants/eperisone-myonal-50-mg-30-tablets-box/</t>
        </is>
      </c>
      <c r="H8" t="inlineStr">
        <is>
          <t>2026-02-07</t>
        </is>
      </c>
      <c r="I8" t="inlineStr">
        <is>
          <t>Derived from Medtide price 350 THB per box (30 tablets = 3 strips). Entered per-strip estimate.</t>
        </is>
      </c>
    </row>
    <row r="9">
      <c r="A9" t="inlineStr">
        <is>
          <t>BDS002813</t>
        </is>
      </c>
      <c r="B9" t="inlineStr">
        <is>
          <t>Nasaline-ISO</t>
        </is>
      </c>
      <c r="C9" t="inlineStr">
        <is>
          <t>Dexpanthenol 10 mg.+Sodium Chloride 9 mg./1 ml.</t>
        </is>
      </c>
      <c r="D9" t="inlineStr">
        <is>
          <t>ขวด 30 ml.</t>
        </is>
      </c>
      <c r="E9" t="n">
        <v>96</v>
      </c>
      <c r="F9" t="n">
        <v>96</v>
      </c>
      <c r="G9" t="inlineStr">
        <is>
          <t>https://vcare-plus.com/nasaline-iso-30-ml/</t>
        </is>
      </c>
      <c r="H9" t="inlineStr">
        <is>
          <t>2026-02-07</t>
        </is>
      </c>
      <c r="I9" t="inlineStr">
        <is>
          <t>Retail price shown (30 ml bottle).</t>
        </is>
      </c>
    </row>
    <row r="10">
      <c r="A10" t="inlineStr">
        <is>
          <t>BDS045600</t>
        </is>
      </c>
      <c r="B10" t="inlineStr">
        <is>
          <t>Nurofen Zavance</t>
        </is>
      </c>
      <c r="C10" t="inlineStr">
        <is>
          <t>Ibuprofen 400 mg</t>
        </is>
      </c>
      <c r="D10" t="inlineStr">
        <is>
          <t>กล่อง 10 แคปซูล</t>
        </is>
      </c>
      <c r="E10" t="n">
        <v>178</v>
      </c>
      <c r="F10" t="n">
        <v>17.8</v>
      </c>
      <c r="G10" t="inlineStr">
        <is>
          <t>https://bigya.co.th/product-detail/343</t>
        </is>
      </c>
      <c r="H10" t="inlineStr">
        <is>
          <t>2026-02-07</t>
        </is>
      </c>
      <c r="I10" t="inlineStr">
        <is>
          <t>Retail price at BIGYA (strip 10 softgel capsules).</t>
        </is>
      </c>
    </row>
    <row r="11">
      <c r="A11" t="inlineStr">
        <is>
          <t>BDS003019</t>
        </is>
      </c>
      <c r="B11" t="inlineStr">
        <is>
          <t>Otrivin 0.1%</t>
        </is>
      </c>
      <c r="C11" t="inlineStr">
        <is>
          <t>Xylometazoline Hydrochloride 0.1% (1 mg./1 ml.)</t>
        </is>
      </c>
      <c r="D11" t="inlineStr">
        <is>
          <t>ขวด 10 ml.</t>
        </is>
      </c>
      <c r="E11" t="n">
        <v>244</v>
      </c>
      <c r="F11" t="n">
        <v>24.4</v>
      </c>
      <c r="G11" t="inlineStr">
        <is>
          <t>USER</t>
        </is>
      </c>
      <c r="H11" t="inlineStr">
        <is>
          <t>2026-02-07</t>
        </is>
      </c>
      <c r="I11" t="inlineStr">
        <is>
          <t>User provided price (online). Unit price per mL (10 mL bottle).</t>
        </is>
      </c>
    </row>
    <row r="12">
      <c r="A12" t="inlineStr">
        <is>
          <t>BDS003747</t>
        </is>
      </c>
      <c r="B12" t="inlineStr">
        <is>
          <t>Telfast 180 mg</t>
        </is>
      </c>
      <c r="C12" t="inlineStr">
        <is>
          <t>Fexofenadine HCl 180 mg.</t>
        </is>
      </c>
      <c r="D12" t="inlineStr">
        <is>
          <t>กล่อง 10 เม็ด</t>
        </is>
      </c>
      <c r="E12" t="n">
        <v>500</v>
      </c>
      <c r="F12" t="n">
        <v>50</v>
      </c>
      <c r="G12" t="inlineStr">
        <is>
          <t>USER</t>
        </is>
      </c>
      <c r="H12" t="inlineStr">
        <is>
          <t>2026-02-07</t>
        </is>
      </c>
      <c r="I12" t="inlineStr">
        <is>
          <t>User provided price (online). Unit price per tablet (10 tabs pack).</t>
        </is>
      </c>
    </row>
    <row r="13">
      <c r="A13" t="inlineStr">
        <is>
          <t>BDS003762</t>
        </is>
      </c>
      <c r="B13" t="inlineStr">
        <is>
          <t>Tylenol 500 mg strip 10s</t>
        </is>
      </c>
      <c r="C13" t="inlineStr">
        <is>
          <t>Paracetamol 500 mg.</t>
        </is>
      </c>
      <c r="D13" t="inlineStr">
        <is>
          <t>แผง 10 เม็ด</t>
        </is>
      </c>
      <c r="E13" t="n">
        <v>36</v>
      </c>
      <c r="F13" t="n">
        <v>3.6</v>
      </c>
      <c r="G13" t="inlineStr">
        <is>
          <t>USER</t>
        </is>
      </c>
      <c r="H13" t="inlineStr">
        <is>
          <t>2026-02-07</t>
        </is>
      </c>
      <c r="I13" t="inlineStr">
        <is>
          <t>User provided price (online). Unit price per tablet (10 tabs strip).</t>
        </is>
      </c>
    </row>
    <row r="14">
      <c r="A14" t="inlineStr">
        <is>
          <t>BDS004043</t>
        </is>
      </c>
      <c r="B14" t="inlineStr">
        <is>
          <t>Voltaren Emulgel กลาง</t>
        </is>
      </c>
      <c r="C14" t="inlineStr">
        <is>
          <t>Diclofenac Sodium 1 g./100 g.</t>
        </is>
      </c>
      <c r="D14" t="inlineStr">
        <is>
          <t>หลอด 25 g.</t>
        </is>
      </c>
      <c r="E14" t="n">
        <v>235</v>
      </c>
      <c r="F14" t="n">
        <v>235</v>
      </c>
      <c r="G14" t="inlineStr">
        <is>
          <t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t>
        </is>
      </c>
      <c r="H14" t="inlineStr">
        <is>
          <t>2026-02-07</t>
        </is>
      </c>
      <c r="I14" t="inlineStr">
        <is>
          <t>Page shows 25 g variant; price fields are inconsistent—used 235 THB as best visible pack price.</t>
        </is>
      </c>
    </row>
    <row r="15">
      <c r="A15" t="inlineStr">
        <is>
          <t>BDS002215</t>
        </is>
      </c>
      <c r="B15" t="inlineStr">
        <is>
          <t>Iliadin Spray</t>
        </is>
      </c>
      <c r="C15" t="inlineStr">
        <is>
          <t>Oxymetazoline Hydrochloride 0.05% (0.5 mg./1 ml.)</t>
        </is>
      </c>
      <c r="D15" t="inlineStr">
        <is>
          <t>ขวด 10 ml.</t>
        </is>
      </c>
      <c r="E15" t="n">
        <v>262</v>
      </c>
      <c r="F15" t="n">
        <v>26.2</v>
      </c>
      <c r="G15" t="inlineStr">
        <is>
          <t>USER</t>
        </is>
      </c>
      <c r="H15" t="inlineStr">
        <is>
          <t>2026-02-07</t>
        </is>
      </c>
      <c r="I15" t="inlineStr">
        <is>
          <t>User provided price (online). Unit price is per mL (10 mL bottle).</t>
        </is>
      </c>
    </row>
    <row r="16">
      <c r="A16" t="inlineStr">
        <is>
          <t>BDS004213</t>
        </is>
      </c>
      <c r="B16" t="inlineStr">
        <is>
          <t>Zyrtec</t>
        </is>
      </c>
      <c r="C16" t="inlineStr">
        <is>
          <t>Cetirizine dihydrochloride 10 mg.</t>
        </is>
      </c>
      <c r="D16" t="inlineStr">
        <is>
          <t>กล่อง 10 เม็ด</t>
        </is>
      </c>
      <c r="E16" t="n">
        <v>216</v>
      </c>
      <c r="F16" t="n">
        <v>21.6</v>
      </c>
      <c r="G16" t="inlineStr">
        <is>
          <t>USER</t>
        </is>
      </c>
      <c r="H16" t="inlineStr">
        <is>
          <t>2026-02-07</t>
        </is>
      </c>
      <c r="I16" t="inlineStr">
        <is>
          <t>User provided price (online). Unit price is per tablet (10-tab box).</t>
        </is>
      </c>
    </row>
    <row r="17">
      <c r="A17" t="inlineStr">
        <is>
          <t>BDS002901</t>
        </is>
      </c>
      <c r="B17" t="inlineStr">
        <is>
          <t>Nac Long</t>
        </is>
      </c>
      <c r="C17" t="inlineStr">
        <is>
          <t>Acetylcysteine 600 mg.</t>
        </is>
      </c>
      <c r="D17" t="inlineStr">
        <is>
          <t>หลอด 10 เม็ด</t>
        </is>
      </c>
      <c r="E17" t="n">
        <v>270</v>
      </c>
      <c r="F17" t="n">
        <v>27</v>
      </c>
      <c r="G17" t="inlineStr">
        <is>
          <t>USER</t>
        </is>
      </c>
      <c r="H17" t="inlineStr">
        <is>
          <t>2026-02-07</t>
        </is>
      </c>
      <c r="I17" t="inlineStr">
        <is>
          <t>User provided price (online). Unit price is per tablet (10-tab tube).</t>
        </is>
      </c>
    </row>
    <row r="18">
      <c r="A18" t="inlineStr">
        <is>
          <t>BDS002411</t>
        </is>
      </c>
      <c r="B18" t="inlineStr">
        <is>
          <t>Kamillosan-M Spray</t>
        </is>
      </c>
      <c r="C18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D18" t="inlineStr">
        <is>
          <t>ขวด 15 ml.</t>
        </is>
      </c>
      <c r="E18" t="n">
        <v>296</v>
      </c>
      <c r="F18" t="n">
        <v>19.73</v>
      </c>
      <c r="G18" t="inlineStr">
        <is>
          <t>USER</t>
        </is>
      </c>
      <c r="H18" t="inlineStr">
        <is>
          <t>2026-02-17</t>
        </is>
      </c>
      <c r="I18" t="inlineStr">
        <is>
          <t>User provided price (Kamillosan-M Spray 15 ml). Unit price is per ml.</t>
        </is>
      </c>
    </row>
    <row r="19">
      <c r="A19" t="inlineStr">
        <is>
          <t>BDS003590</t>
        </is>
      </c>
      <c r="B19" t="inlineStr">
        <is>
          <t>Strepsils Honey &amp; Lemon HHR ซอง 8s</t>
        </is>
      </c>
      <c r="C19" t="inlineStr">
        <is>
          <t>2,4-Dichlorobenzyl Alcohol 1.2 mg.+Amylmetacresol 0.6 mg.</t>
        </is>
      </c>
      <c r="D19" t="inlineStr">
        <is>
          <t>ซอง 8 เม็ด</t>
        </is>
      </c>
      <c r="E19" t="n">
        <v>120</v>
      </c>
      <c r="F19" t="n">
        <v>15</v>
      </c>
      <c r="G19" t="inlineStr">
        <is>
          <t>USER</t>
        </is>
      </c>
      <c r="H19" t="inlineStr">
        <is>
          <t>2026-02-07</t>
        </is>
      </c>
      <c r="I19" t="inlineStr">
        <is>
          <t>User provided price (online). Unit price per lozenge (8 tabs pack).</t>
        </is>
      </c>
    </row>
    <row r="20">
      <c r="A20" t="inlineStr">
        <is>
          <t>BDS003914</t>
        </is>
      </c>
      <c r="B20" t="inlineStr">
        <is>
          <t>Uniren Spray</t>
        </is>
      </c>
      <c r="C20" t="inlineStr">
        <is>
          <t>Diclofenac Sodium 1 % w/w</t>
        </is>
      </c>
      <c r="D20" t="inlineStr">
        <is>
          <t>ขวด 60 ml.</t>
        </is>
      </c>
      <c r="E20" t="n">
        <v>346</v>
      </c>
      <c r="F20" t="n">
        <v>5.77</v>
      </c>
      <c r="G20" t="inlineStr">
        <is>
          <t>USER</t>
        </is>
      </c>
      <c r="H20" t="inlineStr">
        <is>
          <t>2026-02-07</t>
        </is>
      </c>
      <c r="I20" t="inlineStr">
        <is>
          <t>User provided price (Uniren Spray 60 ml).</t>
        </is>
      </c>
    </row>
    <row r="21">
      <c r="A21" t="inlineStr">
        <is>
          <t>BDS001473</t>
        </is>
      </c>
      <c r="B21" t="inlineStr">
        <is>
          <t>Counterpain ใหญ่</t>
        </is>
      </c>
      <c r="C21" t="inlineStr">
        <is>
          <t>Menthol 5.44%+Methyl Salicylate 10.2%+Eugenol 1.36%</t>
        </is>
      </c>
      <c r="D21" t="inlineStr">
        <is>
          <t>หลอด 120 g.</t>
        </is>
      </c>
      <c r="E21" t="n">
        <v>300</v>
      </c>
      <c r="F21" t="n">
        <v>2.5</v>
      </c>
      <c r="G21" t="inlineStr">
        <is>
          <t>USER</t>
        </is>
      </c>
      <c r="H21" t="inlineStr">
        <is>
          <t>2026-02-07</t>
        </is>
      </c>
      <c r="I21" t="inlineStr">
        <is>
          <t>User provided price (Counterpain 120 g).</t>
        </is>
      </c>
    </row>
    <row r="22">
      <c r="A22" t="inlineStr">
        <is>
          <t>BDS045630</t>
        </is>
      </c>
      <c r="B22" t="inlineStr">
        <is>
          <t>Nasotapp</t>
        </is>
      </c>
      <c r="C22" t="inlineStr">
        <is>
          <t>Brompheniramine Maleate 4 mg.+Phenylephrine HCl 10 mg.</t>
        </is>
      </c>
      <c r="D22" t="inlineStr">
        <is>
          <t>แผง 10 เม็ด</t>
        </is>
      </c>
      <c r="E22" t="n">
        <v>116</v>
      </c>
      <c r="F22" t="n">
        <v>11.6</v>
      </c>
      <c r="G22" t="inlineStr">
        <is>
          <t>USER</t>
        </is>
      </c>
      <c r="H22" t="inlineStr">
        <is>
          <t>2026-02-07</t>
        </is>
      </c>
      <c r="I22" t="inlineStr">
        <is>
          <t>User provided price (Nasotapp 10 tabs).</t>
        </is>
      </c>
    </row>
    <row r="23">
      <c r="A23" t="inlineStr">
        <is>
          <t>BDS003105</t>
        </is>
      </c>
      <c r="B23" t="inlineStr">
        <is>
          <t>Otrivin Child Spray 0.05%</t>
        </is>
      </c>
      <c r="C23" t="inlineStr">
        <is>
          <t>Xylometazoline Hydrochloride 0.05% (0.5 mg./1 ml.)</t>
        </is>
      </c>
      <c r="D23" t="inlineStr">
        <is>
          <t>ขวด 10 ml.</t>
        </is>
      </c>
      <c r="E23" t="n">
        <v>244</v>
      </c>
      <c r="F23" t="n">
        <v>24.4</v>
      </c>
      <c r="G23" t="inlineStr">
        <is>
          <t>USER</t>
        </is>
      </c>
      <c r="H23" t="inlineStr">
        <is>
          <t>2026-02-07</t>
        </is>
      </c>
      <c r="I23" t="inlineStr">
        <is>
          <t>User provided price (Otrivin Child Spray 10 ml).</t>
        </is>
      </c>
    </row>
    <row r="24">
      <c r="A24" t="inlineStr">
        <is>
          <t>BDS002655</t>
        </is>
      </c>
      <c r="B24" t="inlineStr">
        <is>
          <t>Mucolid</t>
        </is>
      </c>
      <c r="C24" t="inlineStr">
        <is>
          <t>Ambroxol HCl 30 mg.</t>
        </is>
      </c>
      <c r="D24" t="inlineStr">
        <is>
          <t>แผง 10 เม็ด</t>
        </is>
      </c>
      <c r="E24" t="n">
        <v>90</v>
      </c>
      <c r="F24" t="n">
        <v>9</v>
      </c>
      <c r="G24" t="inlineStr">
        <is>
          <t>USER</t>
        </is>
      </c>
      <c r="H24" t="inlineStr">
        <is>
          <t>2026-02-07</t>
        </is>
      </c>
      <c r="I24" t="inlineStr">
        <is>
          <t>User provided price (Mucolid 10 tabs).</t>
        </is>
      </c>
    </row>
    <row r="25">
      <c r="A25" t="inlineStr">
        <is>
          <t>BDS001010</t>
        </is>
      </c>
      <c r="B25" t="inlineStr">
        <is>
          <t>Aerius tabslet</t>
        </is>
      </c>
      <c r="C25" t="inlineStr">
        <is>
          <t>Desloratadine 5 mg.</t>
        </is>
      </c>
      <c r="D25" t="inlineStr">
        <is>
          <t>กล่อง 10 เม็ด</t>
        </is>
      </c>
      <c r="E25" t="n">
        <v>620</v>
      </c>
      <c r="F25" t="n">
        <v>62</v>
      </c>
      <c r="G25" t="inlineStr">
        <is>
          <t>USER</t>
        </is>
      </c>
      <c r="H25" t="inlineStr">
        <is>
          <t>2026-02-07</t>
        </is>
      </c>
      <c r="I25" t="inlineStr">
        <is>
          <t>User provided price (Aerius tabslet 10 tabs).</t>
        </is>
      </c>
    </row>
    <row r="26">
      <c r="A26" t="inlineStr">
        <is>
          <t>BDS048630</t>
        </is>
      </c>
      <c r="B26" t="inlineStr">
        <is>
          <t>TA 0.1% Lotion</t>
        </is>
      </c>
      <c r="C26" t="inlineStr">
        <is>
          <t>Triamcinolone Acetonide 0.1 g/100 g (0.1 % w/w)</t>
        </is>
      </c>
      <c r="D26" t="inlineStr">
        <is>
          <t>ขวด 30 g.</t>
        </is>
      </c>
      <c r="E26" t="n">
        <v>116</v>
      </c>
      <c r="F26" t="n">
        <v>3.87</v>
      </c>
      <c r="G26" t="inlineStr">
        <is>
          <t>USER</t>
        </is>
      </c>
      <c r="H26" t="inlineStr">
        <is>
          <t>2026-02-07</t>
        </is>
      </c>
      <c r="I26" t="inlineStr">
        <is>
          <t>User provided price (TA 0.1% Lotion 30 g).</t>
        </is>
      </c>
    </row>
    <row r="27">
      <c r="A27" t="inlineStr">
        <is>
          <t>BDS001632</t>
        </is>
      </c>
      <c r="B27" t="inlineStr">
        <is>
          <t>DexOph Eye-Ear Drops</t>
        </is>
      </c>
      <c r="C27" t="inlineStr">
        <is>
          <t>Dexamethasone Sodium Phosphate (eq. to Dexamethasone Phosphate 0.1 %)+Neomycin Sulfate 0.5% (eq. to Neomycin Base 0.35 %)/1 ml.</t>
        </is>
      </c>
      <c r="D27" t="inlineStr">
        <is>
          <t>ขวด 4 ml.</t>
        </is>
      </c>
      <c r="E27" t="n">
        <v>120</v>
      </c>
      <c r="F27" t="n">
        <v>30</v>
      </c>
      <c r="G27" t="inlineStr">
        <is>
          <t>USER</t>
        </is>
      </c>
      <c r="H27" t="inlineStr">
        <is>
          <t>2026-02-07</t>
        </is>
      </c>
      <c r="I27" t="inlineStr">
        <is>
          <t>User provided price (DexOph Eye-Ear Drops 4 ml).</t>
        </is>
      </c>
    </row>
    <row r="28">
      <c r="A28" t="inlineStr">
        <is>
          <t>BDS044322</t>
        </is>
      </c>
      <c r="B28" t="inlineStr">
        <is>
          <t>Klean &amp; Kare Saline ใหญ่</t>
        </is>
      </c>
      <c r="C28" t="inlineStr">
        <is>
          <t>Sodium Chloride 0.9 g./100 ml.</t>
        </is>
      </c>
      <c r="D28" t="inlineStr">
        <is>
          <t>ขวด 1000 ml.</t>
        </is>
      </c>
      <c r="E28" t="n">
        <v>129</v>
      </c>
      <c r="F28" t="n">
        <v>0.13</v>
      </c>
      <c r="G28" t="inlineStr">
        <is>
          <t>USER</t>
        </is>
      </c>
      <c r="H28" t="inlineStr">
        <is>
          <t>2026-02-17</t>
        </is>
      </c>
      <c r="I28" t="inlineStr">
        <is>
          <t>User provided price (Klean &amp; Kare Saline ใหญ่ 1000 ml). Unit price is per ml.</t>
        </is>
      </c>
    </row>
    <row r="29">
      <c r="A29" t="inlineStr">
        <is>
          <t>BDS002201</t>
        </is>
      </c>
      <c r="B29" t="inlineStr">
        <is>
          <t>Ibiamox 500 mg</t>
        </is>
      </c>
      <c r="C29" t="inlineStr">
        <is>
          <t>Amoxicillin 500 mg.</t>
        </is>
      </c>
      <c r="D29" t="inlineStr">
        <is>
          <t>แผง 10 แคปซูล</t>
        </is>
      </c>
      <c r="E29" t="n">
        <v>110</v>
      </c>
      <c r="F29" t="n">
        <v>11</v>
      </c>
      <c r="G29" t="inlineStr">
        <is>
          <t>USER</t>
        </is>
      </c>
      <c r="H29" t="inlineStr">
        <is>
          <t>2026-02-17</t>
        </is>
      </c>
      <c r="I29" t="inlineStr">
        <is>
          <t>User provided price (Ibiamox 500 mg 10 caps). Unit price is per cap.</t>
        </is>
      </c>
    </row>
    <row r="30">
      <c r="A30" t="inlineStr">
        <is>
          <t>BDS002033</t>
        </is>
      </c>
      <c r="B30" t="inlineStr">
        <is>
          <t>Gaviscon Dual Action sachet 10 ml</t>
        </is>
      </c>
      <c r="C30" t="inlineStr">
        <is>
          <t>Sodium alginate 500 mg.+Sodium bicarbonate 213 mg.+Calcium carbonate 325 mg.</t>
        </is>
      </c>
      <c r="D30" t="inlineStr">
        <is>
          <t>ซอง 10 ml.</t>
        </is>
      </c>
      <c r="E30" t="n">
        <v>75</v>
      </c>
      <c r="F30" t="n">
        <v>7.5</v>
      </c>
      <c r="G30" t="inlineStr">
        <is>
          <t>USER</t>
        </is>
      </c>
      <c r="H30" t="inlineStr">
        <is>
          <t>2026-02-17</t>
        </is>
      </c>
      <c r="I30" t="inlineStr">
        <is>
          <t>User provided price (Gaviscon Dual Action sachet 10 ml 10 ml). Unit price is per ml.</t>
        </is>
      </c>
    </row>
    <row r="31">
      <c r="A31" t="inlineStr">
        <is>
          <t>BDS001233</t>
        </is>
      </c>
      <c r="B31" t="inlineStr">
        <is>
          <t>Bioflor Capsule</t>
        </is>
      </c>
      <c r="C31" t="inlineStr">
        <is>
          <t>Lyophilized Saccharomyces boulardii 250 mg.</t>
        </is>
      </c>
      <c r="D31" t="inlineStr">
        <is>
          <t>แผง 5 แคปซูล</t>
        </is>
      </c>
      <c r="E31" t="n">
        <v>321</v>
      </c>
      <c r="F31" t="n">
        <v>64.2</v>
      </c>
      <c r="G31" t="inlineStr">
        <is>
          <t>USER</t>
        </is>
      </c>
      <c r="H31" t="inlineStr">
        <is>
          <t>2026-02-17</t>
        </is>
      </c>
      <c r="I31" t="inlineStr">
        <is>
          <t>User provided price (Bioflor Capsule 5 caps). Unit price is per cap.</t>
        </is>
      </c>
    </row>
    <row r="32">
      <c r="A32" t="inlineStr">
        <is>
          <t>BDS001014</t>
        </is>
      </c>
      <c r="B32" t="inlineStr">
        <is>
          <t>Air-X</t>
        </is>
      </c>
      <c r="C32" t="inlineStr">
        <is>
          <t>Simethicone 80 mg.</t>
        </is>
      </c>
      <c r="D32" t="inlineStr">
        <is>
          <t>แผง 10 เม็ด</t>
        </is>
      </c>
      <c r="E32" t="n">
        <v>57</v>
      </c>
      <c r="F32" t="n">
        <v>5.7</v>
      </c>
      <c r="G32" t="inlineStr">
        <is>
          <t>USER</t>
        </is>
      </c>
      <c r="H32" t="inlineStr">
        <is>
          <t>2026-02-17</t>
        </is>
      </c>
      <c r="I32" t="inlineStr">
        <is>
          <t>User provided price (Air-X 10 tabs). Unit price is per tab.</t>
        </is>
      </c>
    </row>
    <row r="33">
      <c r="A33" t="inlineStr">
        <is>
          <t>BDS007742</t>
        </is>
      </c>
      <c r="B33" t="inlineStr">
        <is>
          <t>Mucobrox</t>
        </is>
      </c>
      <c r="C33" t="inlineStr">
        <is>
          <t>Ambroxol HCl 30 mg./5 ml.</t>
        </is>
      </c>
      <c r="D33" t="inlineStr">
        <is>
          <t>ขวด 60 ml.</t>
        </is>
      </c>
      <c r="E33" t="n">
        <v>100</v>
      </c>
      <c r="F33" t="n">
        <v>1.67</v>
      </c>
      <c r="G33" t="inlineStr">
        <is>
          <t>USER</t>
        </is>
      </c>
      <c r="H33" t="inlineStr">
        <is>
          <t>2026-02-17</t>
        </is>
      </c>
      <c r="I33" t="inlineStr">
        <is>
          <t>User provided price (Mucobrox 60 ml). Unit price is per ml.</t>
        </is>
      </c>
    </row>
    <row r="34">
      <c r="A34" t="inlineStr">
        <is>
          <t>BDS004212</t>
        </is>
      </c>
      <c r="B34" t="inlineStr">
        <is>
          <t>Zyrtec Syrup</t>
        </is>
      </c>
      <c r="C34" t="inlineStr">
        <is>
          <t>Cetirizine 2HCI 1 mg./1 ml.</t>
        </is>
      </c>
      <c r="D34" t="inlineStr">
        <is>
          <t>ขวด 75 ml.</t>
        </is>
      </c>
      <c r="E34" t="n">
        <v>250</v>
      </c>
      <c r="F34" t="n">
        <v>3.33</v>
      </c>
      <c r="G34" t="inlineStr">
        <is>
          <t>USER</t>
        </is>
      </c>
      <c r="H34" t="inlineStr">
        <is>
          <t>2026-02-17</t>
        </is>
      </c>
      <c r="I34" t="inlineStr">
        <is>
          <t>User provided price (Zyrtec Syrup 75 ml). Unit price is per ml.</t>
        </is>
      </c>
    </row>
    <row r="35">
      <c r="A35" t="inlineStr">
        <is>
          <t>BDS040630</t>
        </is>
      </c>
      <c r="B35" t="inlineStr">
        <is>
          <t>Bilaxten</t>
        </is>
      </c>
      <c r="C35" t="inlineStr">
        <is>
          <t>Bilastine 20 mg.</t>
        </is>
      </c>
      <c r="D35" t="inlineStr">
        <is>
          <t>กล่อง 10 เม็ด</t>
        </is>
      </c>
      <c r="E35" t="n">
        <v>378</v>
      </c>
      <c r="F35" t="n">
        <v>37.8</v>
      </c>
      <c r="G35" t="inlineStr">
        <is>
          <t>USER</t>
        </is>
      </c>
      <c r="H35" t="inlineStr">
        <is>
          <t>2026-02-17</t>
        </is>
      </c>
      <c r="I35" t="inlineStr">
        <is>
          <t>User provided price (Bilaxten 10 tabs). Unit price is per tab.</t>
        </is>
      </c>
    </row>
    <row r="36">
      <c r="A36" t="inlineStr">
        <is>
          <t>BDS001009</t>
        </is>
      </c>
      <c r="B36" t="inlineStr">
        <is>
          <t>Avamys</t>
        </is>
      </c>
      <c r="C36" t="inlineStr">
        <is>
          <t>Fluticasone furoate 27.5 mcg/spray+Preservative (Benzalkonium Chloride)+อื่นๆ</t>
        </is>
      </c>
      <c r="D36" t="inlineStr">
        <is>
          <t>ขวด 120 doses</t>
        </is>
      </c>
      <c r="E36" t="n">
        <v>905</v>
      </c>
      <c r="F36" t="n">
        <v>7.54</v>
      </c>
      <c r="G36" t="inlineStr">
        <is>
          <t>USER</t>
        </is>
      </c>
      <c r="H36" t="inlineStr">
        <is>
          <t>2026-02-17</t>
        </is>
      </c>
      <c r="I36" t="inlineStr">
        <is>
          <t>User provided price (Avamys 120 doses). Unit price is per dose.</t>
        </is>
      </c>
    </row>
    <row r="37">
      <c r="A37" t="inlineStr">
        <is>
          <t>BDS003131</t>
        </is>
      </c>
      <c r="B37" t="inlineStr">
        <is>
          <t>Ponstan 500 mg</t>
        </is>
      </c>
      <c r="C37" t="inlineStr">
        <is>
          <t>Mefenamic acid 500 mg.</t>
        </is>
      </c>
      <c r="D37" t="inlineStr">
        <is>
          <t>แผง 10 เม็ด</t>
        </is>
      </c>
      <c r="E37" t="n">
        <v>107</v>
      </c>
      <c r="F37" t="n">
        <v>10.7</v>
      </c>
      <c r="G37" t="inlineStr">
        <is>
          <t>USER</t>
        </is>
      </c>
      <c r="H37" t="inlineStr">
        <is>
          <t>2026-02-17</t>
        </is>
      </c>
      <c r="I37" t="inlineStr">
        <is>
          <t>User provided price (Ponstan 500 mg 10 tabs). Unit price is per tab.</t>
        </is>
      </c>
    </row>
    <row r="38">
      <c r="A38" t="inlineStr">
        <is>
          <t>BDS002822</t>
        </is>
      </c>
      <c r="B38" t="inlineStr">
        <is>
          <t>Neurobion</t>
        </is>
      </c>
      <c r="C38" t="inlineStr">
        <is>
          <t>Thiamine Disulfide (Vit.B1) 100 mg+Pyridoxine HCl (Vit.B6) 200 mg+Cyanocobalamin (Vit.B12) 200 mcg</t>
        </is>
      </c>
      <c r="D38" t="inlineStr">
        <is>
          <t>แผง 10 เม็ด</t>
        </is>
      </c>
      <c r="E38" t="n">
        <v>144</v>
      </c>
      <c r="F38" t="n">
        <v>14.4</v>
      </c>
      <c r="G38" t="inlineStr">
        <is>
          <t>USER</t>
        </is>
      </c>
      <c r="H38" t="inlineStr">
        <is>
          <t>2026-02-17</t>
        </is>
      </c>
      <c r="I38" t="inlineStr">
        <is>
          <t>User provided price (Neurobion 10 tabs). Unit price is per tab.</t>
        </is>
      </c>
    </row>
    <row r="39">
      <c r="A39" t="inlineStr">
        <is>
          <t>BDS006840</t>
        </is>
      </c>
      <c r="B39" t="inlineStr">
        <is>
          <t>Relpax 40 mg</t>
        </is>
      </c>
      <c r="C39" t="inlineStr">
        <is>
          <t>Eletriptan 40 mg.</t>
        </is>
      </c>
      <c r="D39" t="inlineStr">
        <is>
          <t>กล่อง 2 เม็ด</t>
        </is>
      </c>
      <c r="E39" t="n">
        <v>516</v>
      </c>
      <c r="F39" t="n">
        <v>258</v>
      </c>
      <c r="G39" t="inlineStr">
        <is>
          <t>USER</t>
        </is>
      </c>
      <c r="H39" t="inlineStr">
        <is>
          <t>2026-02-17</t>
        </is>
      </c>
      <c r="I39" t="inlineStr">
        <is>
          <t>User provided price (Relpax 40 mg 2 tabs). Unit price is per tab.</t>
        </is>
      </c>
    </row>
    <row r="40">
      <c r="A40" t="inlineStr">
        <is>
          <t>BDS008282</t>
        </is>
      </c>
      <c r="B40" t="inlineStr">
        <is>
          <t>Cera ORS รสส้ม</t>
        </is>
      </c>
      <c r="C40" t="inlineStr">
        <is>
          <t>Glucose Anhydrous 3 g.+Sodium Chloride 0.53 g.+Potassium Chloride 0.23 g.+Sodium Citrate Dihydrate 0.44 g.</t>
        </is>
      </c>
      <c r="D40" t="inlineStr">
        <is>
          <t>กล่อง 5 ซอง</t>
        </is>
      </c>
      <c r="E40" t="n">
        <v>76</v>
      </c>
      <c r="F40" t="n">
        <v>15.2</v>
      </c>
      <c r="G40" t="inlineStr">
        <is>
          <t>USER</t>
        </is>
      </c>
      <c r="H40" t="inlineStr">
        <is>
          <t>2026-02-17</t>
        </is>
      </c>
      <c r="I40" t="inlineStr">
        <is>
          <t>User provided price (Cera ORS รสส้ม 5 sachets). Unit price is per sachet.</t>
        </is>
      </c>
    </row>
    <row r="41">
      <c r="A41" t="inlineStr">
        <is>
          <t>BDS001924</t>
        </is>
      </c>
      <c r="B41" t="inlineStr">
        <is>
          <t>Flanil</t>
        </is>
      </c>
      <c r="C41" t="inlineStr">
        <is>
          <t>Menthol 5.44 g.+Methyl Salicylate 10.20 g.+Eugenol 1.36 g./100 g.</t>
        </is>
      </c>
      <c r="D41" t="inlineStr">
        <is>
          <t>หลอด 30 g.</t>
        </is>
      </c>
      <c r="E41" t="n">
        <v>96</v>
      </c>
      <c r="F41" t="n">
        <v>3.2</v>
      </c>
      <c r="G41" t="inlineStr">
        <is>
          <t>USER</t>
        </is>
      </c>
      <c r="H41" t="inlineStr">
        <is>
          <t>2026-02-17</t>
        </is>
      </c>
      <c r="I41" t="inlineStr">
        <is>
          <t>User provided price (Flanil 30 g). Unit price is per g.</t>
        </is>
      </c>
    </row>
    <row r="42">
      <c r="A42" t="inlineStr">
        <is>
          <t>BDS003119</t>
        </is>
      </c>
      <c r="B42" t="inlineStr">
        <is>
          <t>Perskindol Classic Spray</t>
        </is>
      </c>
      <c r="C42" t="inlineStr">
        <is>
          <t>Menthol 1.5%+Pine Needle Oil 1.35%+Wintergreen Oil 0.35%+Orange Oil 0.4%+Lemon Oil 0.1%</t>
        </is>
      </c>
      <c r="D42" t="inlineStr">
        <is>
          <t>กระป๋อง 150 ml.</t>
        </is>
      </c>
      <c r="E42" t="n">
        <v>457</v>
      </c>
      <c r="F42" t="n">
        <v>3.05</v>
      </c>
      <c r="G42" t="inlineStr">
        <is>
          <t>USER</t>
        </is>
      </c>
      <c r="H42" t="inlineStr">
        <is>
          <t>2026-02-17</t>
        </is>
      </c>
      <c r="I42" t="inlineStr">
        <is>
          <t>User provided price (Perskindol Classic Spray 150 ml). Unit price is per ml.</t>
        </is>
      </c>
    </row>
    <row r="43">
      <c r="A43" t="inlineStr">
        <is>
          <t>BDS003014</t>
        </is>
      </c>
      <c r="B43" t="inlineStr">
        <is>
          <t>Opsil Tears 0.3%</t>
        </is>
      </c>
      <c r="C43" t="inlineStr">
        <is>
          <t xml:space="preserve">Hydroxypropyl Methylcellulose USP 0.3%+Preservative (Benzalkonium Chloride) </t>
        </is>
      </c>
      <c r="D43" t="inlineStr">
        <is>
          <t>ขวด 10 ml.</t>
        </is>
      </c>
      <c r="E43" t="n">
        <v>114</v>
      </c>
      <c r="F43" t="n">
        <v>11.4</v>
      </c>
      <c r="G43" t="inlineStr">
        <is>
          <t>USER</t>
        </is>
      </c>
      <c r="H43" t="inlineStr">
        <is>
          <t>2026-02-17</t>
        </is>
      </c>
      <c r="I43" t="inlineStr">
        <is>
          <t>User provided price (Opsil Tears 0.3% 10 ml). Unit price is per ml.</t>
        </is>
      </c>
    </row>
    <row r="44">
      <c r="A44" t="inlineStr">
        <is>
          <t>BDS047637</t>
        </is>
      </c>
      <c r="B44" t="inlineStr">
        <is>
          <t>Systane Ultra</t>
        </is>
      </c>
      <c r="C44" t="inlineStr">
        <is>
          <t>Polyethylene Glycol 400 0.4%+Propylene Glycol 0.3%+Aminomethylpropanol+Boric Acid+Hydroxypropyl Guar+Potassium Chloride+Sodium Chloride+Sorbitol+Hydrochloric Acid+Sodium Hydroxide/1 ml.</t>
        </is>
      </c>
      <c r="D44" t="inlineStr">
        <is>
          <t>กล่อง 28 หลอด</t>
        </is>
      </c>
      <c r="E44" t="n">
        <v>658</v>
      </c>
      <c r="F44" t="n">
        <v>23.5</v>
      </c>
      <c r="G44" t="inlineStr">
        <is>
          <t>USER</t>
        </is>
      </c>
      <c r="H44" t="inlineStr">
        <is>
          <t>2026-02-17</t>
        </is>
      </c>
      <c r="I44" t="inlineStr">
        <is>
          <t>User provided price (Systane Ultra 28 tubes). Unit price is per tube.</t>
        </is>
      </c>
    </row>
    <row r="45">
      <c r="A45" t="inlineStr">
        <is>
          <t>BDS044553</t>
        </is>
      </c>
      <c r="B45" t="inlineStr">
        <is>
          <t>Levocet</t>
        </is>
      </c>
      <c r="C45" t="inlineStr">
        <is>
          <t>Levocetirizine dihydrochloride 5 mg.</t>
        </is>
      </c>
      <c r="D45" t="inlineStr">
        <is>
          <t>กล่อง 10 เม็ด</t>
        </is>
      </c>
      <c r="E45" t="n">
        <v>244</v>
      </c>
      <c r="F45" t="n">
        <v>24.4</v>
      </c>
      <c r="G45" t="inlineStr">
        <is>
          <t>USER</t>
        </is>
      </c>
      <c r="H45" t="inlineStr">
        <is>
          <t>2026-02-17</t>
        </is>
      </c>
      <c r="I45" t="inlineStr">
        <is>
          <t>User provided price (Levocet 10 tabs). Unit price is per tab.</t>
        </is>
      </c>
    </row>
  </sheetData>
  <autoFilter ref="A1:I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BDS code</t>
        </is>
      </c>
      <c r="B1" s="1" t="inlineStr">
        <is>
          <t>Product ID</t>
        </is>
      </c>
      <c r="C1" s="1" t="inlineStr">
        <is>
          <t>Subcategory</t>
        </is>
      </c>
      <c r="D1" s="1" t="inlineStr">
        <is>
          <t>Market name</t>
        </is>
      </c>
      <c r="E1" s="1" t="inlineStr">
        <is>
          <t>Generic</t>
        </is>
      </c>
      <c r="F1" s="1" t="inlineStr">
        <is>
          <t>Pack size</t>
        </is>
      </c>
      <c r="G1" s="1" t="inlineStr">
        <is>
          <t>Directions (TH)</t>
        </is>
      </c>
      <c r="H1" s="1" t="inlineStr">
        <is>
          <t>Directions (EN)</t>
        </is>
      </c>
      <c r="I1" s="1" t="inlineStr">
        <is>
          <t>Online price (THB/pack)</t>
        </is>
      </c>
      <c r="J1" s="1" t="inlineStr">
        <is>
          <t>Online price (THB/unit)</t>
        </is>
      </c>
      <c r="K1" s="1" t="inlineStr">
        <is>
          <t>Price source URL</t>
        </is>
      </c>
      <c r="L1" s="1" t="inlineStr">
        <is>
          <t>Price checked</t>
        </is>
      </c>
      <c r="M1" s="1" t="inlineStr">
        <is>
          <t>Price notes</t>
        </is>
      </c>
    </row>
    <row r="2">
      <c r="A2" t="inlineStr">
        <is>
          <t>BDS006664</t>
        </is>
      </c>
      <c r="B2" t="n">
        <v>6664</v>
      </c>
      <c r="C2" t="inlineStr">
        <is>
          <t>ยาคลายกล้ามเนื้อ (D)</t>
        </is>
      </c>
      <c r="D2" t="inlineStr">
        <is>
          <t>Baclofen</t>
        </is>
      </c>
      <c r="E2" t="inlineStr">
        <is>
          <t>Baclofen 10 mg.</t>
        </is>
      </c>
      <c r="F2" t="inlineStr">
        <is>
          <t>แผง 10 เม็ด</t>
        </is>
      </c>
      <c r="G2" t="inlineStr">
        <is>
          <t>รับประทาน ครั้งละ 1-2 เม็ด วันละ 2-3 ครั้ง</t>
        </is>
      </c>
    </row>
    <row r="3">
      <c r="A3" t="inlineStr">
        <is>
          <t>BDS001271</t>
        </is>
      </c>
      <c r="B3" t="n">
        <v>1271</v>
      </c>
      <c r="C3" t="inlineStr">
        <is>
          <t>ยาคลายกล้ามเนื้อ (D)</t>
        </is>
      </c>
      <c r="D3" t="inlineStr">
        <is>
          <t>Biocalm</t>
        </is>
      </c>
      <c r="E3" t="inlineStr">
        <is>
          <t>Tolperisone 50 mg.</t>
        </is>
      </c>
      <c r="F3" t="inlineStr">
        <is>
          <t>แผง 10 เม็ด</t>
        </is>
      </c>
      <c r="G3" t="inlineStr">
        <is>
          <t>รับประทานครั้งละ 1 เม็ด วันละ 3 ครั้ง หรือตามแพทย์สั่ง</t>
        </is>
      </c>
      <c r="I3" t="n">
        <v>15</v>
      </c>
      <c r="J3" t="n">
        <v>1.5</v>
      </c>
      <c r="K3" t="inlineStr">
        <is>
          <t>https://www.facebook.com/photo.php?fbid=1448757012059790&amp;id=100067314324575&amp;set=a.1446505582284933</t>
        </is>
      </c>
      <c r="L3" t="inlineStr">
        <is>
          <t>2026-02-07</t>
        </is>
      </c>
      <c r="M3" t="inlineStr">
        <is>
          <t>Estimate from pharmacy Facebook post stating 15 THB per strip.</t>
        </is>
      </c>
    </row>
    <row r="4">
      <c r="A4" t="inlineStr">
        <is>
          <t>BDS007049</t>
        </is>
      </c>
      <c r="B4" t="n">
        <v>7049</v>
      </c>
      <c r="C4" t="inlineStr">
        <is>
          <t>ยาคลายกล้ามเนื้อ (D)</t>
        </is>
      </c>
      <c r="D4" t="inlineStr">
        <is>
          <t>Cenasic</t>
        </is>
      </c>
      <c r="E4" t="inlineStr">
        <is>
          <t>Paracetamol 450 mg.+Orphenadrine Citrate 35 mg.</t>
        </is>
      </c>
      <c r="F4" t="inlineStr">
        <is>
          <t>แผง 10 เม็ด</t>
        </is>
      </c>
      <c r="G4" t="inlineStr">
        <is>
          <t>รับประทานครั้งละ 1-2 เม็ด วันละ 3 ครั้ง หลังอาหาร</t>
        </is>
      </c>
    </row>
    <row r="5">
      <c r="A5" t="inlineStr">
        <is>
          <t>BDS041455</t>
        </is>
      </c>
      <c r="B5" t="n">
        <v>41455</v>
      </c>
      <c r="C5" t="inlineStr">
        <is>
          <t>ยาคลายกล้ามเนื้อ (D)</t>
        </is>
      </c>
      <c r="D5" t="inlineStr">
        <is>
          <t>Corilax tabslet</t>
        </is>
      </c>
      <c r="E5" t="inlineStr">
        <is>
          <t>Paracetamol 450 mg.+Orphenadrine Citrate 35 mg.</t>
        </is>
      </c>
      <c r="F5" t="inlineStr">
        <is>
          <t>แผง 10 เม็ด</t>
        </is>
      </c>
      <c r="G5" t="inlineStr">
        <is>
          <t>รับประทานครั้งละ 1-2 เม็ด วันละ 3 ครั้ง หรือตามแพทย์สั่ง</t>
        </is>
      </c>
    </row>
    <row r="6">
      <c r="A6" t="inlineStr">
        <is>
          <t>BDS003410</t>
        </is>
      </c>
      <c r="B6" t="n">
        <v>3410</v>
      </c>
      <c r="C6" t="inlineStr">
        <is>
          <t>ยาคลายกล้ามเนื้อ (D)</t>
        </is>
      </c>
      <c r="D6" t="inlineStr">
        <is>
          <t>M-Calm tabslet</t>
        </is>
      </c>
      <c r="E6" t="inlineStr">
        <is>
          <t>Tolperisone Hydrochloride 50 mg.</t>
        </is>
      </c>
      <c r="F6" t="inlineStr">
        <is>
          <t>แผง 10 เม็ด</t>
        </is>
      </c>
      <c r="G6" t="inlineStr">
        <is>
          <t>รับประทานครั้งละ 1-2 เม็ด วันละ 3 ครั้ง</t>
        </is>
      </c>
    </row>
    <row r="7">
      <c r="A7" t="inlineStr">
        <is>
          <t>BDS044932</t>
        </is>
      </c>
      <c r="B7" t="n">
        <v>44932</v>
      </c>
      <c r="C7" t="inlineStr">
        <is>
          <t>ยาคลายกล้ามเนื้อ (D)</t>
        </is>
      </c>
      <c r="D7" t="inlineStr">
        <is>
          <t>Muslexac</t>
        </is>
      </c>
      <c r="E7" t="inlineStr">
        <is>
          <t>Paracetamol 500 mg.+Orphenadrine Citrate 35 mg.</t>
        </is>
      </c>
      <c r="F7" t="inlineStr">
        <is>
          <t>กล่อง 10 เม็ด</t>
        </is>
      </c>
      <c r="G7" t="inlineStr">
        <is>
          <t>รับประทานครั้งละ 1-2 เม็ด วันละ 3 ครั้ง</t>
        </is>
      </c>
    </row>
    <row r="8">
      <c r="A8" t="inlineStr">
        <is>
          <t>BDS007571</t>
        </is>
      </c>
      <c r="B8" t="n">
        <v>7571</v>
      </c>
      <c r="C8" t="inlineStr">
        <is>
          <t>ยาคลายกล้ามเนื้อ (D)</t>
        </is>
      </c>
      <c r="D8" t="inlineStr">
        <is>
          <t>Musolax</t>
        </is>
      </c>
      <c r="E8" t="inlineStr">
        <is>
          <t>Eperisone hydrochloride 50 mg.</t>
        </is>
      </c>
      <c r="F8" t="inlineStr">
        <is>
          <t>แผง 10 เม็ด</t>
        </is>
      </c>
      <c r="G8" t="inlineStr">
        <is>
          <t>รับประทานครั้งละ 1 เม็ด วันละ 3 ครั้ง หลังอาหาร</t>
        </is>
      </c>
    </row>
    <row r="9">
      <c r="A9" t="inlineStr">
        <is>
          <t>BDS002652</t>
        </is>
      </c>
      <c r="B9" t="n">
        <v>2652</v>
      </c>
      <c r="C9" t="inlineStr">
        <is>
          <t>ยาคลายกล้ามเนื้อ (D)</t>
        </is>
      </c>
      <c r="D9" t="inlineStr">
        <is>
          <t>Mydocalm</t>
        </is>
      </c>
      <c r="E9" t="inlineStr">
        <is>
          <t>Tolperisone 50 mg.</t>
        </is>
      </c>
      <c r="F9" t="inlineStr">
        <is>
          <t>แผง 10 เม็ด</t>
        </is>
      </c>
      <c r="G9" t="inlineStr">
        <is>
          <t xml:space="preserve">รับประทานครั้งละ 1-2 เม็ด วันละ 3 ครั้ง </t>
        </is>
      </c>
      <c r="I9" t="n">
        <v>58</v>
      </c>
      <c r="J9" t="n">
        <v>5.8</v>
      </c>
      <c r="K9" t="inlineStr">
        <is>
          <t>https://bigya.co.th/product-detail/320</t>
        </is>
      </c>
      <c r="L9" t="inlineStr">
        <is>
          <t>2026-02-07</t>
        </is>
      </c>
      <c r="M9" t="inlineStr">
        <is>
          <t>Retail price at BIGYA (strip 10 tablets).</t>
        </is>
      </c>
    </row>
    <row r="10">
      <c r="A10" t="inlineStr">
        <is>
          <t>BDS002701</t>
        </is>
      </c>
      <c r="B10" t="n">
        <v>2701</v>
      </c>
      <c r="C10" t="inlineStr">
        <is>
          <t>ยาคลายกล้ามเนื้อ (D)</t>
        </is>
      </c>
      <c r="D10" t="inlineStr">
        <is>
          <t>Myonal 50 mg</t>
        </is>
      </c>
      <c r="E10" t="inlineStr">
        <is>
          <t>Eperisone hydrochloride 50 mg.</t>
        </is>
      </c>
      <c r="F10" t="inlineStr">
        <is>
          <t>แผง 10 เม็ด</t>
        </is>
      </c>
      <c r="G10" t="inlineStr">
        <is>
          <t>รับประทานครั้งละ 1 เม็ด วันละ 3 ครั้ง หลังอาหาร</t>
        </is>
      </c>
      <c r="I10" t="n">
        <v>116.6666666666667</v>
      </c>
      <c r="J10" t="n">
        <v>11.66666666666667</v>
      </c>
      <c r="K10" t="inlineStr">
        <is>
          <t>https://medtide.com/meds/pain-and-inflammation/muscle-relaxants/eperisone-myonal-50-mg-30-tablets-box/</t>
        </is>
      </c>
      <c r="L10" t="inlineStr">
        <is>
          <t>2026-02-07</t>
        </is>
      </c>
      <c r="M10" t="inlineStr">
        <is>
          <t>Derived from Medtide price 350 THB per box (30 tablets = 3 strips). Entered per-strip estimate.</t>
        </is>
      </c>
    </row>
    <row r="11">
      <c r="A11" t="inlineStr">
        <is>
          <t>BDS007752</t>
        </is>
      </c>
      <c r="B11" t="n">
        <v>7752</v>
      </c>
      <c r="C11" t="inlineStr">
        <is>
          <t>ยาคลายกล้ามเนื้อ (D)</t>
        </is>
      </c>
      <c r="D11" t="inlineStr">
        <is>
          <t>Noraphen</t>
        </is>
      </c>
      <c r="E11" t="inlineStr">
        <is>
          <t>Paracetamol 500 mg.+Orphenadrine Citrate 35 mg.</t>
        </is>
      </c>
      <c r="F11" t="inlineStr">
        <is>
          <t>แผง 10 เม็ด</t>
        </is>
      </c>
      <c r="G11" t="inlineStr">
        <is>
          <t>รับประทานครั้งละ 1-2 เม็ด วันละ 3 ครั้ง หลังอาหาร</t>
        </is>
      </c>
    </row>
    <row r="12">
      <c r="A12" t="inlineStr">
        <is>
          <t>BDS002840</t>
        </is>
      </c>
      <c r="B12" t="n">
        <v>2840</v>
      </c>
      <c r="C12" t="inlineStr">
        <is>
          <t>ยาคลายกล้ามเนื้อ (D)</t>
        </is>
      </c>
      <c r="D12" t="inlineStr">
        <is>
          <t>Norgesic</t>
        </is>
      </c>
      <c r="E12" t="inlineStr">
        <is>
          <t>Paracetamol 450 mg.+Orphenadrine Citrate 35 mg.</t>
        </is>
      </c>
      <c r="F12" t="inlineStr">
        <is>
          <t>แผง 10 เม็ด</t>
        </is>
      </c>
      <c r="G12" t="inlineStr">
        <is>
          <t>รับประทานครั้งละ 1-2 เม็ด วันละ 3 ครั้ง</t>
        </is>
      </c>
    </row>
    <row r="13">
      <c r="A13" t="inlineStr">
        <is>
          <t>BDS045616</t>
        </is>
      </c>
      <c r="B13" t="n">
        <v>45616</v>
      </c>
      <c r="C13" t="inlineStr">
        <is>
          <t>ยาคลายกล้ามเนื้อ (D)</t>
        </is>
      </c>
      <c r="D13" t="inlineStr">
        <is>
          <t>Norpa tabslets</t>
        </is>
      </c>
      <c r="E13" t="inlineStr">
        <is>
          <t>Paracetamol 450 mg.+Orphenadrine Citrate 35 mg.</t>
        </is>
      </c>
      <c r="F13" t="inlineStr">
        <is>
          <t>แผง 10 เม็ด</t>
        </is>
      </c>
      <c r="G13" t="inlineStr">
        <is>
          <t>รับประทานครั้งละ 1-2 เม็ด วันละ 2-3 ครั้ง หลังอาหาร หรือตามแพทย์สั่ง</t>
        </is>
      </c>
    </row>
    <row r="14">
      <c r="A14" t="inlineStr">
        <is>
          <t>BDS003571</t>
        </is>
      </c>
      <c r="B14" t="n">
        <v>3571</v>
      </c>
      <c r="C14" t="inlineStr">
        <is>
          <t>ยาคลายกล้ามเนื้อ (D)</t>
        </is>
      </c>
      <c r="D14" t="inlineStr">
        <is>
          <t>Soneriper M</t>
        </is>
      </c>
      <c r="E14" t="inlineStr">
        <is>
          <t>Tolperisone Hydrochloride 50 mg.</t>
        </is>
      </c>
      <c r="F14" t="inlineStr">
        <is>
          <t>แผง 10 เม็ด</t>
        </is>
      </c>
      <c r="G14" t="inlineStr">
        <is>
          <t>รับประทานครั้งละ 1-2 เม็ด วันละ 3 ครั้ง</t>
        </is>
      </c>
    </row>
    <row r="15">
      <c r="A15" t="inlineStr">
        <is>
          <t>BDS048632</t>
        </is>
      </c>
      <c r="B15" t="n">
        <v>48632</v>
      </c>
      <c r="C15" t="inlineStr">
        <is>
          <t>ยาคลายกล้ามเนื้อ (D)</t>
        </is>
      </c>
      <c r="D15" t="inlineStr">
        <is>
          <t>Torrent</t>
        </is>
      </c>
      <c r="E15" t="inlineStr">
        <is>
          <t>Paracetamol 450 mg.+Orphenadrine Citrate 35 mg.</t>
        </is>
      </c>
      <c r="F15" t="inlineStr">
        <is>
          <t>กล่อง 10 เม็ด</t>
        </is>
      </c>
      <c r="G15" t="inlineStr">
        <is>
          <t>รับประทานครั้งละ 1-2 เม็ด วันละ 3 ครั้ง</t>
        </is>
      </c>
    </row>
    <row r="16">
      <c r="A16" t="inlineStr">
        <is>
          <t>BDS001470</t>
        </is>
      </c>
      <c r="B16" t="n">
        <v>1470</v>
      </c>
      <c r="C16" t="inlineStr">
        <is>
          <t>ยาทาและยาพ่นแก้ปวดอักเสบ NSAIDs</t>
        </is>
      </c>
      <c r="D16" t="inlineStr">
        <is>
          <t>Counterpain Plus</t>
        </is>
      </c>
      <c r="E16" t="inlineStr">
        <is>
          <t>Piroxicam 0.5%+Methyl salicylate 10.2%+Menthol 5.43%+Eugenol 1.37%</t>
        </is>
      </c>
      <c r="F16" t="inlineStr">
        <is>
          <t>หลอด 25 g.</t>
        </is>
      </c>
      <c r="G16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17">
      <c r="A17" t="inlineStr">
        <is>
          <t>BDS001656</t>
        </is>
      </c>
      <c r="B17" t="n">
        <v>1656</v>
      </c>
      <c r="C17" t="inlineStr">
        <is>
          <t>ยาทาและยาพ่นแก้ปวดอักเสบ NSAIDs</t>
        </is>
      </c>
      <c r="D17" t="inlineStr">
        <is>
          <t>Difelene Gel เล็ก</t>
        </is>
      </c>
      <c r="E17" t="inlineStr">
        <is>
          <t>Diclofenac diethylammonium 1.16 g./100 g (eq. to Diclofenac Sodium 1.0 g)</t>
        </is>
      </c>
      <c r="F17" t="inlineStr">
        <is>
          <t>หลอด 30 g.</t>
        </is>
      </c>
      <c r="G17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18">
      <c r="A18" t="inlineStr">
        <is>
          <t>BDS001654</t>
        </is>
      </c>
      <c r="B18" t="n">
        <v>1654</v>
      </c>
      <c r="C18" t="inlineStr">
        <is>
          <t>ยาทาและยาพ่นแก้ปวดอักเสบ NSAIDs</t>
        </is>
      </c>
      <c r="D18" t="inlineStr">
        <is>
          <t>Difelene Gel ใหญ่</t>
        </is>
      </c>
      <c r="E18" t="inlineStr">
        <is>
          <t>Diclofenac diethylammonium 1.16 g./100 g (eq. to Diclofenac Sodium 1.0 g).</t>
        </is>
      </c>
      <c r="F18" t="inlineStr">
        <is>
          <t>หลอด 60 g.</t>
        </is>
      </c>
      <c r="G18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19">
      <c r="A19" t="inlineStr">
        <is>
          <t>BDS001806</t>
        </is>
      </c>
      <c r="B19" t="n">
        <v>1806</v>
      </c>
      <c r="C19" t="inlineStr">
        <is>
          <t>ยาทาและยาพ่นแก้ปวดอักเสบ NSAIDs</t>
        </is>
      </c>
      <c r="D19" t="inlineStr">
        <is>
          <t>Elmetacin พ่นแก้ปวด</t>
        </is>
      </c>
      <c r="E19" t="inlineStr">
        <is>
          <t>Indomethacin 8 mg./0.8 g.</t>
        </is>
      </c>
      <c r="F19" t="inlineStr">
        <is>
          <t>ขวด 50 ml.</t>
        </is>
      </c>
      <c r="G19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</row>
    <row r="20">
      <c r="A20" t="inlineStr">
        <is>
          <t>BDS006242</t>
        </is>
      </c>
      <c r="B20" t="n">
        <v>6242</v>
      </c>
      <c r="C20" t="inlineStr">
        <is>
          <t>ยาทาและยาพ่นแก้ปวดอักเสบ NSAIDs</t>
        </is>
      </c>
      <c r="D20" t="inlineStr">
        <is>
          <t>Fastum Gel</t>
        </is>
      </c>
      <c r="E20" t="inlineStr">
        <is>
          <t>Ketoprofen 2.5%</t>
        </is>
      </c>
      <c r="F20" t="inlineStr">
        <is>
          <t>หลอด 30 g.</t>
        </is>
      </c>
      <c r="G20" t="inlineStr">
        <is>
          <t>ทาเจลบางๆ บริเวณที่มีอาการ วันละ 1-2 ครั้ง</t>
        </is>
      </c>
    </row>
    <row r="21">
      <c r="A21" t="inlineStr">
        <is>
          <t>BDS007952</t>
        </is>
      </c>
      <c r="B21" t="n">
        <v>7952</v>
      </c>
      <c r="C21" t="inlineStr">
        <is>
          <t>ยาทาและยาพ่นแก้ปวดอักเสบ NSAIDs</t>
        </is>
      </c>
      <c r="D21" t="inlineStr">
        <is>
          <t>Felgesic Gel</t>
        </is>
      </c>
      <c r="E21" t="inlineStr">
        <is>
          <t>Piroxicam 0.5 g/100 ml.</t>
        </is>
      </c>
      <c r="F21" t="inlineStr">
        <is>
          <t>หลอด 30 g.</t>
        </is>
      </c>
      <c r="G21" t="inlineStr">
        <is>
          <t>ทาบริเวณที่มีอาการปวด วันละ 2-3 ครั้ง</t>
        </is>
      </c>
    </row>
    <row r="22">
      <c r="A22" t="inlineStr">
        <is>
          <t>BDS001917</t>
        </is>
      </c>
      <c r="B22" t="n">
        <v>1917</v>
      </c>
      <c r="C22" t="inlineStr">
        <is>
          <t>ยาทาและยาพ่นแก้ปวดอักเสบ NSAIDs</t>
        </is>
      </c>
      <c r="D22" t="inlineStr">
        <is>
          <t>Flamic Gel</t>
        </is>
      </c>
      <c r="E22" t="inlineStr">
        <is>
          <t>Piroxicam 5 mg./1 g.</t>
        </is>
      </c>
      <c r="F22" t="inlineStr">
        <is>
          <t>หลอด 25 g.</t>
        </is>
      </c>
      <c r="G22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23">
      <c r="A23" t="inlineStr">
        <is>
          <t>BDS002684</t>
        </is>
      </c>
      <c r="B23" t="n">
        <v>2684</v>
      </c>
      <c r="C23" t="inlineStr">
        <is>
          <t>ยาทาและยาพ่นแก้ปวดอักเสบ NSAIDs</t>
        </is>
      </c>
      <c r="D23" t="inlineStr">
        <is>
          <t>M-Cin</t>
        </is>
      </c>
      <c r="E23" t="inlineStr">
        <is>
          <t>Indomethacin 8 mg./1 ml.</t>
        </is>
      </c>
      <c r="F23" t="inlineStr">
        <is>
          <t>ขวด 50 ml.</t>
        </is>
      </c>
      <c r="G23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</row>
    <row r="24">
      <c r="A24" t="inlineStr">
        <is>
          <t>BDS006730</t>
        </is>
      </c>
      <c r="B24" t="n">
        <v>6730</v>
      </c>
      <c r="C24" t="inlineStr">
        <is>
          <t>ยาทาและยาพ่นแก้ปวดอักเสบ NSAIDs</t>
        </is>
      </c>
      <c r="D24" t="inlineStr">
        <is>
          <t>N-Zen Gel ใหญ่</t>
        </is>
      </c>
      <c r="E24" t="inlineStr">
        <is>
          <t>Diclofenac Sodium 1 g./100 g.</t>
        </is>
      </c>
      <c r="F24" t="inlineStr">
        <is>
          <t>หลอด 60 g.</t>
        </is>
      </c>
      <c r="G24" t="inlineStr">
        <is>
          <t>ทาบริเวณที่เป็น แล้วนวดเบาๆ   วันละ 3-4 ครั้ง</t>
        </is>
      </c>
    </row>
    <row r="25">
      <c r="A25" t="inlineStr">
        <is>
          <t>BDS007574</t>
        </is>
      </c>
      <c r="B25" t="n">
        <v>7574</v>
      </c>
      <c r="C25" t="inlineStr">
        <is>
          <t>ยาทาและยาพ่นแก้ปวดอักเสบ NSAIDs</t>
        </is>
      </c>
      <c r="D25" t="inlineStr">
        <is>
          <t>Neofenac Gel เล็ก</t>
        </is>
      </c>
      <c r="E25" t="inlineStr">
        <is>
          <t>Diclofenac Sodium 1 g./100 g.</t>
        </is>
      </c>
      <c r="F25" t="inlineStr">
        <is>
          <t>หลอด 20 g.</t>
        </is>
      </c>
      <c r="G25" t="inlineStr">
        <is>
          <t>ทาเจลบางๆ บริเวณที่มีอาการ วันละ 2-4 ครั้ง</t>
        </is>
      </c>
    </row>
    <row r="26">
      <c r="A26" t="inlineStr">
        <is>
          <t>BDS007575</t>
        </is>
      </c>
      <c r="B26" t="n">
        <v>7575</v>
      </c>
      <c r="C26" t="inlineStr">
        <is>
          <t>ยาทาและยาพ่นแก้ปวดอักเสบ NSAIDs</t>
        </is>
      </c>
      <c r="D26" t="inlineStr">
        <is>
          <t>Neofenac Gel ใหญ่</t>
        </is>
      </c>
      <c r="E26" t="inlineStr">
        <is>
          <t>Diclofenac Sodium 1 g./100 g.</t>
        </is>
      </c>
      <c r="F26" t="inlineStr">
        <is>
          <t>หลอด 50 g.</t>
        </is>
      </c>
      <c r="G26" t="inlineStr">
        <is>
          <t>ทาเจลบางๆ บริเวณที่มีอาการ วันละ 2-4 ครั้ง</t>
        </is>
      </c>
    </row>
    <row r="27">
      <c r="A27" t="inlineStr">
        <is>
          <t>BDS045623</t>
        </is>
      </c>
      <c r="B27" t="n">
        <v>45623</v>
      </c>
      <c r="C27" t="inlineStr">
        <is>
          <t>ยาทาและยาพ่นแก้ปวดอักเสบ NSAIDs</t>
        </is>
      </c>
      <c r="D27" t="inlineStr">
        <is>
          <t>Neotica Cool</t>
        </is>
      </c>
      <c r="E27" t="inlineStr">
        <is>
          <t>Piroxicam 5 mg./1 g.</t>
        </is>
      </c>
      <c r="F27" t="inlineStr">
        <is>
          <t>หลอด 30 g.</t>
        </is>
      </c>
      <c r="G27" t="inlineStr">
        <is>
          <t>ทา (นวด) เบาๆ บริเวณที่มีอาการ จนกระทั่งยาซึมเข้าผิวหนัง วันละ 2-4 ครั้ง</t>
        </is>
      </c>
    </row>
    <row r="28">
      <c r="A28" t="inlineStr">
        <is>
          <t>BDS006814</t>
        </is>
      </c>
      <c r="B28" t="n">
        <v>6814</v>
      </c>
      <c r="C28" t="inlineStr">
        <is>
          <t>ยาทาและยาพ่นแก้ปวดอักเสบ NSAIDs</t>
        </is>
      </c>
      <c r="D28" t="inlineStr">
        <is>
          <t>Painelief Cool Gel</t>
        </is>
      </c>
      <c r="E28" t="inlineStr">
        <is>
          <t>Diclofenac Sodium (as diethylammonium) 10 mg.</t>
        </is>
      </c>
      <c r="F28" t="inlineStr">
        <is>
          <t>หลอด 30 g.</t>
        </is>
      </c>
      <c r="G28" t="inlineStr">
        <is>
          <t>ทาบริเวณที่มีอาการ วันละ 3-4 ครั้ง</t>
        </is>
      </c>
    </row>
    <row r="29">
      <c r="A29" t="inlineStr">
        <is>
          <t>BDS046515</t>
        </is>
      </c>
      <c r="B29" t="n">
        <v>46515</v>
      </c>
      <c r="C29" t="inlineStr">
        <is>
          <t>ยาทาและยาพ่นแก้ปวดอักเสบ NSAIDs</t>
        </is>
      </c>
      <c r="D29" t="inlineStr">
        <is>
          <t>Painelief Cool Gel ใหญ่</t>
        </is>
      </c>
      <c r="E29" t="inlineStr">
        <is>
          <t>Diclofenac Sodium (as diethylammonium) 10 mg.</t>
        </is>
      </c>
      <c r="F29" t="inlineStr">
        <is>
          <t>หลอด 60 g.</t>
        </is>
      </c>
      <c r="G29" t="inlineStr">
        <is>
          <t>ทาบริเวณที่มีอาการ วันละ 3-4 ครั้ง</t>
        </is>
      </c>
    </row>
    <row r="30">
      <c r="A30" t="inlineStr">
        <is>
          <t>BDS007224</t>
        </is>
      </c>
      <c r="B30" t="n">
        <v>7224</v>
      </c>
      <c r="C30" t="inlineStr">
        <is>
          <t>ยาทาและยาพ่นแก้ปวดอักเสบ NSAIDs</t>
        </is>
      </c>
      <c r="D30" t="inlineStr">
        <is>
          <t>Piridene Gel</t>
        </is>
      </c>
      <c r="E30" t="inlineStr">
        <is>
          <t>Piroxicam 0.5 g./100 g.</t>
        </is>
      </c>
      <c r="F30" t="inlineStr">
        <is>
          <t>หลอด 25 g.</t>
        </is>
      </c>
      <c r="G30" t="inlineStr">
        <is>
          <t>ทาเจลบางๆ บริเวณที่มีอาการ วันละ 2-4 ครั้ง</t>
        </is>
      </c>
    </row>
    <row r="31">
      <c r="A31" t="inlineStr">
        <is>
          <t>BDS047729</t>
        </is>
      </c>
      <c r="B31" t="n">
        <v>47729</v>
      </c>
      <c r="C31" t="inlineStr">
        <is>
          <t>ยาทาและยาพ่นแก้ปวดอักเสบ NSAIDs</t>
        </is>
      </c>
      <c r="D31" t="inlineStr">
        <is>
          <t>Satogesic Gel</t>
        </is>
      </c>
      <c r="E31" t="inlineStr">
        <is>
          <t>Indomethacin 0.75 g + L-menthol  0.3 g.</t>
        </is>
      </c>
      <c r="F31" t="inlineStr">
        <is>
          <t>หลอด 35 g.</t>
        </is>
      </c>
      <c r="G31" t="inlineStr">
        <is>
          <t xml:space="preserve">ทายาในปริมาณที่เหมาะสมบริเวณที่มีอาการ </t>
        </is>
      </c>
    </row>
    <row r="32">
      <c r="A32" t="inlineStr">
        <is>
          <t>BDS003914</t>
        </is>
      </c>
      <c r="B32" t="n">
        <v>3914</v>
      </c>
      <c r="C32" t="inlineStr">
        <is>
          <t>ยาทาและยาพ่นแก้ปวดอักเสบ NSAIDs</t>
        </is>
      </c>
      <c r="D32" t="inlineStr">
        <is>
          <t>Uniren Spray</t>
        </is>
      </c>
      <c r="E32" t="inlineStr">
        <is>
          <t>Diclofenac Sodium 1 % w/w</t>
        </is>
      </c>
      <c r="F32" t="inlineStr">
        <is>
          <t>ขวด 60 ml.</t>
        </is>
      </c>
      <c r="G32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</row>
    <row r="33">
      <c r="A33" t="inlineStr">
        <is>
          <t>BDS004043</t>
        </is>
      </c>
      <c r="B33" t="n">
        <v>4043</v>
      </c>
      <c r="C33" t="inlineStr">
        <is>
          <t>ยาทาและยาพ่นแก้ปวดอักเสบ NSAIDs</t>
        </is>
      </c>
      <c r="D33" t="inlineStr">
        <is>
          <t>Voltaren Emulgel กลาง</t>
        </is>
      </c>
      <c r="E33" t="inlineStr">
        <is>
          <t>Diclofenac Sodium 1 g./100 g.</t>
        </is>
      </c>
      <c r="F33" t="inlineStr">
        <is>
          <t>หลอด 25 g.</t>
        </is>
      </c>
      <c r="G33" t="inlineStr">
        <is>
          <t>ทา (นวด) เบาๆ บริเวณที่มีอาการ จนกระทั่งยาซึมเข้าผิวหนัง วันละ 2-3 ครั้ง</t>
        </is>
      </c>
      <c r="I33" t="n">
        <v>235</v>
      </c>
      <c r="J33" t="n">
        <v>235</v>
      </c>
      <c r="K33" t="inlineStr">
        <is>
          <t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t>
        </is>
      </c>
      <c r="L33" t="inlineStr">
        <is>
          <t>2026-02-07</t>
        </is>
      </c>
      <c r="M33" t="inlineStr">
        <is>
          <t>Page shows 25 g variant; price fields are inconsistent—used 235 THB as best visible pack price.</t>
        </is>
      </c>
    </row>
    <row r="34">
      <c r="A34" t="inlineStr">
        <is>
          <t>BDS004042</t>
        </is>
      </c>
      <c r="B34" t="n">
        <v>4042</v>
      </c>
      <c r="C34" t="inlineStr">
        <is>
          <t>ยาทาและยาพ่นแก้ปวดอักเสบ NSAIDs</t>
        </is>
      </c>
      <c r="D34" t="inlineStr">
        <is>
          <t>Voltaren Emulgel เล็ก</t>
        </is>
      </c>
      <c r="E34" t="inlineStr">
        <is>
          <t>Diclofenac Sodium 1 g./100 g.</t>
        </is>
      </c>
      <c r="F34" t="inlineStr">
        <is>
          <t>หลอด 10 g.</t>
        </is>
      </c>
      <c r="G34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35">
      <c r="A35" t="inlineStr">
        <is>
          <t>BDS004044</t>
        </is>
      </c>
      <c r="B35" t="n">
        <v>4044</v>
      </c>
      <c r="C35" t="inlineStr">
        <is>
          <t>ยาทาและยาพ่นแก้ปวดอักเสบ NSAIDs</t>
        </is>
      </c>
      <c r="D35" t="inlineStr">
        <is>
          <t>Voltaren Emulgel ใหญ่</t>
        </is>
      </c>
      <c r="E35" t="inlineStr">
        <is>
          <t>Diclofenac Sodium 1 g./100 g.</t>
        </is>
      </c>
      <c r="F35" t="inlineStr">
        <is>
          <t>หลอด 50 g.</t>
        </is>
      </c>
      <c r="G35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36">
      <c r="A36" t="inlineStr">
        <is>
          <t>BDS001032</t>
        </is>
      </c>
      <c r="B36" t="n">
        <v>1032</v>
      </c>
      <c r="C36" t="inlineStr">
        <is>
          <t xml:space="preserve">ยาทาและยาพ่นแก้ปวดเมื่อย </t>
        </is>
      </c>
      <c r="D36" t="inlineStr">
        <is>
          <t>Ammeltz เล็ก</t>
        </is>
      </c>
      <c r="E36" t="inlineStr">
        <is>
          <t>L-Menthol+DL-Campher+Methyl Salicylate+Vanillylamide</t>
        </is>
      </c>
      <c r="F36" t="inlineStr">
        <is>
          <t>ขวด 48 ml.</t>
        </is>
      </c>
      <c r="G36" t="inlineStr">
        <is>
          <t>ทาบริเวณที่มีอาการปวด วันละ 2-3 ครั้ง</t>
        </is>
      </c>
    </row>
    <row r="37">
      <c r="A37" t="inlineStr">
        <is>
          <t>BDS001031</t>
        </is>
      </c>
      <c r="B37" t="n">
        <v>1031</v>
      </c>
      <c r="C37" t="inlineStr">
        <is>
          <t xml:space="preserve">ยาทาและยาพ่นแก้ปวดเมื่อย </t>
        </is>
      </c>
      <c r="D37" t="inlineStr">
        <is>
          <t>Ammeltz ใหญ่</t>
        </is>
      </c>
      <c r="E37" t="inlineStr">
        <is>
          <t>L-Menthol+DL-Campher+Methyl Salicylate+Vanillylamide</t>
        </is>
      </c>
      <c r="F37" t="inlineStr">
        <is>
          <t>ขวด 82 ml.</t>
        </is>
      </c>
      <c r="G37" t="inlineStr">
        <is>
          <t>ทาบริเวณที่ปวด วันละ 2-3 ครั้ง</t>
        </is>
      </c>
    </row>
    <row r="38">
      <c r="A38" t="inlineStr">
        <is>
          <t>BDS040020</t>
        </is>
      </c>
      <c r="B38" t="n">
        <v>40020</v>
      </c>
      <c r="C38" t="inlineStr">
        <is>
          <t xml:space="preserve">ยาทาและยาพ่นแก้ปวดเมื่อย </t>
        </is>
      </c>
      <c r="D38" t="inlineStr">
        <is>
          <t>Arotika Rub</t>
        </is>
      </c>
      <c r="E38" t="inlineStr">
        <is>
          <t>Capsicum Tincture 0.05% w/v 4.5 g.+Methyl Salicylate 10.2 g.+ Menthol 5.44 g.+Clove Oil 1.36 g./100 g.</t>
        </is>
      </c>
      <c r="F38" t="inlineStr">
        <is>
          <t>หลอด 35 g.</t>
        </is>
      </c>
      <c r="G38" t="inlineStr">
        <is>
          <t>ทาบริเวณที่ปวดบางๆ  วันละ 2-3 ครั้ง</t>
        </is>
      </c>
    </row>
    <row r="39">
      <c r="A39" t="inlineStr">
        <is>
          <t>BDS007711</t>
        </is>
      </c>
      <c r="B39" t="n">
        <v>7711</v>
      </c>
      <c r="C39" t="inlineStr">
        <is>
          <t xml:space="preserve">ยาทาและยาพ่นแก้ปวดเมื่อย </t>
        </is>
      </c>
      <c r="D39" t="inlineStr">
        <is>
          <t>Capsika Gel</t>
        </is>
      </c>
      <c r="E39" t="inlineStr">
        <is>
          <t>Capsaicin 0.0125%/100 g.</t>
        </is>
      </c>
      <c r="F39" t="inlineStr">
        <is>
          <t>หลอด 35 g.</t>
        </is>
      </c>
      <c r="G39" t="inlineStr">
        <is>
          <t>ทาเจลบางๆ บริเวณที่มีอาการ วันละ 2-3 ครั้ง</t>
        </is>
      </c>
    </row>
    <row r="40">
      <c r="A40" t="inlineStr">
        <is>
          <t>BDS001541</t>
        </is>
      </c>
      <c r="B40" t="n">
        <v>1541</v>
      </c>
      <c r="C40" t="inlineStr">
        <is>
          <t xml:space="preserve">ยาทาและยาพ่นแก้ปวดเมื่อย </t>
        </is>
      </c>
      <c r="D40" t="inlineStr">
        <is>
          <t>Capsika-25 Gel</t>
        </is>
      </c>
      <c r="E40" t="inlineStr">
        <is>
          <t>Capsaicin 0.025%</t>
        </is>
      </c>
      <c r="F40" t="inlineStr">
        <is>
          <t>หลอด 35 g.</t>
        </is>
      </c>
      <c r="G40" t="inlineStr">
        <is>
          <t>ทาเจลบางๆ บริเวณที่มีอาการ วันละ 3-4 ครั้ง</t>
        </is>
      </c>
    </row>
    <row r="41">
      <c r="A41" t="inlineStr">
        <is>
          <t>BDS001475</t>
        </is>
      </c>
      <c r="B41" t="n">
        <v>1475</v>
      </c>
      <c r="C41" t="inlineStr">
        <is>
          <t xml:space="preserve">ยาทาและยาพ่นแก้ปวดเมื่อย </t>
        </is>
      </c>
      <c r="D41" t="inlineStr">
        <is>
          <t>Counterpain Cool กลาง</t>
        </is>
      </c>
      <c r="E41" t="inlineStr">
        <is>
          <t>Menthol 4%</t>
        </is>
      </c>
      <c r="F41" t="inlineStr">
        <is>
          <t>หลอด 60 g.</t>
        </is>
      </c>
      <c r="G41" t="inlineStr">
        <is>
          <t>ทาเบาๆ บริเวณที่มีอาการ จนกระทั่งยาซึมเข้าผิวหนัง วันละ 2-3 ครั้ง</t>
        </is>
      </c>
    </row>
    <row r="42">
      <c r="A42" t="inlineStr">
        <is>
          <t>BDS001474</t>
        </is>
      </c>
      <c r="B42" t="n">
        <v>1474</v>
      </c>
      <c r="C42" t="inlineStr">
        <is>
          <t xml:space="preserve">ยาทาและยาพ่นแก้ปวดเมื่อย </t>
        </is>
      </c>
      <c r="D42" t="inlineStr">
        <is>
          <t>Counterpain Cool เล็ก</t>
        </is>
      </c>
      <c r="E42" t="inlineStr">
        <is>
          <t>Menthol 4%</t>
        </is>
      </c>
      <c r="F42" t="inlineStr">
        <is>
          <t>หลอด 30 g.</t>
        </is>
      </c>
      <c r="G42" t="inlineStr">
        <is>
          <t>ทาเบาๆ บริเวณที่มีอาการ จนกระทั่งยาซึมเข้าผิวหนัง วันละ 2-3 ครั้ง</t>
        </is>
      </c>
    </row>
    <row r="43">
      <c r="A43" t="inlineStr">
        <is>
          <t>BDS001476</t>
        </is>
      </c>
      <c r="B43" t="n">
        <v>1476</v>
      </c>
      <c r="C43" t="inlineStr">
        <is>
          <t xml:space="preserve">ยาทาและยาพ่นแก้ปวดเมื่อย </t>
        </is>
      </c>
      <c r="D43" t="inlineStr">
        <is>
          <t>Counterpain Cool ใหญ่</t>
        </is>
      </c>
      <c r="E43" t="inlineStr">
        <is>
          <t>Menthol 4%</t>
        </is>
      </c>
      <c r="F43" t="inlineStr">
        <is>
          <t>หลอด 120 g.</t>
        </is>
      </c>
      <c r="G43" t="inlineStr">
        <is>
          <t>ทาเบาๆ บริเวณที่มีอาการ จนกระทั่งยาซึมเข้าผิวหนัง วันละ 2-3 ครั้ง</t>
        </is>
      </c>
    </row>
    <row r="44">
      <c r="A44" t="inlineStr">
        <is>
          <t>BDS001472</t>
        </is>
      </c>
      <c r="B44" t="n">
        <v>1472</v>
      </c>
      <c r="C44" t="inlineStr">
        <is>
          <t xml:space="preserve">ยาทาและยาพ่นแก้ปวดเมื่อย </t>
        </is>
      </c>
      <c r="D44" t="inlineStr">
        <is>
          <t>Counterpain กลาง</t>
        </is>
      </c>
      <c r="E44" t="inlineStr">
        <is>
          <t>Methyl Salicylate 10.2%+Eugenol 1.36%+Menthol 5.44%</t>
        </is>
      </c>
      <c r="F44" t="inlineStr">
        <is>
          <t>หลอด 60 g.</t>
        </is>
      </c>
      <c r="G44" t="inlineStr">
        <is>
          <t>ทาครีมบริเวณที่ปวด จนกระทั่งยาซึมเข้าผิวหนัง วันละ 2-3 ครั้ง</t>
        </is>
      </c>
    </row>
    <row r="45">
      <c r="A45" t="inlineStr">
        <is>
          <t>BDS001471</t>
        </is>
      </c>
      <c r="B45" t="n">
        <v>1471</v>
      </c>
      <c r="C45" t="inlineStr">
        <is>
          <t xml:space="preserve">ยาทาและยาพ่นแก้ปวดเมื่อย </t>
        </is>
      </c>
      <c r="D45" t="inlineStr">
        <is>
          <t>Counterpain เล็ก</t>
        </is>
      </c>
      <c r="E45" t="inlineStr">
        <is>
          <t>Menthol 5.44%+Methyl Salicylate 10.2%+Eugenol 1.36%</t>
        </is>
      </c>
      <c r="F45" t="inlineStr">
        <is>
          <t>หลอด 30 g.</t>
        </is>
      </c>
      <c r="G45" t="inlineStr">
        <is>
          <t>ทาเบาๆ บริเวณที่มีอาการ จนกระทั่งยาซึมเข้าผิวหนัง วันละ 2-3 ครั้ง</t>
        </is>
      </c>
    </row>
    <row r="46">
      <c r="A46" t="inlineStr">
        <is>
          <t>BDS001473</t>
        </is>
      </c>
      <c r="B46" t="n">
        <v>1473</v>
      </c>
      <c r="C46" t="inlineStr">
        <is>
          <t xml:space="preserve">ยาทาและยาพ่นแก้ปวดเมื่อย </t>
        </is>
      </c>
      <c r="D46" t="inlineStr">
        <is>
          <t>Counterpain ใหญ่</t>
        </is>
      </c>
      <c r="E46" t="inlineStr">
        <is>
          <t>Menthol 5.44%+Methyl Salicylate 10.2%+Eugenol 1.36%</t>
        </is>
      </c>
      <c r="F46" t="inlineStr">
        <is>
          <t>หลอด 120 g.</t>
        </is>
      </c>
      <c r="G46" t="inlineStr">
        <is>
          <t>ทาเบาๆ บริเวณที่มีอาการ จนกระทั่งยาซึมเข้าผิวหนัง วันละ 2-3 ครั้ง</t>
        </is>
      </c>
    </row>
    <row r="47">
      <c r="A47" t="inlineStr">
        <is>
          <t>BDS001924</t>
        </is>
      </c>
      <c r="B47" t="n">
        <v>1924</v>
      </c>
      <c r="C47" t="inlineStr">
        <is>
          <t xml:space="preserve">ยาทาและยาพ่นแก้ปวดเมื่อย </t>
        </is>
      </c>
      <c r="D47" t="inlineStr">
        <is>
          <t>Flanil</t>
        </is>
      </c>
      <c r="E47" t="inlineStr">
        <is>
          <t>Menthol 5.44 g.+Methyl Salicylate 10.20 g.+Eugenol 1.36 g./100 g.</t>
        </is>
      </c>
      <c r="F47" t="inlineStr">
        <is>
          <t>หลอด 30 g.</t>
        </is>
      </c>
      <c r="G47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48">
      <c r="A48" t="inlineStr">
        <is>
          <t>BDS008608</t>
        </is>
      </c>
      <c r="B48" t="n">
        <v>8608</v>
      </c>
      <c r="C48" t="inlineStr">
        <is>
          <t xml:space="preserve">ยาทาและยาพ่นแก้ปวดเมื่อย </t>
        </is>
      </c>
      <c r="D48" t="inlineStr">
        <is>
          <t>Muscort Cream</t>
        </is>
      </c>
      <c r="E48" t="inlineStr">
        <is>
          <t>Menthol 5.44%+Methyl Salicylate 10.12%+Eugenol 1.36%</t>
        </is>
      </c>
      <c r="F48" t="inlineStr">
        <is>
          <t>หลอด 25 g.</t>
        </is>
      </c>
      <c r="G48" t="inlineStr">
        <is>
          <t>ทาเบาๆ บริเวณที่มีอาการ จนกระทั่งยาซึมเข้าผิวหนัง วันละ 2-3 ครั้ง</t>
        </is>
      </c>
    </row>
    <row r="49">
      <c r="A49" t="inlineStr">
        <is>
          <t>BDS002817</t>
        </is>
      </c>
      <c r="B49" t="n">
        <v>2817</v>
      </c>
      <c r="C49" t="inlineStr">
        <is>
          <t xml:space="preserve">ยาทาและยาพ่นแก้ปวดเมื่อย </t>
        </is>
      </c>
      <c r="D49" t="inlineStr">
        <is>
          <t>Neotica Balm เล็ก</t>
        </is>
      </c>
      <c r="E49" t="inlineStr">
        <is>
          <t>Menthol 5.64 g.+Camphor 1.8 g.+Methyl Salicylate 12.5 g.+Eucalyptus oil 1.8 g.+Eugenol 1.36 g./100 g</t>
        </is>
      </c>
      <c r="F49" t="inlineStr">
        <is>
          <t>หลอด 30 g.</t>
        </is>
      </c>
      <c r="G49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50">
      <c r="A50" t="inlineStr">
        <is>
          <t>BDS002819</t>
        </is>
      </c>
      <c r="B50" t="n">
        <v>2819</v>
      </c>
      <c r="C50" t="inlineStr">
        <is>
          <t xml:space="preserve">ยาทาและยาพ่นแก้ปวดเมื่อย </t>
        </is>
      </c>
      <c r="D50" t="inlineStr">
        <is>
          <t>Neotica Balm ใหญ่</t>
        </is>
      </c>
      <c r="E50" t="inlineStr">
        <is>
          <t>Menthol 5.64 g.+Camphor 1.8 g.+Methyl Salicylate 12.5 g.+Eucalyptus oil 1.8 g.+Eugenol 1.36 g./100 g</t>
        </is>
      </c>
      <c r="F50" t="inlineStr">
        <is>
          <t>หลอด 100 g.</t>
        </is>
      </c>
      <c r="G50" t="inlineStr">
        <is>
          <t>ทา (นวด) เบาๆ บริเวณที่มีอาการ จนกระทั่งยาซึมเข้าผิวหนัง วันละ 2-3 ครั้ง</t>
        </is>
      </c>
    </row>
    <row r="51">
      <c r="A51" t="inlineStr">
        <is>
          <t>BDS003118</t>
        </is>
      </c>
      <c r="B51" t="n">
        <v>3118</v>
      </c>
      <c r="C51" t="inlineStr">
        <is>
          <t xml:space="preserve">ยาทาและยาพ่นแก้ปวดเมื่อย </t>
        </is>
      </c>
      <c r="D51" t="inlineStr">
        <is>
          <t>Perskindol Classic Gel</t>
        </is>
      </c>
      <c r="E51" t="inlineStr">
        <is>
          <t>Menthol 1.5%+Pine Needle Oil 1.35%+Wintergreen Oil 0.35%+Orange Oil 0.4%</t>
        </is>
      </c>
      <c r="F51" t="inlineStr">
        <is>
          <t>กล่อง 100 ml.</t>
        </is>
      </c>
      <c r="G51" t="inlineStr">
        <is>
          <t>ทาบริเวณที่มีอาการ วันละ 3-4 ครั้ง นวดเบาๆ จนเนื้อเจลซึมเข้าสู่ผิวหนัง</t>
        </is>
      </c>
    </row>
    <row r="52">
      <c r="A52" t="inlineStr">
        <is>
          <t>BDS003119</t>
        </is>
      </c>
      <c r="B52" t="n">
        <v>3119</v>
      </c>
      <c r="C52" t="inlineStr">
        <is>
          <t xml:space="preserve">ยาทาและยาพ่นแก้ปวดเมื่อย </t>
        </is>
      </c>
      <c r="D52" t="inlineStr">
        <is>
          <t>Perskindol Classic Spray</t>
        </is>
      </c>
      <c r="E52" t="inlineStr">
        <is>
          <t>Menthol 1.5%+Pine Needle Oil 1.35%+Wintergreen Oil 0.35%+Orange Oil 0.4%+Lemon Oil 0.1%</t>
        </is>
      </c>
      <c r="F52" t="inlineStr">
        <is>
          <t>กระป๋อง 150 ml.</t>
        </is>
      </c>
      <c r="G52" t="inlineStr">
        <is>
          <t>ฉีดพ่นบริเวณที่มีอาการ วันละ 3-4 ครั้ง นวดเบาๆ</t>
        </is>
      </c>
    </row>
    <row r="53">
      <c r="A53" t="inlineStr">
        <is>
          <t>BDS003117</t>
        </is>
      </c>
      <c r="B53" t="n">
        <v>3117</v>
      </c>
      <c r="C53" t="inlineStr">
        <is>
          <t xml:space="preserve">ยาทาและยาพ่นแก้ปวดเมื่อย </t>
        </is>
      </c>
      <c r="D53" t="inlineStr">
        <is>
          <t>Perskindol Cool Spray</t>
        </is>
      </c>
      <c r="E53" t="inlineStr">
        <is>
          <t>I-Menthol 5 mg./1 g.</t>
        </is>
      </c>
      <c r="F53" t="inlineStr">
        <is>
          <t>กระป๋อง 250 ml.</t>
        </is>
      </c>
      <c r="G53" t="inlineStr">
        <is>
          <t>ฉีดพ่นบริเวณที่มีอาการ ได้บ่อยครั้งตามต้องการ</t>
        </is>
      </c>
    </row>
    <row r="54">
      <c r="A54" t="inlineStr">
        <is>
          <t>BDS046527</t>
        </is>
      </c>
      <c r="B54" t="n">
        <v>46527</v>
      </c>
      <c r="C54" t="inlineStr">
        <is>
          <t xml:space="preserve">ยาทาและยาพ่นแก้ปวดเมื่อย </t>
        </is>
      </c>
      <c r="D54" t="inlineStr">
        <is>
          <t>Plaivana Cream</t>
        </is>
      </c>
      <c r="E54" t="inlineStr">
        <is>
          <t>น้ำมันไพล 14 g./100 g.</t>
        </is>
      </c>
      <c r="F54" t="inlineStr">
        <is>
          <t>หลอด 35 g.</t>
        </is>
      </c>
      <c r="G54" t="inlineStr">
        <is>
          <t>นวดหรือทาบริเวณที่มีอาการ วันละ 2-3 ครั้ง</t>
        </is>
      </c>
    </row>
    <row r="55">
      <c r="A55" t="inlineStr">
        <is>
          <t>BDS002875</t>
        </is>
      </c>
      <c r="B55" t="n">
        <v>2875</v>
      </c>
      <c r="C55" t="inlineStr">
        <is>
          <t xml:space="preserve">ยาทาและยาพ่นแก้ปวดเมื่อย </t>
        </is>
      </c>
      <c r="D55" t="inlineStr">
        <is>
          <t>Reparil Ice Spray</t>
        </is>
      </c>
      <c r="E55" t="inlineStr">
        <is>
          <t>Butane+Pentane+Isobutane+Propane+Isopropyl alcohol+Menthol+Camphor</t>
        </is>
      </c>
      <c r="F55" t="inlineStr">
        <is>
          <t>กระป๋อง 200 ml.</t>
        </is>
      </c>
      <c r="G55" t="inlineStr">
        <is>
          <t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t>
        </is>
      </c>
    </row>
    <row r="56">
      <c r="A56" t="inlineStr">
        <is>
          <t>BDS003602</t>
        </is>
      </c>
      <c r="B56" t="n">
        <v>3602</v>
      </c>
      <c r="C56" t="inlineStr">
        <is>
          <t xml:space="preserve">ยาทาและยาพ่นแก้ปวดเมื่อย </t>
        </is>
      </c>
      <c r="D56" t="inlineStr">
        <is>
          <t>Salonpas Cream</t>
        </is>
      </c>
      <c r="E56" t="inlineStr">
        <is>
          <t xml:space="preserve">Methyl salicylate 15 g.+Menthol 7 g./100 g. </t>
        </is>
      </c>
      <c r="F56" t="inlineStr">
        <is>
          <t>หลอด 30 g.</t>
        </is>
      </c>
      <c r="G56" t="inlineStr">
        <is>
          <t xml:space="preserve">ทาบริเวณที่มีอาการ ไม่เกินวันละ 3-4 ครั้ง </t>
        </is>
      </c>
    </row>
    <row r="57">
      <c r="A57" t="inlineStr">
        <is>
          <t>BDS040024</t>
        </is>
      </c>
      <c r="B57" t="n">
        <v>40024</v>
      </c>
      <c r="C57" t="inlineStr">
        <is>
          <t>ยาป้องกันและรักษาข้อเสื่อม (D)</t>
        </is>
      </c>
      <c r="D57" t="inlineStr">
        <is>
          <t>Arthro-K Orange 1500</t>
        </is>
      </c>
      <c r="E57" t="inlineStr">
        <is>
          <t>Crystalline Glucosamine Sulfate Potassium Chloride (เทียบเท่ากับ Glucosamine sulfate 1500 mg.)</t>
        </is>
      </c>
      <c r="F57" t="inlineStr">
        <is>
          <t>ซอง 3.95 g.</t>
        </is>
      </c>
      <c r="G57" t="inlineStr">
        <is>
          <t>รับประทาน (ละลาย) ครั้งละ 1 ซองต่อน้ำครึ่งแก้ว (125 ml.) วันละ 1 ครั้ง</t>
        </is>
      </c>
    </row>
    <row r="58">
      <c r="A58" t="inlineStr">
        <is>
          <t>BDS040032</t>
        </is>
      </c>
      <c r="B58" t="n">
        <v>40032</v>
      </c>
      <c r="C58" t="inlineStr">
        <is>
          <t>ยาป้องกันและรักษาข้อเสื่อม (D)</t>
        </is>
      </c>
      <c r="D58" t="inlineStr">
        <is>
          <t>Artrofort Complex</t>
        </is>
      </c>
      <c r="E58" t="inlineStr">
        <is>
          <t>Crystalline Glucosamine Sulphate 942 mg.(เทียบเท่ากับ Glucosamine 750 mg.+Sodium Chloride 192 mg.)+Chondroitin Sulphate Sodium 600 mg.</t>
        </is>
      </c>
      <c r="F58" t="inlineStr">
        <is>
          <t>กล่อง 30 ซอง</t>
        </is>
      </c>
      <c r="G58" t="inlineStr">
        <is>
          <t>รับประทาน (ละลาย) ครั้งละ 1 ซองต่อน้ำ 1 แก้ว (125 ml.) วันละ 2 ครั้ง ก่อนอาหาร</t>
        </is>
      </c>
    </row>
    <row r="59">
      <c r="A59" t="inlineStr">
        <is>
          <t>BDS001521</t>
        </is>
      </c>
      <c r="B59" t="n">
        <v>1521</v>
      </c>
      <c r="C59" t="inlineStr">
        <is>
          <t>ยาป้องกันและรักษาข้อเสื่อม (D)</t>
        </is>
      </c>
      <c r="D59" t="inlineStr">
        <is>
          <t>Coxium</t>
        </is>
      </c>
      <c r="E59" t="inlineStr">
        <is>
          <t>Glucosamine Sulfate NaCl 1500 mg.</t>
        </is>
      </c>
      <c r="F59" t="inlineStr">
        <is>
          <t>กล่อง 30 ซอง</t>
        </is>
      </c>
      <c r="G59" t="inlineStr">
        <is>
          <t>รับประทาน (ละลาย) ครั้งละ 1 ซองต่อน้ำ 1 แก้ว (250 ml.) วันละ 1 ครั้ง</t>
        </is>
      </c>
    </row>
    <row r="60">
      <c r="A60" t="inlineStr">
        <is>
          <t>BDS007743</t>
        </is>
      </c>
      <c r="B60" t="n">
        <v>7743</v>
      </c>
      <c r="C60" t="inlineStr">
        <is>
          <t>ยาป้องกันและรักษาข้อเสื่อม (D)</t>
        </is>
      </c>
      <c r="D60" t="inlineStr">
        <is>
          <t>Glucosa 1500 ชนิดผง</t>
        </is>
      </c>
      <c r="E60" t="inlineStr">
        <is>
          <t>Glucosamine sulfate sodium 1500 mg.</t>
        </is>
      </c>
      <c r="F60" t="inlineStr">
        <is>
          <t xml:space="preserve">กล่อง 10 ซอง </t>
        </is>
      </c>
      <c r="G60" t="inlineStr">
        <is>
          <t>รับประทาน (ละลาย) ครั้งละ 1 ซองต่อน้ำ 1 แก้ว (250 ml.) วันละ 1 ครั้ง</t>
        </is>
      </c>
    </row>
    <row r="61">
      <c r="A61" t="inlineStr">
        <is>
          <t>BDS043605</t>
        </is>
      </c>
      <c r="B61" t="n">
        <v>43605</v>
      </c>
      <c r="C61" t="inlineStr">
        <is>
          <t>ยาป้องกันและรักษาข้อเสื่อม (D)</t>
        </is>
      </c>
      <c r="D61" t="inlineStr">
        <is>
          <t>Glucosa 1500 ชนิดผง (รสมะนาว)</t>
        </is>
      </c>
      <c r="E61" t="inlineStr">
        <is>
          <t>Glucosamine sulfate sodium 1500 mg.</t>
        </is>
      </c>
      <c r="F61" t="inlineStr">
        <is>
          <t xml:space="preserve">กล่อง 10 ซอง </t>
        </is>
      </c>
      <c r="G61" t="inlineStr">
        <is>
          <t>รับประทาน (ละลาย) ครั้งละ 1 ซองต่อน้ำ 1 แก้ว (250 ml.) วันละ 1 ครั้ง</t>
        </is>
      </c>
    </row>
    <row r="62">
      <c r="A62" t="inlineStr">
        <is>
          <t>BDS007739</t>
        </is>
      </c>
      <c r="B62" t="n">
        <v>7739</v>
      </c>
      <c r="C62" t="inlineStr">
        <is>
          <t>ยาป้องกันและรักษาข้อเสื่อม (D)</t>
        </is>
      </c>
      <c r="D62" t="inlineStr">
        <is>
          <t>Glucosa 500</t>
        </is>
      </c>
      <c r="E62" t="inlineStr">
        <is>
          <t>Glucosamine sulfate sodium 500 mg.</t>
        </is>
      </c>
      <c r="F62" t="inlineStr">
        <is>
          <t>แผง 10 แคปซูล</t>
        </is>
      </c>
      <c r="G62" t="inlineStr">
        <is>
          <t>รับประทานครั้งละ 1 แคปซูล วันละ 3 ครั้ง</t>
        </is>
      </c>
    </row>
    <row r="63">
      <c r="A63" t="inlineStr">
        <is>
          <t>BDS007225</t>
        </is>
      </c>
      <c r="B63" t="n">
        <v>7225</v>
      </c>
      <c r="C63" t="inlineStr">
        <is>
          <t>ยาป้องกันและรักษาข้อเสื่อม (D)</t>
        </is>
      </c>
      <c r="D63" t="inlineStr">
        <is>
          <t>Osteotin 500</t>
        </is>
      </c>
      <c r="E63" t="inlineStr">
        <is>
          <t>Glucosamine sulfate sodium 500 mg.</t>
        </is>
      </c>
      <c r="F63" t="inlineStr">
        <is>
          <t>แผง 10 แคปซูล</t>
        </is>
      </c>
      <c r="G63" t="inlineStr">
        <is>
          <t>รับประทานครั้งละ 1 แคปซูล วันละ 3 ครั้ง</t>
        </is>
      </c>
    </row>
    <row r="64">
      <c r="A64" t="inlineStr">
        <is>
          <t>BDS001003</t>
        </is>
      </c>
      <c r="B64" t="n">
        <v>1003</v>
      </c>
      <c r="C64" t="inlineStr">
        <is>
          <t>ยาป้องกันและรักษาข้อเสื่อม (D)</t>
        </is>
      </c>
      <c r="D64" t="inlineStr">
        <is>
          <t>Viaflex 1500</t>
        </is>
      </c>
      <c r="E64" t="inlineStr">
        <is>
          <t>Glucosamine Sulfate Sodium Chloride  1884 mg. (Glucosamine Sulfate 1500 mg./1 ซอง)</t>
        </is>
      </c>
      <c r="F64" t="inlineStr">
        <is>
          <t>กล่อง 30 ซอง</t>
        </is>
      </c>
      <c r="G64" t="inlineStr">
        <is>
          <t xml:space="preserve">รับประทาน (ละลาย) 1 ซอง ต่อน้ำ (150-200 ml.) วันละ 1 ครั้ง </t>
        </is>
      </c>
    </row>
    <row r="65">
      <c r="A65" t="inlineStr">
        <is>
          <t>BDS001705</t>
        </is>
      </c>
      <c r="B65" t="n">
        <v>1705</v>
      </c>
      <c r="C65" t="inlineStr">
        <is>
          <t>ยาป้องกันและรักษาข้อเสื่อม (D)</t>
        </is>
      </c>
      <c r="D65" t="inlineStr">
        <is>
          <t>Viartril-S</t>
        </is>
      </c>
      <c r="E65" t="inlineStr">
        <is>
          <t>Glucosamine Sulphate 1500 mg.</t>
        </is>
      </c>
      <c r="F65" t="inlineStr">
        <is>
          <t>กล่อง 30 ซอง</t>
        </is>
      </c>
      <c r="G65" t="inlineStr">
        <is>
          <t>รับประทาน (ละลาย) ครั้งละ 1 ซองต่อน้ำ 1 แก้ว (250 ml.) วันละ 1 ครั้ง ก่อนอาหาร 15 นาที</t>
        </is>
      </c>
    </row>
    <row r="66">
      <c r="A66" t="inlineStr">
        <is>
          <t>BDS003753</t>
        </is>
      </c>
      <c r="B66" t="n">
        <v>3753</v>
      </c>
      <c r="C66" t="inlineStr">
        <is>
          <t>ยาเหน็บแก้ปวด, ลดไข้</t>
        </is>
      </c>
      <c r="D66" t="inlineStr">
        <is>
          <t>Poro Suppository</t>
        </is>
      </c>
      <c r="E66" t="inlineStr">
        <is>
          <t>Paracetamol 125 mg.</t>
        </is>
      </c>
      <c r="F66" t="inlineStr">
        <is>
          <t>กล่อง 5 แท่ง</t>
        </is>
      </c>
      <c r="G66" t="inlineStr">
        <is>
          <t>เหน็บยาเข้าทางทวารหนัก 1-2 แท่ง ทุก 4 ชั่วโมง</t>
        </is>
      </c>
    </row>
    <row r="67">
      <c r="A67" t="inlineStr">
        <is>
          <t>BDS040614</t>
        </is>
      </c>
      <c r="B67" t="n">
        <v>40614</v>
      </c>
      <c r="C67" t="inlineStr">
        <is>
          <t>ยาแก้ปวด, ลดไข้</t>
        </is>
      </c>
      <c r="D67" t="inlineStr">
        <is>
          <t>Bakamol 500 mg bottle 100s</t>
        </is>
      </c>
      <c r="E67" t="inlineStr">
        <is>
          <t>Paracetamol 500 mg.</t>
        </is>
      </c>
      <c r="F67" t="inlineStr">
        <is>
          <t>กระปุก 100 เม็ด</t>
        </is>
      </c>
      <c r="G67" t="inlineStr">
        <is>
          <t>รับประทานครั้งละ 1-2 เม็ด ทุก 4-6 ชั่วโมง</t>
        </is>
      </c>
    </row>
    <row r="68">
      <c r="A68" t="inlineStr">
        <is>
          <t>BDS007047</t>
        </is>
      </c>
      <c r="B68" t="n">
        <v>7047</v>
      </c>
      <c r="C68" t="inlineStr">
        <is>
          <t>ยาแก้ปวด, ลดไข้</t>
        </is>
      </c>
      <c r="D68" t="inlineStr">
        <is>
          <t>Cemol 500 mg bottle 100s ฟ้า-ขาว</t>
        </is>
      </c>
      <c r="E68" t="inlineStr">
        <is>
          <t>Paracetamol 500 mg.</t>
        </is>
      </c>
      <c r="F68" t="inlineStr">
        <is>
          <t>กระปุก 100 เม็ด</t>
        </is>
      </c>
      <c r="G68" t="inlineStr">
        <is>
          <t>รับประทานครั้งละ 1-2 เม็ด ทุก 4 ชั่วโมง หรือเมื่อมีอาการ</t>
        </is>
      </c>
    </row>
    <row r="69">
      <c r="A69" t="inlineStr">
        <is>
          <t>BDS007041</t>
        </is>
      </c>
      <c r="B69" t="n">
        <v>7041</v>
      </c>
      <c r="C69" t="inlineStr">
        <is>
          <t>ยาแก้ปวด, ลดไข้</t>
        </is>
      </c>
      <c r="D69" t="inlineStr">
        <is>
          <t>Cemol 500 mg bottle 100s เม็ดกลม</t>
        </is>
      </c>
      <c r="E69" t="inlineStr">
        <is>
          <t>Paracetamol 500 mg.</t>
        </is>
      </c>
      <c r="F69" t="inlineStr">
        <is>
          <t>กระปุก 100 เม็ด</t>
        </is>
      </c>
      <c r="G69" t="inlineStr">
        <is>
          <t>รับประทานครั้งละ 1-2 เม็ด ทุก 4 ชั่วโมง หรือเมื่อมีอาการ</t>
        </is>
      </c>
    </row>
    <row r="70">
      <c r="A70" t="inlineStr">
        <is>
          <t>BDS046505</t>
        </is>
      </c>
      <c r="B70" t="n">
        <v>46505</v>
      </c>
      <c r="C70" t="inlineStr">
        <is>
          <t>ยาแก้ปวด, ลดไข้</t>
        </is>
      </c>
      <c r="D70" t="inlineStr">
        <is>
          <t xml:space="preserve">Panadol Actifast </t>
        </is>
      </c>
      <c r="E70" t="inlineStr">
        <is>
          <t>Paracetamol 500 mg.</t>
        </is>
      </c>
      <c r="F70" t="inlineStr">
        <is>
          <t>กล่อง 10 เม็ด</t>
        </is>
      </c>
      <c r="G70" t="inlineStr">
        <is>
          <t>รับประทานครั้งละ 1-2  เม็ด ทุก 4-6 ชั่วโมง เมื่อมีอาการ</t>
        </is>
      </c>
    </row>
    <row r="71">
      <c r="A71" t="inlineStr">
        <is>
          <t>BDS003109</t>
        </is>
      </c>
      <c r="B71" t="n">
        <v>3109</v>
      </c>
      <c r="C71" t="inlineStr">
        <is>
          <t>ยาแก้ปวด, ลดไข้</t>
        </is>
      </c>
      <c r="D71" t="inlineStr">
        <is>
          <t>Para Cap bottle 100s</t>
        </is>
      </c>
      <c r="E71" t="inlineStr">
        <is>
          <t>Paracetamol 500 mg.</t>
        </is>
      </c>
      <c r="F71" t="inlineStr">
        <is>
          <t>กระปุก 100 เม็ด</t>
        </is>
      </c>
      <c r="G71" t="inlineStr">
        <is>
          <t>รับประทานครั้งละ 1-2 เม็ด ทุก 4-6 ชั่วโมง</t>
        </is>
      </c>
    </row>
    <row r="72">
      <c r="A72" t="inlineStr">
        <is>
          <t>BDS003595</t>
        </is>
      </c>
      <c r="B72" t="n">
        <v>3595</v>
      </c>
      <c r="C72" t="inlineStr">
        <is>
          <t>ยาแก้ปวด, ลดไข้</t>
        </is>
      </c>
      <c r="D72" t="inlineStr">
        <is>
          <t>Sara เม็ดรี กระปุก 100s</t>
        </is>
      </c>
      <c r="E72" t="inlineStr">
        <is>
          <t>Paracetamol 500 mg.</t>
        </is>
      </c>
      <c r="F72" t="inlineStr">
        <is>
          <t>กระปุก 100 เม็ด</t>
        </is>
      </c>
      <c r="G72" t="inlineStr">
        <is>
          <t>รับประทานครั้งละ 1-2 เม็ด ทุก 4-6 ชั่วโมง</t>
        </is>
      </c>
    </row>
    <row r="73">
      <c r="A73" t="inlineStr">
        <is>
          <t>BDS003764</t>
        </is>
      </c>
      <c r="B73" t="n">
        <v>3764</v>
      </c>
      <c r="C73" t="inlineStr">
        <is>
          <t>ยาแก้ปวด, ลดไข้</t>
        </is>
      </c>
      <c r="D73" t="inlineStr">
        <is>
          <t>Tylenol 500 mg bottle 100s</t>
        </is>
      </c>
      <c r="E73" t="inlineStr">
        <is>
          <t>Paracetamol 500 mg.</t>
        </is>
      </c>
      <c r="F73" t="inlineStr">
        <is>
          <t>กระปุก 100 เม็ด</t>
        </is>
      </c>
      <c r="G73" t="inlineStr">
        <is>
          <t>รับประทานครั้งละ 1-2 เม็ด ทุก 4-6 ชั่วโมง</t>
        </is>
      </c>
    </row>
    <row r="74">
      <c r="A74" t="inlineStr">
        <is>
          <t>BDS003748</t>
        </is>
      </c>
      <c r="B74" t="n">
        <v>3748</v>
      </c>
      <c r="C74" t="inlineStr">
        <is>
          <t>ยาแก้ปวด, ลดไข้</t>
        </is>
      </c>
      <c r="D74" t="inlineStr">
        <is>
          <t>Tylenol 8 Hour</t>
        </is>
      </c>
      <c r="E74" t="inlineStr">
        <is>
          <t>Paracetamol 650 mg.</t>
        </is>
      </c>
      <c r="F74" t="inlineStr">
        <is>
          <t>กล่อง 10 เม็ด</t>
        </is>
      </c>
      <c r="G74" t="inlineStr">
        <is>
          <t>รับประทานครั้งละ 2 เม็ด ทุก 8 ชั่วโมง หรือเมื่อมีอาการ</t>
        </is>
      </c>
    </row>
    <row r="75">
      <c r="A75" t="inlineStr">
        <is>
          <t>BDS040016</t>
        </is>
      </c>
      <c r="B75" t="n">
        <v>40016</v>
      </c>
      <c r="C75" t="inlineStr">
        <is>
          <t>ยาแก้ปวด, ลดไข้ (D)</t>
        </is>
      </c>
      <c r="D75" t="inlineStr">
        <is>
          <t xml:space="preserve">Adavil F/C tabslets </t>
        </is>
      </c>
      <c r="E75" t="inlineStr">
        <is>
          <t>Ibuprofen 400 mg.</t>
        </is>
      </c>
      <c r="F75" t="inlineStr">
        <is>
          <t>แผง 10 เม็ด</t>
        </is>
      </c>
      <c r="G75" t="inlineStr">
        <is>
          <t xml:space="preserve">รับประทานครั้งละ 1 เม็ด วันละ 3-4 ครั้ง หลังอาหารทันที </t>
        </is>
      </c>
    </row>
    <row r="76">
      <c r="A76" t="inlineStr">
        <is>
          <t>BDS040623</t>
        </is>
      </c>
      <c r="B76" t="n">
        <v>40623</v>
      </c>
      <c r="C76" t="inlineStr">
        <is>
          <t>ยาแก้ปวด, ลดไข้ (D)</t>
        </is>
      </c>
      <c r="D76" t="inlineStr">
        <is>
          <t>Brusoft 400</t>
        </is>
      </c>
      <c r="E76" t="inlineStr">
        <is>
          <t>Ibuprofen 400 mg.</t>
        </is>
      </c>
      <c r="F76" t="inlineStr">
        <is>
          <t>กล่อง 10 แคปซูล</t>
        </is>
      </c>
      <c r="G76" t="inlineStr">
        <is>
          <t xml:space="preserve">รับประทานครั้งละ 1 แคปซูล ทุก 4-6 ชั่วโมง </t>
        </is>
      </c>
    </row>
    <row r="77">
      <c r="A77" t="inlineStr">
        <is>
          <t>BDS040629</t>
        </is>
      </c>
      <c r="B77" t="n">
        <v>40629</v>
      </c>
      <c r="C77" t="inlineStr">
        <is>
          <t>ยาแก้ปวด, ลดไข้ (D)</t>
        </is>
      </c>
      <c r="D77" t="inlineStr">
        <is>
          <t>Brustan</t>
        </is>
      </c>
      <c r="E77" t="inlineStr">
        <is>
          <t>Ibuprofen 400 mg.+Paracetamol 325 mg.</t>
        </is>
      </c>
      <c r="F77" t="inlineStr">
        <is>
          <t>กล่อง 10 เม็ด</t>
        </is>
      </c>
      <c r="G77" t="inlineStr">
        <is>
          <t>รับประทานครั้งละ 1 เม็ด วันละ 3  ครั้ง หลังอาหารทันที</t>
        </is>
      </c>
    </row>
    <row r="78">
      <c r="A78" t="inlineStr">
        <is>
          <t>BDS007040</t>
        </is>
      </c>
      <c r="B78" t="n">
        <v>7040</v>
      </c>
      <c r="C78" t="inlineStr">
        <is>
          <t>ยาแก้ปวด, ลดไข้ (D)</t>
        </is>
      </c>
      <c r="D78" t="inlineStr">
        <is>
          <t>Cefen 400P</t>
        </is>
      </c>
      <c r="E78" t="inlineStr">
        <is>
          <t>Ibuprofen 400 mg.</t>
        </is>
      </c>
      <c r="F78" t="inlineStr">
        <is>
          <t>แผง 10 เม็ด</t>
        </is>
      </c>
      <c r="G78" t="inlineStr">
        <is>
          <t>รับประทานครั้งละ 1 เม็ด วันละ 3 ครั้ง หลังอาหารทันที</t>
        </is>
      </c>
    </row>
    <row r="79">
      <c r="A79" t="inlineStr">
        <is>
          <t>BDS001618</t>
        </is>
      </c>
      <c r="B79" t="n">
        <v>1618</v>
      </c>
      <c r="C79" t="inlineStr">
        <is>
          <t>ยาแก้ปวด, ลดไข้ (D)</t>
        </is>
      </c>
      <c r="D79" t="inlineStr">
        <is>
          <t>Duran</t>
        </is>
      </c>
      <c r="E79" t="inlineStr">
        <is>
          <t>Ibuprofen 400 mg.</t>
        </is>
      </c>
      <c r="F79" t="inlineStr">
        <is>
          <t>กล่อง 10 เม็ด</t>
        </is>
      </c>
      <c r="G79" t="inlineStr">
        <is>
          <t>รับประทานครั้งละ 1 เม็ด วันละ 3-4 ครั้ง หลังอาหารทันที</t>
        </is>
      </c>
      <c r="I79" t="n">
        <v>30</v>
      </c>
      <c r="J79" t="n">
        <v>3</v>
      </c>
      <c r="K79" t="inlineStr">
        <is>
          <t>https://www.migrainethailand.com/ibuprofen-migraine/</t>
        </is>
      </c>
      <c r="L79" t="inlineStr">
        <is>
          <t>2026-02-07</t>
        </is>
      </c>
      <c r="M79" t="inlineStr">
        <is>
          <t>Estimated midpoint from Thai retail range 25–34 THB per 10 tablets (generic ibuprofen 400 mg).</t>
        </is>
      </c>
    </row>
    <row r="80">
      <c r="A80" t="inlineStr">
        <is>
          <t>BDS002042</t>
        </is>
      </c>
      <c r="B80" t="n">
        <v>2042</v>
      </c>
      <c r="C80" t="inlineStr">
        <is>
          <t>ยาแก้ปวด, ลดไข้ (D)</t>
        </is>
      </c>
      <c r="D80" t="inlineStr">
        <is>
          <t>Gofen 400</t>
        </is>
      </c>
      <c r="E80" t="inlineStr">
        <is>
          <t>Ibuprofen 400 mg.+Polyethylene 400+Porpylene Glycol</t>
        </is>
      </c>
      <c r="F80" t="inlineStr">
        <is>
          <t>กล่อง 10 แคปซูล</t>
        </is>
      </c>
      <c r="G80" t="inlineStr">
        <is>
          <t xml:space="preserve">รับประทานครั้งละ 1 แคปซูล ทุก 4-6 ชั่วโมง </t>
        </is>
      </c>
      <c r="I80" t="n">
        <v>103</v>
      </c>
      <c r="J80" t="n">
        <v>10.3</v>
      </c>
      <c r="K80" t="inlineStr">
        <is>
          <t>https://bigya.co.th/product-detail/217</t>
        </is>
      </c>
      <c r="L80" t="inlineStr">
        <is>
          <t>2026-02-07</t>
        </is>
      </c>
      <c r="M80" t="inlineStr">
        <is>
          <t>Retail price at BIGYA (strip 10 softgel capsules).</t>
        </is>
      </c>
    </row>
    <row r="81">
      <c r="A81" t="inlineStr">
        <is>
          <t>BDS002036</t>
        </is>
      </c>
      <c r="B81" t="n">
        <v>2036</v>
      </c>
      <c r="C81" t="inlineStr">
        <is>
          <t>ยาแก้ปวด, ลดไข้ (D)</t>
        </is>
      </c>
      <c r="D81" t="inlineStr">
        <is>
          <t>Greatofen-400 mg</t>
        </is>
      </c>
      <c r="E81" t="inlineStr">
        <is>
          <t>Ibuprofen 400 mg.</t>
        </is>
      </c>
      <c r="F81" t="inlineStr">
        <is>
          <t>แผง 10 เม็ด</t>
        </is>
      </c>
      <c r="G81" t="inlineStr">
        <is>
          <t>รับประทานครั้งละ 1-2 เม็ด วันละ 3 ครั้ง หลังอาหารทันที</t>
        </is>
      </c>
    </row>
    <row r="82">
      <c r="A82" t="inlineStr">
        <is>
          <t>BDS007161</t>
        </is>
      </c>
      <c r="B82" t="n">
        <v>7161</v>
      </c>
      <c r="C82" t="inlineStr">
        <is>
          <t>ยาแก้ปวด, ลดไข้ (D)</t>
        </is>
      </c>
      <c r="D82" t="inlineStr">
        <is>
          <t>Ibuman-Plus</t>
        </is>
      </c>
      <c r="E82" t="inlineStr">
        <is>
          <t>Ibuprofen 400 mg.+Paracetamol 325 mg.</t>
        </is>
      </c>
      <c r="F82" t="inlineStr">
        <is>
          <t>แผง 10 เม็ด</t>
        </is>
      </c>
      <c r="G82" t="inlineStr">
        <is>
          <t>รับประทานครั้งละ 1 เม็ด วันละ 3  ครั้ง หลังอาหารทันที</t>
        </is>
      </c>
    </row>
    <row r="83">
      <c r="A83" t="inlineStr">
        <is>
          <t>BDS007165</t>
        </is>
      </c>
      <c r="B83" t="n">
        <v>7165</v>
      </c>
      <c r="C83" t="inlineStr">
        <is>
          <t>ยาแก้ปวด, ลดไข้ (D)</t>
        </is>
      </c>
      <c r="D83" t="inlineStr">
        <is>
          <t>Kintal B</t>
        </is>
      </c>
      <c r="E83" t="inlineStr">
        <is>
          <t>Ibuprofen 400 mg.+Paracetamol 325 mg.</t>
        </is>
      </c>
      <c r="F83" t="inlineStr">
        <is>
          <t>แผง 10 เม็ด</t>
        </is>
      </c>
      <c r="G83" t="inlineStr">
        <is>
          <t>รับประทานครั้งละ 1 เม็ด วันละ 3 ครั้ง หลังอาหารทันที</t>
        </is>
      </c>
    </row>
    <row r="84">
      <c r="A84" t="inlineStr">
        <is>
          <t>BDS045600</t>
        </is>
      </c>
      <c r="B84" t="n">
        <v>45600</v>
      </c>
      <c r="C84" t="inlineStr">
        <is>
          <t>ยาแก้ปวด, ลดไข้ (D)</t>
        </is>
      </c>
      <c r="D84" t="inlineStr">
        <is>
          <t>Nurofen Zavance</t>
        </is>
      </c>
      <c r="E84" t="inlineStr">
        <is>
          <t>Ibuprofen 400 mg</t>
        </is>
      </c>
      <c r="F84" t="inlineStr">
        <is>
          <t>กล่อง 10 แคปซูล</t>
        </is>
      </c>
      <c r="G84" t="inlineStr">
        <is>
          <t xml:space="preserve">รับประทานครั้งละ 1 แคปซูล ทุก 6 ชั่วโมงเมื่อมีอาการ  </t>
        </is>
      </c>
      <c r="I84" t="n">
        <v>178</v>
      </c>
      <c r="J84" t="n">
        <v>17.8</v>
      </c>
      <c r="K84" t="inlineStr">
        <is>
          <t>https://bigya.co.th/product-detail/343</t>
        </is>
      </c>
      <c r="L84" t="inlineStr">
        <is>
          <t>2026-02-07</t>
        </is>
      </c>
      <c r="M84" t="inlineStr">
        <is>
          <t>Retail price at BIGYA (strip 10 softgel capsules).</t>
        </is>
      </c>
    </row>
    <row r="85">
      <c r="A85" t="inlineStr">
        <is>
          <t>BDS002846</t>
        </is>
      </c>
      <c r="B85" t="n">
        <v>2846</v>
      </c>
      <c r="C85" t="inlineStr">
        <is>
          <t>ยาแก้ปวด, ลดไข้ (D)</t>
        </is>
      </c>
      <c r="D85" t="inlineStr">
        <is>
          <t>Nurofen-400</t>
        </is>
      </c>
      <c r="E85" t="inlineStr">
        <is>
          <t>Ibuprofen 400 mg.</t>
        </is>
      </c>
      <c r="F85" t="inlineStr">
        <is>
          <t>แผง 6 เม็ด</t>
        </is>
      </c>
      <c r="G85" t="inlineStr">
        <is>
          <t>รับประทานครั้งละ 1 เม็ด วันละ 3 ครั้ง หลังอาหารทันที</t>
        </is>
      </c>
    </row>
    <row r="86">
      <c r="A86" t="inlineStr">
        <is>
          <t>BDS047673</t>
        </is>
      </c>
      <c r="B86" t="n">
        <v>47673</v>
      </c>
      <c r="C86" t="inlineStr">
        <is>
          <t>ยาแก้ปวด, ลดไข้ (D)</t>
        </is>
      </c>
      <c r="D86" t="inlineStr">
        <is>
          <t>Solufen 400</t>
        </is>
      </c>
      <c r="E86" t="inlineStr">
        <is>
          <t>Ibuprofen 400 mg.</t>
        </is>
      </c>
      <c r="F86" t="inlineStr">
        <is>
          <t>กล่อง 10 แคปซูล</t>
        </is>
      </c>
      <c r="G86" t="inlineStr">
        <is>
          <t xml:space="preserve">รับประทานครั้งละ 1 แคปซูล ทุก 4-6 ชั่วโมง </t>
        </is>
      </c>
    </row>
    <row r="87">
      <c r="A87" t="inlineStr">
        <is>
          <t>BDS040613</t>
        </is>
      </c>
      <c r="B87" t="n">
        <v>40613</v>
      </c>
      <c r="C87" t="inlineStr">
        <is>
          <t>ยาแก้ปวด, ลดไข้ (OTC)</t>
        </is>
      </c>
      <c r="D87" t="inlineStr">
        <is>
          <t>Bakamol 500 mg strip 10s</t>
        </is>
      </c>
      <c r="E87" t="inlineStr">
        <is>
          <t>Paracetamol 500 mg.</t>
        </is>
      </c>
      <c r="F87" t="inlineStr">
        <is>
          <t>แผง 10 เม็ด</t>
        </is>
      </c>
      <c r="G87" t="inlineStr">
        <is>
          <t>รับประทานครั้งละ 1-2 เม็ด ทุก 4-6 ชั่วโมง</t>
        </is>
      </c>
      <c r="H87" t="inlineStr">
        <is>
          <t>Take 1-2 tablets every 4-6 hours</t>
        </is>
      </c>
    </row>
    <row r="88">
      <c r="A88" t="inlineStr">
        <is>
          <t>BDS007044</t>
        </is>
      </c>
      <c r="B88" t="n">
        <v>7044</v>
      </c>
      <c r="C88" t="inlineStr">
        <is>
          <t>ยาแก้ปวด, ลดไข้ (OTC)</t>
        </is>
      </c>
      <c r="D88" t="inlineStr">
        <is>
          <t>Cemol 500 mg strip 10s เม็ดรี</t>
        </is>
      </c>
      <c r="E88" t="inlineStr">
        <is>
          <t>Paracetamol 500 mg.</t>
        </is>
      </c>
      <c r="F88" t="inlineStr">
        <is>
          <t>แผง 10 เม็ด</t>
        </is>
      </c>
      <c r="G88" t="inlineStr">
        <is>
          <t>รับประทานครั้งละ 1-2 เม็ด ทุก 4 ชั่วโมง หรือเมื่อมีอาการ</t>
        </is>
      </c>
      <c r="H88" t="inlineStr">
        <is>
          <t>Take 1-2 tablets every 4 hours or if symptoms occur</t>
        </is>
      </c>
    </row>
    <row r="89">
      <c r="A89" t="inlineStr">
        <is>
          <t>BDS003108</t>
        </is>
      </c>
      <c r="B89" t="n">
        <v>3108</v>
      </c>
      <c r="C89" t="inlineStr">
        <is>
          <t>ยาแก้ปวด, ลดไข้ (OTC)</t>
        </is>
      </c>
      <c r="D89" t="inlineStr">
        <is>
          <t>Para Cap strip 10s</t>
        </is>
      </c>
      <c r="E89" t="inlineStr">
        <is>
          <t>Paracetamol 500 mg.</t>
        </is>
      </c>
      <c r="F89" t="inlineStr">
        <is>
          <t>แผง 10 เม็ด</t>
        </is>
      </c>
      <c r="G89" t="inlineStr">
        <is>
          <t>รับประทานครั้งละ 1-2 เม็ด ทุก 4-6 ชั่วโมง</t>
        </is>
      </c>
      <c r="H89" t="inlineStr">
        <is>
          <t>Take 1-2 tablets every 4-6 hours</t>
        </is>
      </c>
    </row>
    <row r="90">
      <c r="A90" t="inlineStr">
        <is>
          <t>BDS003503</t>
        </is>
      </c>
      <c r="B90" t="n">
        <v>3503</v>
      </c>
      <c r="C90" t="inlineStr">
        <is>
          <t>ยาแก้ปวด, ลดไข้ (OTC)</t>
        </is>
      </c>
      <c r="D90" t="inlineStr">
        <is>
          <t>Sara เม็ดกลม แผง 10s</t>
        </is>
      </c>
      <c r="E90" t="inlineStr">
        <is>
          <t>Paracetamol 500 mg.</t>
        </is>
      </c>
      <c r="F90" t="inlineStr">
        <is>
          <t>แผง 10 เม็ด</t>
        </is>
      </c>
      <c r="G90" t="inlineStr">
        <is>
          <t>รับประทานครั้งละ 1-2 เม็ด ทุก 4-6 ชั่วโมง</t>
        </is>
      </c>
      <c r="H90" t="inlineStr">
        <is>
          <t>Take 1-2 tablets every 4-6 hours</t>
        </is>
      </c>
    </row>
    <row r="91">
      <c r="A91" t="inlineStr">
        <is>
          <t>BDS003654</t>
        </is>
      </c>
      <c r="B91" t="n">
        <v>3654</v>
      </c>
      <c r="C91" t="inlineStr">
        <is>
          <t>ยาแก้ปวด, ลดไข้ (OTC)</t>
        </is>
      </c>
      <c r="D91" t="inlineStr">
        <is>
          <t>Sara เม็ดรี แผง 10s</t>
        </is>
      </c>
      <c r="E91" t="inlineStr">
        <is>
          <t>Paracetamol 500 mg.</t>
        </is>
      </c>
      <c r="F91" t="inlineStr">
        <is>
          <t>แผง 10 เม็ด</t>
        </is>
      </c>
      <c r="G91" t="inlineStr">
        <is>
          <t>รับประทานครั้งละ1-2 เม็ด  ทุก 4-6 ชั่วโมง</t>
        </is>
      </c>
      <c r="H91" t="inlineStr">
        <is>
          <t>Take 1-2 tablets every 4-6 hours</t>
        </is>
      </c>
    </row>
    <row r="92">
      <c r="A92" t="inlineStr">
        <is>
          <t>BDS003762</t>
        </is>
      </c>
      <c r="B92" t="n">
        <v>3762</v>
      </c>
      <c r="C92" t="inlineStr">
        <is>
          <t>ยาแก้ปวด, ลดไข้ (OTC)</t>
        </is>
      </c>
      <c r="D92" t="inlineStr">
        <is>
          <t>Tylenol 500 mg strip 10s</t>
        </is>
      </c>
      <c r="E92" t="inlineStr">
        <is>
          <t>Paracetamol 500 mg.</t>
        </is>
      </c>
      <c r="F92" t="inlineStr">
        <is>
          <t>แผง 10 เม็ด</t>
        </is>
      </c>
      <c r="G92" t="inlineStr">
        <is>
          <t>รับประทานครั้งละ 1-2  เม็ด ทุก 4-6 ชั่วโมง</t>
        </is>
      </c>
      <c r="H92" t="inlineStr">
        <is>
          <t>Take 1-2 tablets every 4-6 hours</t>
        </is>
      </c>
      <c r="I92" t="n">
        <v>36</v>
      </c>
      <c r="J92" t="n">
        <v>3.6</v>
      </c>
      <c r="K92" t="inlineStr">
        <is>
          <t>USER</t>
        </is>
      </c>
      <c r="L92" t="inlineStr">
        <is>
          <t>2026-02-07</t>
        </is>
      </c>
      <c r="M92" t="inlineStr">
        <is>
          <t>User provided price (online). Unit price per tablet (10 tabs strip).</t>
        </is>
      </c>
    </row>
    <row r="93">
      <c r="A93" t="inlineStr">
        <is>
          <t>BDS008609</t>
        </is>
      </c>
      <c r="B93" t="n">
        <v>8609</v>
      </c>
      <c r="C93" t="inlineStr">
        <is>
          <t>ยาแก้ปวด, ลดไข้ ชนิดน้ำ</t>
        </is>
      </c>
      <c r="D93" t="inlineStr">
        <is>
          <t>Ampol Suspension</t>
        </is>
      </c>
      <c r="E93" t="inlineStr">
        <is>
          <t>Paracetamol 120 mg./5 ml.</t>
        </is>
      </c>
      <c r="F93" t="inlineStr">
        <is>
          <t>ขวด 60 ml.</t>
        </is>
      </c>
      <c r="G93" t="inlineStr">
        <is>
          <t>เด็กเล็กรับประทานครั้งละ 1-2 ช้อนชา ทุก 4-6 ชั่วโมง</t>
        </is>
      </c>
    </row>
    <row r="94">
      <c r="A94" t="inlineStr">
        <is>
          <t>BDS002407</t>
        </is>
      </c>
      <c r="B94" t="n">
        <v>2407</v>
      </c>
      <c r="C94" t="inlineStr">
        <is>
          <t>ยาแก้ปวด, ลดไข้ ชนิดน้ำ</t>
        </is>
      </c>
      <c r="D94" t="inlineStr">
        <is>
          <t>Kit-F Drops</t>
        </is>
      </c>
      <c r="E94" t="inlineStr">
        <is>
          <t>Paracetamol 60 mg./0.6 ml.</t>
        </is>
      </c>
      <c r="F94" t="inlineStr">
        <is>
          <t>ขวด 15 ml.</t>
        </is>
      </c>
      <c r="G94" t="inlineStr">
        <is>
          <t>รับประทานครั้งละ 1-2 หลอดหยด วันละ 3-4 ครั้ง</t>
        </is>
      </c>
    </row>
    <row r="95">
      <c r="A95" t="inlineStr">
        <is>
          <t>BDS007583</t>
        </is>
      </c>
      <c r="B95" t="n">
        <v>7583</v>
      </c>
      <c r="C95" t="inlineStr">
        <is>
          <t>ยาแก้ปวด, ลดไข้ ชนิดน้ำ</t>
        </is>
      </c>
      <c r="D95" t="inlineStr">
        <is>
          <t>Newtamol Syrup</t>
        </is>
      </c>
      <c r="E95" t="inlineStr">
        <is>
          <t>Paracetamol 150 mg./5 ml.</t>
        </is>
      </c>
      <c r="F95" t="inlineStr">
        <is>
          <t>ขวด 60 ml.</t>
        </is>
      </c>
      <c r="G95" t="inlineStr">
        <is>
          <t>เด็กโตรับประทานครั้งละ 2 ช้อนชา วันละ 3 ครั้ง หรือทุก 4 ชั่วโมง</t>
        </is>
      </c>
    </row>
    <row r="96">
      <c r="A96" t="inlineStr">
        <is>
          <t>BDS002861</t>
        </is>
      </c>
      <c r="B96" t="n">
        <v>2861</v>
      </c>
      <c r="C96" t="inlineStr">
        <is>
          <t>ยาแก้ปวด, ลดไข้ ชนิดน้ำ</t>
        </is>
      </c>
      <c r="D96" t="inlineStr">
        <is>
          <t>Panadol Orange Suspension</t>
        </is>
      </c>
      <c r="E96" t="inlineStr">
        <is>
          <t>Paracetamol 250 mg./5 ml.</t>
        </is>
      </c>
      <c r="F96" t="inlineStr">
        <is>
          <t>ขวด 60 ml.</t>
        </is>
      </c>
      <c r="G96" t="inlineStr">
        <is>
          <t>รับประทานครั้งละ 1-2 ช้อนชาทุก 4-6 ชั่วโมง เมื่อมีอาการ</t>
        </is>
      </c>
    </row>
    <row r="97">
      <c r="A97" t="inlineStr">
        <is>
          <t>BDS002847</t>
        </is>
      </c>
      <c r="B97" t="n">
        <v>2847</v>
      </c>
      <c r="C97" t="inlineStr">
        <is>
          <t>ยาแก้ปวด, ลดไข้ ชนิดน้ำ</t>
        </is>
      </c>
      <c r="D97" t="inlineStr">
        <is>
          <t>Panadol Strawberry Suspension</t>
        </is>
      </c>
      <c r="E97" t="inlineStr">
        <is>
          <t>Paracetamol 120 mg./5 ml.</t>
        </is>
      </c>
      <c r="F97" t="inlineStr">
        <is>
          <t>ขวด 60 ml.</t>
        </is>
      </c>
      <c r="G97" t="inlineStr">
        <is>
          <t>รับประทานครั้งละ 1/2-2 ช้อนชาทุก 4-6 ชั่วโมง เมื่อมีอาการ</t>
        </is>
      </c>
    </row>
    <row r="98">
      <c r="A98" t="inlineStr">
        <is>
          <t>BDS008137</t>
        </is>
      </c>
      <c r="B98" t="n">
        <v>8137</v>
      </c>
      <c r="C98" t="inlineStr">
        <is>
          <t>ยาแก้ปวด, ลดไข้ ชนิดน้ำ</t>
        </is>
      </c>
      <c r="D98" t="inlineStr">
        <is>
          <t>Poro Suspension</t>
        </is>
      </c>
      <c r="E98" t="inlineStr">
        <is>
          <t>Paracetamol 250 mg./5 ml.</t>
        </is>
      </c>
      <c r="F98" t="inlineStr">
        <is>
          <t>ขวด 60 ml.</t>
        </is>
      </c>
      <c r="G98" t="inlineStr">
        <is>
          <t>เด็กโตรับประทานครั้งละ 1-2 ช้อนชา ทุก 4-6 ชั่วโมง</t>
        </is>
      </c>
    </row>
    <row r="99">
      <c r="A99" t="inlineStr">
        <is>
          <t>BDS003597</t>
        </is>
      </c>
      <c r="B99" t="n">
        <v>3597</v>
      </c>
      <c r="C99" t="inlineStr">
        <is>
          <t>ยาแก้ปวด, ลดไข้ ชนิดน้ำ</t>
        </is>
      </c>
      <c r="D99" t="inlineStr">
        <is>
          <t>Sara Infant Drops (รสองุ่น)</t>
        </is>
      </c>
      <c r="E99" t="inlineStr">
        <is>
          <t>Paracetamol 60 mg./0.6 ml.</t>
        </is>
      </c>
      <c r="F99" t="inlineStr">
        <is>
          <t>ขวด 15 ml.</t>
        </is>
      </c>
      <c r="G99" t="inlineStr">
        <is>
          <t>เด็กเล็กรับประทานครั้งละ 2-3 หลอดหยด วันละ 3-4 ครั้ง</t>
        </is>
      </c>
    </row>
    <row r="100">
      <c r="A100" t="inlineStr">
        <is>
          <t>BDS003596</t>
        </is>
      </c>
      <c r="B100" t="n">
        <v>3596</v>
      </c>
      <c r="C100" t="inlineStr">
        <is>
          <t>ยาแก้ปวด, ลดไข้ ชนิดน้ำ</t>
        </is>
      </c>
      <c r="D100" t="inlineStr">
        <is>
          <t>Sara น้ำรสสตรอเบอร์รี่</t>
        </is>
      </c>
      <c r="E100" t="inlineStr">
        <is>
          <t>Paracetamol 120 mg./5 ml.</t>
        </is>
      </c>
      <c r="F100" t="inlineStr">
        <is>
          <t>ขวด 60 ml.</t>
        </is>
      </c>
      <c r="G100" t="inlineStr">
        <is>
          <t>รับประทานครั้งละ 1-2 ช้อนชา วันละ 3-4 ครั้ง</t>
        </is>
      </c>
    </row>
    <row r="101">
      <c r="A101" t="inlineStr">
        <is>
          <t>BDS003504</t>
        </is>
      </c>
      <c r="B101" t="n">
        <v>3504</v>
      </c>
      <c r="C101" t="inlineStr">
        <is>
          <t>ยาแก้ปวด, ลดไข้ ชนิดน้ำ</t>
        </is>
      </c>
      <c r="D101" t="inlineStr">
        <is>
          <t>Sara น้ำรสส้ม</t>
        </is>
      </c>
      <c r="E101" t="inlineStr">
        <is>
          <t>Paracetamol 250 mg./5 ml.</t>
        </is>
      </c>
      <c r="F101" t="inlineStr">
        <is>
          <t>ขวด 60 ml.</t>
        </is>
      </c>
      <c r="G101" t="inlineStr">
        <is>
          <t xml:space="preserve">รับประทานครั้งละ 1-2 ช้อนชา วันละ 3-4 ครั้ง </t>
        </is>
      </c>
    </row>
    <row r="102">
      <c r="A102" t="inlineStr">
        <is>
          <t>BDS003600</t>
        </is>
      </c>
      <c r="B102" t="n">
        <v>3600</v>
      </c>
      <c r="C102" t="inlineStr">
        <is>
          <t>ยาแก้ปวด, ลดไข้ ชนิดน้ำ</t>
        </is>
      </c>
      <c r="D102" t="inlineStr">
        <is>
          <t>Sara น้ำรสองุ่น</t>
        </is>
      </c>
      <c r="E102" t="inlineStr">
        <is>
          <t>Paracetamol 160 mg./5 ml.</t>
        </is>
      </c>
      <c r="F102" t="inlineStr">
        <is>
          <t>ขวด 60 ml.</t>
        </is>
      </c>
      <c r="G102" t="inlineStr">
        <is>
          <t>รับประทานครั้งละ 1 ช้อนชา วันละ 3-4 ครั้ง</t>
        </is>
      </c>
    </row>
    <row r="103">
      <c r="A103" t="inlineStr">
        <is>
          <t>BDS003711</t>
        </is>
      </c>
      <c r="B103" t="n">
        <v>3711</v>
      </c>
      <c r="C103" t="inlineStr">
        <is>
          <t>ยาแก้ปวด, ลดไข้ ชนิดน้ำ</t>
        </is>
      </c>
      <c r="D103" t="inlineStr">
        <is>
          <t>Tempra Drop</t>
        </is>
      </c>
      <c r="E103" t="inlineStr">
        <is>
          <t>Paracetamol 80 mg./0.8 ml.</t>
        </is>
      </c>
      <c r="F103" t="inlineStr">
        <is>
          <t>ขวด 15 ml.</t>
        </is>
      </c>
      <c r="G103" t="inlineStr">
        <is>
          <t>รับประทานครั้งละ 1-2 หลอดหยด แต่ละครั้งห่างกันอย่างน้อย 4 ชม. วันละไม่เกิน 5 ครั้ง</t>
        </is>
      </c>
    </row>
    <row r="104">
      <c r="A104" t="inlineStr">
        <is>
          <t>BDS003712</t>
        </is>
      </c>
      <c r="B104" t="n">
        <v>3712</v>
      </c>
      <c r="C104" t="inlineStr">
        <is>
          <t>ยาแก้ปวด, ลดไข้ ชนิดน้ำ</t>
        </is>
      </c>
      <c r="D104" t="inlineStr">
        <is>
          <t>Tempra Forte</t>
        </is>
      </c>
      <c r="E104" t="inlineStr">
        <is>
          <t>Paracetamol 250 mg./5 ml.</t>
        </is>
      </c>
      <c r="F104" t="inlineStr">
        <is>
          <t>ขวด 60 ml.</t>
        </is>
      </c>
      <c r="G104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</row>
    <row r="105">
      <c r="A105" t="inlineStr">
        <is>
          <t>BDS048670</t>
        </is>
      </c>
      <c r="B105" t="n">
        <v>48670</v>
      </c>
      <c r="C105" t="inlineStr">
        <is>
          <t>ยาแก้ปวด, ลดไข้ ชนิดน้ำ</t>
        </is>
      </c>
      <c r="D105" t="inlineStr">
        <is>
          <t>Tempra Kids Orange</t>
        </is>
      </c>
      <c r="E105" t="inlineStr">
        <is>
          <t>Paracetamol 120 mg./5 ml.</t>
        </is>
      </c>
      <c r="F105" t="inlineStr">
        <is>
          <t>ขวด 60 ml.</t>
        </is>
      </c>
      <c r="G105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</row>
    <row r="106">
      <c r="A106" t="inlineStr">
        <is>
          <t>BDS003713</t>
        </is>
      </c>
      <c r="B106" t="n">
        <v>3713</v>
      </c>
      <c r="C106" t="inlineStr">
        <is>
          <t>ยาแก้ปวด, ลดไข้ ชนิดน้ำ</t>
        </is>
      </c>
      <c r="D106" t="inlineStr">
        <is>
          <t>Tempra Kids Strawberry</t>
        </is>
      </c>
      <c r="E106" t="inlineStr">
        <is>
          <t>Paracetamol 120 mg./5 ml.</t>
        </is>
      </c>
      <c r="F106" t="inlineStr">
        <is>
          <t>ขวด 60 ml.</t>
        </is>
      </c>
      <c r="G106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</row>
    <row r="107">
      <c r="A107" t="inlineStr">
        <is>
          <t>BDS003737</t>
        </is>
      </c>
      <c r="B107" t="n">
        <v>3737</v>
      </c>
      <c r="C107" t="inlineStr">
        <is>
          <t>ยาแก้ปวด, ลดไข้ ชนิดน้ำ</t>
        </is>
      </c>
      <c r="D107" t="inlineStr">
        <is>
          <t>Tylenol Drop</t>
        </is>
      </c>
      <c r="E107" t="inlineStr">
        <is>
          <t>Paracetamol 80 mg./0.8 ml.</t>
        </is>
      </c>
      <c r="F107" t="inlineStr">
        <is>
          <t>ขวด 15 ml.</t>
        </is>
      </c>
      <c r="G107" t="inlineStr">
        <is>
          <t>รับประทานครั้งละ 0.8 ml./5.5-7.9 kg. ทุก 4 ชั่วโมง</t>
        </is>
      </c>
    </row>
    <row r="108">
      <c r="A108" t="inlineStr">
        <is>
          <t>BDS003763</t>
        </is>
      </c>
      <c r="B108" t="n">
        <v>3763</v>
      </c>
      <c r="C108" t="inlineStr">
        <is>
          <t>ยาแก้ปวด, ลดไข้ ชนิดน้ำ</t>
        </is>
      </c>
      <c r="D108" t="inlineStr">
        <is>
          <t>Tylenol Suspension</t>
        </is>
      </c>
      <c r="E108" t="inlineStr">
        <is>
          <t>Paracetamol 160 mg./5 ml.</t>
        </is>
      </c>
      <c r="F108" t="inlineStr">
        <is>
          <t>ขวด 60 ml.</t>
        </is>
      </c>
      <c r="G108" t="inlineStr">
        <is>
          <t>รับประทานครั้งละ 5 ซีซี วันละ 3-4 ครั้ง</t>
        </is>
      </c>
    </row>
    <row r="109">
      <c r="A109" t="inlineStr">
        <is>
          <t>BDS001665</t>
        </is>
      </c>
      <c r="B109" t="n">
        <v>1665</v>
      </c>
      <c r="C109" t="inlineStr">
        <is>
          <t>ยาแก้ปวด, ลดไข้ ชนิดน้ำ (D)</t>
        </is>
      </c>
      <c r="D109" t="inlineStr">
        <is>
          <t>Duran Suspension</t>
        </is>
      </c>
      <c r="E109" t="inlineStr">
        <is>
          <t>Ibuprofen 100 mg./5 ml.</t>
        </is>
      </c>
      <c r="F109" t="inlineStr">
        <is>
          <t>ขวด 60 ml.</t>
        </is>
      </c>
      <c r="G109" t="inlineStr">
        <is>
          <t>รับประทานครั้งละ 1-2 ช้อนชา วันละ 4 ครั้ง หลังอาหาร หรือตามแพทย์สั่ง</t>
        </is>
      </c>
    </row>
    <row r="110">
      <c r="A110" t="inlineStr">
        <is>
          <t>BDS007151</t>
        </is>
      </c>
      <c r="B110" t="n">
        <v>7151</v>
      </c>
      <c r="C110" t="inlineStr">
        <is>
          <t>ยาแก้ปวด, ลดไข้ ชนิดน้ำ (D)</t>
        </is>
      </c>
      <c r="D110" t="inlineStr">
        <is>
          <t>Ibukids Suspension</t>
        </is>
      </c>
      <c r="E110" t="inlineStr">
        <is>
          <t>Ibuprofen 100 mg./5 ml.</t>
        </is>
      </c>
      <c r="F110" t="inlineStr">
        <is>
          <t>ขวด 60 ml.</t>
        </is>
      </c>
      <c r="G110" t="inlineStr">
        <is>
          <t>เด็กโตรับประทานครั้งละ 2 ช้อนชา วันละ 3 ครั้ง หลังอาหาร</t>
        </is>
      </c>
    </row>
    <row r="111">
      <c r="A111" t="inlineStr">
        <is>
          <t>BDS002845</t>
        </is>
      </c>
      <c r="B111" t="n">
        <v>2845</v>
      </c>
      <c r="C111" t="inlineStr">
        <is>
          <t>ยาแก้ปวด, ลดไข้ ชนิดน้ำ (D)</t>
        </is>
      </c>
      <c r="D111" t="inlineStr">
        <is>
          <t>Nurofen Suspension</t>
        </is>
      </c>
      <c r="E111" t="inlineStr">
        <is>
          <t>Ibuprofen 100 mg./5 ml.</t>
        </is>
      </c>
      <c r="F111" t="inlineStr">
        <is>
          <t>ขวด 60 ml.</t>
        </is>
      </c>
      <c r="G111" t="inlineStr">
        <is>
          <t>รับประทานครั้งละ 1-2 ช้อนชา วันละ 3-4 ครั้ง หลังอาหาร</t>
        </is>
      </c>
    </row>
    <row r="112">
      <c r="A112" t="inlineStr">
        <is>
          <t>BDS003739</t>
        </is>
      </c>
      <c r="B112" t="n">
        <v>3739</v>
      </c>
      <c r="C112" t="inlineStr">
        <is>
          <t>ยาแก้ปวดรุนแรง (D)</t>
        </is>
      </c>
      <c r="D112" t="inlineStr">
        <is>
          <t>Tramal</t>
        </is>
      </c>
      <c r="E112" t="inlineStr">
        <is>
          <t>Tramadol HCl 50 mg.</t>
        </is>
      </c>
      <c r="F112" t="inlineStr">
        <is>
          <t>กล่อง 10 แคปซูล</t>
        </is>
      </c>
      <c r="G112" t="inlineStr">
        <is>
          <t>รับประทานครั้งละ 1 แคปซูลวันละ 3 ครั้ง หลังอาหาร</t>
        </is>
      </c>
    </row>
    <row r="113">
      <c r="A113" t="inlineStr">
        <is>
          <t>BDS040009</t>
        </is>
      </c>
      <c r="B113" t="n">
        <v>40009</v>
      </c>
      <c r="C113" t="inlineStr">
        <is>
          <t>ยาแก้ปวดอักเสบกลุ่ม NSAIDs (D)</t>
        </is>
      </c>
      <c r="D113" t="inlineStr">
        <is>
          <t xml:space="preserve">Anpuzz 520 </t>
        </is>
      </c>
      <c r="E113" t="inlineStr">
        <is>
          <t>Mefenamic acid 500 mg. + Dicyclomine HCl 20 mg.</t>
        </is>
      </c>
      <c r="F113" t="inlineStr">
        <is>
          <t>กล่อง 10 เม็ด</t>
        </is>
      </c>
      <c r="G113" t="inlineStr">
        <is>
          <t xml:space="preserve">รับประทานครั้งละ 1 เม็ด วันละ 3 ครั้ง หลังอาหารทันที </t>
        </is>
      </c>
    </row>
    <row r="114">
      <c r="A114" t="inlineStr">
        <is>
          <t>BDS001076</t>
        </is>
      </c>
      <c r="B114" t="n">
        <v>1076</v>
      </c>
      <c r="C114" t="inlineStr">
        <is>
          <t>ยาแก้ปวดอักเสบกลุ่ม NSAIDs (D)</t>
        </is>
      </c>
      <c r="D114" t="inlineStr">
        <is>
          <t>Arcoxia 120 mg</t>
        </is>
      </c>
      <c r="E114" t="inlineStr">
        <is>
          <t>Etoricoxib 120 mg.</t>
        </is>
      </c>
      <c r="F114" t="inlineStr">
        <is>
          <t>แผง 5 เม็ด</t>
        </is>
      </c>
      <c r="G114" t="inlineStr">
        <is>
          <t>รับประทานครั้งละ 1 เม็ด วันละ 1 ครั้ง หลังอาหารทันที</t>
        </is>
      </c>
    </row>
    <row r="115">
      <c r="A115" t="inlineStr">
        <is>
          <t>BDS001078</t>
        </is>
      </c>
      <c r="B115" t="n">
        <v>1078</v>
      </c>
      <c r="C115" t="inlineStr">
        <is>
          <t>ยาแก้ปวดอักเสบกลุ่ม NSAIDs (D)</t>
        </is>
      </c>
      <c r="D115" t="inlineStr">
        <is>
          <t>Arcoxia 60 mg</t>
        </is>
      </c>
      <c r="E115" t="inlineStr">
        <is>
          <t>Etoricoxib 60 mg.</t>
        </is>
      </c>
      <c r="F115" t="inlineStr">
        <is>
          <t>แผง 5 เม็ด</t>
        </is>
      </c>
      <c r="G115" t="inlineStr">
        <is>
          <t>รับประทานครั้งละ 1 เม็ด วันละ 1 ครั้ง หลังอาหารทันที</t>
        </is>
      </c>
    </row>
    <row r="116">
      <c r="A116" t="inlineStr">
        <is>
          <t>BDS001075</t>
        </is>
      </c>
      <c r="B116" t="n">
        <v>1075</v>
      </c>
      <c r="C116" t="inlineStr">
        <is>
          <t>ยาแก้ปวดอักเสบกลุ่ม NSAIDs (D)</t>
        </is>
      </c>
      <c r="D116" t="inlineStr">
        <is>
          <t>Arcoxia 90 mg</t>
        </is>
      </c>
      <c r="E116" t="inlineStr">
        <is>
          <t>Etoricoxib 90 mg.</t>
        </is>
      </c>
      <c r="F116" t="inlineStr">
        <is>
          <t>แผง 5 เม็ด</t>
        </is>
      </c>
      <c r="G116" t="inlineStr">
        <is>
          <t>รับประทานครั้งละ 1 เม็ด  วันละ 1 ครั้ง หลังอาหารทันที</t>
        </is>
      </c>
    </row>
    <row r="117">
      <c r="A117" t="inlineStr">
        <is>
          <t>BDS040616</t>
        </is>
      </c>
      <c r="B117" t="n">
        <v>40616</v>
      </c>
      <c r="C117" t="inlineStr">
        <is>
          <t>ยาแก้ปวดอักเสบกลุ่ม NSAIDs (D)</t>
        </is>
      </c>
      <c r="D117" t="inlineStr">
        <is>
          <t>Biocoxib 90 mg.</t>
        </is>
      </c>
      <c r="E117" t="inlineStr">
        <is>
          <t>Etoricoxib 90 mg.</t>
        </is>
      </c>
      <c r="F117" t="inlineStr">
        <is>
          <t>แผง 5 เม็ด</t>
        </is>
      </c>
      <c r="G117" t="inlineStr">
        <is>
          <t>รับประทานครั้งละ 1 เม็ด  วันละ 1 ครั้ง หลังอาหารทันที</t>
        </is>
      </c>
    </row>
    <row r="118">
      <c r="A118" t="inlineStr">
        <is>
          <t>BDS008116</t>
        </is>
      </c>
      <c r="B118" t="n">
        <v>8116</v>
      </c>
      <c r="C118" t="inlineStr">
        <is>
          <t>ยาแก้ปวดอักเสบกลุ่ม NSAIDs (D)</t>
        </is>
      </c>
      <c r="D118" t="inlineStr">
        <is>
          <t>Cambic 15</t>
        </is>
      </c>
      <c r="E118" t="inlineStr">
        <is>
          <t>Meloxicam 15 mg.</t>
        </is>
      </c>
      <c r="F118" t="inlineStr">
        <is>
          <t>แผง 10 เม็ด</t>
        </is>
      </c>
      <c r="G118" t="inlineStr">
        <is>
          <t>รับประทานครั้งละ 1 เม็ด วันละ 1 ครั้ง หลังอาหารทันที</t>
        </is>
      </c>
    </row>
    <row r="119">
      <c r="A119" t="inlineStr">
        <is>
          <t>BDS041402</t>
        </is>
      </c>
      <c r="B119" t="n">
        <v>41402</v>
      </c>
      <c r="C119" t="inlineStr">
        <is>
          <t>ยาแก้ปวดอักเสบกลุ่ม NSAIDs (D)</t>
        </is>
      </c>
      <c r="D119" t="inlineStr">
        <is>
          <t>Cataflam 50 mg</t>
        </is>
      </c>
      <c r="E119" t="inlineStr">
        <is>
          <t>Diclofenac Potassium 50 mg</t>
        </is>
      </c>
      <c r="F119" t="inlineStr">
        <is>
          <t>แผง 10 เม็ด</t>
        </is>
      </c>
      <c r="G119" t="inlineStr">
        <is>
          <t>รับประทานครั้งละ 1 เม็ด วันละ 1-2 ครั้ง หลังอาหารทันที หรือตามแพทย์สั่ง</t>
        </is>
      </c>
    </row>
    <row r="120">
      <c r="A120" t="inlineStr">
        <is>
          <t>BDS007035</t>
        </is>
      </c>
      <c r="B120" t="n">
        <v>7035</v>
      </c>
      <c r="C120" t="inlineStr">
        <is>
          <t>ยาแก้ปวดอักเสบกลุ่ม NSAIDs (D)</t>
        </is>
      </c>
      <c r="D120" t="inlineStr">
        <is>
          <t>Catanac 50 mg</t>
        </is>
      </c>
      <c r="E120" t="inlineStr">
        <is>
          <t>Diclofenac Potassium 50 mg.</t>
        </is>
      </c>
      <c r="F120" t="inlineStr">
        <is>
          <t>แผง 10 เม็ด</t>
        </is>
      </c>
      <c r="G120" t="inlineStr">
        <is>
          <t>รับประทานครั้งละ 1 เม็ด วันละ 3 ครั้ง หลังอาหารทันที</t>
        </is>
      </c>
    </row>
    <row r="121">
      <c r="A121" t="inlineStr">
        <is>
          <t>BDS001509</t>
        </is>
      </c>
      <c r="B121" t="n">
        <v>1509</v>
      </c>
      <c r="C121" t="inlineStr">
        <is>
          <t>ยาแก้ปวดอักเสบกลุ่ม NSAIDs (D)</t>
        </is>
      </c>
      <c r="D121" t="inlineStr">
        <is>
          <t>Celebrex 200 mg</t>
        </is>
      </c>
      <c r="E121" t="inlineStr">
        <is>
          <t>Celecoxib 200 mg.</t>
        </is>
      </c>
      <c r="F121" t="inlineStr">
        <is>
          <t>กล่อง 10 แคปซูล</t>
        </is>
      </c>
      <c r="G121" t="inlineStr">
        <is>
          <t>รับประทานครั้งละ 1 แคปซูล วันละ 2 ครั้ง หลังอาหารทันที</t>
        </is>
      </c>
    </row>
    <row r="122">
      <c r="A122" t="inlineStr">
        <is>
          <t>BDS001507</t>
        </is>
      </c>
      <c r="B122" t="n">
        <v>1507</v>
      </c>
      <c r="C122" t="inlineStr">
        <is>
          <t>ยาแก้ปวดอักเสบกลุ่ม NSAIDs (D)</t>
        </is>
      </c>
      <c r="D122" t="inlineStr">
        <is>
          <t>Celebrex 400 mg</t>
        </is>
      </c>
      <c r="E122" t="inlineStr">
        <is>
          <t>Celecoxib 400 mg.</t>
        </is>
      </c>
      <c r="F122" t="inlineStr">
        <is>
          <t>กล่อง 10 แคปซูล</t>
        </is>
      </c>
      <c r="G122" t="inlineStr">
        <is>
          <t>รับประทานครั้งละ 1 แคปซูล วันละ 1 ครั้ง หลังอาหารทันที</t>
        </is>
      </c>
    </row>
    <row r="123">
      <c r="A123" t="inlineStr">
        <is>
          <t>BDS001822</t>
        </is>
      </c>
      <c r="B123" t="n">
        <v>1822</v>
      </c>
      <c r="C123" t="inlineStr">
        <is>
          <t>ยาแก้ปวดอักเสบกลุ่ม NSAIDs (D)</t>
        </is>
      </c>
      <c r="D123" t="inlineStr">
        <is>
          <t>Dosanac 25</t>
        </is>
      </c>
      <c r="E123" t="inlineStr">
        <is>
          <t>Diclofenac Sodium 25 mg.</t>
        </is>
      </c>
      <c r="F123" t="inlineStr">
        <is>
          <t>กล่อง 10 เม็ด</t>
        </is>
      </c>
      <c r="G123" t="inlineStr">
        <is>
          <t>รับประทานครั้งละ 1-2 เม็ด วันละ 3 ครั้ง หลังอาหารทันที หรือตามแพทย์สั่ง</t>
        </is>
      </c>
    </row>
    <row r="124">
      <c r="A124" t="inlineStr">
        <is>
          <t>BDS001824</t>
        </is>
      </c>
      <c r="B124" t="n">
        <v>1824</v>
      </c>
      <c r="C124" t="inlineStr">
        <is>
          <t>ยาแก้ปวดอักเสบกลุ่ม NSAIDs (D)</t>
        </is>
      </c>
      <c r="D124" t="inlineStr">
        <is>
          <t>Dosanac 50</t>
        </is>
      </c>
      <c r="E124" t="inlineStr">
        <is>
          <t>Diclofenac Sodium 50 mg.</t>
        </is>
      </c>
      <c r="F124" t="inlineStr">
        <is>
          <t>กล่อง 10 เม็ด</t>
        </is>
      </c>
      <c r="G124" t="inlineStr">
        <is>
          <t>รับประทานครั้งละ 1 เม็ดวันละ 3 ครั้ง หลังอาหารทันที หรือตามแพทย์สั่ง</t>
        </is>
      </c>
    </row>
    <row r="125">
      <c r="A125" t="inlineStr">
        <is>
          <t>BDS042806</t>
        </is>
      </c>
      <c r="B125" t="n">
        <v>42806</v>
      </c>
      <c r="C125" t="inlineStr">
        <is>
          <t>ยาแก้ปวดอักเสบกลุ่ม NSAIDs (D)</t>
        </is>
      </c>
      <c r="D125" t="inlineStr">
        <is>
          <t>Eberil 120</t>
        </is>
      </c>
      <c r="E125" t="inlineStr">
        <is>
          <t>Etoricoxib 120 mg.</t>
        </is>
      </c>
      <c r="F125" t="inlineStr">
        <is>
          <t>กล่อง 5 เม็ด</t>
        </is>
      </c>
      <c r="G125" t="inlineStr">
        <is>
          <t>รับประทานครั้งละ 1 เม็ด วันละ 1 ครั้ง หลังอาหารทันที</t>
        </is>
      </c>
    </row>
    <row r="126">
      <c r="A126" t="inlineStr">
        <is>
          <t>BDS008061</t>
        </is>
      </c>
      <c r="B126" t="n">
        <v>8061</v>
      </c>
      <c r="C126" t="inlineStr">
        <is>
          <t>ยาแก้ปวดอักเสบกลุ่ม NSAIDs (D)</t>
        </is>
      </c>
      <c r="D126" t="inlineStr">
        <is>
          <t>Felcam</t>
        </is>
      </c>
      <c r="E126" t="inlineStr">
        <is>
          <t>Piroxicam 20 mg.</t>
        </is>
      </c>
      <c r="F126" t="inlineStr">
        <is>
          <t>แผง 10 เม็ด</t>
        </is>
      </c>
      <c r="G126" t="inlineStr">
        <is>
          <t>รับประทานครั้งละ 1 เม็ด วันละ 1-2 ครั้ง หลังอาหารทันที</t>
        </is>
      </c>
    </row>
    <row r="127">
      <c r="A127" t="inlineStr">
        <is>
          <t>BDS007602</t>
        </is>
      </c>
      <c r="B127" t="n">
        <v>7602</v>
      </c>
      <c r="C127" t="inlineStr">
        <is>
          <t>ยาแก้ปวดอักเสบกลุ่ม NSAIDs (D)</t>
        </is>
      </c>
      <c r="D127" t="inlineStr">
        <is>
          <t>Felcam Capsule</t>
        </is>
      </c>
      <c r="E127" t="inlineStr">
        <is>
          <t>Piroxicam 10 mg.</t>
        </is>
      </c>
      <c r="F127" t="inlineStr">
        <is>
          <t>แผง 10 แคปซูล</t>
        </is>
      </c>
      <c r="G127" t="inlineStr">
        <is>
          <t>รับประทานครั้งละ 1-2 แคปซูล วันละ 2 ครั้ง หลังอาหารทันที</t>
        </is>
      </c>
    </row>
    <row r="128">
      <c r="A128" t="inlineStr">
        <is>
          <t>BDS044250</t>
        </is>
      </c>
      <c r="B128" t="n">
        <v>44250</v>
      </c>
      <c r="C128" t="inlineStr">
        <is>
          <t>ยาแก้ปวดอักเสบกลุ่ม NSAIDs (D)</t>
        </is>
      </c>
      <c r="D128" t="inlineStr">
        <is>
          <t>Japrolox tabslets</t>
        </is>
      </c>
      <c r="E128" t="inlineStr">
        <is>
          <t>Loxoprofen sodium 60 mg.</t>
        </is>
      </c>
      <c r="F128" t="inlineStr">
        <is>
          <t>กล่อง 20 เม็ด</t>
        </is>
      </c>
      <c r="G128" t="inlineStr">
        <is>
          <t>รับประทานครั้งละ 1 เม็ด วันละ 3 ครั้ง หลังอาหารทันที</t>
        </is>
      </c>
    </row>
    <row r="129">
      <c r="A129" t="inlineStr">
        <is>
          <t>BDS044900</t>
        </is>
      </c>
      <c r="B129" t="n">
        <v>44900</v>
      </c>
      <c r="C129" t="inlineStr">
        <is>
          <t>ยาแก้ปวดอักเสบกลุ่ม NSAIDs (D)</t>
        </is>
      </c>
      <c r="D129" t="inlineStr">
        <is>
          <t>Mefamed 500</t>
        </is>
      </c>
      <c r="E129" t="inlineStr">
        <is>
          <t>Mefenamic acid 500 mg.</t>
        </is>
      </c>
      <c r="F129" t="inlineStr">
        <is>
          <t>แผง 10 เม็ด</t>
        </is>
      </c>
      <c r="G129" t="inlineStr">
        <is>
          <t xml:space="preserve">รับประทานครั้งละ 1 เม็ด วันละ 3 ครั้ง หลังอาหารทันที </t>
        </is>
      </c>
    </row>
    <row r="130">
      <c r="A130" t="inlineStr">
        <is>
          <t>BDS002669</t>
        </is>
      </c>
      <c r="B130" t="n">
        <v>2669</v>
      </c>
      <c r="C130" t="inlineStr">
        <is>
          <t>ยาแก้ปวดอักเสบกลุ่ม NSAIDs (D)</t>
        </is>
      </c>
      <c r="D130" t="inlineStr">
        <is>
          <t>Melcam</t>
        </is>
      </c>
      <c r="E130" t="inlineStr">
        <is>
          <t>Meloxicam 7.5 mg.</t>
        </is>
      </c>
      <c r="F130" t="inlineStr">
        <is>
          <t>แผง 10 เม็ด</t>
        </is>
      </c>
      <c r="G130" t="inlineStr">
        <is>
          <t>รับประทานครั้งละ 1 เม็ด  วันละ 1-2 ครั้ง หลังอาหารทันที</t>
        </is>
      </c>
    </row>
    <row r="131">
      <c r="A131" t="inlineStr">
        <is>
          <t>BDS044909</t>
        </is>
      </c>
      <c r="B131" t="n">
        <v>44909</v>
      </c>
      <c r="C131" t="inlineStr">
        <is>
          <t>ยาแก้ปวดอักเสบกลุ่ม NSAIDs (D)</t>
        </is>
      </c>
      <c r="D131" t="inlineStr">
        <is>
          <t xml:space="preserve">Meomic 500 </t>
        </is>
      </c>
      <c r="E131" t="inlineStr">
        <is>
          <t>Mefenamic acid 500 mg.</t>
        </is>
      </c>
      <c r="F131" t="inlineStr">
        <is>
          <t>แผง 10 เม็ด</t>
        </is>
      </c>
      <c r="G131" t="inlineStr">
        <is>
          <t xml:space="preserve">รับประทานครั้งละ 1 เม็ด วันละ 3 ครั้ง หลังอาหารทันที </t>
        </is>
      </c>
    </row>
    <row r="132">
      <c r="A132" t="inlineStr">
        <is>
          <t>BDS002642</t>
        </is>
      </c>
      <c r="B132" t="n">
        <v>2642</v>
      </c>
      <c r="C132" t="inlineStr">
        <is>
          <t>ยาแก้ปวดอักเสบกลุ่ม NSAIDs (D)</t>
        </is>
      </c>
      <c r="D132" t="inlineStr">
        <is>
          <t>Mobic 7.5 mg</t>
        </is>
      </c>
      <c r="E132" t="inlineStr">
        <is>
          <t>Meloxicam 7.5 mg.</t>
        </is>
      </c>
      <c r="F132" t="inlineStr">
        <is>
          <t>แผง 10  เม็ด</t>
        </is>
      </c>
      <c r="G132" t="inlineStr">
        <is>
          <t>รับประทานครั้งละ 1-2 เม็ด วันละ 1-2 ครั้ง หลังอาหารทันที</t>
        </is>
      </c>
    </row>
    <row r="133">
      <c r="A133" t="inlineStr">
        <is>
          <t>BDS045624</t>
        </is>
      </c>
      <c r="B133" t="n">
        <v>45624</v>
      </c>
      <c r="C133" t="inlineStr">
        <is>
          <t>ยาแก้ปวดอักเสบกลุ่ม NSAIDs (D)</t>
        </is>
      </c>
      <c r="D133" t="inlineStr">
        <is>
          <t>Naprofazt</t>
        </is>
      </c>
      <c r="E133" t="inlineStr">
        <is>
          <t>Naproxen (as Naproxen Sodium) 250 mg.</t>
        </is>
      </c>
      <c r="F133" t="inlineStr">
        <is>
          <t>แผง 10 แคปซูล</t>
        </is>
      </c>
      <c r="G133" t="inlineStr">
        <is>
          <t>รับประทานครั้งละ 1 แคปซูล วันละ 2 ครั้ง หลังอาหารทันที</t>
        </is>
      </c>
    </row>
    <row r="134">
      <c r="A134" t="inlineStr">
        <is>
          <t>BDS007214</t>
        </is>
      </c>
      <c r="B134" t="n">
        <v>7214</v>
      </c>
      <c r="C134" t="inlineStr">
        <is>
          <t>ยาแก้ปวดอักเสบกลุ่ม NSAIDs (D)</t>
        </is>
      </c>
      <c r="D134" t="inlineStr">
        <is>
          <t>Naproflex</t>
        </is>
      </c>
      <c r="E134" t="inlineStr">
        <is>
          <t>Naproxen sodium 275 mg.</t>
        </is>
      </c>
      <c r="F134" t="inlineStr">
        <is>
          <t>แผง 6 เม็ด</t>
        </is>
      </c>
      <c r="G134" t="inlineStr">
        <is>
          <t>รับประทานครั้งละ 1 เม็ด วันละ 2 ครั้ง หลังอาหารทันที</t>
        </is>
      </c>
    </row>
    <row r="135">
      <c r="A135" t="inlineStr">
        <is>
          <t>BDS007576</t>
        </is>
      </c>
      <c r="B135" t="n">
        <v>7576</v>
      </c>
      <c r="C135" t="inlineStr">
        <is>
          <t>ยาแก้ปวดอักเสบกลุ่ม NSAIDs (D)</t>
        </is>
      </c>
      <c r="D135" t="inlineStr">
        <is>
          <t>Naprosian</t>
        </is>
      </c>
      <c r="E135" t="inlineStr">
        <is>
          <t>Naproxen 250 mg.</t>
        </is>
      </c>
      <c r="F135" t="inlineStr">
        <is>
          <t>แผง 10 เม็ด</t>
        </is>
      </c>
      <c r="G135" t="inlineStr">
        <is>
          <t>รับประทานครั้งละ 1 เม็ด วันละ 2 ครั้ง หลังอาหารทันที</t>
        </is>
      </c>
    </row>
    <row r="136">
      <c r="A136" t="inlineStr">
        <is>
          <t>BDS003422</t>
        </is>
      </c>
      <c r="B136" t="n">
        <v>3422</v>
      </c>
      <c r="C136" t="inlineStr">
        <is>
          <t>ยาแก้ปวดอักเสบกลุ่ม NSAIDs (D)</t>
        </is>
      </c>
      <c r="D136" t="inlineStr">
        <is>
          <t>Pircam 20 mg</t>
        </is>
      </c>
      <c r="E136" t="inlineStr">
        <is>
          <t>Piroxicam 20 mg.</t>
        </is>
      </c>
      <c r="F136" t="inlineStr">
        <is>
          <t>แผง 10 แคปซูล</t>
        </is>
      </c>
      <c r="G136" t="inlineStr">
        <is>
          <t>รับประทานครั้งละ 1 แคปซูล วันละ 2 ครั้ง หลังอาหารทันที</t>
        </is>
      </c>
    </row>
    <row r="137">
      <c r="A137" t="inlineStr">
        <is>
          <t>BDS003131</t>
        </is>
      </c>
      <c r="B137" t="n">
        <v>3131</v>
      </c>
      <c r="C137" t="inlineStr">
        <is>
          <t>ยาแก้ปวดอักเสบกลุ่ม NSAIDs (D)</t>
        </is>
      </c>
      <c r="D137" t="inlineStr">
        <is>
          <t>Ponstan 500 mg</t>
        </is>
      </c>
      <c r="E137" t="inlineStr">
        <is>
          <t>Mefenamic acid 500 mg.</t>
        </is>
      </c>
      <c r="F137" t="inlineStr">
        <is>
          <t>แผง 10 เม็ด</t>
        </is>
      </c>
      <c r="G137" t="inlineStr">
        <is>
          <t>รับประทานครั้งละ 1 เม็ด วันละ 3 ครั้ง หลังอาหารทันที</t>
        </is>
      </c>
    </row>
    <row r="138">
      <c r="A138" t="inlineStr">
        <is>
          <t>BDS003581</t>
        </is>
      </c>
      <c r="B138" t="n">
        <v>3581</v>
      </c>
      <c r="C138" t="inlineStr">
        <is>
          <t>ยาแก้ปวดอักเสบกลุ่ม NSAIDs (D)</t>
        </is>
      </c>
      <c r="D138" t="inlineStr">
        <is>
          <t>S-Pro 600</t>
        </is>
      </c>
      <c r="E138" t="inlineStr">
        <is>
          <t>Ibuprofen 600 mg.</t>
        </is>
      </c>
      <c r="F138" t="inlineStr">
        <is>
          <t>แผง 10 เม็ด</t>
        </is>
      </c>
      <c r="G138" t="inlineStr">
        <is>
          <t>รับประทานครั้งละ 1 เม็ด ทุก 6 ชั่วโมง เมื่อมีอาการ</t>
        </is>
      </c>
    </row>
    <row r="139">
      <c r="A139" t="inlineStr">
        <is>
          <t>BDS047654</t>
        </is>
      </c>
      <c r="B139" t="n">
        <v>47654</v>
      </c>
      <c r="C139" t="inlineStr">
        <is>
          <t>ยาแก้ปวดอักเสบกลุ่ม NSAIDs (D)</t>
        </is>
      </c>
      <c r="D139" t="inlineStr">
        <is>
          <t>Soproxen</t>
        </is>
      </c>
      <c r="E139" t="inlineStr">
        <is>
          <t>Naproxen sodium 275 mg. (eq. to Naproxen 250 mg.)</t>
        </is>
      </c>
      <c r="F139" t="inlineStr">
        <is>
          <t>แผง 10 เม็ด</t>
        </is>
      </c>
      <c r="G139" t="inlineStr">
        <is>
          <t>รับประทานครั้งละ 1 เม็ด วันละ 2 ครั้ง หลังอาหารทันที</t>
        </is>
      </c>
    </row>
    <row r="140">
      <c r="A140" t="inlineStr">
        <is>
          <t>BDS003599</t>
        </is>
      </c>
      <c r="B140" t="n">
        <v>3599</v>
      </c>
      <c r="C140" t="inlineStr">
        <is>
          <t>ยาแก้ปวดอักเสบกลุ่ม NSAIDs (D)</t>
        </is>
      </c>
      <c r="D140" t="inlineStr">
        <is>
          <t>Subsyde-CR</t>
        </is>
      </c>
      <c r="E140" t="inlineStr">
        <is>
          <t>Diclofenac Sodium 100 mg. (Controlled Release cap)</t>
        </is>
      </c>
      <c r="F140" t="inlineStr">
        <is>
          <t>แผง 10 แคปซูล</t>
        </is>
      </c>
      <c r="G140" t="inlineStr">
        <is>
          <t>รับประทานครั้งละ 1 แคปซูล วันละ 1 ครั้ง หลังอาหารทันที</t>
        </is>
      </c>
    </row>
    <row r="141">
      <c r="A141" t="inlineStr">
        <is>
          <t>BDS003568</t>
        </is>
      </c>
      <c r="B141" t="n">
        <v>3568</v>
      </c>
      <c r="C141" t="inlineStr">
        <is>
          <t>ยาแก้ปวดอักเสบกลุ่ม NSAIDs (D)</t>
        </is>
      </c>
      <c r="D141" t="inlineStr">
        <is>
          <t>Synflex</t>
        </is>
      </c>
      <c r="E141" t="inlineStr">
        <is>
          <t>Naproxen sodium 275 mg.</t>
        </is>
      </c>
      <c r="F141" t="inlineStr">
        <is>
          <t>แผง 6 เม็ด</t>
        </is>
      </c>
      <c r="G141" t="inlineStr">
        <is>
          <t xml:space="preserve">รับประทานครั้งละ 1 เม็ด วันละ 2 ครั้ง หลังอาหารทันที </t>
        </is>
      </c>
    </row>
    <row r="142">
      <c r="A142" t="inlineStr">
        <is>
          <t>BDS049251</t>
        </is>
      </c>
      <c r="B142" t="n">
        <v>49251</v>
      </c>
      <c r="C142" t="inlineStr">
        <is>
          <t>ยาแก้ปวดอักเสบกลุ่ม NSAIDs (D)</t>
        </is>
      </c>
      <c r="D142" t="inlineStr">
        <is>
          <t>Voltaren SR 100 mg</t>
        </is>
      </c>
      <c r="E142" t="inlineStr">
        <is>
          <t>Diclofenac Sodium 100 mg.</t>
        </is>
      </c>
      <c r="F142" t="inlineStr">
        <is>
          <t>แผง 10 เม็ด</t>
        </is>
      </c>
      <c r="G142" t="inlineStr">
        <is>
          <t>รับประทานครั้งละ 1 เม็ด วันละ 1 ครั้ง หลังอาหารทันที</t>
        </is>
      </c>
    </row>
    <row r="143">
      <c r="A143" t="inlineStr">
        <is>
          <t>BDS004052</t>
        </is>
      </c>
      <c r="B143" t="n">
        <v>4052</v>
      </c>
      <c r="C143" t="inlineStr">
        <is>
          <t>ยาแก้ปวดอักเสบกลุ่ม NSAIDs (D)</t>
        </is>
      </c>
      <c r="D143" t="inlineStr">
        <is>
          <t>Voltaren SR 75 mg</t>
        </is>
      </c>
      <c r="E143" t="inlineStr">
        <is>
          <t>Diclofenac Sodium 75 mg.</t>
        </is>
      </c>
      <c r="F143" t="inlineStr">
        <is>
          <t>แผง 10 เม็ด</t>
        </is>
      </c>
      <c r="G143" t="inlineStr">
        <is>
          <t>รับประทานครั้งละ 1-2 เม็ด วันละ 1 ครั้ง หลังอาหารทันที</t>
        </is>
      </c>
    </row>
    <row r="144">
      <c r="A144" t="inlineStr">
        <is>
          <t>BDS004041</t>
        </is>
      </c>
      <c r="B144" t="n">
        <v>4041</v>
      </c>
      <c r="C144" t="inlineStr">
        <is>
          <t>ยาแก้ปวดอักเสบกลุ่ม NSAIDs (D)</t>
        </is>
      </c>
      <c r="D144" t="inlineStr">
        <is>
          <t>Voltaren-25</t>
        </is>
      </c>
      <c r="E144" t="inlineStr">
        <is>
          <t>Diclofenac Sodium 25 mg.</t>
        </is>
      </c>
      <c r="F144" t="inlineStr">
        <is>
          <t>แผง 10 เม็ด</t>
        </is>
      </c>
      <c r="G144" t="inlineStr">
        <is>
          <t>รับประทานครั้งละ 1-2 เม็ด วันละ 3 ครั้ง หลังอาหารทันที</t>
        </is>
      </c>
    </row>
    <row r="145">
      <c r="A145" t="inlineStr">
        <is>
          <t>BDS049777</t>
        </is>
      </c>
      <c r="B145" t="n">
        <v>49777</v>
      </c>
      <c r="C145" t="inlineStr">
        <is>
          <t>ยาแก้ปวดอักเสบกลุ่ม NSAIDs (D)</t>
        </is>
      </c>
      <c r="D145" t="inlineStr">
        <is>
          <t>Zobrex</t>
        </is>
      </c>
      <c r="E145" t="inlineStr">
        <is>
          <t>Celecoxib 200 mg.</t>
        </is>
      </c>
      <c r="F145" t="inlineStr">
        <is>
          <t>กล่อง 10 แคปซูล</t>
        </is>
      </c>
      <c r="G145" t="inlineStr">
        <is>
          <t xml:space="preserve">รับประทานครั้งละ 1-2 แคปซูล วันละ 1 ครั้ง หลังอาหารทันที หรือตามแพทย์สั่ง </t>
        </is>
      </c>
    </row>
    <row r="146">
      <c r="A146" t="inlineStr">
        <is>
          <t>BDS001283</t>
        </is>
      </c>
      <c r="B146" t="n">
        <v>1283</v>
      </c>
      <c r="C146" t="inlineStr">
        <is>
          <t>ยาแก้ปวดเกร็งกล้ามเนื้อเรียบ (D)</t>
        </is>
      </c>
      <c r="D146" t="inlineStr">
        <is>
          <t>Buscopan</t>
        </is>
      </c>
      <c r="E146" t="inlineStr">
        <is>
          <t>Hyoscine-N-butylbromide 10 mg.</t>
        </is>
      </c>
      <c r="F146" t="inlineStr">
        <is>
          <t>แผง 10 เม็ด</t>
        </is>
      </c>
      <c r="G146" t="inlineStr">
        <is>
          <t xml:space="preserve">รับประทานครั้งละ 1-2 เม็ด วันละ 3-5 ครั้ง </t>
        </is>
      </c>
    </row>
    <row r="147">
      <c r="A147" t="inlineStr">
        <is>
          <t>BDS007061</t>
        </is>
      </c>
      <c r="B147" t="n">
        <v>7061</v>
      </c>
      <c r="C147" t="inlineStr">
        <is>
          <t>ยาแก้ปวดเกร็งกล้ามเนื้อเรียบ (D)</t>
        </is>
      </c>
      <c r="D147" t="inlineStr">
        <is>
          <t>Cencopan-S</t>
        </is>
      </c>
      <c r="E147" t="inlineStr">
        <is>
          <t>Hyoscine-N-butylbromide 10 mg.</t>
        </is>
      </c>
      <c r="F147" t="inlineStr">
        <is>
          <t>แผง 10 เม็ด</t>
        </is>
      </c>
      <c r="G147" t="inlineStr">
        <is>
          <t>รับประทานครั้งละ 1-2 เม็ด วันละ 3 ครั้ง หรือเมื่อมีอาการ</t>
        </is>
      </c>
    </row>
    <row r="148">
      <c r="A148" t="inlineStr">
        <is>
          <t>BDS001484</t>
        </is>
      </c>
      <c r="B148" t="n">
        <v>1484</v>
      </c>
      <c r="C148" t="inlineStr">
        <is>
          <t>ยาแก้ปวดเกร็งกล้ามเนื้อเรียบ (D)</t>
        </is>
      </c>
      <c r="D148" t="inlineStr">
        <is>
          <t>Colofac 135</t>
        </is>
      </c>
      <c r="E148" t="inlineStr">
        <is>
          <t>Mebeverine HCl 135 mg.</t>
        </is>
      </c>
      <c r="F148" t="inlineStr">
        <is>
          <t>แผง 10 เม็ด</t>
        </is>
      </c>
      <c r="G148" t="inlineStr">
        <is>
          <t>รับประทานครั้งละ 1 เม็ด วันละ 3 ครั้ง ก่อนอาหาร</t>
        </is>
      </c>
    </row>
    <row r="149">
      <c r="A149" t="inlineStr">
        <is>
          <t>BDS001707</t>
        </is>
      </c>
      <c r="B149" t="n">
        <v>1707</v>
      </c>
      <c r="C149" t="inlineStr">
        <is>
          <t>ยาแก้ปวดเกร็งกล้ามเนื้อเรียบ (D)</t>
        </is>
      </c>
      <c r="D149" t="inlineStr">
        <is>
          <t>Duspatin 135</t>
        </is>
      </c>
      <c r="E149" t="inlineStr">
        <is>
          <t>Mebeverine HCl 135 mg.</t>
        </is>
      </c>
      <c r="F149" t="inlineStr">
        <is>
          <t>แผง 10 เม็ด</t>
        </is>
      </c>
      <c r="G149" t="inlineStr">
        <is>
          <t>รับประทานครั้งละ 1 เม็ด พร้อมน้ำ วันละ 3 ครั้ง ก่อนอาหาร 20 นาที</t>
        </is>
      </c>
    </row>
    <row r="150">
      <c r="A150" t="inlineStr">
        <is>
          <t>BDS007284</t>
        </is>
      </c>
      <c r="B150" t="n">
        <v>7284</v>
      </c>
      <c r="C150" t="inlineStr">
        <is>
          <t>ยาแก้ปวดเกร็งกล้ามเนื้อเรียบ (D)</t>
        </is>
      </c>
      <c r="D150" t="inlineStr">
        <is>
          <t>Scopas S/C tabslets</t>
        </is>
      </c>
      <c r="E150" t="inlineStr">
        <is>
          <t>Hyoscine-N-butylbromide 10 mg.</t>
        </is>
      </c>
      <c r="F150" t="inlineStr">
        <is>
          <t>แผง 10 เม็ด</t>
        </is>
      </c>
      <c r="G150" t="inlineStr">
        <is>
          <t>รับประทานครั้งละ 1-2 เม็ด วันละ 3 ครั้ง หรือเมื่อมีอาการ</t>
        </is>
      </c>
    </row>
    <row r="151">
      <c r="A151" t="inlineStr">
        <is>
          <t>BDS007303</t>
        </is>
      </c>
      <c r="B151" t="n">
        <v>7303</v>
      </c>
      <c r="C151" t="inlineStr">
        <is>
          <t>ยาแก้ปวดเกร็งกล้ามเนื้อเรียบ (D)</t>
        </is>
      </c>
      <c r="D151" t="inlineStr">
        <is>
          <t>Spacovin 40</t>
        </is>
      </c>
      <c r="E151" t="inlineStr">
        <is>
          <t>Drotaverine Hydrochloride 40 mg.</t>
        </is>
      </c>
      <c r="F151" t="inlineStr">
        <is>
          <t>แผง 10 เม็ด</t>
        </is>
      </c>
      <c r="G151" t="inlineStr">
        <is>
          <t>รับประทานครั้งละ 1-2 เม็ด วันละ 3 ครั้ง หรือเมื่อมีอาการ</t>
        </is>
      </c>
    </row>
    <row r="152">
      <c r="A152" t="inlineStr">
        <is>
          <t>BDS007107</t>
        </is>
      </c>
      <c r="B152" t="n">
        <v>7107</v>
      </c>
      <c r="C152" t="inlineStr">
        <is>
          <t>ยาแก้ปวดเกร็งกล้ามเนื้อเรียบ (D)</t>
        </is>
      </c>
      <c r="D152" t="inlineStr">
        <is>
          <t>Sparta</t>
        </is>
      </c>
      <c r="E152" t="inlineStr">
        <is>
          <t>Drotaverine Hydrochloride 40 mg.</t>
        </is>
      </c>
      <c r="F152" t="inlineStr">
        <is>
          <t>แผง 10 เม็ด</t>
        </is>
      </c>
      <c r="G152" t="inlineStr">
        <is>
          <t>รับประทานครั้งละ 1-2 เม็ด วันละ 3 ครั้ง หรือเมื่อมีอาการ</t>
        </is>
      </c>
    </row>
    <row r="153">
      <c r="A153" t="inlineStr">
        <is>
          <t>BDS007274</t>
        </is>
      </c>
      <c r="B153" t="n">
        <v>7274</v>
      </c>
      <c r="C153" t="inlineStr">
        <is>
          <t>ยาแก้ปวดเกร็งกล้ามเนื้อเรียบ (D)</t>
        </is>
      </c>
      <c r="D153" t="inlineStr">
        <is>
          <t>Spasuri</t>
        </is>
      </c>
      <c r="E153" t="inlineStr">
        <is>
          <t>Flavoxate HCl 100 mg.</t>
        </is>
      </c>
      <c r="F153" t="inlineStr">
        <is>
          <t>แผง 10 เม็ด</t>
        </is>
      </c>
      <c r="G153" t="inlineStr">
        <is>
          <t>รับประทานครั้งละ 1-2 เม็ด วันละ 3 ครั้ง หรือเมื่อมีอาการ</t>
        </is>
      </c>
    </row>
    <row r="154">
      <c r="A154" t="inlineStr">
        <is>
          <t>BDS008325</t>
        </is>
      </c>
      <c r="B154" t="n">
        <v>8325</v>
      </c>
      <c r="C154" t="inlineStr">
        <is>
          <t>ยาแก้ปวดเกร็งท้อง ชนิดน้ำ (D)</t>
        </is>
      </c>
      <c r="D154" t="inlineStr">
        <is>
          <t>Oscin Syrup</t>
        </is>
      </c>
      <c r="E154" t="inlineStr">
        <is>
          <t>Hyoscine-N-butylbromide 5 mg./5 ml.</t>
        </is>
      </c>
      <c r="F154" t="inlineStr">
        <is>
          <t>ขวด 30 ml.</t>
        </is>
      </c>
      <c r="G154" t="inlineStr">
        <is>
          <t>เด็กเล็กรับประทานครั้งละ 1-2 ช้อนชา วันละ 3 ครั้งหรือเมื่อมีอาการ</t>
        </is>
      </c>
    </row>
    <row r="155">
      <c r="A155" t="inlineStr">
        <is>
          <t>BDS001071</t>
        </is>
      </c>
      <c r="B155" t="n">
        <v>1071</v>
      </c>
      <c r="C155" t="inlineStr">
        <is>
          <t>ยาแก้ปวดไมเกรน (D)</t>
        </is>
      </c>
      <c r="D155" t="inlineStr">
        <is>
          <t>Avamigran</t>
        </is>
      </c>
      <c r="E155" t="inlineStr">
        <is>
          <t>Ergotamine tartrate 1 mg.+Caffeine 100 mg.</t>
        </is>
      </c>
      <c r="F155" t="inlineStr">
        <is>
          <t>กล่อง 1 แผง</t>
        </is>
      </c>
      <c r="G155" t="inlineStr">
        <is>
          <t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</row>
    <row r="156">
      <c r="A156" t="inlineStr">
        <is>
          <t>BDS001405</t>
        </is>
      </c>
      <c r="B156" t="n">
        <v>1405</v>
      </c>
      <c r="C156" t="inlineStr">
        <is>
          <t>ยาแก้ปวดไมเกรน (D)</t>
        </is>
      </c>
      <c r="D156" t="inlineStr">
        <is>
          <t>Cafergot</t>
        </is>
      </c>
      <c r="E156" t="inlineStr">
        <is>
          <t>Ergotamine tartrate 1 mg.+Caffeine 100 mg.</t>
        </is>
      </c>
      <c r="F156" t="inlineStr">
        <is>
          <t>กล่อง 10 เม็ด</t>
        </is>
      </c>
      <c r="G156" t="inlineStr">
        <is>
          <t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</row>
    <row r="157">
      <c r="A157" t="inlineStr">
        <is>
          <t>BDS006840</t>
        </is>
      </c>
      <c r="B157" t="n">
        <v>6840</v>
      </c>
      <c r="C157" t="inlineStr">
        <is>
          <t>ยาแก้ปวดไมเกรน (D)</t>
        </is>
      </c>
      <c r="D157" t="inlineStr">
        <is>
          <t>Relpax 40 mg</t>
        </is>
      </c>
      <c r="E157" t="inlineStr">
        <is>
          <t>Eletriptan 40 mg.</t>
        </is>
      </c>
      <c r="F157" t="inlineStr">
        <is>
          <t>กล่อง 2 เม็ด</t>
        </is>
      </c>
      <c r="G157" t="inlineStr">
        <is>
          <t>รับประทานครั้งละ 1 เม็ด เมื่อเริ่มมีอาการ รับประทานเม็ดที่ 2 ได้ ห่างจากเม็ดแรก 2 ชั่วโมง</t>
        </is>
      </c>
    </row>
    <row r="158">
      <c r="A158" t="inlineStr">
        <is>
          <t>BDS047646</t>
        </is>
      </c>
      <c r="B158" t="n">
        <v>47646</v>
      </c>
      <c r="C158" t="inlineStr">
        <is>
          <t>ยาแก้ปวดไมเกรน (D)</t>
        </is>
      </c>
      <c r="D158" t="inlineStr">
        <is>
          <t>Siagran 50 mg</t>
        </is>
      </c>
      <c r="E158" t="inlineStr">
        <is>
          <t>Sumatriptan succinate (eq. to Sumatriptan 50 mg.)</t>
        </is>
      </c>
      <c r="F158" t="inlineStr">
        <is>
          <t>กล่อง 4 เม็ด</t>
        </is>
      </c>
      <c r="G158" t="inlineStr">
        <is>
          <t>รับประทานครั้งละ 1 เม็ด เมื่อเริ่มมีอาการ รับประทานซ้ำได้ หลังจากรับประทานเม็ดแรกแล้ว 2 ชั่วโมง</t>
        </is>
      </c>
    </row>
    <row r="159">
      <c r="A159" t="inlineStr">
        <is>
          <t>BDS001404</t>
        </is>
      </c>
      <c r="B159" t="n">
        <v>1404</v>
      </c>
      <c r="C159" t="inlineStr">
        <is>
          <t>ยาแก้ปวดไมเกรน (D)</t>
        </is>
      </c>
      <c r="D159" t="inlineStr">
        <is>
          <t>Tofago</t>
        </is>
      </c>
      <c r="E159" t="inlineStr">
        <is>
          <t>Ergotamine tartrate 1 mg.+Caffeine 100 mg.</t>
        </is>
      </c>
      <c r="F159" t="inlineStr">
        <is>
          <t>กล่อง 10 เม็ด</t>
        </is>
      </c>
      <c r="G159" t="inlineStr">
        <is>
          <t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</row>
  </sheetData>
  <autoFilter ref="A1:M1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</v>
      </c>
      <c r="B2" t="inlineStr">
        <is>
          <t>ยาฆ่าเชื้อแบคทีเรียทางเดินหายใจ (D)</t>
        </is>
      </c>
      <c r="C2" t="n">
        <v>40078</v>
      </c>
      <c r="D2" t="inlineStr">
        <is>
          <t>A.M.Mox 500</t>
        </is>
      </c>
      <c r="E2" t="inlineStr">
        <is>
          <t>แผง 10 แคปซูล</t>
        </is>
      </c>
      <c r="F2" t="inlineStr">
        <is>
          <t>Amoxicillin 500 mg.</t>
        </is>
      </c>
      <c r="G2" t="inlineStr">
        <is>
          <t>BDS040078</t>
        </is>
      </c>
      <c r="H2" t="inlineStr">
        <is>
          <t>A.M.Mox 500 (10 cap)</t>
        </is>
      </c>
      <c r="I2" t="inlineStr">
        <is>
          <t>รับประทานครั้งละ 1 แคปซูล วันละ 4 ครั้ง</t>
        </is>
      </c>
      <c r="J2" t="inlineStr">
        <is>
          <t>Take 1 capsule 4 times daily.</t>
        </is>
      </c>
      <c r="P2" t="inlineStr">
        <is>
          <t>Respiratory antibiotics</t>
        </is>
      </c>
    </row>
    <row r="3">
      <c r="A3" t="n">
        <v>2</v>
      </c>
      <c r="B3" t="inlineStr">
        <is>
          <t>ยาฆ่าเชื้อแบคทีเรียทางเดินหายใจ (D)</t>
        </is>
      </c>
      <c r="C3" t="n">
        <v>1103</v>
      </c>
      <c r="D3" t="inlineStr">
        <is>
          <t>AMK 1000 mg</t>
        </is>
      </c>
      <c r="E3" t="inlineStr">
        <is>
          <t>กล่อง 10 เม็ด</t>
        </is>
      </c>
      <c r="F3" t="inlineStr">
        <is>
          <t>Amoxicillin 875 mg.+Clavulanic Acid 125 mg.</t>
        </is>
      </c>
      <c r="G3" t="inlineStr">
        <is>
          <t>BDS001103</t>
        </is>
      </c>
      <c r="H3" t="inlineStr">
        <is>
          <t>AMK 1000 mg (10 tabs)</t>
        </is>
      </c>
      <c r="I3" t="inlineStr">
        <is>
          <t>รับประทานครั้งละ 1 เม็ด วันละ 2 ครั้ง หรือตามแพทย์สั่ง</t>
        </is>
      </c>
      <c r="J3" t="inlineStr">
        <is>
          <t>Take 1 tablet 2 times daily or as directed by a doctor.</t>
        </is>
      </c>
      <c r="P3" t="inlineStr">
        <is>
          <t>Respiratory antibiotics</t>
        </is>
      </c>
    </row>
    <row r="4">
      <c r="A4" t="n">
        <v>3</v>
      </c>
      <c r="B4" t="inlineStr">
        <is>
          <t>ยาฆ่าเชื้อแบคทีเรียทางเดินหายใจ (D)</t>
        </is>
      </c>
      <c r="C4" t="n">
        <v>1035</v>
      </c>
      <c r="D4" t="inlineStr">
        <is>
          <t>Amoksiklav 1000 mg</t>
        </is>
      </c>
      <c r="E4" t="inlineStr">
        <is>
          <t>กล่อง 10 เม็ด</t>
        </is>
      </c>
      <c r="F4" t="inlineStr">
        <is>
          <t>Amoxicillin 875 mg.+Clavulanic Acid 125 mg.</t>
        </is>
      </c>
      <c r="G4" t="inlineStr">
        <is>
          <t>BDS001035</t>
        </is>
      </c>
      <c r="H4" t="inlineStr">
        <is>
          <t>Amoksiklav 1000 mg (10 tabs)</t>
        </is>
      </c>
      <c r="I4" t="inlineStr">
        <is>
          <t>รับประทานครั้งละ 1 เม็ด วันละ 2 ครั้ง หรือตามแพทย์สั่ง</t>
        </is>
      </c>
      <c r="J4" t="inlineStr">
        <is>
          <t>Take 1 tablet 2 times daily or as directed by a doctor.</t>
        </is>
      </c>
      <c r="P4" t="inlineStr">
        <is>
          <t>Respiratory antibiotics</t>
        </is>
      </c>
    </row>
    <row r="5">
      <c r="A5" t="n">
        <v>4</v>
      </c>
      <c r="B5" t="inlineStr">
        <is>
          <t>ยาฆ่าเชื้อแบคทีเรียทางเดินหายใจ (D)</t>
        </is>
      </c>
      <c r="C5" t="n">
        <v>40017</v>
      </c>
      <c r="D5" t="inlineStr">
        <is>
          <t>Augmentin 1 g.</t>
        </is>
      </c>
      <c r="E5" t="inlineStr">
        <is>
          <t>กล่อง 10 เม็ด</t>
        </is>
      </c>
      <c r="F5" t="inlineStr">
        <is>
          <t>Amoxicillin Trihydrate (eq. to Amoxicillin 875 mg.)+Clavulanic Potassium (eq. to Clavulanic Acid 125 mg.)</t>
        </is>
      </c>
      <c r="G5" t="inlineStr">
        <is>
          <t>BDS040017</t>
        </is>
      </c>
      <c r="H5" t="inlineStr">
        <is>
          <t>Augmentin 1 g. (10 tabs)</t>
        </is>
      </c>
      <c r="I5" t="inlineStr">
        <is>
          <t xml:space="preserve">รับประทานครั้งละ 1 เม็ด  วันละ 2 ครั้ง </t>
        </is>
      </c>
      <c r="J5" t="inlineStr">
        <is>
          <t xml:space="preserve">Take 1 tablet 2 times daily. </t>
        </is>
      </c>
      <c r="P5" t="inlineStr">
        <is>
          <t>Respiratory antibiotics</t>
        </is>
      </c>
    </row>
    <row r="6">
      <c r="A6" t="n">
        <v>5</v>
      </c>
      <c r="B6" t="inlineStr">
        <is>
          <t>ยาฆ่าเชื้อแบคทีเรียทางเดินหายใจ (D)</t>
        </is>
      </c>
      <c r="C6" t="n">
        <v>1494</v>
      </c>
      <c r="D6" t="inlineStr">
        <is>
          <t>Azithro 250 mg</t>
        </is>
      </c>
      <c r="E6" t="inlineStr">
        <is>
          <t>กล่อง 6 แคปซูล</t>
        </is>
      </c>
      <c r="F6" t="inlineStr">
        <is>
          <t>Azithromycin 250 mg.</t>
        </is>
      </c>
      <c r="G6" t="inlineStr">
        <is>
          <t>BDS001494</t>
        </is>
      </c>
      <c r="H6" t="inlineStr">
        <is>
          <t>Azithro 250 mg (6 cap)</t>
        </is>
      </c>
      <c r="I6" t="inlineStr">
        <is>
          <t>รับประทานครั้งละ 2 แคปซูล วันละ 1 ครั้ง ก่อนอาหาร</t>
        </is>
      </c>
      <c r="J6" t="inlineStr">
        <is>
          <t>Take 2 capsules 1 time daily before meals.</t>
        </is>
      </c>
      <c r="P6" t="inlineStr">
        <is>
          <t>Respiratory antibiotics</t>
        </is>
      </c>
    </row>
    <row r="7">
      <c r="A7" t="n">
        <v>6</v>
      </c>
      <c r="B7" t="inlineStr">
        <is>
          <t>ยาฆ่าเชื้อแบคทีเรียทางเดินหายใจ (D)</t>
        </is>
      </c>
      <c r="C7" t="n">
        <v>6115</v>
      </c>
      <c r="D7" t="inlineStr">
        <is>
          <t>Azycin 250 mg (GPO)</t>
        </is>
      </c>
      <c r="E7" t="inlineStr">
        <is>
          <t>กล่อง 6 แคปซูล</t>
        </is>
      </c>
      <c r="F7" t="inlineStr">
        <is>
          <t>Azithromycin 250 mg.</t>
        </is>
      </c>
      <c r="G7" t="inlineStr">
        <is>
          <t>BDS006115</t>
        </is>
      </c>
      <c r="H7" t="inlineStr">
        <is>
          <t>Azycin 250 mg (GPO) (6 cap)</t>
        </is>
      </c>
      <c r="I7" t="inlineStr">
        <is>
          <t>รับประทานครั้งละ 2 แคปซูล วันละ 1 ครั้ง ก่อนอาหาร</t>
        </is>
      </c>
      <c r="J7" t="inlineStr">
        <is>
          <t>Take 2 capsules 1 time daily before meals.</t>
        </is>
      </c>
      <c r="P7" t="inlineStr">
        <is>
          <t>Respiratory antibiotics</t>
        </is>
      </c>
    </row>
    <row r="8">
      <c r="A8" t="n">
        <v>7</v>
      </c>
      <c r="B8" t="inlineStr">
        <is>
          <t>ยาฆ่าเชื้อแบคทีเรียทางเดินหายใจ (D)</t>
        </is>
      </c>
      <c r="C8" t="n">
        <v>7066</v>
      </c>
      <c r="D8" t="inlineStr">
        <is>
          <t>B.Roxi</t>
        </is>
      </c>
      <c r="E8" t="inlineStr">
        <is>
          <t>แผง 10 เม็ด</t>
        </is>
      </c>
      <c r="F8" t="inlineStr">
        <is>
          <t>Roxithromycin 150 mg.</t>
        </is>
      </c>
      <c r="G8" t="inlineStr">
        <is>
          <t>BDS007066</t>
        </is>
      </c>
      <c r="H8" t="inlineStr">
        <is>
          <t>B.Roxi (10 tabs)</t>
        </is>
      </c>
      <c r="I8" t="inlineStr">
        <is>
          <t>รับประทานครั้งละ 1 เม็ด วันละ 2 ครั้ง ก่อนอาหาร เช้า-เย็น</t>
        </is>
      </c>
      <c r="J8" t="inlineStr">
        <is>
          <t>Take 1 tablet 2 times a day before meals, morning and evening.</t>
        </is>
      </c>
      <c r="P8" t="inlineStr">
        <is>
          <t>Respiratory antibiotics</t>
        </is>
      </c>
    </row>
    <row r="9">
      <c r="A9" t="n">
        <v>8</v>
      </c>
      <c r="B9" t="inlineStr">
        <is>
          <t>ยาฆ่าเชื้อแบคทีเรียทางเดินหายใจ (D)</t>
        </is>
      </c>
      <c r="C9" t="n">
        <v>1545</v>
      </c>
      <c r="D9" t="inlineStr">
        <is>
          <t>Cavumox 1 g</t>
        </is>
      </c>
      <c r="E9" t="inlineStr">
        <is>
          <t>แผง 3 เม็ด</t>
        </is>
      </c>
      <c r="F9" t="inlineStr">
        <is>
          <t>Amoxicillin 875 mg.+Clavulanic Acid 125 mg.</t>
        </is>
      </c>
      <c r="G9" t="inlineStr">
        <is>
          <t>BDS001545</t>
        </is>
      </c>
      <c r="H9" t="inlineStr">
        <is>
          <t>Cavumox 1 g (3 tabs)</t>
        </is>
      </c>
      <c r="I9" t="inlineStr">
        <is>
          <t xml:space="preserve">รับประทานครั้งละ 1 เม็ด  วันละ 2 ครั้ง </t>
        </is>
      </c>
      <c r="J9" t="inlineStr">
        <is>
          <t xml:space="preserve">Take 1 tablet 2 times daily. </t>
        </is>
      </c>
      <c r="P9" t="inlineStr">
        <is>
          <t>Respiratory antibiotics</t>
        </is>
      </c>
    </row>
    <row r="10">
      <c r="A10" t="n">
        <v>9</v>
      </c>
      <c r="B10" t="inlineStr">
        <is>
          <t>ยาฆ่าเชื้อแบคทีเรียทางเดินหายใจ (D)</t>
        </is>
      </c>
      <c r="C10" t="n">
        <v>7784</v>
      </c>
      <c r="D10" t="inlineStr">
        <is>
          <t>Cephalex-500</t>
        </is>
      </c>
      <c r="E10" t="inlineStr">
        <is>
          <t>แผง 10 แคปซูล</t>
        </is>
      </c>
      <c r="F10" t="inlineStr">
        <is>
          <t>Cephalexin 500 mg.</t>
        </is>
      </c>
      <c r="G10" t="inlineStr">
        <is>
          <t>BDS007784</t>
        </is>
      </c>
      <c r="H10" t="inlineStr">
        <is>
          <t>Cephalex-500 (10 cap)</t>
        </is>
      </c>
      <c r="I10" t="inlineStr">
        <is>
          <t>รับประทานครั้งละ 1 แคปซูล วันละ 4 ครั้ง</t>
        </is>
      </c>
      <c r="J10" t="inlineStr">
        <is>
          <t>Take 1 capsule 4 times daily.</t>
        </is>
      </c>
      <c r="P10" t="inlineStr">
        <is>
          <t>Respiratory antibiotics</t>
        </is>
      </c>
    </row>
    <row r="11">
      <c r="A11" t="n">
        <v>10</v>
      </c>
      <c r="B11" t="inlineStr">
        <is>
          <t>ยาฆ่าเชื้อแบคทีเรียทางเดินหายใจ (D)</t>
        </is>
      </c>
      <c r="C11" t="n">
        <v>1452</v>
      </c>
      <c r="D11" t="inlineStr">
        <is>
          <t>Clarith 500</t>
        </is>
      </c>
      <c r="E11" t="inlineStr">
        <is>
          <t>แผง 7 เม็ด</t>
        </is>
      </c>
      <c r="F11" t="inlineStr">
        <is>
          <t>Clarithromycin 500 mg.</t>
        </is>
      </c>
      <c r="G11" t="inlineStr">
        <is>
          <t>BDS001452</t>
        </is>
      </c>
      <c r="H11" t="inlineStr">
        <is>
          <t>Clarith 500 (7 tabs)</t>
        </is>
      </c>
      <c r="I11" t="inlineStr">
        <is>
          <t xml:space="preserve">รับประทานตามแพทย์สั่ง </t>
        </is>
      </c>
      <c r="J11" t="inlineStr">
        <is>
          <t xml:space="preserve">Take as directed by your doctor. </t>
        </is>
      </c>
      <c r="P11" t="inlineStr">
        <is>
          <t>Respiratory antibiotics</t>
        </is>
      </c>
    </row>
    <row r="12">
      <c r="A12" t="n">
        <v>11</v>
      </c>
      <c r="B12" t="inlineStr">
        <is>
          <t>ยาฆ่าเชื้อแบคทีเรียทางเดินหายใจ (D)</t>
        </is>
      </c>
      <c r="C12" t="n">
        <v>8652</v>
      </c>
      <c r="D12" t="inlineStr">
        <is>
          <t>Dicloxilin-500</t>
        </is>
      </c>
      <c r="E12" t="inlineStr">
        <is>
          <t>แผง 10 แคปซูล</t>
        </is>
      </c>
      <c r="F12" t="inlineStr">
        <is>
          <t>Dicloxacillin 500 mg.</t>
        </is>
      </c>
      <c r="G12" t="inlineStr">
        <is>
          <t>BDS008652</t>
        </is>
      </c>
      <c r="H12" t="inlineStr">
        <is>
          <t>Dicloxilin-500 (10 cap)</t>
        </is>
      </c>
      <c r="I12" t="inlineStr">
        <is>
          <t>รับประทานครั้งละ 1 แคปซูลวันละ 4 ครั้ง ก่อนอาหาร</t>
        </is>
      </c>
      <c r="J12" t="inlineStr">
        <is>
          <t>Take 1 capsule 4 times daily before meals</t>
        </is>
      </c>
      <c r="P12" t="inlineStr">
        <is>
          <t>Respiratory antibiotics</t>
        </is>
      </c>
    </row>
    <row r="13">
      <c r="A13" t="n">
        <v>12</v>
      </c>
      <c r="B13" t="inlineStr">
        <is>
          <t>ยาฆ่าเชื้อแบคทีเรียทางเดินหายใจ (D)</t>
        </is>
      </c>
      <c r="C13" t="n">
        <v>8702</v>
      </c>
      <c r="D13" t="inlineStr">
        <is>
          <t>Dicloxman-500</t>
        </is>
      </c>
      <c r="E13" t="inlineStr">
        <is>
          <t>แผง 10 แคปซูล</t>
        </is>
      </c>
      <c r="F13" t="inlineStr">
        <is>
          <t>Dicloxacillin 500 mg.</t>
        </is>
      </c>
      <c r="G13" t="inlineStr">
        <is>
          <t>BDS008702</t>
        </is>
      </c>
      <c r="H13" t="inlineStr">
        <is>
          <t>Dicloxman-500 (10 cap)</t>
        </is>
      </c>
      <c r="I13" t="inlineStr">
        <is>
          <t>รับประทานครั้งละ 1 แคปซูล วันละ 4 ครั้ง ก่อนอาหาร</t>
        </is>
      </c>
      <c r="J13" t="inlineStr">
        <is>
          <t>Take 1 capsule 4 times daily before meals</t>
        </is>
      </c>
      <c r="P13" t="inlineStr">
        <is>
          <t>Respiratory antibiotics</t>
        </is>
      </c>
    </row>
    <row r="14">
      <c r="A14" t="n">
        <v>13</v>
      </c>
      <c r="B14" t="inlineStr">
        <is>
          <t>ยาฆ่าเชื้อแบคทีเรียทางเดินหายใจ (D)</t>
        </is>
      </c>
      <c r="C14" t="n">
        <v>1943</v>
      </c>
      <c r="D14" t="inlineStr">
        <is>
          <t>Floctil 250</t>
        </is>
      </c>
      <c r="E14" t="inlineStr">
        <is>
          <t>กล่อง 6 แคปซูล</t>
        </is>
      </c>
      <c r="F14" t="inlineStr">
        <is>
          <t>Azithromycin 250 mg.</t>
        </is>
      </c>
      <c r="G14" t="inlineStr">
        <is>
          <t>BDS001943</t>
        </is>
      </c>
      <c r="H14" t="inlineStr">
        <is>
          <t>Floctil 250 (6 cap)</t>
        </is>
      </c>
      <c r="I14" t="inlineStr">
        <is>
          <t>รับประทานครั้งละ 2 แคปซูล วันละ 1 ครั้ง ก่อนอาหาร</t>
        </is>
      </c>
      <c r="J14" t="inlineStr">
        <is>
          <t>Take 2 capsules 1 time daily before meals</t>
        </is>
      </c>
      <c r="P14" t="inlineStr">
        <is>
          <t>Respiratory antibiotics</t>
        </is>
      </c>
    </row>
    <row r="15">
      <c r="A15" t="n">
        <v>14</v>
      </c>
      <c r="B15" t="inlineStr">
        <is>
          <t>ยาฆ่าเชื้อแบคทีเรียทางเดินหายใจ (D)</t>
        </is>
      </c>
      <c r="C15" t="n">
        <v>2201</v>
      </c>
      <c r="D15" t="inlineStr">
        <is>
          <t>Ibiamox 500 mg</t>
        </is>
      </c>
      <c r="E15" t="inlineStr">
        <is>
          <t>แผง 10 แคปซูล</t>
        </is>
      </c>
      <c r="F15" t="inlineStr">
        <is>
          <t>Amoxicillin 500 mg.</t>
        </is>
      </c>
      <c r="G15" t="inlineStr">
        <is>
          <t>BDS002201</t>
        </is>
      </c>
      <c r="H15" t="inlineStr">
        <is>
          <t>Ibiamox 500 mg (10 cap)</t>
        </is>
      </c>
      <c r="I15" t="inlineStr">
        <is>
          <t>รับประทานครั้งละ 1 แคปซูล วันละ 3 ครั้ง หรือตามแพทย์สั่ง</t>
        </is>
      </c>
      <c r="J15" t="inlineStr">
        <is>
          <t>Take 1 capsule 3 times daily or as directed by a doctor</t>
        </is>
      </c>
      <c r="P15" t="inlineStr">
        <is>
          <t>Respiratory antibiotics</t>
        </is>
      </c>
    </row>
    <row r="16">
      <c r="A16" t="n">
        <v>15</v>
      </c>
      <c r="B16" t="inlineStr">
        <is>
          <t>ยาฆ่าเชื้อแบคทีเรียทางเดินหายใจ (D)</t>
        </is>
      </c>
      <c r="C16" t="n">
        <v>2447</v>
      </c>
      <c r="D16" t="inlineStr">
        <is>
          <t>Klacid MR 500 mg</t>
        </is>
      </c>
      <c r="E16" t="inlineStr">
        <is>
          <t>กล่อง 7 เม็ด</t>
        </is>
      </c>
      <c r="F16" t="inlineStr">
        <is>
          <t>Clarithromycin 500 mg.</t>
        </is>
      </c>
      <c r="G16" t="inlineStr">
        <is>
          <t>BDS002447</t>
        </is>
      </c>
      <c r="H16" t="inlineStr">
        <is>
          <t>Klacid MR 500 mg (7 tabs)</t>
        </is>
      </c>
      <c r="I16" t="inlineStr">
        <is>
          <t>ผู้ใหญ่รับประทานครั้งละ 1 เม็ด วันละ 1 ครั้ง หลังอาหาร</t>
        </is>
      </c>
      <c r="J16" t="inlineStr">
        <is>
          <t>Adults take 1 tablet 1 time daily after meals</t>
        </is>
      </c>
      <c r="P16" t="inlineStr">
        <is>
          <t>Respiratory antibiotics</t>
        </is>
      </c>
    </row>
    <row r="17">
      <c r="A17" t="n">
        <v>16</v>
      </c>
      <c r="B17" t="inlineStr">
        <is>
          <t>ยาฆ่าเชื้อแบคทีเรียทางเดินหายใจ (D)</t>
        </is>
      </c>
      <c r="C17" t="n">
        <v>2692</v>
      </c>
      <c r="D17" t="inlineStr">
        <is>
          <t>Meiact tabslet</t>
        </is>
      </c>
      <c r="E17" t="inlineStr">
        <is>
          <t>แผง 10 เม็ด</t>
        </is>
      </c>
      <c r="F17" t="inlineStr">
        <is>
          <t>Cefditoren 100 mg.</t>
        </is>
      </c>
      <c r="G17" t="inlineStr">
        <is>
          <t>BDS002692</t>
        </is>
      </c>
      <c r="H17" t="inlineStr">
        <is>
          <t>Meiact tabslet (10 tabs)</t>
        </is>
      </c>
      <c r="I17" t="inlineStr">
        <is>
          <t xml:space="preserve">รับประทานตามแพทย์สั่ง </t>
        </is>
      </c>
      <c r="J17" t="inlineStr">
        <is>
          <t xml:space="preserve">Take as directed by your doctor. </t>
        </is>
      </c>
      <c r="P17" t="inlineStr">
        <is>
          <t>Respiratory antibiotics</t>
        </is>
      </c>
    </row>
    <row r="18">
      <c r="A18" t="n">
        <v>17</v>
      </c>
      <c r="B18" t="inlineStr">
        <is>
          <t>ยาฆ่าเชื้อแบคทีเรียทางเดินหายใจ (D)</t>
        </is>
      </c>
      <c r="C18" t="n">
        <v>3078</v>
      </c>
      <c r="D18" t="inlineStr">
        <is>
          <t>Omnicef 100 mg</t>
        </is>
      </c>
      <c r="E18" t="inlineStr">
        <is>
          <t>แผง 10 แคปซูล</t>
        </is>
      </c>
      <c r="F18" t="inlineStr">
        <is>
          <t>Cefdinir 100 mg.</t>
        </is>
      </c>
      <c r="G18" t="inlineStr">
        <is>
          <t>BDS003078</t>
        </is>
      </c>
      <c r="H18" t="inlineStr">
        <is>
          <t>Omnicef 100 mg (10 cap)</t>
        </is>
      </c>
      <c r="I18" t="inlineStr">
        <is>
          <t xml:space="preserve">รับประทานตามแพทย์สั่ง </t>
        </is>
      </c>
      <c r="J18" t="inlineStr">
        <is>
          <t xml:space="preserve">Take as directed by your doctor. </t>
        </is>
      </c>
      <c r="P18" t="inlineStr">
        <is>
          <t>Respiratory antibiotics</t>
        </is>
      </c>
    </row>
    <row r="19">
      <c r="A19" t="n">
        <v>18</v>
      </c>
      <c r="B19" t="inlineStr">
        <is>
          <t>ยาฆ่าเชื้อแบคทีเรียทางเดินหายใจ (D)</t>
        </is>
      </c>
      <c r="C19" t="n">
        <v>8121</v>
      </c>
      <c r="D19" t="inlineStr">
        <is>
          <t>Rintacin</t>
        </is>
      </c>
      <c r="E19" t="inlineStr">
        <is>
          <t>แผง 10 เม็ด</t>
        </is>
      </c>
      <c r="F19" t="inlineStr">
        <is>
          <t>Erythromycin stearate 250 mg.</t>
        </is>
      </c>
      <c r="G19" t="inlineStr">
        <is>
          <t>BDS008121</t>
        </is>
      </c>
      <c r="H19" t="inlineStr">
        <is>
          <t>Rintacin (10 tabs)</t>
        </is>
      </c>
      <c r="I19" t="inlineStr">
        <is>
          <t>รับประทานครั้งละ 1 เม็ด วันละ 4 ครั้ง ก่อนอาหาร</t>
        </is>
      </c>
      <c r="J19" t="inlineStr">
        <is>
          <t>Take 1 tablet 4 times daily before meals</t>
        </is>
      </c>
      <c r="P19" t="inlineStr">
        <is>
          <t>Respiratory antibiotics</t>
        </is>
      </c>
    </row>
    <row r="20">
      <c r="A20" t="n">
        <v>19</v>
      </c>
      <c r="B20" t="inlineStr">
        <is>
          <t>ยาฆ่าเชื้อแบคทีเรียทางเดินหายใจ (D)</t>
        </is>
      </c>
      <c r="C20" t="n">
        <v>3423</v>
      </c>
      <c r="D20" t="inlineStr">
        <is>
          <t>Rothricin 150 mg</t>
        </is>
      </c>
      <c r="E20" t="inlineStr">
        <is>
          <t>แผง 10 เม็ด</t>
        </is>
      </c>
      <c r="F20" t="inlineStr">
        <is>
          <t>Roxithromycin 150 mg.</t>
        </is>
      </c>
      <c r="G20" t="inlineStr">
        <is>
          <t>BDS003423</t>
        </is>
      </c>
      <c r="H20" t="inlineStr">
        <is>
          <t>Rothricin 150 mg (10 tabs)</t>
        </is>
      </c>
      <c r="I20" t="inlineStr">
        <is>
          <t>รับประทานครั้งละ 1 เม็ด วันละ 2 ครั้ง ก่อนอาหาร เช้า-เย็น</t>
        </is>
      </c>
      <c r="J20" t="inlineStr">
        <is>
          <t>Take 1 tablet 2 times a day before meals, morning and evening</t>
        </is>
      </c>
      <c r="P20" t="inlineStr">
        <is>
          <t>Respiratory antibiotics</t>
        </is>
      </c>
    </row>
    <row r="21">
      <c r="A21" t="n">
        <v>20</v>
      </c>
      <c r="B21" t="inlineStr">
        <is>
          <t>ยาฆ่าเชื้อแบคทีเรียทางเดินหายใจ (D)</t>
        </is>
      </c>
      <c r="C21" t="n">
        <v>7976</v>
      </c>
      <c r="D21" t="inlineStr">
        <is>
          <t>Roxitop 300</t>
        </is>
      </c>
      <c r="E21" t="inlineStr">
        <is>
          <t>แผง 10 เม็ด</t>
        </is>
      </c>
      <c r="F21" t="inlineStr">
        <is>
          <t>Roxithromycin 300 mg.</t>
        </is>
      </c>
      <c r="G21" t="inlineStr">
        <is>
          <t>BDS007976</t>
        </is>
      </c>
      <c r="H21" t="inlineStr">
        <is>
          <t>Roxitop 300 (10 tabs)</t>
        </is>
      </c>
      <c r="I21" t="inlineStr">
        <is>
          <t>รับประทานครั้งละ 1 เม็ด วันละ 1 ครั้ง ก่อนอาหาร</t>
        </is>
      </c>
      <c r="J21" t="inlineStr">
        <is>
          <t>Take 1 tablet 1 time daily before meals</t>
        </is>
      </c>
      <c r="P21" t="inlineStr">
        <is>
          <t>Respiratory antibiotics</t>
        </is>
      </c>
    </row>
    <row r="22">
      <c r="A22" t="n">
        <v>21</v>
      </c>
      <c r="B22" t="inlineStr">
        <is>
          <t>ยาฆ่าเชื้อแบคทีเรียทางเดินหายใจ (D)</t>
        </is>
      </c>
      <c r="C22" t="n">
        <v>3428</v>
      </c>
      <c r="D22" t="inlineStr">
        <is>
          <t>Rulid 150 mg</t>
        </is>
      </c>
      <c r="E22" t="inlineStr">
        <is>
          <t>กล่อง 10 เม็ด</t>
        </is>
      </c>
      <c r="F22" t="inlineStr">
        <is>
          <t>Roxithromycin 150 mg.</t>
        </is>
      </c>
      <c r="G22" t="inlineStr">
        <is>
          <t>BDS003428</t>
        </is>
      </c>
      <c r="H22" t="inlineStr">
        <is>
          <t>Rulid 150 mg (10 tabs)</t>
        </is>
      </c>
      <c r="I22" t="inlineStr">
        <is>
          <t>รับประทานครั้งละ 1 เม็ด วันละ 2 ครั้ง ก่อนอาหาร เช้า-เย็น</t>
        </is>
      </c>
      <c r="J22" t="inlineStr">
        <is>
          <t>Take 1 tablet 2 times a day before meals, morning and evening</t>
        </is>
      </c>
      <c r="P22" t="inlineStr">
        <is>
          <t>Respiratory antibiotics</t>
        </is>
      </c>
    </row>
    <row r="23">
      <c r="A23" t="n">
        <v>22</v>
      </c>
      <c r="B23" t="inlineStr">
        <is>
          <t>ยาฆ่าเชื้อแบคทีเรียทางเดินหายใจ (D)</t>
        </is>
      </c>
      <c r="C23" t="n">
        <v>7007</v>
      </c>
      <c r="D23" t="inlineStr">
        <is>
          <t>Uramox 500</t>
        </is>
      </c>
      <c r="E23" t="inlineStr">
        <is>
          <t>แผง 10 แคปซูล</t>
        </is>
      </c>
      <c r="F23" t="inlineStr">
        <is>
          <t>Amoxicillin 500 mg.</t>
        </is>
      </c>
      <c r="G23" t="inlineStr">
        <is>
          <t>BDS007007</t>
        </is>
      </c>
      <c r="H23" t="inlineStr">
        <is>
          <t>Uramox 500 (10 cap)</t>
        </is>
      </c>
      <c r="I23" t="inlineStr">
        <is>
          <t>รับประทานครั้งละ 1 แคปซูล วันละ 4 ครั้ง</t>
        </is>
      </c>
      <c r="P23" t="inlineStr">
        <is>
          <t>Respiratory antibiotics</t>
        </is>
      </c>
    </row>
    <row r="24">
      <c r="A24" t="n">
        <v>23</v>
      </c>
      <c r="B24" t="inlineStr">
        <is>
          <t>ยาฆ่าเชื้อแบคทีเรียทางเดินหายใจ (D)</t>
        </is>
      </c>
      <c r="C24" t="n">
        <v>49776</v>
      </c>
      <c r="D24" t="inlineStr">
        <is>
          <t>Zithromax tabslet 250 mg</t>
        </is>
      </c>
      <c r="E24" t="inlineStr">
        <is>
          <t>กล่อง 6 เม็ด</t>
        </is>
      </c>
      <c r="F24" t="inlineStr">
        <is>
          <t>Azithromycin 250 mg.</t>
        </is>
      </c>
      <c r="G24" t="inlineStr">
        <is>
          <t>BDS049776</t>
        </is>
      </c>
      <c r="H24" t="inlineStr">
        <is>
          <t>Zithromax tabslet 250 mg (6 tabs)</t>
        </is>
      </c>
      <c r="I24" t="inlineStr">
        <is>
          <t>รับประทานครั้งละ 2 เม็ด วันละ 1 ครั้ง ก่อนอาหาร</t>
        </is>
      </c>
      <c r="P24" t="inlineStr">
        <is>
          <t>Respiratory antibiotics</t>
        </is>
      </c>
    </row>
  </sheetData>
  <autoFilter ref="A1:P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24</v>
      </c>
      <c r="B2" t="inlineStr">
        <is>
          <t>ยาแก้ปวด, ลดไข้</t>
        </is>
      </c>
      <c r="C2" t="n">
        <v>40614</v>
      </c>
      <c r="D2" t="inlineStr">
        <is>
          <t>Bakamol 500 mg bottle 100s</t>
        </is>
      </c>
      <c r="E2" t="inlineStr">
        <is>
          <t>กระปุก 100 เม็ด</t>
        </is>
      </c>
      <c r="F2" t="inlineStr">
        <is>
          <t>Paracetamol 500 mg.</t>
        </is>
      </c>
      <c r="G2" t="inlineStr">
        <is>
          <t>BDS040614</t>
        </is>
      </c>
      <c r="H2" t="inlineStr">
        <is>
          <t>Bakamol 500 mg bottle 100s (100 tabs)</t>
        </is>
      </c>
      <c r="I2" t="inlineStr">
        <is>
          <t>รับประทานครั้งละ 1-2 เม็ด ทุก 4-6 ชั่วโมง</t>
        </is>
      </c>
      <c r="P2" t="inlineStr">
        <is>
          <t>General analgesics/antipyretics</t>
        </is>
      </c>
    </row>
    <row r="3">
      <c r="A3" t="n">
        <v>25</v>
      </c>
      <c r="B3" t="inlineStr">
        <is>
          <t>ยาแก้ปวด, ลดไข้</t>
        </is>
      </c>
      <c r="C3" t="n">
        <v>7047</v>
      </c>
      <c r="D3" t="inlineStr">
        <is>
          <t>Cemol 500 mg bottle 100s ฟ้า-ขาว</t>
        </is>
      </c>
      <c r="E3" t="inlineStr">
        <is>
          <t>กระปุก 100 เม็ด</t>
        </is>
      </c>
      <c r="F3" t="inlineStr">
        <is>
          <t>Paracetamol 500 mg.</t>
        </is>
      </c>
      <c r="G3" t="inlineStr">
        <is>
          <t>BDS007047</t>
        </is>
      </c>
      <c r="H3" t="inlineStr">
        <is>
          <t>Cemol 500 mg bottle 100s ฟ้า-ขาว (100 tabs)</t>
        </is>
      </c>
      <c r="I3" t="inlineStr">
        <is>
          <t>รับประทานครั้งละ 1-2 เม็ด ทุก 4 ชั่วโมง หรือเมื่อมีอาการ</t>
        </is>
      </c>
      <c r="P3" t="inlineStr">
        <is>
          <t>General analgesics/antipyretics</t>
        </is>
      </c>
    </row>
    <row r="4">
      <c r="A4" t="n">
        <v>26</v>
      </c>
      <c r="B4" t="inlineStr">
        <is>
          <t>ยาแก้ปวด, ลดไข้</t>
        </is>
      </c>
      <c r="C4" t="n">
        <v>7041</v>
      </c>
      <c r="D4" t="inlineStr">
        <is>
          <t>Cemol 500 mg bottle 100s เม็ดกลม</t>
        </is>
      </c>
      <c r="E4" t="inlineStr">
        <is>
          <t>กระปุก 100 เม็ด</t>
        </is>
      </c>
      <c r="F4" t="inlineStr">
        <is>
          <t>Paracetamol 500 mg.</t>
        </is>
      </c>
      <c r="G4" t="inlineStr">
        <is>
          <t>BDS007041</t>
        </is>
      </c>
      <c r="H4" t="inlineStr">
        <is>
          <t>Cemol 500 mg bottle 100s เม็ดกลม (100 tabs)</t>
        </is>
      </c>
      <c r="I4" t="inlineStr">
        <is>
          <t>รับประทานครั้งละ 1-2 เม็ด ทุก 4 ชั่วโมง หรือเมื่อมีอาการ</t>
        </is>
      </c>
      <c r="P4" t="inlineStr">
        <is>
          <t>General analgesics/antipyretics</t>
        </is>
      </c>
    </row>
    <row r="5">
      <c r="A5" t="n">
        <v>27</v>
      </c>
      <c r="B5" t="inlineStr">
        <is>
          <t>ยาแก้ปวด, ลดไข้</t>
        </is>
      </c>
      <c r="C5" t="n">
        <v>46505</v>
      </c>
      <c r="D5" t="inlineStr">
        <is>
          <t xml:space="preserve">Panadol Actifast </t>
        </is>
      </c>
      <c r="E5" t="inlineStr">
        <is>
          <t>กล่อง 10 เม็ด</t>
        </is>
      </c>
      <c r="F5" t="inlineStr">
        <is>
          <t>Paracetamol 500 mg.</t>
        </is>
      </c>
      <c r="G5" t="inlineStr">
        <is>
          <t>BDS046505</t>
        </is>
      </c>
      <c r="H5" t="inlineStr">
        <is>
          <t>Panadol Actifast  (10 tabs)</t>
        </is>
      </c>
      <c r="I5" t="inlineStr">
        <is>
          <t>รับประทานครั้งละ 1-2  เม็ด ทุก 4-6 ชั่วโมง เมื่อมีอาการ</t>
        </is>
      </c>
      <c r="P5" t="inlineStr">
        <is>
          <t>General analgesics/antipyretics</t>
        </is>
      </c>
    </row>
    <row r="6">
      <c r="A6" t="n">
        <v>28</v>
      </c>
      <c r="B6" t="inlineStr">
        <is>
          <t>ยาแก้ปวด, ลดไข้</t>
        </is>
      </c>
      <c r="C6" t="n">
        <v>3109</v>
      </c>
      <c r="D6" t="inlineStr">
        <is>
          <t>Para Cap bottle 100s</t>
        </is>
      </c>
      <c r="E6" t="inlineStr">
        <is>
          <t>กระปุก 100 เม็ด</t>
        </is>
      </c>
      <c r="F6" t="inlineStr">
        <is>
          <t>Paracetamol 500 mg.</t>
        </is>
      </c>
      <c r="G6" t="inlineStr">
        <is>
          <t>BDS003109</t>
        </is>
      </c>
      <c r="H6" t="inlineStr">
        <is>
          <t>Para Cap bottle 100s (100 tabs)</t>
        </is>
      </c>
      <c r="I6" t="inlineStr">
        <is>
          <t>รับประทานครั้งละ 1-2 เม็ด ทุก 4-6 ชั่วโมง</t>
        </is>
      </c>
      <c r="P6" t="inlineStr">
        <is>
          <t>General analgesics/antipyretics</t>
        </is>
      </c>
    </row>
    <row r="7">
      <c r="A7" t="n">
        <v>29</v>
      </c>
      <c r="B7" t="inlineStr">
        <is>
          <t>ยาแก้ปวด, ลดไข้</t>
        </is>
      </c>
      <c r="C7" t="n">
        <v>3595</v>
      </c>
      <c r="D7" t="inlineStr">
        <is>
          <t>Sara เม็ดรี กระปุก 100s</t>
        </is>
      </c>
      <c r="E7" t="inlineStr">
        <is>
          <t>กระปุก 100 เม็ด</t>
        </is>
      </c>
      <c r="F7" t="inlineStr">
        <is>
          <t>Paracetamol 500 mg.</t>
        </is>
      </c>
      <c r="G7" t="inlineStr">
        <is>
          <t>BDS003595</t>
        </is>
      </c>
      <c r="H7" t="inlineStr">
        <is>
          <t>Sara เม็ดรี กระปุก 100s (100 tabs)</t>
        </is>
      </c>
      <c r="I7" t="inlineStr">
        <is>
          <t>รับประทานครั้งละ 1-2 เม็ด ทุก 4-6 ชั่วโมง</t>
        </is>
      </c>
      <c r="P7" t="inlineStr">
        <is>
          <t>General analgesics/antipyretics</t>
        </is>
      </c>
    </row>
    <row r="8">
      <c r="A8" t="n">
        <v>30</v>
      </c>
      <c r="B8" t="inlineStr">
        <is>
          <t>ยาแก้ปวด, ลดไข้</t>
        </is>
      </c>
      <c r="C8" t="n">
        <v>3764</v>
      </c>
      <c r="D8" t="inlineStr">
        <is>
          <t>Tylenol 500 mg bottle 100s</t>
        </is>
      </c>
      <c r="E8" t="inlineStr">
        <is>
          <t>กระปุก 100 เม็ด</t>
        </is>
      </c>
      <c r="F8" t="inlineStr">
        <is>
          <t>Paracetamol 500 mg.</t>
        </is>
      </c>
      <c r="G8" t="inlineStr">
        <is>
          <t>BDS003764</t>
        </is>
      </c>
      <c r="H8" t="inlineStr">
        <is>
          <t>Tylenol 500 mg bottle 100s (100 tabs)</t>
        </is>
      </c>
      <c r="I8" t="inlineStr">
        <is>
          <t>รับประทานครั้งละ 1-2 เม็ด ทุก 4-6 ชั่วโมง</t>
        </is>
      </c>
      <c r="P8" t="inlineStr">
        <is>
          <t>General analgesics/antipyretics</t>
        </is>
      </c>
    </row>
    <row r="9">
      <c r="A9" t="n">
        <v>31</v>
      </c>
      <c r="B9" t="inlineStr">
        <is>
          <t>ยาแก้ปวด, ลดไข้</t>
        </is>
      </c>
      <c r="C9" t="n">
        <v>3748</v>
      </c>
      <c r="D9" t="inlineStr">
        <is>
          <t>Tylenol 8 Hour</t>
        </is>
      </c>
      <c r="E9" t="inlineStr">
        <is>
          <t>กล่อง 10 เม็ด</t>
        </is>
      </c>
      <c r="F9" t="inlineStr">
        <is>
          <t>Paracetamol 650 mg.</t>
        </is>
      </c>
      <c r="G9" t="inlineStr">
        <is>
          <t>BDS003748</t>
        </is>
      </c>
      <c r="H9" t="inlineStr">
        <is>
          <t>Tylenol 8 Hour (10 tabs)</t>
        </is>
      </c>
      <c r="I9" t="inlineStr">
        <is>
          <t>รับประทานครั้งละ 2 เม็ด ทุก 8 ชั่วโมง หรือเมื่อมีอาการ</t>
        </is>
      </c>
      <c r="P9" t="inlineStr">
        <is>
          <t>General analgesics/antipyretics</t>
        </is>
      </c>
    </row>
    <row r="10">
      <c r="A10" t="n">
        <v>185</v>
      </c>
      <c r="B10" t="inlineStr">
        <is>
          <t>ยาแก้ปวด, ลดไข้ ชนิดน้ำ</t>
        </is>
      </c>
      <c r="C10" t="n">
        <v>8609</v>
      </c>
      <c r="D10" t="inlineStr">
        <is>
          <t>Ampol Suspension</t>
        </is>
      </c>
      <c r="E10" t="inlineStr">
        <is>
          <t>ขวด 60 ml.</t>
        </is>
      </c>
      <c r="F10" t="inlineStr">
        <is>
          <t>Paracetamol 120 mg./5 ml.</t>
        </is>
      </c>
      <c r="G10" t="inlineStr">
        <is>
          <t>BDS008609</t>
        </is>
      </c>
      <c r="H10" t="inlineStr">
        <is>
          <t>Ampol Suspension (60 ml.)</t>
        </is>
      </c>
      <c r="I10" t="inlineStr">
        <is>
          <t>เด็กเล็กรับประทานครั้งละ 1-2 ช้อนชา ทุก 4-6 ชั่วโมง</t>
        </is>
      </c>
      <c r="P10" t="inlineStr">
        <is>
          <t>General analgesics/antipyretics</t>
        </is>
      </c>
    </row>
    <row r="11">
      <c r="A11" t="n">
        <v>186</v>
      </c>
      <c r="B11" t="inlineStr">
        <is>
          <t>ยาแก้ปวด, ลดไข้ ชนิดน้ำ</t>
        </is>
      </c>
      <c r="C11" t="n">
        <v>2407</v>
      </c>
      <c r="D11" t="inlineStr">
        <is>
          <t>Kit-F Drops</t>
        </is>
      </c>
      <c r="E11" t="inlineStr">
        <is>
          <t>ขวด 15 ml.</t>
        </is>
      </c>
      <c r="F11" t="inlineStr">
        <is>
          <t>Paracetamol 60 mg./0.6 ml.</t>
        </is>
      </c>
      <c r="G11" t="inlineStr">
        <is>
          <t>BDS002407</t>
        </is>
      </c>
      <c r="H11" t="inlineStr">
        <is>
          <t>Kit-F Drops (15 ml.)</t>
        </is>
      </c>
      <c r="I11" t="inlineStr">
        <is>
          <t>รับประทานครั้งละ 1-2 หลอดหยด วันละ 3-4 ครั้ง</t>
        </is>
      </c>
      <c r="P11" t="inlineStr">
        <is>
          <t>General analgesics/antipyretics</t>
        </is>
      </c>
    </row>
    <row r="12">
      <c r="A12" t="n">
        <v>187</v>
      </c>
      <c r="B12" t="inlineStr">
        <is>
          <t>ยาแก้ปวด, ลดไข้ ชนิดน้ำ</t>
        </is>
      </c>
      <c r="C12" t="n">
        <v>7583</v>
      </c>
      <c r="D12" t="inlineStr">
        <is>
          <t>Newtamol Syrup</t>
        </is>
      </c>
      <c r="E12" t="inlineStr">
        <is>
          <t>ขวด 60 ml.</t>
        </is>
      </c>
      <c r="F12" t="inlineStr">
        <is>
          <t>Paracetamol 150 mg./5 ml.</t>
        </is>
      </c>
      <c r="G12" t="inlineStr">
        <is>
          <t>BDS007583</t>
        </is>
      </c>
      <c r="H12" t="inlineStr">
        <is>
          <t>Newtamol Syrup (60 ml.)</t>
        </is>
      </c>
      <c r="I12" t="inlineStr">
        <is>
          <t>เด็กโตรับประทานครั้งละ 2 ช้อนชา วันละ 3 ครั้ง หรือทุก 4 ชั่วโมง</t>
        </is>
      </c>
      <c r="P12" t="inlineStr">
        <is>
          <t>General analgesics/antipyretics</t>
        </is>
      </c>
    </row>
    <row r="13">
      <c r="A13" t="n">
        <v>188</v>
      </c>
      <c r="B13" t="inlineStr">
        <is>
          <t>ยาแก้ปวด, ลดไข้ ชนิดน้ำ</t>
        </is>
      </c>
      <c r="C13" t="n">
        <v>2861</v>
      </c>
      <c r="D13" t="inlineStr">
        <is>
          <t>Panadol Orange Suspension</t>
        </is>
      </c>
      <c r="E13" t="inlineStr">
        <is>
          <t>ขวด 60 ml.</t>
        </is>
      </c>
      <c r="F13" t="inlineStr">
        <is>
          <t>Paracetamol 250 mg./5 ml.</t>
        </is>
      </c>
      <c r="G13" t="inlineStr">
        <is>
          <t>BDS002861</t>
        </is>
      </c>
      <c r="H13" t="inlineStr">
        <is>
          <t>Panadol Orange Suspension (60 ml.)</t>
        </is>
      </c>
      <c r="I13" t="inlineStr">
        <is>
          <t>รับประทานครั้งละ 1-2 ช้อนชาทุก 4-6 ชั่วโมง เมื่อมีอาการ</t>
        </is>
      </c>
      <c r="P13" t="inlineStr">
        <is>
          <t>General analgesics/antipyretics</t>
        </is>
      </c>
    </row>
    <row r="14">
      <c r="A14" t="n">
        <v>189</v>
      </c>
      <c r="B14" t="inlineStr">
        <is>
          <t>ยาแก้ปวด, ลดไข้ ชนิดน้ำ</t>
        </is>
      </c>
      <c r="C14" t="n">
        <v>2847</v>
      </c>
      <c r="D14" t="inlineStr">
        <is>
          <t>Panadol Strawberry Suspension</t>
        </is>
      </c>
      <c r="E14" t="inlineStr">
        <is>
          <t>ขวด 60 ml.</t>
        </is>
      </c>
      <c r="F14" t="inlineStr">
        <is>
          <t>Paracetamol 120 mg./5 ml.</t>
        </is>
      </c>
      <c r="G14" t="inlineStr">
        <is>
          <t>BDS002847</t>
        </is>
      </c>
      <c r="H14" t="inlineStr">
        <is>
          <t>Panadol Strawberry Suspension (60 ml.)</t>
        </is>
      </c>
      <c r="I14" t="inlineStr">
        <is>
          <t>รับประทานครั้งละ 1/2-2 ช้อนชาทุก 4-6 ชั่วโมง เมื่อมีอาการ</t>
        </is>
      </c>
      <c r="P14" t="inlineStr">
        <is>
          <t>General analgesics/antipyretics</t>
        </is>
      </c>
    </row>
    <row r="15">
      <c r="A15" t="n">
        <v>190</v>
      </c>
      <c r="B15" t="inlineStr">
        <is>
          <t>ยาแก้ปวด, ลดไข้ ชนิดน้ำ</t>
        </is>
      </c>
      <c r="C15" t="n">
        <v>8137</v>
      </c>
      <c r="D15" t="inlineStr">
        <is>
          <t>Poro Suspension</t>
        </is>
      </c>
      <c r="E15" t="inlineStr">
        <is>
          <t>ขวด 60 ml.</t>
        </is>
      </c>
      <c r="F15" t="inlineStr">
        <is>
          <t>Paracetamol 250 mg./5 ml.</t>
        </is>
      </c>
      <c r="G15" t="inlineStr">
        <is>
          <t>BDS008137</t>
        </is>
      </c>
      <c r="H15" t="inlineStr">
        <is>
          <t>Poro Suspension (60 ml.)</t>
        </is>
      </c>
      <c r="I15" t="inlineStr">
        <is>
          <t>เด็กโตรับประทานครั้งละ 1-2 ช้อนชา ทุก 4-6 ชั่วโมง</t>
        </is>
      </c>
      <c r="P15" t="inlineStr">
        <is>
          <t>General analgesics/antipyretics</t>
        </is>
      </c>
    </row>
    <row r="16">
      <c r="A16" t="n">
        <v>191</v>
      </c>
      <c r="B16" t="inlineStr">
        <is>
          <t>ยาแก้ปวด, ลดไข้ ชนิดน้ำ</t>
        </is>
      </c>
      <c r="C16" t="n">
        <v>3597</v>
      </c>
      <c r="D16" t="inlineStr">
        <is>
          <t>Sara Infant Drops (รสองุ่น)</t>
        </is>
      </c>
      <c r="E16" t="inlineStr">
        <is>
          <t>ขวด 15 ml.</t>
        </is>
      </c>
      <c r="F16" t="inlineStr">
        <is>
          <t>Paracetamol 60 mg./0.6 ml.</t>
        </is>
      </c>
      <c r="G16" t="inlineStr">
        <is>
          <t>BDS003597</t>
        </is>
      </c>
      <c r="H16" t="inlineStr">
        <is>
          <t>Sara Infant Drops (รสองุ่น) (15 ml.)</t>
        </is>
      </c>
      <c r="I16" t="inlineStr">
        <is>
          <t>เด็กเล็กรับประทานครั้งละ 2-3 หลอดหยด วันละ 3-4 ครั้ง</t>
        </is>
      </c>
      <c r="P16" t="inlineStr">
        <is>
          <t>General analgesics/antipyretics</t>
        </is>
      </c>
    </row>
    <row r="17">
      <c r="A17" t="n">
        <v>192</v>
      </c>
      <c r="B17" t="inlineStr">
        <is>
          <t>ยาแก้ปวด, ลดไข้ ชนิดน้ำ</t>
        </is>
      </c>
      <c r="C17" t="n">
        <v>3596</v>
      </c>
      <c r="D17" t="inlineStr">
        <is>
          <t>Sara น้ำรสสตรอเบอร์รี่</t>
        </is>
      </c>
      <c r="E17" t="inlineStr">
        <is>
          <t>ขวด 60 ml.</t>
        </is>
      </c>
      <c r="F17" t="inlineStr">
        <is>
          <t>Paracetamol 120 mg./5 ml.</t>
        </is>
      </c>
      <c r="G17" t="inlineStr">
        <is>
          <t>BDS003596</t>
        </is>
      </c>
      <c r="H17" t="inlineStr">
        <is>
          <t>Sara น้ำรสสตรอเบอร์รี่ (60 ml.)</t>
        </is>
      </c>
      <c r="I17" t="inlineStr">
        <is>
          <t>รับประทานครั้งละ 1-2 ช้อนชา วันละ 3-4 ครั้ง</t>
        </is>
      </c>
      <c r="P17" t="inlineStr">
        <is>
          <t>General analgesics/antipyretics</t>
        </is>
      </c>
    </row>
    <row r="18">
      <c r="A18" t="n">
        <v>193</v>
      </c>
      <c r="B18" t="inlineStr">
        <is>
          <t>ยาแก้ปวด, ลดไข้ ชนิดน้ำ</t>
        </is>
      </c>
      <c r="C18" t="n">
        <v>3504</v>
      </c>
      <c r="D18" t="inlineStr">
        <is>
          <t>Sara น้ำรสส้ม</t>
        </is>
      </c>
      <c r="E18" t="inlineStr">
        <is>
          <t>ขวด 60 ml.</t>
        </is>
      </c>
      <c r="F18" t="inlineStr">
        <is>
          <t>Paracetamol 250 mg./5 ml.</t>
        </is>
      </c>
      <c r="G18" t="inlineStr">
        <is>
          <t>BDS003504</t>
        </is>
      </c>
      <c r="H18" t="inlineStr">
        <is>
          <t>Sara น้ำรสส้ม (60 ml.)</t>
        </is>
      </c>
      <c r="I18" t="inlineStr">
        <is>
          <t xml:space="preserve">รับประทานครั้งละ 1-2 ช้อนชา วันละ 3-4 ครั้ง </t>
        </is>
      </c>
      <c r="P18" t="inlineStr">
        <is>
          <t>General analgesics/antipyretics</t>
        </is>
      </c>
    </row>
    <row r="19">
      <c r="A19" t="n">
        <v>194</v>
      </c>
      <c r="B19" t="inlineStr">
        <is>
          <t>ยาแก้ปวด, ลดไข้ ชนิดน้ำ</t>
        </is>
      </c>
      <c r="C19" t="n">
        <v>3600</v>
      </c>
      <c r="D19" t="inlineStr">
        <is>
          <t>Sara น้ำรสองุ่น</t>
        </is>
      </c>
      <c r="E19" t="inlineStr">
        <is>
          <t>ขวด 60 ml.</t>
        </is>
      </c>
      <c r="F19" t="inlineStr">
        <is>
          <t>Paracetamol 160 mg./5 ml.</t>
        </is>
      </c>
      <c r="G19" t="inlineStr">
        <is>
          <t>BDS003600</t>
        </is>
      </c>
      <c r="H19" t="inlineStr">
        <is>
          <t>Sara น้ำรสองุ่น (60 ml.)</t>
        </is>
      </c>
      <c r="I19" t="inlineStr">
        <is>
          <t>รับประทานครั้งละ 1 ช้อนชา วันละ 3-4 ครั้ง</t>
        </is>
      </c>
      <c r="P19" t="inlineStr">
        <is>
          <t>General analgesics/antipyretics</t>
        </is>
      </c>
    </row>
    <row r="20">
      <c r="A20" t="n">
        <v>195</v>
      </c>
      <c r="B20" t="inlineStr">
        <is>
          <t>ยาแก้ปวด, ลดไข้ ชนิดน้ำ</t>
        </is>
      </c>
      <c r="C20" t="n">
        <v>3711</v>
      </c>
      <c r="D20" t="inlineStr">
        <is>
          <t>Tempra Drop</t>
        </is>
      </c>
      <c r="E20" t="inlineStr">
        <is>
          <t>ขวด 15 ml.</t>
        </is>
      </c>
      <c r="F20" t="inlineStr">
        <is>
          <t>Paracetamol 80 mg./0.8 ml.</t>
        </is>
      </c>
      <c r="G20" t="inlineStr">
        <is>
          <t>BDS003711</t>
        </is>
      </c>
      <c r="H20" t="inlineStr">
        <is>
          <t>Tempra Drop (15 ml.)</t>
        </is>
      </c>
      <c r="I20" t="inlineStr">
        <is>
          <t>รับประทานครั้งละ 1-2 หลอดหยด แต่ละครั้งห่างกันอย่างน้อย 4 ชม. วันละไม่เกิน 5 ครั้ง</t>
        </is>
      </c>
      <c r="P20" t="inlineStr">
        <is>
          <t>General analgesics/antipyretics</t>
        </is>
      </c>
    </row>
    <row r="21">
      <c r="A21" t="n">
        <v>196</v>
      </c>
      <c r="B21" t="inlineStr">
        <is>
          <t>ยาแก้ปวด, ลดไข้ ชนิดน้ำ</t>
        </is>
      </c>
      <c r="C21" t="n">
        <v>3712</v>
      </c>
      <c r="D21" t="inlineStr">
        <is>
          <t>Tempra Forte</t>
        </is>
      </c>
      <c r="E21" t="inlineStr">
        <is>
          <t>ขวด 60 ml.</t>
        </is>
      </c>
      <c r="F21" t="inlineStr">
        <is>
          <t>Paracetamol 250 mg./5 ml.</t>
        </is>
      </c>
      <c r="G21" t="inlineStr">
        <is>
          <t>BDS003712</t>
        </is>
      </c>
      <c r="H21" t="inlineStr">
        <is>
          <t>Tempra Forte (60 ml.)</t>
        </is>
      </c>
      <c r="I21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  <c r="P21" t="inlineStr">
        <is>
          <t>General analgesics/antipyretics</t>
        </is>
      </c>
    </row>
    <row r="22">
      <c r="A22" t="n">
        <v>197</v>
      </c>
      <c r="B22" t="inlineStr">
        <is>
          <t>ยาแก้ปวด, ลดไข้ ชนิดน้ำ</t>
        </is>
      </c>
      <c r="C22" t="n">
        <v>48670</v>
      </c>
      <c r="D22" t="inlineStr">
        <is>
          <t>Tempra Kids Orange</t>
        </is>
      </c>
      <c r="E22" t="inlineStr">
        <is>
          <t>ขวด 60 ml.</t>
        </is>
      </c>
      <c r="F22" t="inlineStr">
        <is>
          <t>Paracetamol 120 mg./5 ml.</t>
        </is>
      </c>
      <c r="G22" t="inlineStr">
        <is>
          <t>BDS048670</t>
        </is>
      </c>
      <c r="H22" t="inlineStr">
        <is>
          <t>Tempra Kids Orange (60 ml.)</t>
        </is>
      </c>
      <c r="I22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  <c r="P22" t="inlineStr">
        <is>
          <t>General analgesics/antipyretics</t>
        </is>
      </c>
    </row>
    <row r="23">
      <c r="A23" t="n">
        <v>198</v>
      </c>
      <c r="B23" t="inlineStr">
        <is>
          <t>ยาแก้ปวด, ลดไข้ ชนิดน้ำ</t>
        </is>
      </c>
      <c r="C23" t="n">
        <v>3713</v>
      </c>
      <c r="D23" t="inlineStr">
        <is>
          <t>Tempra Kids Strawberry</t>
        </is>
      </c>
      <c r="E23" t="inlineStr">
        <is>
          <t>ขวด 60 ml.</t>
        </is>
      </c>
      <c r="F23" t="inlineStr">
        <is>
          <t>Paracetamol 120 mg./5 ml.</t>
        </is>
      </c>
      <c r="G23" t="inlineStr">
        <is>
          <t>BDS003713</t>
        </is>
      </c>
      <c r="H23" t="inlineStr">
        <is>
          <t>Tempra Kids Strawberry (60 ml.)</t>
        </is>
      </c>
      <c r="I23" t="inlineStr">
        <is>
          <t>รับประทานครั้งละ 1-2 ช้อนชา แต่ละครั้งห่างกันอย่างน้อย 4 ชม. วันละไม่เกิน 5 ครั้ง</t>
        </is>
      </c>
      <c r="P23" t="inlineStr">
        <is>
          <t>General analgesics/antipyretics</t>
        </is>
      </c>
    </row>
    <row r="24">
      <c r="A24" t="n">
        <v>199</v>
      </c>
      <c r="B24" t="inlineStr">
        <is>
          <t>ยาแก้ปวด, ลดไข้ ชนิดน้ำ</t>
        </is>
      </c>
      <c r="C24" t="n">
        <v>3737</v>
      </c>
      <c r="D24" t="inlineStr">
        <is>
          <t>Tylenol Drop</t>
        </is>
      </c>
      <c r="E24" t="inlineStr">
        <is>
          <t>ขวด 15 ml.</t>
        </is>
      </c>
      <c r="F24" t="inlineStr">
        <is>
          <t>Paracetamol 80 mg./0.8 ml.</t>
        </is>
      </c>
      <c r="G24" t="inlineStr">
        <is>
          <t>BDS003737</t>
        </is>
      </c>
      <c r="H24" t="inlineStr">
        <is>
          <t>Tylenol Drop (15 ml.)</t>
        </is>
      </c>
      <c r="I24" t="inlineStr">
        <is>
          <t>รับประทานครั้งละ 0.8 ml./5.5-7.9 kg. ทุก 4 ชั่วโมง</t>
        </is>
      </c>
      <c r="P24" t="inlineStr">
        <is>
          <t>General analgesics/antipyretics</t>
        </is>
      </c>
    </row>
    <row r="25">
      <c r="A25" t="n">
        <v>200</v>
      </c>
      <c r="B25" t="inlineStr">
        <is>
          <t>ยาแก้ปวด, ลดไข้ ชนิดน้ำ</t>
        </is>
      </c>
      <c r="C25" t="n">
        <v>3763</v>
      </c>
      <c r="D25" t="inlineStr">
        <is>
          <t>Tylenol Suspension</t>
        </is>
      </c>
      <c r="E25" t="inlineStr">
        <is>
          <t>ขวด 60 ml.</t>
        </is>
      </c>
      <c r="F25" t="inlineStr">
        <is>
          <t>Paracetamol 160 mg./5 ml.</t>
        </is>
      </c>
      <c r="G25" t="inlineStr">
        <is>
          <t>BDS003763</t>
        </is>
      </c>
      <c r="H25" t="inlineStr">
        <is>
          <t>Tylenol Suspension (60 ml.)</t>
        </is>
      </c>
      <c r="I25" t="inlineStr">
        <is>
          <t>รับประทานครั้งละ 5 ซีซี วันละ 3-4 ครั้ง</t>
        </is>
      </c>
      <c r="P25" t="inlineStr">
        <is>
          <t>General analgesics/antipyretics</t>
        </is>
      </c>
    </row>
    <row r="26">
      <c r="A26" t="n">
        <v>381</v>
      </c>
      <c r="B26" t="inlineStr">
        <is>
          <t>ยาแก้ปวด, ลดไข้ (D)</t>
        </is>
      </c>
      <c r="C26" t="n">
        <v>40016</v>
      </c>
      <c r="D26" t="inlineStr">
        <is>
          <t xml:space="preserve">Adavil F/C tabslets </t>
        </is>
      </c>
      <c r="E26" t="inlineStr">
        <is>
          <t>แผง 10 เม็ด</t>
        </is>
      </c>
      <c r="F26" t="inlineStr">
        <is>
          <t>Ibuprofen 400 mg.</t>
        </is>
      </c>
      <c r="G26" t="inlineStr">
        <is>
          <t>BDS040016</t>
        </is>
      </c>
      <c r="H26" t="inlineStr">
        <is>
          <t>Adavil F/C tabslets  (10 tabs)</t>
        </is>
      </c>
      <c r="I26" t="inlineStr">
        <is>
          <t xml:space="preserve">รับประทานครั้งละ 1 เม็ด วันละ 3-4 ครั้ง หลังอาหารทันที </t>
        </is>
      </c>
      <c r="P26" t="inlineStr">
        <is>
          <t>General analgesics/antipyretics</t>
        </is>
      </c>
    </row>
    <row r="27">
      <c r="A27" t="n">
        <v>382</v>
      </c>
      <c r="B27" t="inlineStr">
        <is>
          <t>ยาแก้ปวด, ลดไข้ (D)</t>
        </is>
      </c>
      <c r="C27" t="n">
        <v>40623</v>
      </c>
      <c r="D27" t="inlineStr">
        <is>
          <t>Brusoft 400</t>
        </is>
      </c>
      <c r="E27" t="inlineStr">
        <is>
          <t>กล่อง 10 แคปซูล</t>
        </is>
      </c>
      <c r="F27" t="inlineStr">
        <is>
          <t>Ibuprofen 400 mg.</t>
        </is>
      </c>
      <c r="G27" t="inlineStr">
        <is>
          <t>BDS040623</t>
        </is>
      </c>
      <c r="H27" t="inlineStr">
        <is>
          <t>Brusoft 400 (10 cap)</t>
        </is>
      </c>
      <c r="I27" t="inlineStr">
        <is>
          <t xml:space="preserve">รับประทานครั้งละ 1 แคปซูล ทุก 4-6 ชั่วโมง </t>
        </is>
      </c>
      <c r="P27" t="inlineStr">
        <is>
          <t>General analgesics/antipyretics</t>
        </is>
      </c>
    </row>
    <row r="28">
      <c r="A28" t="n">
        <v>383</v>
      </c>
      <c r="B28" t="inlineStr">
        <is>
          <t>ยาแก้ปวด, ลดไข้ (D)</t>
        </is>
      </c>
      <c r="C28" t="n">
        <v>40629</v>
      </c>
      <c r="D28" t="inlineStr">
        <is>
          <t>Brustan</t>
        </is>
      </c>
      <c r="E28" t="inlineStr">
        <is>
          <t>กล่อง 10 เม็ด</t>
        </is>
      </c>
      <c r="F28" t="inlineStr">
        <is>
          <t>Ibuprofen 400 mg.+Paracetamol 325 mg.</t>
        </is>
      </c>
      <c r="G28" t="inlineStr">
        <is>
          <t>BDS040629</t>
        </is>
      </c>
      <c r="H28" t="inlineStr">
        <is>
          <t>Brustan (10 tabs)</t>
        </is>
      </c>
      <c r="I28" t="inlineStr">
        <is>
          <t>รับประทานครั้งละ 1 เม็ด วันละ 3  ครั้ง หลังอาหารทันที</t>
        </is>
      </c>
      <c r="P28" t="inlineStr">
        <is>
          <t>General analgesics/antipyretics</t>
        </is>
      </c>
    </row>
    <row r="29">
      <c r="A29" t="n">
        <v>384</v>
      </c>
      <c r="B29" t="inlineStr">
        <is>
          <t>ยาแก้ปวด, ลดไข้ (D)</t>
        </is>
      </c>
      <c r="C29" t="n">
        <v>7040</v>
      </c>
      <c r="D29" t="inlineStr">
        <is>
          <t>Cefen 400P</t>
        </is>
      </c>
      <c r="E29" t="inlineStr">
        <is>
          <t>แผง 10 เม็ด</t>
        </is>
      </c>
      <c r="F29" t="inlineStr">
        <is>
          <t>Ibuprofen 400 mg.</t>
        </is>
      </c>
      <c r="G29" t="inlineStr">
        <is>
          <t>BDS007040</t>
        </is>
      </c>
      <c r="H29" t="inlineStr">
        <is>
          <t>Cefen 400P (10 tabs)</t>
        </is>
      </c>
      <c r="I29" t="inlineStr">
        <is>
          <t>รับประทานครั้งละ 1 เม็ด วันละ 3 ครั้ง หลังอาหารทันที</t>
        </is>
      </c>
      <c r="P29" t="inlineStr">
        <is>
          <t>General analgesics/antipyretics</t>
        </is>
      </c>
    </row>
    <row r="30">
      <c r="A30" t="n">
        <v>385</v>
      </c>
      <c r="B30" t="inlineStr">
        <is>
          <t>ยาแก้ปวด, ลดไข้ (D)</t>
        </is>
      </c>
      <c r="C30" t="n">
        <v>1618</v>
      </c>
      <c r="D30" t="inlineStr">
        <is>
          <t>Duran</t>
        </is>
      </c>
      <c r="E30" t="inlineStr">
        <is>
          <t>กล่อง 10 เม็ด</t>
        </is>
      </c>
      <c r="F30" t="inlineStr">
        <is>
          <t>Ibuprofen 400 mg.</t>
        </is>
      </c>
      <c r="G30" t="inlineStr">
        <is>
          <t>BDS001618</t>
        </is>
      </c>
      <c r="H30" t="inlineStr">
        <is>
          <t>Duran (10 tabs)</t>
        </is>
      </c>
      <c r="I30" t="inlineStr">
        <is>
          <t>รับประทานครั้งละ 1 เม็ด วันละ 3-4 ครั้ง หลังอาหารทันที</t>
        </is>
      </c>
      <c r="K30" t="n">
        <v>30</v>
      </c>
      <c r="L30" t="n">
        <v>3</v>
      </c>
      <c r="M30" t="inlineStr">
        <is>
          <t>https://www.migrainethailand.com/ibuprofen-migraine/</t>
        </is>
      </c>
      <c r="N30" t="inlineStr">
        <is>
          <t>2026-02-07</t>
        </is>
      </c>
      <c r="O30" t="inlineStr">
        <is>
          <t>Estimated midpoint from Thai retail range 25–34 THB per 10 tablets (generic ibuprofen 400 mg).</t>
        </is>
      </c>
      <c r="P30" t="inlineStr">
        <is>
          <t>General analgesics/antipyretics</t>
        </is>
      </c>
    </row>
    <row r="31">
      <c r="A31" t="n">
        <v>386</v>
      </c>
      <c r="B31" t="inlineStr">
        <is>
          <t>ยาแก้ปวด, ลดไข้ (D)</t>
        </is>
      </c>
      <c r="C31" t="n">
        <v>2042</v>
      </c>
      <c r="D31" t="inlineStr">
        <is>
          <t>Gofen 400</t>
        </is>
      </c>
      <c r="E31" t="inlineStr">
        <is>
          <t>กล่อง 10 แคปซูล</t>
        </is>
      </c>
      <c r="F31" t="inlineStr">
        <is>
          <t>Ibuprofen 400 mg.+Polyethylene 400+Porpylene Glycol</t>
        </is>
      </c>
      <c r="G31" t="inlineStr">
        <is>
          <t>BDS002042</t>
        </is>
      </c>
      <c r="H31" t="inlineStr">
        <is>
          <t>Gofen 400 (10 cap)</t>
        </is>
      </c>
      <c r="I31" t="inlineStr">
        <is>
          <t xml:space="preserve">รับประทานครั้งละ 1 แคปซูล ทุก 4-6 ชั่วโมง </t>
        </is>
      </c>
      <c r="K31" t="n">
        <v>177</v>
      </c>
      <c r="L31" t="n">
        <v>17.7</v>
      </c>
      <c r="M31" t="inlineStr">
        <is>
          <t>USER</t>
        </is>
      </c>
      <c r="N31" t="inlineStr">
        <is>
          <t>2026-02-07</t>
        </is>
      </c>
      <c r="O31" t="inlineStr">
        <is>
          <t>User provided price (Gofen 400 10 caps).</t>
        </is>
      </c>
      <c r="P31" t="inlineStr">
        <is>
          <t>General analgesics/antipyretics</t>
        </is>
      </c>
    </row>
    <row r="32">
      <c r="A32" t="n">
        <v>387</v>
      </c>
      <c r="B32" t="inlineStr">
        <is>
          <t>ยาแก้ปวด, ลดไข้ (D)</t>
        </is>
      </c>
      <c r="C32" t="n">
        <v>2036</v>
      </c>
      <c r="D32" t="inlineStr">
        <is>
          <t>Greatofen-400 mg</t>
        </is>
      </c>
      <c r="E32" t="inlineStr">
        <is>
          <t>แผง 10 เม็ด</t>
        </is>
      </c>
      <c r="F32" t="inlineStr">
        <is>
          <t>Ibuprofen 400 mg.</t>
        </is>
      </c>
      <c r="G32" t="inlineStr">
        <is>
          <t>BDS002036</t>
        </is>
      </c>
      <c r="H32" t="inlineStr">
        <is>
          <t>Greatofen-400 mg (10 tabs)</t>
        </is>
      </c>
      <c r="I32" t="inlineStr">
        <is>
          <t>รับประทานครั้งละ 1-2 เม็ด วันละ 3 ครั้ง หลังอาหารทันที</t>
        </is>
      </c>
      <c r="P32" t="inlineStr">
        <is>
          <t>General analgesics/antipyretics</t>
        </is>
      </c>
    </row>
    <row r="33">
      <c r="A33" t="n">
        <v>388</v>
      </c>
      <c r="B33" t="inlineStr">
        <is>
          <t>ยาแก้ปวด, ลดไข้ (D)</t>
        </is>
      </c>
      <c r="C33" t="n">
        <v>7161</v>
      </c>
      <c r="D33" t="inlineStr">
        <is>
          <t>Ibuman-Plus</t>
        </is>
      </c>
      <c r="E33" t="inlineStr">
        <is>
          <t>แผง 10 เม็ด</t>
        </is>
      </c>
      <c r="F33" t="inlineStr">
        <is>
          <t>Ibuprofen 400 mg.+Paracetamol 325 mg.</t>
        </is>
      </c>
      <c r="G33" t="inlineStr">
        <is>
          <t>BDS007161</t>
        </is>
      </c>
      <c r="H33" t="inlineStr">
        <is>
          <t>Ibuman-Plus (10 tabs)</t>
        </is>
      </c>
      <c r="I33" t="inlineStr">
        <is>
          <t>รับประทานครั้งละ 1 เม็ด วันละ 3  ครั้ง หลังอาหารทันที</t>
        </is>
      </c>
      <c r="P33" t="inlineStr">
        <is>
          <t>General analgesics/antipyretics</t>
        </is>
      </c>
    </row>
    <row r="34">
      <c r="A34" t="n">
        <v>389</v>
      </c>
      <c r="B34" t="inlineStr">
        <is>
          <t>ยาแก้ปวด, ลดไข้ (D)</t>
        </is>
      </c>
      <c r="C34" t="n">
        <v>7165</v>
      </c>
      <c r="D34" t="inlineStr">
        <is>
          <t>Kintal B</t>
        </is>
      </c>
      <c r="E34" t="inlineStr">
        <is>
          <t>แผง 10 เม็ด</t>
        </is>
      </c>
      <c r="F34" t="inlineStr">
        <is>
          <t>Ibuprofen 400 mg.+Paracetamol 325 mg.</t>
        </is>
      </c>
      <c r="G34" t="inlineStr">
        <is>
          <t>BDS007165</t>
        </is>
      </c>
      <c r="H34" t="inlineStr">
        <is>
          <t>Kintal B (10 tabs)</t>
        </is>
      </c>
      <c r="I34" t="inlineStr">
        <is>
          <t>รับประทานครั้งละ 1 เม็ด วันละ 3 ครั้ง หลังอาหารทันที</t>
        </is>
      </c>
      <c r="P34" t="inlineStr">
        <is>
          <t>General analgesics/antipyretics</t>
        </is>
      </c>
    </row>
    <row r="35">
      <c r="A35" t="n">
        <v>390</v>
      </c>
      <c r="B35" t="inlineStr">
        <is>
          <t>ยาแก้ปวด, ลดไข้ (D)</t>
        </is>
      </c>
      <c r="C35" t="n">
        <v>45600</v>
      </c>
      <c r="D35" t="inlineStr">
        <is>
          <t>Nurofen Zavance</t>
        </is>
      </c>
      <c r="E35" t="inlineStr">
        <is>
          <t>กล่อง 10 แคปซูล</t>
        </is>
      </c>
      <c r="F35" t="inlineStr">
        <is>
          <t>Ibuprofen 400 mg</t>
        </is>
      </c>
      <c r="G35" t="inlineStr">
        <is>
          <t>BDS045600</t>
        </is>
      </c>
      <c r="H35" t="inlineStr">
        <is>
          <t>Nurofen Zavance (10 cap)</t>
        </is>
      </c>
      <c r="I35" t="inlineStr">
        <is>
          <t xml:space="preserve">รับประทานครั้งละ 1 แคปซูล ทุก 6 ชั่วโมงเมื่อมีอาการ  </t>
        </is>
      </c>
      <c r="K35" t="n">
        <v>178</v>
      </c>
      <c r="L35" t="n">
        <v>17.8</v>
      </c>
      <c r="M35" t="inlineStr">
        <is>
          <t>https://bigya.co.th/product-detail/343</t>
        </is>
      </c>
      <c r="N35" t="inlineStr">
        <is>
          <t>2026-02-07</t>
        </is>
      </c>
      <c r="O35" t="inlineStr">
        <is>
          <t>Retail price at BIGYA (strip 10 softgel capsules).</t>
        </is>
      </c>
      <c r="P35" t="inlineStr">
        <is>
          <t>General analgesics/antipyretics</t>
        </is>
      </c>
    </row>
    <row r="36">
      <c r="A36" t="n">
        <v>391</v>
      </c>
      <c r="B36" t="inlineStr">
        <is>
          <t>ยาแก้ปวด, ลดไข้ (D)</t>
        </is>
      </c>
      <c r="C36" t="n">
        <v>2846</v>
      </c>
      <c r="D36" t="inlineStr">
        <is>
          <t>Nurofen-400</t>
        </is>
      </c>
      <c r="E36" t="inlineStr">
        <is>
          <t>แผง 6 เม็ด</t>
        </is>
      </c>
      <c r="F36" t="inlineStr">
        <is>
          <t>Ibuprofen 400 mg.</t>
        </is>
      </c>
      <c r="G36" t="inlineStr">
        <is>
          <t>BDS002846</t>
        </is>
      </c>
      <c r="H36" t="inlineStr">
        <is>
          <t>Nurofen-400 (6 tabs)</t>
        </is>
      </c>
      <c r="I36" t="inlineStr">
        <is>
          <t>รับประทานครั้งละ 1 เม็ด วันละ 3 ครั้ง หลังอาหารทันที</t>
        </is>
      </c>
      <c r="P36" t="inlineStr">
        <is>
          <t>General analgesics/antipyretics</t>
        </is>
      </c>
    </row>
    <row r="37">
      <c r="A37" t="n">
        <v>392</v>
      </c>
      <c r="B37" t="inlineStr">
        <is>
          <t>ยาแก้ปวด, ลดไข้ (D)</t>
        </is>
      </c>
      <c r="C37" t="n">
        <v>47673</v>
      </c>
      <c r="D37" t="inlineStr">
        <is>
          <t>Solufen 400</t>
        </is>
      </c>
      <c r="E37" t="inlineStr">
        <is>
          <t>กล่อง 10 แคปซูล</t>
        </is>
      </c>
      <c r="F37" t="inlineStr">
        <is>
          <t>Ibuprofen 400 mg.</t>
        </is>
      </c>
      <c r="G37" t="inlineStr">
        <is>
          <t>BDS047673</t>
        </is>
      </c>
      <c r="H37" t="inlineStr">
        <is>
          <t>Solufen 400 (10 cap)</t>
        </is>
      </c>
      <c r="I37" t="inlineStr">
        <is>
          <t xml:space="preserve">รับประทานครั้งละ 1 แคปซูล ทุก 4-6 ชั่วโมง </t>
        </is>
      </c>
      <c r="P37" t="inlineStr">
        <is>
          <t>General analgesics/antipyretics</t>
        </is>
      </c>
    </row>
    <row r="38">
      <c r="A38" t="n">
        <v>426</v>
      </c>
      <c r="B38" t="inlineStr">
        <is>
          <t>ยาแก้ปวด, ลดไข้ ชนิดน้ำ (D)</t>
        </is>
      </c>
      <c r="C38" t="n">
        <v>1665</v>
      </c>
      <c r="D38" t="inlineStr">
        <is>
          <t>Duran Suspension</t>
        </is>
      </c>
      <c r="E38" t="inlineStr">
        <is>
          <t>ขวด 60 ml.</t>
        </is>
      </c>
      <c r="F38" t="inlineStr">
        <is>
          <t>Ibuprofen 100 mg./5 ml.</t>
        </is>
      </c>
      <c r="G38" t="inlineStr">
        <is>
          <t>BDS001665</t>
        </is>
      </c>
      <c r="H38" t="inlineStr">
        <is>
          <t>Duran Suspension (60 ml.)</t>
        </is>
      </c>
      <c r="I38" t="inlineStr">
        <is>
          <t>รับประทานครั้งละ 1-2 ช้อนชา วันละ 4 ครั้ง หลังอาหาร หรือตามแพทย์สั่ง</t>
        </is>
      </c>
      <c r="P38" t="inlineStr">
        <is>
          <t>General analgesics/antipyretics</t>
        </is>
      </c>
    </row>
    <row r="39">
      <c r="A39" t="n">
        <v>427</v>
      </c>
      <c r="B39" t="inlineStr">
        <is>
          <t>ยาแก้ปวด, ลดไข้ ชนิดน้ำ (D)</t>
        </is>
      </c>
      <c r="C39" t="n">
        <v>7151</v>
      </c>
      <c r="D39" t="inlineStr">
        <is>
          <t>Ibukids Suspension</t>
        </is>
      </c>
      <c r="E39" t="inlineStr">
        <is>
          <t>ขวด 60 ml.</t>
        </is>
      </c>
      <c r="F39" t="inlineStr">
        <is>
          <t>Ibuprofen 100 mg./5 ml.</t>
        </is>
      </c>
      <c r="G39" t="inlineStr">
        <is>
          <t>BDS007151</t>
        </is>
      </c>
      <c r="H39" t="inlineStr">
        <is>
          <t>Ibukids Suspension (60 ml.)</t>
        </is>
      </c>
      <c r="I39" t="inlineStr">
        <is>
          <t>เด็กโตรับประทานครั้งละ 2 ช้อนชา วันละ 3 ครั้ง หลังอาหาร</t>
        </is>
      </c>
      <c r="P39" t="inlineStr">
        <is>
          <t>General analgesics/antipyretics</t>
        </is>
      </c>
    </row>
    <row r="40">
      <c r="A40" t="n">
        <v>428</v>
      </c>
      <c r="B40" t="inlineStr">
        <is>
          <t>ยาแก้ปวด, ลดไข้ ชนิดน้ำ (D)</t>
        </is>
      </c>
      <c r="C40" t="n">
        <v>2845</v>
      </c>
      <c r="D40" t="inlineStr">
        <is>
          <t>Nurofen Suspension</t>
        </is>
      </c>
      <c r="E40" t="inlineStr">
        <is>
          <t>ขวด 60 ml.</t>
        </is>
      </c>
      <c r="F40" t="inlineStr">
        <is>
          <t>Ibuprofen 100 mg./5 ml.</t>
        </is>
      </c>
      <c r="G40" t="inlineStr">
        <is>
          <t>BDS002845</t>
        </is>
      </c>
      <c r="H40" t="inlineStr">
        <is>
          <t>Nurofen Suspension (60 ml.)</t>
        </is>
      </c>
      <c r="I40" t="inlineStr">
        <is>
          <t>รับประทานครั้งละ 1-2 ช้อนชา วันละ 3-4 ครั้ง หลังอาหาร</t>
        </is>
      </c>
      <c r="P40" t="inlineStr">
        <is>
          <t>General analgesics/antipyretics</t>
        </is>
      </c>
    </row>
    <row r="41">
      <c r="A41" t="n">
        <v>487</v>
      </c>
      <c r="B41" t="inlineStr">
        <is>
          <t>ยาแก้ปวด, ลดไข้ (OTC)</t>
        </is>
      </c>
      <c r="C41" t="n">
        <v>40613</v>
      </c>
      <c r="D41" t="inlineStr">
        <is>
          <t>Bakamol 500 mg strip 10s</t>
        </is>
      </c>
      <c r="E41" t="inlineStr">
        <is>
          <t>แผง 10 เม็ด</t>
        </is>
      </c>
      <c r="F41" t="inlineStr">
        <is>
          <t>Paracetamol 500 mg.</t>
        </is>
      </c>
      <c r="G41" t="inlineStr">
        <is>
          <t>BDS040613</t>
        </is>
      </c>
      <c r="H41" t="inlineStr">
        <is>
          <t>Bakamol 500 mg strip 10s (10 tabs)</t>
        </is>
      </c>
      <c r="I41" t="inlineStr">
        <is>
          <t>รับประทานครั้งละ 1-2 เม็ด ทุก 4-6 ชั่วโมง</t>
        </is>
      </c>
      <c r="J41" t="inlineStr">
        <is>
          <t>Take 1-2 tablets every 4-6 hours</t>
        </is>
      </c>
      <c r="P41" t="inlineStr">
        <is>
          <t>General analgesics/antipyretics</t>
        </is>
      </c>
    </row>
    <row r="42">
      <c r="A42" t="n">
        <v>488</v>
      </c>
      <c r="B42" t="inlineStr">
        <is>
          <t>ยาแก้ปวด, ลดไข้ (OTC)</t>
        </is>
      </c>
      <c r="C42" t="n">
        <v>7044</v>
      </c>
      <c r="D42" t="inlineStr">
        <is>
          <t>Cemol 500 mg strip 10s เม็ดรี</t>
        </is>
      </c>
      <c r="E42" t="inlineStr">
        <is>
          <t>แผง 10 เม็ด</t>
        </is>
      </c>
      <c r="F42" t="inlineStr">
        <is>
          <t>Paracetamol 500 mg.</t>
        </is>
      </c>
      <c r="G42" t="inlineStr">
        <is>
          <t>BDS007044</t>
        </is>
      </c>
      <c r="H42" t="inlineStr">
        <is>
          <t>Cemol 500 mg strip 10s เม็ดรี (10 tabs)</t>
        </is>
      </c>
      <c r="I42" t="inlineStr">
        <is>
          <t>รับประทานครั้งละ 1-2 เม็ด ทุก 4 ชั่วโมง หรือเมื่อมีอาการ</t>
        </is>
      </c>
      <c r="J42" t="inlineStr">
        <is>
          <t>Take 1-2 tablets every 4 hours or if symptoms occur</t>
        </is>
      </c>
      <c r="P42" t="inlineStr">
        <is>
          <t>General analgesics/antipyretics</t>
        </is>
      </c>
    </row>
    <row r="43">
      <c r="A43" t="n">
        <v>489</v>
      </c>
      <c r="B43" t="inlineStr">
        <is>
          <t>ยาแก้ปวด, ลดไข้ (OTC)</t>
        </is>
      </c>
      <c r="C43" t="n">
        <v>3108</v>
      </c>
      <c r="D43" t="inlineStr">
        <is>
          <t>Para Cap strip 10s</t>
        </is>
      </c>
      <c r="E43" t="inlineStr">
        <is>
          <t>แผง 10 เม็ด</t>
        </is>
      </c>
      <c r="F43" t="inlineStr">
        <is>
          <t>Paracetamol 500 mg.</t>
        </is>
      </c>
      <c r="G43" t="inlineStr">
        <is>
          <t>BDS003108</t>
        </is>
      </c>
      <c r="H43" t="inlineStr">
        <is>
          <t>Para Cap strip 10s (10 tabs)</t>
        </is>
      </c>
      <c r="I43" t="inlineStr">
        <is>
          <t>รับประทานครั้งละ 1-2 เม็ด ทุก 4-6 ชั่วโมง</t>
        </is>
      </c>
      <c r="J43" t="inlineStr">
        <is>
          <t>Take 1-2 tablets every 4-6 hours</t>
        </is>
      </c>
      <c r="P43" t="inlineStr">
        <is>
          <t>General analgesics/antipyretics</t>
        </is>
      </c>
    </row>
    <row r="44">
      <c r="A44" t="n">
        <v>490</v>
      </c>
      <c r="B44" t="inlineStr">
        <is>
          <t>ยาแก้ปวด, ลดไข้ (OTC)</t>
        </is>
      </c>
      <c r="C44" t="n">
        <v>3503</v>
      </c>
      <c r="D44" t="inlineStr">
        <is>
          <t>Sara เม็ดกลม แผง 10s</t>
        </is>
      </c>
      <c r="E44" t="inlineStr">
        <is>
          <t>แผง 10 เม็ด</t>
        </is>
      </c>
      <c r="F44" t="inlineStr">
        <is>
          <t>Paracetamol 500 mg.</t>
        </is>
      </c>
      <c r="G44" t="inlineStr">
        <is>
          <t>BDS003503</t>
        </is>
      </c>
      <c r="H44" t="inlineStr">
        <is>
          <t>Sara เม็ดกลม แผง 10s (10 tabs)</t>
        </is>
      </c>
      <c r="I44" t="inlineStr">
        <is>
          <t>รับประทานครั้งละ 1-2 เม็ด ทุก 4-6 ชั่วโมง</t>
        </is>
      </c>
      <c r="J44" t="inlineStr">
        <is>
          <t>Take 1-2 tablets every 4-6 hours</t>
        </is>
      </c>
      <c r="P44" t="inlineStr">
        <is>
          <t>General analgesics/antipyretics</t>
        </is>
      </c>
    </row>
    <row r="45">
      <c r="A45" t="n">
        <v>491</v>
      </c>
      <c r="B45" t="inlineStr">
        <is>
          <t>ยาแก้ปวด, ลดไข้ (OTC)</t>
        </is>
      </c>
      <c r="C45" t="n">
        <v>3654</v>
      </c>
      <c r="D45" t="inlineStr">
        <is>
          <t>Sara เม็ดรี แผง 10s</t>
        </is>
      </c>
      <c r="E45" t="inlineStr">
        <is>
          <t>แผง 10 เม็ด</t>
        </is>
      </c>
      <c r="F45" t="inlineStr">
        <is>
          <t>Paracetamol 500 mg.</t>
        </is>
      </c>
      <c r="G45" t="inlineStr">
        <is>
          <t>BDS003654</t>
        </is>
      </c>
      <c r="H45" t="inlineStr">
        <is>
          <t>Sara เม็ดรี แผง 10s (10 tabs)</t>
        </is>
      </c>
      <c r="I45" t="inlineStr">
        <is>
          <t>รับประทานครั้งละ1-2 เม็ด  ทุก 4-6 ชั่วโมง</t>
        </is>
      </c>
      <c r="J45" t="inlineStr">
        <is>
          <t>Take 1-2 tablets every 4-6 hours</t>
        </is>
      </c>
      <c r="P45" t="inlineStr">
        <is>
          <t>General analgesics/antipyretics</t>
        </is>
      </c>
    </row>
    <row r="46">
      <c r="A46" t="n">
        <v>492</v>
      </c>
      <c r="B46" t="inlineStr">
        <is>
          <t>ยาแก้ปวด, ลดไข้ (OTC)</t>
        </is>
      </c>
      <c r="C46" t="n">
        <v>3762</v>
      </c>
      <c r="D46" t="inlineStr">
        <is>
          <t>Tylenol 500 mg strip 10s</t>
        </is>
      </c>
      <c r="E46" t="inlineStr">
        <is>
          <t>แผง 10 เม็ด</t>
        </is>
      </c>
      <c r="F46" t="inlineStr">
        <is>
          <t>Paracetamol 500 mg.</t>
        </is>
      </c>
      <c r="G46" t="inlineStr">
        <is>
          <t>BDS003762</t>
        </is>
      </c>
      <c r="H46" t="inlineStr">
        <is>
          <t>Tylenol 500 mg strip 10s (10 tabs)</t>
        </is>
      </c>
      <c r="I46" t="inlineStr">
        <is>
          <t>รับประทานครั้งละ 1-2  เม็ด ทุก 4-6 ชั่วโมง</t>
        </is>
      </c>
      <c r="J46" t="inlineStr">
        <is>
          <t>Take 1-2 tablets every 4-6 hours</t>
        </is>
      </c>
      <c r="K46" t="n">
        <v>36</v>
      </c>
      <c r="L46" t="n">
        <v>3.6</v>
      </c>
      <c r="M46" t="inlineStr">
        <is>
          <t>USER</t>
        </is>
      </c>
      <c r="N46" t="inlineStr">
        <is>
          <t>2026-02-07</t>
        </is>
      </c>
      <c r="O46" t="inlineStr">
        <is>
          <t>User provided price (online). Unit price per tablet (10 tabs strip).</t>
        </is>
      </c>
      <c r="P46" t="inlineStr">
        <is>
          <t>General analgesics/antipyretics</t>
        </is>
      </c>
    </row>
  </sheetData>
  <autoFilter ref="A1:P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71</v>
      </c>
      <c r="B2" t="inlineStr">
        <is>
          <t>ยาละลายเสมหะ</t>
        </is>
      </c>
      <c r="C2" t="n">
        <v>1255</v>
      </c>
      <c r="D2" t="inlineStr">
        <is>
          <t>Bisolvon</t>
        </is>
      </c>
      <c r="E2" t="inlineStr">
        <is>
          <t>แผง 10 เม็ด</t>
        </is>
      </c>
      <c r="F2" t="inlineStr">
        <is>
          <t>Bromhexine HCl 8 mg.</t>
        </is>
      </c>
      <c r="G2" t="inlineStr">
        <is>
          <t>BDS001255</t>
        </is>
      </c>
      <c r="H2" t="inlineStr">
        <is>
          <t>Bisolvon (10 tabs)</t>
        </is>
      </c>
      <c r="I2" t="inlineStr">
        <is>
          <t>รับประทานครั้งละ 1 เม็ด วันละ 3 ครั้ง</t>
        </is>
      </c>
      <c r="P2" t="inlineStr">
        <is>
          <t>Cough medicines / mucolytics / expectorants</t>
        </is>
      </c>
    </row>
    <row r="3">
      <c r="A3" t="n">
        <v>72</v>
      </c>
      <c r="B3" t="inlineStr">
        <is>
          <t>ยาละลายเสมหะ</t>
        </is>
      </c>
      <c r="C3" t="n">
        <v>8141</v>
      </c>
      <c r="D3" t="inlineStr">
        <is>
          <t>Bocytin Capsule</t>
        </is>
      </c>
      <c r="E3" t="inlineStr">
        <is>
          <t>กล่อง 10 แคปซูล</t>
        </is>
      </c>
      <c r="F3" t="inlineStr">
        <is>
          <t>Carbocysteine 375 mg.</t>
        </is>
      </c>
      <c r="G3" t="inlineStr">
        <is>
          <t>BDS008141</t>
        </is>
      </c>
      <c r="H3" t="inlineStr">
        <is>
          <t>Bocytin Capsule (10 cap)</t>
        </is>
      </c>
      <c r="I3" t="inlineStr">
        <is>
          <t>รับประทานครั้งละ 2 แคปซูล วันละ 3 ครั้ง</t>
        </is>
      </c>
      <c r="P3" t="inlineStr">
        <is>
          <t>Cough medicines / mucolytics / expectorants</t>
        </is>
      </c>
    </row>
    <row r="4">
      <c r="A4" t="n">
        <v>73</v>
      </c>
      <c r="B4" t="inlineStr">
        <is>
          <t>ยาละลายเสมหะ</t>
        </is>
      </c>
      <c r="C4" t="n">
        <v>1531</v>
      </c>
      <c r="D4" t="inlineStr">
        <is>
          <t>Cystaline</t>
        </is>
      </c>
      <c r="E4" t="inlineStr">
        <is>
          <t>หลอด 10 เม็ด</t>
        </is>
      </c>
      <c r="F4" t="inlineStr">
        <is>
          <t>Acetylcysteine 600 mg.</t>
        </is>
      </c>
      <c r="G4" t="inlineStr">
        <is>
          <t>BDS001531</t>
        </is>
      </c>
      <c r="H4" t="inlineStr">
        <is>
          <t>Cystaline (10 tabs)</t>
        </is>
      </c>
      <c r="I4" t="inlineStr">
        <is>
          <t>รับประทาน (ละลายยาในน้ำครึ่งแก้ว) ครั้งละ 1 เม็ดฟู่ วันละ 1 ครั้ง ก่อนอาหารเย็น</t>
        </is>
      </c>
      <c r="P4" t="inlineStr">
        <is>
          <t>Cough medicines / mucolytics / expectorants</t>
        </is>
      </c>
    </row>
    <row r="5">
      <c r="A5" t="n">
        <v>74</v>
      </c>
      <c r="B5" t="inlineStr">
        <is>
          <t>ยาละลายเสมหะ</t>
        </is>
      </c>
      <c r="C5" t="n">
        <v>43123</v>
      </c>
      <c r="D5" t="inlineStr">
        <is>
          <t>Facil 100</t>
        </is>
      </c>
      <c r="E5" t="inlineStr">
        <is>
          <t>ซอง 5 g.</t>
        </is>
      </c>
      <c r="F5" t="inlineStr">
        <is>
          <t>Acetylcysteine 100 mg./5 g.</t>
        </is>
      </c>
      <c r="G5" t="inlineStr">
        <is>
          <t>BDS043123</t>
        </is>
      </c>
      <c r="H5" t="inlineStr">
        <is>
          <t>Facil 100 (5 g.)</t>
        </is>
      </c>
      <c r="I5" t="inlineStr">
        <is>
          <t>ละลายยา 1 ซองต่อน้ำ 1 แก้ว รับประทานครั้งละ 1 ซอง วันละ 3 ครั้ง</t>
        </is>
      </c>
      <c r="P5" t="inlineStr">
        <is>
          <t>Cough medicines / mucolytics / expectorants</t>
        </is>
      </c>
    </row>
    <row r="6">
      <c r="A6" t="n">
        <v>75</v>
      </c>
      <c r="B6" t="inlineStr">
        <is>
          <t>ยาละลายเสมหะ</t>
        </is>
      </c>
      <c r="C6" t="n">
        <v>43124</v>
      </c>
      <c r="D6" t="inlineStr">
        <is>
          <t>Facil 200</t>
        </is>
      </c>
      <c r="E6" t="inlineStr">
        <is>
          <t>ซอง 3 g.</t>
        </is>
      </c>
      <c r="F6" t="inlineStr">
        <is>
          <t>Acetylcysteine 200 mg./3 g.</t>
        </is>
      </c>
      <c r="G6" t="inlineStr">
        <is>
          <t>BDS043124</t>
        </is>
      </c>
      <c r="H6" t="inlineStr">
        <is>
          <t>Facil 200 (3 g.)</t>
        </is>
      </c>
      <c r="I6" t="inlineStr">
        <is>
          <t>ละลายยา 1 ซองต่อน้ำ 1 แก้ว รับประทานครั้งละ 1 ซอง วันละ 3 ครั้ง</t>
        </is>
      </c>
      <c r="P6" t="inlineStr">
        <is>
          <t>Cough medicines / mucolytics / expectorants</t>
        </is>
      </c>
    </row>
    <row r="7">
      <c r="A7" t="n">
        <v>76</v>
      </c>
      <c r="B7" t="inlineStr">
        <is>
          <t>ยาละลายเสมหะ</t>
        </is>
      </c>
      <c r="C7" t="n">
        <v>1937</v>
      </c>
      <c r="D7" t="inlineStr">
        <is>
          <t>Flemex Foil</t>
        </is>
      </c>
      <c r="E7" t="inlineStr">
        <is>
          <t>แผง 10 เม็ด</t>
        </is>
      </c>
      <c r="F7" t="inlineStr">
        <is>
          <t>Carbocysteine 375 mg.</t>
        </is>
      </c>
      <c r="G7" t="inlineStr">
        <is>
          <t>BDS001937</t>
        </is>
      </c>
      <c r="H7" t="inlineStr">
        <is>
          <t>Flemex Foil (10 tabs)</t>
        </is>
      </c>
      <c r="I7" t="inlineStr">
        <is>
          <t>รับประทานครั้งละ 2 เม็ด วันละ 3 ครั้ง</t>
        </is>
      </c>
      <c r="P7" t="inlineStr">
        <is>
          <t>Cough medicines / mucolytics / expectorants</t>
        </is>
      </c>
    </row>
    <row r="8">
      <c r="A8" t="n">
        <v>77</v>
      </c>
      <c r="B8" t="inlineStr">
        <is>
          <t>ยาละลายเสมหะ</t>
        </is>
      </c>
      <c r="C8" t="n">
        <v>43121</v>
      </c>
      <c r="D8" t="inlineStr">
        <is>
          <t>Flemex-AC OD</t>
        </is>
      </c>
      <c r="E8" t="inlineStr">
        <is>
          <t>แผง 2 เม็ด</t>
        </is>
      </c>
      <c r="F8" t="inlineStr">
        <is>
          <t>Acetylcysteine 600 mg.</t>
        </is>
      </c>
      <c r="G8" t="inlineStr">
        <is>
          <t>BDS043121</t>
        </is>
      </c>
      <c r="H8" t="inlineStr">
        <is>
          <t>Flemex-AC OD (2 tabs)</t>
        </is>
      </c>
      <c r="I8" t="inlineStr">
        <is>
          <t>รับประทาน (ละลายยาในน้ำครึ่งแก้ว) ครั้งละ 1 เม็ดฟู่  วันละ 1 ครั้ง</t>
        </is>
      </c>
      <c r="P8" t="inlineStr">
        <is>
          <t>Cough medicines / mucolytics / expectorants</t>
        </is>
      </c>
    </row>
    <row r="9">
      <c r="A9" t="n">
        <v>78</v>
      </c>
      <c r="B9" t="inlineStr">
        <is>
          <t>ยาละลายเสมหะ</t>
        </is>
      </c>
      <c r="C9" t="n">
        <v>1936</v>
      </c>
      <c r="D9" t="inlineStr">
        <is>
          <t>Fluimucil A 200 mg</t>
        </is>
      </c>
      <c r="E9" t="inlineStr">
        <is>
          <t>ซอง 3 g.</t>
        </is>
      </c>
      <c r="F9" t="inlineStr">
        <is>
          <t>Acetylcysteine 200 mg./3 g.</t>
        </is>
      </c>
      <c r="G9" t="inlineStr">
        <is>
          <t>BDS001936</t>
        </is>
      </c>
      <c r="H9" t="inlineStr">
        <is>
          <t>Fluimucil A 200 mg (3 g.)</t>
        </is>
      </c>
      <c r="I9" t="inlineStr">
        <is>
          <t>รับประทาน (ละลายยาในน้ำครึ่งแก้ว) ครั้งละ 1 เม็ดฟู่  วันละ 1 ครั้ง</t>
        </is>
      </c>
      <c r="P9" t="inlineStr">
        <is>
          <t>Cough medicines / mucolytics / expectorants</t>
        </is>
      </c>
    </row>
    <row r="10">
      <c r="A10" t="n">
        <v>79</v>
      </c>
      <c r="B10" t="inlineStr">
        <is>
          <t>ยาละลายเสมหะ</t>
        </is>
      </c>
      <c r="C10" t="n">
        <v>1909</v>
      </c>
      <c r="D10" t="inlineStr">
        <is>
          <t>Fluimucil A 600 mg</t>
        </is>
      </c>
      <c r="E10" t="inlineStr">
        <is>
          <t>แผง 2 เม็ด</t>
        </is>
      </c>
      <c r="F10" t="inlineStr">
        <is>
          <t>Acetylcysteine 600 mg.</t>
        </is>
      </c>
      <c r="G10" t="inlineStr">
        <is>
          <t>BDS001909</t>
        </is>
      </c>
      <c r="H10" t="inlineStr">
        <is>
          <t>Fluimucil A 600 mg (2 tabs)</t>
        </is>
      </c>
      <c r="I10" t="inlineStr">
        <is>
          <t>รับประทาน (ละลายยาในน้ำครึ่งแก้ว) ครั้งละ 1 เม็ดฟู่  วันละ 1 ครั้ง</t>
        </is>
      </c>
      <c r="P10" t="inlineStr">
        <is>
          <t>Cough medicines / mucolytics / expectorants</t>
        </is>
      </c>
    </row>
    <row r="11">
      <c r="A11" t="n">
        <v>80</v>
      </c>
      <c r="B11" t="inlineStr">
        <is>
          <t>ยาละลายเสมหะ</t>
        </is>
      </c>
      <c r="C11" t="n">
        <v>2574</v>
      </c>
      <c r="D11" t="inlineStr">
        <is>
          <t>Muclear tabslet</t>
        </is>
      </c>
      <c r="E11" t="inlineStr">
        <is>
          <t>หลอด 10 เม็ด</t>
        </is>
      </c>
      <c r="F11" t="inlineStr">
        <is>
          <t>Acetylcysteine 600 mg.</t>
        </is>
      </c>
      <c r="G11" t="inlineStr">
        <is>
          <t>BDS002574</t>
        </is>
      </c>
      <c r="H11" t="inlineStr">
        <is>
          <t>Muclear tabslet (10 tabs)</t>
        </is>
      </c>
      <c r="I11" t="inlineStr">
        <is>
          <t xml:space="preserve">ละลายยาครั้งละ 1 เม็ด ลงในน้ำครึ่งแก้ว ดื่มวันละ 1 ครั้ง หลังอาหารเย็น </t>
        </is>
      </c>
      <c r="P11" t="inlineStr">
        <is>
          <t>Cough medicines / mucolytics / expectorants</t>
        </is>
      </c>
    </row>
    <row r="12">
      <c r="A12" t="n">
        <v>81</v>
      </c>
      <c r="B12" t="inlineStr">
        <is>
          <t>ยาละลายเสมหะ</t>
        </is>
      </c>
      <c r="C12" t="n">
        <v>2655</v>
      </c>
      <c r="D12" t="inlineStr">
        <is>
          <t>Mucolid</t>
        </is>
      </c>
      <c r="E12" t="inlineStr">
        <is>
          <t>แผง 10 เม็ด</t>
        </is>
      </c>
      <c r="F12" t="inlineStr">
        <is>
          <t>Ambroxol HCl 30 mg.</t>
        </is>
      </c>
      <c r="G12" t="inlineStr">
        <is>
          <t>BDS002655</t>
        </is>
      </c>
      <c r="H12" t="inlineStr">
        <is>
          <t>Mucolid (10 tabs)</t>
        </is>
      </c>
      <c r="I12" t="inlineStr">
        <is>
          <t xml:space="preserve">รับประทานครั้งละ 1 เม็ด วันละ 3-4 ครั้ง </t>
        </is>
      </c>
      <c r="K12" t="n">
        <v>90</v>
      </c>
      <c r="L12" t="n">
        <v>9</v>
      </c>
      <c r="M12" t="inlineStr">
        <is>
          <t>USER</t>
        </is>
      </c>
      <c r="N12" t="inlineStr">
        <is>
          <t>2026-02-07</t>
        </is>
      </c>
      <c r="O12" t="inlineStr">
        <is>
          <t>User provided price (Mucolid 10 tabs).</t>
        </is>
      </c>
      <c r="P12" t="inlineStr">
        <is>
          <t>Cough medicines / mucolytics / expectorants</t>
        </is>
      </c>
    </row>
    <row r="13">
      <c r="A13" t="n">
        <v>82</v>
      </c>
      <c r="B13" t="inlineStr">
        <is>
          <t>ยาละลายเสมหะ</t>
        </is>
      </c>
      <c r="C13" t="n">
        <v>2640</v>
      </c>
      <c r="D13" t="inlineStr">
        <is>
          <t>Mucolid SF 600</t>
        </is>
      </c>
      <c r="E13" t="inlineStr">
        <is>
          <t>ซอง 7 g.</t>
        </is>
      </c>
      <c r="F13" t="inlineStr">
        <is>
          <t>Acetylcysteine 600 mg./7 g.</t>
        </is>
      </c>
      <c r="G13" t="inlineStr">
        <is>
          <t>BDS002640</t>
        </is>
      </c>
      <c r="H13" t="inlineStr">
        <is>
          <t>Mucolid SF 600 (7 g.)</t>
        </is>
      </c>
      <c r="I13" t="inlineStr">
        <is>
          <t>ผู้ใหญ่รับประทาน (ละลาย) ครั้งละ 1 ซอง ต่อน้ำครึ่งถ้วย วันละ 1 ครั้ง หรือตามแพทย์สั่ง</t>
        </is>
      </c>
      <c r="P13" t="inlineStr">
        <is>
          <t>Cough medicines / mucolytics / expectorants</t>
        </is>
      </c>
    </row>
    <row r="14">
      <c r="A14" t="n">
        <v>83</v>
      </c>
      <c r="B14" t="inlineStr">
        <is>
          <t>ยาละลายเสมหะ</t>
        </is>
      </c>
      <c r="C14" t="n">
        <v>8135</v>
      </c>
      <c r="D14" t="inlineStr">
        <is>
          <t>Muco-Sea 200</t>
        </is>
      </c>
      <c r="E14" t="inlineStr">
        <is>
          <t>ซอง 3 g.</t>
        </is>
      </c>
      <c r="F14" t="inlineStr">
        <is>
          <t>Acetylcysteine 200 mg./3 g.</t>
        </is>
      </c>
      <c r="G14" t="inlineStr">
        <is>
          <t>BDS008135</t>
        </is>
      </c>
      <c r="H14" t="inlineStr">
        <is>
          <t>Muco-Sea 200 (3 g.)</t>
        </is>
      </c>
      <c r="I14" t="inlineStr">
        <is>
          <t xml:space="preserve">ละลายยา 1 ซองต่อน้ำ ครึ่ง แก้ว รับประทานวันละ 3-4  ครั้ง </t>
        </is>
      </c>
      <c r="P14" t="inlineStr">
        <is>
          <t>Cough medicines / mucolytics / expectorants</t>
        </is>
      </c>
    </row>
    <row r="15">
      <c r="A15" t="n">
        <v>84</v>
      </c>
      <c r="B15" t="inlineStr">
        <is>
          <t>ยาละลายเสมหะ</t>
        </is>
      </c>
      <c r="C15" t="n">
        <v>2643</v>
      </c>
      <c r="D15" t="inlineStr">
        <is>
          <t>Mucosolvan</t>
        </is>
      </c>
      <c r="E15" t="inlineStr">
        <is>
          <t>แผง 10 เม็ด</t>
        </is>
      </c>
      <c r="F15" t="inlineStr">
        <is>
          <t>Ambroxol HCl 30 mg.</t>
        </is>
      </c>
      <c r="G15" t="inlineStr">
        <is>
          <t>BDS002643</t>
        </is>
      </c>
      <c r="H15" t="inlineStr">
        <is>
          <t>Mucosolvan (10 tabs)</t>
        </is>
      </c>
      <c r="I15" t="inlineStr">
        <is>
          <t>รับประทานครั้งละ 1 เม็ด วันละ 3-4 ครั้ง</t>
        </is>
      </c>
      <c r="P15" t="inlineStr">
        <is>
          <t>Cough medicines / mucolytics / expectorants</t>
        </is>
      </c>
    </row>
    <row r="16">
      <c r="A16" t="n">
        <v>85</v>
      </c>
      <c r="B16" t="inlineStr">
        <is>
          <t>ยาละลายเสมหะ</t>
        </is>
      </c>
      <c r="C16" t="n">
        <v>2639</v>
      </c>
      <c r="D16" t="inlineStr">
        <is>
          <t>Mucosolvan PL</t>
        </is>
      </c>
      <c r="E16" t="inlineStr">
        <is>
          <t>แผง 10 แคปซูล</t>
        </is>
      </c>
      <c r="F16" t="inlineStr">
        <is>
          <t>Ambroxol HCl 75 mg.</t>
        </is>
      </c>
      <c r="G16" t="inlineStr">
        <is>
          <t>BDS002639</t>
        </is>
      </c>
      <c r="H16" t="inlineStr">
        <is>
          <t>Mucosolvan PL (10 cap)</t>
        </is>
      </c>
      <c r="P16" t="inlineStr">
        <is>
          <t>Cough medicines / mucolytics / expectorants</t>
        </is>
      </c>
    </row>
    <row r="17">
      <c r="A17" t="n">
        <v>86</v>
      </c>
      <c r="B17" t="inlineStr">
        <is>
          <t>ยาละลายเสมหะ</t>
        </is>
      </c>
      <c r="C17" t="n">
        <v>2901</v>
      </c>
      <c r="D17" t="inlineStr">
        <is>
          <t>Nac Long</t>
        </is>
      </c>
      <c r="E17" t="inlineStr">
        <is>
          <t>หลอด 10 เม็ด</t>
        </is>
      </c>
      <c r="F17" t="inlineStr">
        <is>
          <t>Acetylcysteine 600 mg.</t>
        </is>
      </c>
      <c r="G17" t="inlineStr">
        <is>
          <t>BDS002901</t>
        </is>
      </c>
      <c r="H17" t="inlineStr">
        <is>
          <t>Nac Long (10 tabs)</t>
        </is>
      </c>
      <c r="I17" t="inlineStr">
        <is>
          <t>รับประทาน (ละลายยาในน้ำครึ่งแก้ว) ครั้งละ 1 เรับประทานครั้งละ 2-4 เม็ดวันละ 1 ครั้ง ก่อนนอนม็ดฟู่ วันละ 1 ครั้ง ก่อนอาหารเย็น</t>
        </is>
      </c>
      <c r="J17" t="inlineStr">
        <is>
          <t>orally (dissolve the drug in half a glass of water), Take 2-4 tablets once a day before bedtime. 1 time a day before dinner</t>
        </is>
      </c>
      <c r="K17" t="n">
        <v>270</v>
      </c>
      <c r="L17" t="n">
        <v>27</v>
      </c>
      <c r="M17" t="inlineStr">
        <is>
          <t>USER</t>
        </is>
      </c>
      <c r="N17" t="inlineStr">
        <is>
          <t>2026-02-07</t>
        </is>
      </c>
      <c r="O17" t="inlineStr">
        <is>
          <t>User provided price (online). Unit price is per tablet (10-tab tube).</t>
        </is>
      </c>
      <c r="P17" t="inlineStr">
        <is>
          <t>Cough medicines / mucolytics / expectorants</t>
        </is>
      </c>
    </row>
    <row r="18">
      <c r="A18" t="n">
        <v>87</v>
      </c>
      <c r="B18" t="inlineStr">
        <is>
          <t>ยาละลายเสมหะ</t>
        </is>
      </c>
      <c r="C18" t="n">
        <v>3694</v>
      </c>
      <c r="D18" t="inlineStr">
        <is>
          <t>Solmax</t>
        </is>
      </c>
      <c r="E18" t="inlineStr">
        <is>
          <t>แผง 10 แคปซูล</t>
        </is>
      </c>
      <c r="F18" t="inlineStr">
        <is>
          <t>Carbocysteine 500 mg.</t>
        </is>
      </c>
      <c r="G18" t="inlineStr">
        <is>
          <t>BDS003694</t>
        </is>
      </c>
      <c r="H18" t="inlineStr">
        <is>
          <t>Solmax (10 cap)</t>
        </is>
      </c>
      <c r="I18" t="inlineStr">
        <is>
          <t>รับประทานครั้งละ 1 แคปซูล วันละ 3 ครั้ง</t>
        </is>
      </c>
      <c r="P18" t="inlineStr">
        <is>
          <t>Cough medicines / mucolytics / expectorants</t>
        </is>
      </c>
    </row>
    <row r="19">
      <c r="A19" t="n">
        <v>168</v>
      </c>
      <c r="B19" t="inlineStr">
        <is>
          <t>ยาแก้ไอแห้ง, คันคอ (D)</t>
        </is>
      </c>
      <c r="C19" t="n">
        <v>7911</v>
      </c>
      <c r="D19" t="inlineStr">
        <is>
          <t>Dibendryl</t>
        </is>
      </c>
      <c r="E19" t="inlineStr">
        <is>
          <t>แผง 10 เม็ด</t>
        </is>
      </c>
      <c r="F19" t="inlineStr">
        <is>
          <t>Diphenhydramine 25 mg.</t>
        </is>
      </c>
      <c r="G19" t="inlineStr">
        <is>
          <t>BDS007911</t>
        </is>
      </c>
      <c r="H19" t="inlineStr">
        <is>
          <t>Dibendryl (10 tabs)</t>
        </is>
      </c>
      <c r="I19" t="inlineStr">
        <is>
          <t>รับประทานครั้งละ 1-2 เม็ด วันละ 3-4 ครั้ง</t>
        </is>
      </c>
      <c r="P19" t="inlineStr">
        <is>
          <t>Cough medicines / mucolytics / expectorants</t>
        </is>
      </c>
    </row>
    <row r="20">
      <c r="A20" t="n">
        <v>169</v>
      </c>
      <c r="B20" t="inlineStr">
        <is>
          <t>ยาแก้ไอแห้ง, คันคอ (D)</t>
        </is>
      </c>
      <c r="C20" t="n">
        <v>2211</v>
      </c>
      <c r="D20" t="inlineStr">
        <is>
          <t>Icolid (ควบคุมจำนวน)</t>
        </is>
      </c>
      <c r="E20" t="inlineStr">
        <is>
          <t>แผง 10 เม็ด</t>
        </is>
      </c>
      <c r="F20" t="inlineStr">
        <is>
          <t>Dextromethorphan HBr 15 mg.</t>
        </is>
      </c>
      <c r="G20" t="inlineStr">
        <is>
          <t>BDS002211</t>
        </is>
      </c>
      <c r="H20" t="inlineStr">
        <is>
          <t>Icolid (ควบคุมจำนวน) (10 tabs)</t>
        </is>
      </c>
      <c r="I20" t="inlineStr">
        <is>
          <t>รับประทานครั้งละ 1-2 เม็ด วันละ 3 ครั้ง</t>
        </is>
      </c>
      <c r="K20" t="n">
        <v>50</v>
      </c>
      <c r="L20" t="n">
        <v>5</v>
      </c>
      <c r="M20" t="inlineStr">
        <is>
          <t>USER</t>
        </is>
      </c>
      <c r="N20" t="inlineStr">
        <is>
          <t>2026-02-07</t>
        </is>
      </c>
      <c r="O20" t="inlineStr">
        <is>
          <t>User provided price (online). Unit price per tablet (10 tabs pack).</t>
        </is>
      </c>
      <c r="P20" t="inlineStr">
        <is>
          <t>Cough medicines / mucolytics / expectorants</t>
        </is>
      </c>
    </row>
    <row r="21">
      <c r="A21" t="n">
        <v>212</v>
      </c>
      <c r="B21" t="inlineStr">
        <is>
          <t>ยาแก้ไอแห้ง, คันคอ ชนิดน้ำ (D)</t>
        </is>
      </c>
      <c r="C21" t="n">
        <v>6036</v>
      </c>
      <c r="D21" t="inlineStr">
        <is>
          <t>Icorin Kids Syrup</t>
        </is>
      </c>
      <c r="E21" t="inlineStr">
        <is>
          <t>ขวด 60 ml.</t>
        </is>
      </c>
      <c r="F21" t="inlineStr">
        <is>
          <t>Butamirate Citrate 4 mg/5 ml</t>
        </is>
      </c>
      <c r="G21" t="inlineStr">
        <is>
          <t>BDS006036</t>
        </is>
      </c>
      <c r="H21" t="inlineStr">
        <is>
          <t>Icorin Kids Syrup (60 ml.)</t>
        </is>
      </c>
      <c r="I21" t="inlineStr">
        <is>
          <t>รับประทานครั้งละ 1-2 ช้อนชา วันละ 3 ครั้ง</t>
        </is>
      </c>
      <c r="P21" t="inlineStr">
        <is>
          <t>Cough medicines / mucolytics / expectorants</t>
        </is>
      </c>
    </row>
    <row r="22">
      <c r="A22" t="n">
        <v>213</v>
      </c>
      <c r="B22" t="inlineStr">
        <is>
          <t>ยาแก้ไอแห้ง, คันคอ ชนิดน้ำ (D)</t>
        </is>
      </c>
      <c r="C22" t="n">
        <v>2290</v>
      </c>
      <c r="D22" t="inlineStr">
        <is>
          <t>Ivorin Syrup</t>
        </is>
      </c>
      <c r="E22" t="inlineStr">
        <is>
          <t>ขวด 60 ml.</t>
        </is>
      </c>
      <c r="F22" t="inlineStr">
        <is>
          <t>Levodropropizine 30 mg./5 ml.</t>
        </is>
      </c>
      <c r="G22" t="inlineStr">
        <is>
          <t>BDS002290</t>
        </is>
      </c>
      <c r="H22" t="inlineStr">
        <is>
          <t>Ivorin Syrup (60 ml.)</t>
        </is>
      </c>
      <c r="I22" t="inlineStr">
        <is>
          <t>ผู้ใหญ่รับประทานครั้งละ 2 ช้อนชา (10 ml.) วันละ 3 ครั้ง</t>
        </is>
      </c>
      <c r="P22" t="inlineStr">
        <is>
          <t>Cough medicines / mucolytics / expectorants</t>
        </is>
      </c>
    </row>
    <row r="23">
      <c r="A23" t="n">
        <v>214</v>
      </c>
      <c r="B23" t="inlineStr">
        <is>
          <t>ยาละลายเสมหะ ชนิดน้ำ</t>
        </is>
      </c>
      <c r="C23" t="n">
        <v>1257</v>
      </c>
      <c r="D23" t="inlineStr">
        <is>
          <t>Bisolvon EX Syrup เล็ก</t>
        </is>
      </c>
      <c r="E23" t="inlineStr">
        <is>
          <t>ขวด 60 ml.</t>
        </is>
      </c>
      <c r="F23" t="inlineStr">
        <is>
          <t>Bromhexine HCl 4 mg.+K guaiacolsulphonate 100 mg./5 ml.</t>
        </is>
      </c>
      <c r="G23" t="inlineStr">
        <is>
          <t>BDS001257</t>
        </is>
      </c>
      <c r="H23" t="inlineStr">
        <is>
          <t>Bisolvon EX Syrup เล็ก (60 ml.)</t>
        </is>
      </c>
      <c r="I23" t="inlineStr">
        <is>
          <t>รับประทานครั้งละ 1-2 ช้อนชา วันละ 3-4 ครั้ง</t>
        </is>
      </c>
      <c r="P23" t="inlineStr">
        <is>
          <t>Cough medicines / mucolytics / expectorants</t>
        </is>
      </c>
    </row>
    <row r="24">
      <c r="A24" t="n">
        <v>215</v>
      </c>
      <c r="B24" t="inlineStr">
        <is>
          <t>ยาละลายเสมหะ ชนิดน้ำ</t>
        </is>
      </c>
      <c r="C24" t="n">
        <v>1296</v>
      </c>
      <c r="D24" t="inlineStr">
        <is>
          <t>Bisolvon EX Syrup ใหญ่</t>
        </is>
      </c>
      <c r="E24" t="inlineStr">
        <is>
          <t>ขวด 125 ml.</t>
        </is>
      </c>
      <c r="F24" t="inlineStr">
        <is>
          <t>Bromhexine HCl 4 mg.+K guaiacolsulphonate 100 mg./5 ml.</t>
        </is>
      </c>
      <c r="G24" t="inlineStr">
        <is>
          <t>BDS001296</t>
        </is>
      </c>
      <c r="H24" t="inlineStr">
        <is>
          <t>Bisolvon EX Syrup ใหญ่ (125 ml.)</t>
        </is>
      </c>
      <c r="I24" t="inlineStr">
        <is>
          <t>รับประทานครั้งละ 1-2 ช้อนชา วันละ 3 ครั้ง</t>
        </is>
      </c>
      <c r="P24" t="inlineStr">
        <is>
          <t>Cough medicines / mucolytics / expectorants</t>
        </is>
      </c>
    </row>
    <row r="25">
      <c r="A25" t="n">
        <v>216</v>
      </c>
      <c r="B25" t="inlineStr">
        <is>
          <t>ยาละลายเสมหะ ชนิดน้ำ</t>
        </is>
      </c>
      <c r="C25" t="n">
        <v>1253</v>
      </c>
      <c r="D25" t="inlineStr">
        <is>
          <t>Bisolvon Pediatric Syrup</t>
        </is>
      </c>
      <c r="E25" t="inlineStr">
        <is>
          <t>ขวด 60 ml.</t>
        </is>
      </c>
      <c r="F25" t="inlineStr">
        <is>
          <t>Bromhexine HCl 4 mg./5 ml.</t>
        </is>
      </c>
      <c r="G25" t="inlineStr">
        <is>
          <t>BDS001253</t>
        </is>
      </c>
      <c r="H25" t="inlineStr">
        <is>
          <t>Bisolvon Pediatric Syrup (60 ml.)</t>
        </is>
      </c>
      <c r="I25" t="inlineStr">
        <is>
          <t>รับประทานครั้งละ 1 ช้อนชา วันละ 3 ครั้ง</t>
        </is>
      </c>
      <c r="P25" t="inlineStr">
        <is>
          <t>Cough medicines / mucolytics / expectorants</t>
        </is>
      </c>
    </row>
    <row r="26">
      <c r="A26" t="n">
        <v>217</v>
      </c>
      <c r="B26" t="inlineStr">
        <is>
          <t>ยาละลายเสมหะ ชนิดน้ำ</t>
        </is>
      </c>
      <c r="C26" t="n">
        <v>7033</v>
      </c>
      <c r="D26" t="inlineStr">
        <is>
          <t>Bocytin Syrup</t>
        </is>
      </c>
      <c r="E26" t="inlineStr">
        <is>
          <t>ขวด 60 ml.</t>
        </is>
      </c>
      <c r="F26" t="inlineStr">
        <is>
          <t>Carbocysteine 250 mg./5 ml.</t>
        </is>
      </c>
      <c r="G26" t="inlineStr">
        <is>
          <t>BDS007033</t>
        </is>
      </c>
      <c r="H26" t="inlineStr">
        <is>
          <t>Bocytin Syrup (60 ml.)</t>
        </is>
      </c>
      <c r="I26" t="inlineStr">
        <is>
          <t>เด็กเล็กรับประทาน 1/2 ช้อนชา วันละ 2 ครั้ง</t>
        </is>
      </c>
      <c r="P26" t="inlineStr">
        <is>
          <t>Cough medicines / mucolytics / expectorants</t>
        </is>
      </c>
    </row>
    <row r="27">
      <c r="A27" t="n">
        <v>218</v>
      </c>
      <c r="B27" t="inlineStr">
        <is>
          <t>ยาละลายเสมหะ ชนิดน้ำ</t>
        </is>
      </c>
      <c r="C27" t="n">
        <v>41506</v>
      </c>
      <c r="D27" t="inlineStr">
        <is>
          <t>Carboflex Syrup</t>
        </is>
      </c>
      <c r="E27" t="inlineStr">
        <is>
          <t>ขวด 60 ml.</t>
        </is>
      </c>
      <c r="F27" t="inlineStr">
        <is>
          <t>Carbocysteine 250 mg./5 ml.</t>
        </is>
      </c>
      <c r="G27" t="inlineStr">
        <is>
          <t>BDS041506</t>
        </is>
      </c>
      <c r="H27" t="inlineStr">
        <is>
          <t>Carboflex Syrup (60 ml.)</t>
        </is>
      </c>
      <c r="I27" t="inlineStr">
        <is>
          <t>เด็กอายุ 6-12 ปี รับประทานครั้งละ 1 ช้อนชา วันละ 3 ครั้ง</t>
        </is>
      </c>
      <c r="P27" t="inlineStr">
        <is>
          <t>Cough medicines / mucolytics / expectorants</t>
        </is>
      </c>
    </row>
    <row r="28">
      <c r="A28" t="n">
        <v>219</v>
      </c>
      <c r="B28" t="inlineStr">
        <is>
          <t>ยาละลายเสมหะ ชนิดน้ำ</t>
        </is>
      </c>
      <c r="C28" t="n">
        <v>1495</v>
      </c>
      <c r="D28" t="inlineStr">
        <is>
          <t>Cisteine</t>
        </is>
      </c>
      <c r="E28" t="inlineStr">
        <is>
          <t>ขวด 60 ml.</t>
        </is>
      </c>
      <c r="F28" t="inlineStr">
        <is>
          <t>Carbocysteine 100 mg./5 ml.</t>
        </is>
      </c>
      <c r="G28" t="inlineStr">
        <is>
          <t>BDS001495</t>
        </is>
      </c>
      <c r="H28" t="inlineStr">
        <is>
          <t>Cisteine (60 ml.)</t>
        </is>
      </c>
      <c r="I28" t="inlineStr">
        <is>
          <t>รับประทานครั้งละ 1 ช้อนชา วันละ 3 ครั้ง</t>
        </is>
      </c>
      <c r="P28" t="inlineStr">
        <is>
          <t>Cough medicines / mucolytics / expectorants</t>
        </is>
      </c>
    </row>
    <row r="29">
      <c r="A29" t="n">
        <v>220</v>
      </c>
      <c r="B29" t="inlineStr">
        <is>
          <t>ยาละลายเสมหะ ชนิดน้ำ</t>
        </is>
      </c>
      <c r="C29" t="n">
        <v>1919</v>
      </c>
      <c r="D29" t="inlineStr">
        <is>
          <t>Flemex Kids</t>
        </is>
      </c>
      <c r="E29" t="inlineStr">
        <is>
          <t>ขวด 60 ml.</t>
        </is>
      </c>
      <c r="F29" t="inlineStr">
        <is>
          <t>Carbocysteine 100 mg./5 ml.</t>
        </is>
      </c>
      <c r="G29" t="inlineStr">
        <is>
          <t>BDS001919</t>
        </is>
      </c>
      <c r="H29" t="inlineStr">
        <is>
          <t>Flemex Kids (60 ml.)</t>
        </is>
      </c>
      <c r="I29" t="inlineStr">
        <is>
          <t>รับประทานครั้งละ 1 ช้อนชา วันละ 2 ครั้ง</t>
        </is>
      </c>
      <c r="P29" t="inlineStr">
        <is>
          <t>Cough medicines / mucolytics / expectorants</t>
        </is>
      </c>
    </row>
    <row r="30">
      <c r="A30" t="n">
        <v>221</v>
      </c>
      <c r="B30" t="inlineStr">
        <is>
          <t>ยาละลายเสมหะ ชนิดน้ำ</t>
        </is>
      </c>
      <c r="C30" t="n">
        <v>1920</v>
      </c>
      <c r="D30" t="inlineStr">
        <is>
          <t>Flemex Syrup</t>
        </is>
      </c>
      <c r="E30" t="inlineStr">
        <is>
          <t>ขวด 60 ml.</t>
        </is>
      </c>
      <c r="F30" t="inlineStr">
        <is>
          <t>Carbocysteine 250 mg./5 ml.</t>
        </is>
      </c>
      <c r="G30" t="inlineStr">
        <is>
          <t>BDS001920</t>
        </is>
      </c>
      <c r="H30" t="inlineStr">
        <is>
          <t>Flemex Syrup (60 ml.)</t>
        </is>
      </c>
      <c r="I30" t="inlineStr">
        <is>
          <t>รับประทานครั้งละ 1 ช้อนโต๊ะ วันละ 3 ครั้ง</t>
        </is>
      </c>
      <c r="P30" t="inlineStr">
        <is>
          <t>Cough medicines / mucolytics / expectorants</t>
        </is>
      </c>
    </row>
    <row r="31">
      <c r="A31" t="n">
        <v>222</v>
      </c>
      <c r="B31" t="inlineStr">
        <is>
          <t>ยาละลายเสมหะ ชนิดน้ำ</t>
        </is>
      </c>
      <c r="C31" t="n">
        <v>7742</v>
      </c>
      <c r="D31" t="inlineStr">
        <is>
          <t>Mucobrox</t>
        </is>
      </c>
      <c r="E31" t="inlineStr">
        <is>
          <t>ขวด 60 ml.</t>
        </is>
      </c>
      <c r="F31" t="inlineStr">
        <is>
          <t>Ambroxol HCl 30 mg./5 ml.</t>
        </is>
      </c>
      <c r="G31" t="inlineStr">
        <is>
          <t>BDS007742</t>
        </is>
      </c>
      <c r="H31" t="inlineStr">
        <is>
          <t>Mucobrox (60 ml.)</t>
        </is>
      </c>
      <c r="I31" t="inlineStr">
        <is>
          <t>ผู้ใหญ่และเด็กโตรับประทาน 1 ช้อนชา  วันละ 3 ครั้ง</t>
        </is>
      </c>
      <c r="P31" t="inlineStr">
        <is>
          <t>Cough medicines / mucolytics / expectorants</t>
        </is>
      </c>
    </row>
    <row r="32">
      <c r="A32" t="n">
        <v>223</v>
      </c>
      <c r="B32" t="inlineStr">
        <is>
          <t>ยาละลายเสมหะ ชนิดน้ำ</t>
        </is>
      </c>
      <c r="C32" t="n">
        <v>2659</v>
      </c>
      <c r="D32" t="inlineStr">
        <is>
          <t>Mucoflux Syrup</t>
        </is>
      </c>
      <c r="E32" t="inlineStr">
        <is>
          <t>ขวด 60 ml.</t>
        </is>
      </c>
      <c r="F32" t="inlineStr">
        <is>
          <t>Cyclidrol 80 mg./10 ml.</t>
        </is>
      </c>
      <c r="G32" t="inlineStr">
        <is>
          <t>BDS002659</t>
        </is>
      </c>
      <c r="H32" t="inlineStr">
        <is>
          <t>Mucoflux Syrup (60 ml.)</t>
        </is>
      </c>
      <c r="I32" t="inlineStr">
        <is>
          <t>รับประทานครั้งละ 2-4 ช้อนชาวันละ 2 ครั้ง</t>
        </is>
      </c>
      <c r="P32" t="inlineStr">
        <is>
          <t>Cough medicines / mucolytics / expectorants</t>
        </is>
      </c>
    </row>
    <row r="33">
      <c r="A33" t="n">
        <v>224</v>
      </c>
      <c r="B33" t="inlineStr">
        <is>
          <t>ยาละลายเสมหะ ชนิดน้ำ</t>
        </is>
      </c>
      <c r="C33" t="n">
        <v>2691</v>
      </c>
      <c r="D33" t="inlineStr">
        <is>
          <t>Mucolid Junior บลูเบอร์รี่</t>
        </is>
      </c>
      <c r="E33" t="inlineStr">
        <is>
          <t>ขวด 60 ml.</t>
        </is>
      </c>
      <c r="F33" t="inlineStr">
        <is>
          <t>Ambroxol HCl 15 mg./5 ml.</t>
        </is>
      </c>
      <c r="G33" t="inlineStr">
        <is>
          <t>BDS002691</t>
        </is>
      </c>
      <c r="H33" t="inlineStr">
        <is>
          <t>Mucolid Junior บลูเบอร์รี่ (60 ml.)</t>
        </is>
      </c>
      <c r="I33" t="inlineStr">
        <is>
          <t>รับประทานครั้งละ 2 ช้อนชา วันละ 3 ครั้ง</t>
        </is>
      </c>
      <c r="P33" t="inlineStr">
        <is>
          <t>Cough medicines / mucolytics / expectorants</t>
        </is>
      </c>
    </row>
    <row r="34">
      <c r="A34" t="n">
        <v>225</v>
      </c>
      <c r="B34" t="inlineStr">
        <is>
          <t>ยาละลายเสมหะ ชนิดน้ำ</t>
        </is>
      </c>
      <c r="C34" t="n">
        <v>2654</v>
      </c>
      <c r="D34" t="inlineStr">
        <is>
          <t>Mucolid Syrup</t>
        </is>
      </c>
      <c r="E34" t="inlineStr">
        <is>
          <t>ขวด 60 ml.</t>
        </is>
      </c>
      <c r="F34" t="inlineStr">
        <is>
          <t>Ambroxol HCl 30 mg./5 ml.</t>
        </is>
      </c>
      <c r="G34" t="inlineStr">
        <is>
          <t>BDS002654</t>
        </is>
      </c>
      <c r="H34" t="inlineStr">
        <is>
          <t>Mucolid Syrup (60 ml.)</t>
        </is>
      </c>
      <c r="I34" t="inlineStr">
        <is>
          <t>รับประทานครั้งละ 1 ช้อนชา วันละ 4 ครั้ง</t>
        </is>
      </c>
      <c r="P34" t="inlineStr">
        <is>
          <t>Cough medicines / mucolytics / expectorants</t>
        </is>
      </c>
    </row>
    <row r="35">
      <c r="A35" t="n">
        <v>226</v>
      </c>
      <c r="B35" t="inlineStr">
        <is>
          <t>ยาละลายเสมหะ ชนิดน้ำ</t>
        </is>
      </c>
      <c r="C35" t="n">
        <v>3697</v>
      </c>
      <c r="D35" t="inlineStr">
        <is>
          <t>Solmax Forte Suspension</t>
        </is>
      </c>
      <c r="E35" t="inlineStr">
        <is>
          <t>ขวด 60 ml.</t>
        </is>
      </c>
      <c r="F35" t="inlineStr">
        <is>
          <t>Carbocysteine 500 mg./5 ml.</t>
        </is>
      </c>
      <c r="G35" t="inlineStr">
        <is>
          <t>BDS003697</t>
        </is>
      </c>
      <c r="H35" t="inlineStr">
        <is>
          <t>Solmax Forte Suspension (60 ml.)</t>
        </is>
      </c>
      <c r="I35" t="inlineStr">
        <is>
          <t>เด็กโตรับประทานครั้งละ ครึ่ง ช้อนชา วันละ 3 ครั้ง</t>
        </is>
      </c>
      <c r="P35" t="inlineStr">
        <is>
          <t>Cough medicines / mucolytics / expectorants</t>
        </is>
      </c>
    </row>
    <row r="36">
      <c r="A36" t="n">
        <v>227</v>
      </c>
      <c r="B36" t="inlineStr">
        <is>
          <t>ยาละลายเสมหะ ชนิดน้ำ</t>
        </is>
      </c>
      <c r="C36" t="n">
        <v>3782</v>
      </c>
      <c r="D36" t="inlineStr">
        <is>
          <t>Solmax Kids Suspension</t>
        </is>
      </c>
      <c r="E36" t="inlineStr">
        <is>
          <t>ขวด 60 ml.</t>
        </is>
      </c>
      <c r="F36" t="inlineStr">
        <is>
          <t>Carbocysteine 200 mg./5 ml.</t>
        </is>
      </c>
      <c r="G36" t="inlineStr">
        <is>
          <t>BDS003782</t>
        </is>
      </c>
      <c r="H36" t="inlineStr">
        <is>
          <t>Solmax Kids Suspension (60 ml.)</t>
        </is>
      </c>
      <c r="I36" t="inlineStr">
        <is>
          <t>เด็กเล็กรับประทาน 1/2 ช้อนชา วันละ 3-4 ครั้ง</t>
        </is>
      </c>
      <c r="P36" t="inlineStr">
        <is>
          <t>Cough medicines / mucolytics / expectorants</t>
        </is>
      </c>
    </row>
    <row r="37">
      <c r="A37" t="n">
        <v>268</v>
      </c>
      <c r="B37" t="inlineStr">
        <is>
          <t>ยาแก้ไอสูตรผสม (D)</t>
        </is>
      </c>
      <c r="C37" t="n">
        <v>7973</v>
      </c>
      <c r="D37" t="inlineStr">
        <is>
          <t>Fartussin (ควบคุมจำนวน)</t>
        </is>
      </c>
      <c r="E37" t="inlineStr">
        <is>
          <t>แผง 10 เม็ด</t>
        </is>
      </c>
      <c r="F37" t="inlineStr">
        <is>
          <t>Dextromethorphan HBr 15 mg.+Glyceryl Guaiacolate 100 mg.+Terpin Hydrate 130 mg.</t>
        </is>
      </c>
      <c r="G37" t="inlineStr">
        <is>
          <t>BDS007973</t>
        </is>
      </c>
      <c r="H37" t="inlineStr">
        <is>
          <t>Fartussin (ควบคุมจำนวน) (10 tabs)</t>
        </is>
      </c>
      <c r="I37" t="inlineStr">
        <is>
          <t>รับประทานครั้งละ 1-2 เม็ด วันละ 3-4 ครั้ง</t>
        </is>
      </c>
      <c r="P37" t="inlineStr">
        <is>
          <t>Cough medicines / mucolytics / expectorants</t>
        </is>
      </c>
    </row>
    <row r="38">
      <c r="A38" t="n">
        <v>269</v>
      </c>
      <c r="B38" t="inlineStr">
        <is>
          <t>ยาแก้ไอสูตรผสม (D)</t>
        </is>
      </c>
      <c r="C38" t="n">
        <v>8106</v>
      </c>
      <c r="D38" t="inlineStr">
        <is>
          <t>Kenya-I (ควบคุมจำนวน)</t>
        </is>
      </c>
      <c r="E38" t="inlineStr">
        <is>
          <t>แผง 10 เม็ด</t>
        </is>
      </c>
      <c r="F38" t="inlineStr">
        <is>
          <t>Dextromethorphan HBr 15 mg+Chlorpheniramine maleate 2 mg+Terpine hydrate 125 mg</t>
        </is>
      </c>
      <c r="G38" t="inlineStr">
        <is>
          <t>BDS008106</t>
        </is>
      </c>
      <c r="H38" t="inlineStr">
        <is>
          <t>Kenya-I (ควบคุมจำนวน) (10 tabs)</t>
        </is>
      </c>
      <c r="I38" t="inlineStr">
        <is>
          <t>รับประทานครั้งละ 1-2 เม็ด วันละ 3-4 ครั้ง</t>
        </is>
      </c>
      <c r="P38" t="inlineStr">
        <is>
          <t>Cough medicines / mucolytics / expectorants</t>
        </is>
      </c>
    </row>
    <row r="39">
      <c r="A39" t="n">
        <v>270</v>
      </c>
      <c r="B39" t="inlineStr">
        <is>
          <t>ยาแก้ไอสูตรผสม (D)</t>
        </is>
      </c>
      <c r="C39" t="n">
        <v>3112</v>
      </c>
      <c r="D39" t="inlineStr">
        <is>
          <t>Patar-Cap (ควบคุมจำนวน)</t>
        </is>
      </c>
      <c r="E39" t="inlineStr">
        <is>
          <t>แผง 10 แคปซูล</t>
        </is>
      </c>
      <c r="F39" t="inlineStr">
        <is>
          <t>Dextromethorphan 10 mg.+Guaifenesin 100 mg.</t>
        </is>
      </c>
      <c r="G39" t="inlineStr">
        <is>
          <t>BDS003112</t>
        </is>
      </c>
      <c r="H39" t="inlineStr">
        <is>
          <t>Patar-Cap (ควบคุมจำนวน) (10 cap)</t>
        </is>
      </c>
      <c r="I39" t="inlineStr">
        <is>
          <t>รับประทานครั้งละ 1-2 แคปซูล วันละ 3-4 ครั้ง</t>
        </is>
      </c>
      <c r="P39" t="inlineStr">
        <is>
          <t>Cough medicines / mucolytics / expectorants</t>
        </is>
      </c>
    </row>
    <row r="40">
      <c r="A40" t="n">
        <v>271</v>
      </c>
      <c r="B40" t="inlineStr">
        <is>
          <t>ยาแก้ไอสูตรผสม ชนิดน้ำ (D)</t>
        </is>
      </c>
      <c r="C40" t="n">
        <v>3416</v>
      </c>
      <c r="D40" t="inlineStr">
        <is>
          <t>Robitussin DM เล็ก (ควบคุมจำนวน)</t>
        </is>
      </c>
      <c r="E40" t="inlineStr">
        <is>
          <t>ขวด 60 ml.</t>
        </is>
      </c>
      <c r="F40" t="inlineStr">
        <is>
          <t>Guaifenesin 200 mg.+Dextromethorphan HBr 10 mg./5 ml.</t>
        </is>
      </c>
      <c r="G40" t="inlineStr">
        <is>
          <t>BDS003416</t>
        </is>
      </c>
      <c r="H40" t="inlineStr">
        <is>
          <t>Robitussin DM เล็ก (ควบคุมจำนวน) (60 ml.)</t>
        </is>
      </c>
      <c r="I40" t="inlineStr">
        <is>
          <t>รับประทานครั้งละ 2 ช้อนชาวันละ 2-3 ครั้ง</t>
        </is>
      </c>
      <c r="P40" t="inlineStr">
        <is>
          <t>Cough medicines / mucolytics / expectorants</t>
        </is>
      </c>
    </row>
    <row r="41">
      <c r="A41" t="n">
        <v>429</v>
      </c>
      <c r="B41" t="inlineStr">
        <is>
          <t>ยาละลายเสมหะ ชนิดน้ำ (D)</t>
        </is>
      </c>
      <c r="C41" t="n">
        <v>7031</v>
      </c>
      <c r="D41" t="inlineStr">
        <is>
          <t>Bromhexine Syrup</t>
        </is>
      </c>
      <c r="E41" t="inlineStr">
        <is>
          <t>ขวด 60 ml.</t>
        </is>
      </c>
      <c r="F41" t="inlineStr">
        <is>
          <t>Bromhexine HCl 4 mg./5 ml.</t>
        </is>
      </c>
      <c r="G41" t="inlineStr">
        <is>
          <t>BDS007031</t>
        </is>
      </c>
      <c r="H41" t="inlineStr">
        <is>
          <t>Bromhexine Syrup (60 ml.)</t>
        </is>
      </c>
      <c r="I41" t="inlineStr">
        <is>
          <t>เด็กอายุ 5-10 ปี รับประทานครั้งละ 1 ช้อนชา วันละ 3 ครั้ง</t>
        </is>
      </c>
      <c r="P41" t="inlineStr">
        <is>
          <t>Cough medicines / mucolytics / expectorants</t>
        </is>
      </c>
    </row>
    <row r="42">
      <c r="A42" t="n">
        <v>475</v>
      </c>
      <c r="B42" t="inlineStr">
        <is>
          <t>ยาละลายเสมหะ (D)</t>
        </is>
      </c>
      <c r="C42" t="n">
        <v>40631</v>
      </c>
      <c r="D42" t="inlineStr">
        <is>
          <t>Bromcolex</t>
        </is>
      </c>
      <c r="E42" t="inlineStr">
        <is>
          <t>แผง 10 เม็ด</t>
        </is>
      </c>
      <c r="F42" t="inlineStr">
        <is>
          <t>Bromhexine HCl 8 mg.</t>
        </is>
      </c>
      <c r="G42" t="inlineStr">
        <is>
          <t>BDS040631</t>
        </is>
      </c>
      <c r="H42" t="inlineStr">
        <is>
          <t>Bromcolex (10 tabs)</t>
        </is>
      </c>
      <c r="I42" t="inlineStr">
        <is>
          <t>รับประทานครั้งละ 1 เม็ด วันละ 3 ครั้ง</t>
        </is>
      </c>
      <c r="P42" t="inlineStr">
        <is>
          <t>Cough medicines / mucolytics / expectorants</t>
        </is>
      </c>
    </row>
    <row r="43">
      <c r="A43" t="n">
        <v>476</v>
      </c>
      <c r="B43" t="inlineStr">
        <is>
          <t>ยาละลายเสมหะ (D)</t>
        </is>
      </c>
      <c r="C43" t="n">
        <v>8046</v>
      </c>
      <c r="D43" t="inlineStr">
        <is>
          <t>Extorant</t>
        </is>
      </c>
      <c r="E43" t="inlineStr">
        <is>
          <t>แผง 10 เม็ด</t>
        </is>
      </c>
      <c r="F43" t="inlineStr">
        <is>
          <t>Bromhexine HCl 4 mg+Guaifenesin 100 mg</t>
        </is>
      </c>
      <c r="G43" t="inlineStr">
        <is>
          <t>BDS008046</t>
        </is>
      </c>
      <c r="H43" t="inlineStr">
        <is>
          <t>Extorant (10 tabs)</t>
        </is>
      </c>
      <c r="I43" t="inlineStr">
        <is>
          <t xml:space="preserve">รับประทานครั้งละ 1-2 เม็ด วันละ 3-4 ครั้ง </t>
        </is>
      </c>
      <c r="P43" t="inlineStr">
        <is>
          <t>Cough medicines / mucolytics / expectorants</t>
        </is>
      </c>
    </row>
    <row r="44">
      <c r="A44" t="n">
        <v>477</v>
      </c>
      <c r="B44" t="inlineStr">
        <is>
          <t>ยาละลายเสมหะ (D)</t>
        </is>
      </c>
      <c r="C44" t="n">
        <v>7196</v>
      </c>
      <c r="D44" t="inlineStr">
        <is>
          <t>Mucoxine-F</t>
        </is>
      </c>
      <c r="E44" t="inlineStr">
        <is>
          <t>แผง 10 เม็ด</t>
        </is>
      </c>
      <c r="F44" t="inlineStr">
        <is>
          <t>Ambroxol HCl 30 mg.</t>
        </is>
      </c>
      <c r="G44" t="inlineStr">
        <is>
          <t>BDS007196</t>
        </is>
      </c>
      <c r="H44" t="inlineStr">
        <is>
          <t>Mucoxine-F (10 tabs)</t>
        </is>
      </c>
      <c r="I44" t="inlineStr">
        <is>
          <t>รับประทานครั้งละ 1-2 เม็ด วันละ 3 ครั้ง</t>
        </is>
      </c>
      <c r="P44" t="inlineStr">
        <is>
          <t>Cough medicines / mucolytics / expectorants</t>
        </is>
      </c>
    </row>
    <row r="45">
      <c r="A45" t="n">
        <v>478</v>
      </c>
      <c r="B45" t="inlineStr">
        <is>
          <t>ยาละลายเสมหะ (D)</t>
        </is>
      </c>
      <c r="C45" t="n">
        <v>7601</v>
      </c>
      <c r="D45" t="inlineStr">
        <is>
          <t>Polibroxol</t>
        </is>
      </c>
      <c r="E45" t="inlineStr">
        <is>
          <t>แผง 10 เม็ด</t>
        </is>
      </c>
      <c r="F45" t="inlineStr">
        <is>
          <t>Ambroxol HCl 30 mg.</t>
        </is>
      </c>
      <c r="G45" t="inlineStr">
        <is>
          <t>BDS007601</t>
        </is>
      </c>
      <c r="H45" t="inlineStr">
        <is>
          <t>Polibroxol (10 tabs)</t>
        </is>
      </c>
      <c r="I45" t="inlineStr">
        <is>
          <t>รับประทานครั้งละ 1-2 เม็ด วันละ 3 ครั้ง</t>
        </is>
      </c>
      <c r="P45" t="inlineStr">
        <is>
          <t>Cough medicines / mucolytics / expectorants</t>
        </is>
      </c>
    </row>
    <row r="46">
      <c r="A46" t="n">
        <v>486</v>
      </c>
      <c r="B46" t="inlineStr">
        <is>
          <t>ยาขับเสมหะ</t>
        </is>
      </c>
      <c r="C46" t="n">
        <v>48649</v>
      </c>
      <c r="D46" t="inlineStr">
        <is>
          <t>Tavipec cap</t>
        </is>
      </c>
      <c r="E46" t="inlineStr">
        <is>
          <t>แผง 10 แคปซูล</t>
        </is>
      </c>
      <c r="F46" t="inlineStr">
        <is>
          <t>Spike Lavender Oil 150 mg.</t>
        </is>
      </c>
      <c r="G46" t="inlineStr">
        <is>
          <t>BDS048649</t>
        </is>
      </c>
      <c r="H46" t="inlineStr">
        <is>
          <t>Tavipec cap (10 cap)</t>
        </is>
      </c>
      <c r="I46" t="inlineStr">
        <is>
          <t>รับประทานครั้งละ 1-2 แคปซูล วันละ 3 ครั้ง ก่อนอาหาร</t>
        </is>
      </c>
      <c r="P46" t="inlineStr">
        <is>
          <t>Cough medicines / mucolytics / expectorants</t>
        </is>
      </c>
    </row>
  </sheetData>
  <autoFilter ref="A1:P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125</v>
      </c>
      <c r="B2" t="inlineStr">
        <is>
          <t>ยาขยายหลอดลม (D)</t>
        </is>
      </c>
      <c r="C2" t="n">
        <v>8607</v>
      </c>
      <c r="D2" t="inlineStr">
        <is>
          <t>Durasal-CR 4 mg</t>
        </is>
      </c>
      <c r="E2" t="inlineStr">
        <is>
          <t>แผง 10 แคปซูล</t>
        </is>
      </c>
      <c r="F2" t="inlineStr">
        <is>
          <t>Salbutamol 4 mg.</t>
        </is>
      </c>
      <c r="G2" t="inlineStr">
        <is>
          <t>BDS008607</t>
        </is>
      </c>
      <c r="H2" t="inlineStr">
        <is>
          <t>Durasal-CR 4 mg (10 cap)</t>
        </is>
      </c>
      <c r="I2" t="inlineStr">
        <is>
          <t>รับประทานครั้งละ 1 แคปซูล วันละ 2 ครั้ง เช้า-เย็น</t>
        </is>
      </c>
      <c r="P2" t="inlineStr">
        <is>
          <t>Bronchodilators (inhalers/oral)</t>
        </is>
      </c>
    </row>
    <row r="3">
      <c r="A3" t="n">
        <v>126</v>
      </c>
      <c r="B3" t="inlineStr">
        <is>
          <t>ยาขยายหลอดลม (D)</t>
        </is>
      </c>
      <c r="C3" t="n">
        <v>2616</v>
      </c>
      <c r="D3" t="inlineStr">
        <is>
          <t>Meptin 50</t>
        </is>
      </c>
      <c r="E3" t="inlineStr">
        <is>
          <t>แผง 10 เม็ด</t>
        </is>
      </c>
      <c r="F3" t="inlineStr">
        <is>
          <t>Procaterol HCl 50 mcg.</t>
        </is>
      </c>
      <c r="G3" t="inlineStr">
        <is>
          <t>BDS002616</t>
        </is>
      </c>
      <c r="H3" t="inlineStr">
        <is>
          <t>Meptin 50 (10 tabs)</t>
        </is>
      </c>
      <c r="I3" t="inlineStr">
        <is>
          <t>รับประทานครั้งละ 1 เม็ด วันละ 2   ครั้ง เช้าและก่อนนอน</t>
        </is>
      </c>
      <c r="P3" t="inlineStr">
        <is>
          <t>Bronchodilators (inhalers/oral)</t>
        </is>
      </c>
    </row>
    <row r="4">
      <c r="A4" t="n">
        <v>127</v>
      </c>
      <c r="B4" t="inlineStr">
        <is>
          <t>ยาขยายหลอดลม (D)</t>
        </is>
      </c>
      <c r="C4" t="n">
        <v>2617</v>
      </c>
      <c r="D4" t="inlineStr">
        <is>
          <t>Meptin Mini 25</t>
        </is>
      </c>
      <c r="E4" t="inlineStr">
        <is>
          <t>แผง 10 เม็ด</t>
        </is>
      </c>
      <c r="F4" t="inlineStr">
        <is>
          <t>Procaterol HCl 25 mcg.</t>
        </is>
      </c>
      <c r="G4" t="inlineStr">
        <is>
          <t>BDS002617</t>
        </is>
      </c>
      <c r="H4" t="inlineStr">
        <is>
          <t>Meptin Mini 25 (10 tabs)</t>
        </is>
      </c>
      <c r="I4" t="inlineStr">
        <is>
          <t>รับประทานครั้งละ 1 เม็ด วันละ 2 ครั้ง เช้าและก่อนนอน</t>
        </is>
      </c>
      <c r="P4" t="inlineStr">
        <is>
          <t>Bronchodilators (inhalers/oral)</t>
        </is>
      </c>
    </row>
    <row r="5">
      <c r="A5" t="n">
        <v>128</v>
      </c>
      <c r="B5" t="inlineStr">
        <is>
          <t>ยาขยายหลอดลม (D)</t>
        </is>
      </c>
      <c r="C5" t="n">
        <v>2844</v>
      </c>
      <c r="D5" t="inlineStr">
        <is>
          <t>Nuelin SR</t>
        </is>
      </c>
      <c r="E5" t="inlineStr">
        <is>
          <t>แผง 20 เม็ด</t>
        </is>
      </c>
      <c r="F5" t="inlineStr">
        <is>
          <t>Theophylline 200 mg.</t>
        </is>
      </c>
      <c r="G5" t="inlineStr">
        <is>
          <t>BDS002844</t>
        </is>
      </c>
      <c r="H5" t="inlineStr">
        <is>
          <t>Nuelin SR (20 tabs)</t>
        </is>
      </c>
      <c r="I5" t="inlineStr">
        <is>
          <t>รับประทานครั้งละ 1 เม็ด วันละ 2 ครั้ง หลังอาหาร หรือตามแพทย์สั่ง</t>
        </is>
      </c>
      <c r="P5" t="inlineStr">
        <is>
          <t>Bronchodilators (inhalers/oral)</t>
        </is>
      </c>
    </row>
    <row r="6">
      <c r="A6" t="n">
        <v>129</v>
      </c>
      <c r="B6" t="inlineStr">
        <is>
          <t>ยาขยายหลอดลม (D)</t>
        </is>
      </c>
      <c r="C6" t="n">
        <v>3708</v>
      </c>
      <c r="D6" t="inlineStr">
        <is>
          <t>Terbuhim</t>
        </is>
      </c>
      <c r="E6" t="inlineStr">
        <is>
          <t>แผง 10 เม็ด</t>
        </is>
      </c>
      <c r="F6" t="inlineStr">
        <is>
          <t>Terbutaline sulfate 2.5 mg</t>
        </is>
      </c>
      <c r="G6" t="inlineStr">
        <is>
          <t>BDS003708</t>
        </is>
      </c>
      <c r="H6" t="inlineStr">
        <is>
          <t>Terbuhim (10 tabs)</t>
        </is>
      </c>
      <c r="I6" t="inlineStr">
        <is>
          <t>รับประทานครั้งละ 1 เม็ด วันละ 3 ครั้ง หลังอาหาร</t>
        </is>
      </c>
      <c r="P6" t="inlineStr">
        <is>
          <t>Bronchodilators (inhalers/oral)</t>
        </is>
      </c>
    </row>
    <row r="7">
      <c r="A7" t="n">
        <v>272</v>
      </c>
      <c r="B7" t="inlineStr">
        <is>
          <t>ยาขยายหลอดลม ชนิดน้ำ (D)</t>
        </is>
      </c>
      <c r="C7" t="n">
        <v>1458</v>
      </c>
      <c r="D7" t="inlineStr">
        <is>
          <t>Asthmasian Expectorant Syrup</t>
        </is>
      </c>
      <c r="E7" t="inlineStr">
        <is>
          <t>ขวด 60 ml.</t>
        </is>
      </c>
      <c r="F7" t="inlineStr">
        <is>
          <t>Terbutaline sulfate 1.5 mg.+Glyceryl guaiacolate 100 mg.</t>
        </is>
      </c>
      <c r="G7" t="inlineStr">
        <is>
          <t>BDS001458</t>
        </is>
      </c>
      <c r="H7" t="inlineStr">
        <is>
          <t>Asthmasian Expectorant Syrup (60 ml.)</t>
        </is>
      </c>
      <c r="I7" t="inlineStr">
        <is>
          <t>เด็กโตรับประทานครั้งละ 1-2 ช้อนชา วันละ 3 ครั้ง</t>
        </is>
      </c>
      <c r="P7" t="inlineStr">
        <is>
          <t>Bronchodilators (inhalers/oral)</t>
        </is>
      </c>
    </row>
    <row r="8">
      <c r="A8" t="n">
        <v>273</v>
      </c>
      <c r="B8" t="inlineStr">
        <is>
          <t>ยาขยายหลอดลม ชนิดน้ำ (D)</t>
        </is>
      </c>
      <c r="C8" t="n">
        <v>2618</v>
      </c>
      <c r="D8" t="inlineStr">
        <is>
          <t>Meptin น้ำ มีกล่อง</t>
        </is>
      </c>
      <c r="E8" t="inlineStr">
        <is>
          <t>ขวด 60 ml.</t>
        </is>
      </c>
      <c r="F8" t="inlineStr">
        <is>
          <t xml:space="preserve">Procaterol HCl 5 mcg./1 ml.  </t>
        </is>
      </c>
      <c r="G8" t="inlineStr">
        <is>
          <t>BDS002618</t>
        </is>
      </c>
      <c r="H8" t="inlineStr">
        <is>
          <t>Meptin น้ำ มีกล่อง (60 ml.)</t>
        </is>
      </c>
      <c r="I8" t="inlineStr">
        <is>
          <t>รับประทานครั้งละ 1-2 ช้อนชา วันละ 2 ครั้ง</t>
        </is>
      </c>
      <c r="P8" t="inlineStr">
        <is>
          <t>Bronchodilators (inhalers/oral)</t>
        </is>
      </c>
    </row>
    <row r="9">
      <c r="A9" t="n">
        <v>274</v>
      </c>
      <c r="B9" t="inlineStr">
        <is>
          <t>ยาขยายหลอดลม ชนิดน้ำ (D)</t>
        </is>
      </c>
      <c r="C9" t="n">
        <v>3645</v>
      </c>
      <c r="D9" t="inlineStr">
        <is>
          <t>Salbulin Syrup</t>
        </is>
      </c>
      <c r="E9" t="inlineStr">
        <is>
          <t>ขวด 60 ml.</t>
        </is>
      </c>
      <c r="F9" t="inlineStr">
        <is>
          <t>Salbutamol 2.4 mg./5 ml.</t>
        </is>
      </c>
      <c r="G9" t="inlineStr">
        <is>
          <t>BDS003645</t>
        </is>
      </c>
      <c r="H9" t="inlineStr">
        <is>
          <t>Salbulin Syrup (60 ml.)</t>
        </is>
      </c>
      <c r="I9" t="inlineStr">
        <is>
          <t>เด็กโตรับประทานครั้งละ 1 ช้อนชา วันละ 3 ครั้ง หรือตามแพทย์สั่ง</t>
        </is>
      </c>
      <c r="P9" t="inlineStr">
        <is>
          <t>Bronchodilators (inhalers/oral)</t>
        </is>
      </c>
    </row>
    <row r="10">
      <c r="A10" t="n">
        <v>275</v>
      </c>
      <c r="B10" t="inlineStr">
        <is>
          <t>ยาขยายหลอดลม ชนิดน้ำ (D)</t>
        </is>
      </c>
      <c r="C10" t="n">
        <v>3589</v>
      </c>
      <c r="D10" t="inlineStr">
        <is>
          <t>Salmol Syrup</t>
        </is>
      </c>
      <c r="E10" t="inlineStr">
        <is>
          <t>ขวด 60 ml.</t>
        </is>
      </c>
      <c r="F10" t="inlineStr">
        <is>
          <t>Salbutamol 2 mg./5 ml.</t>
        </is>
      </c>
      <c r="G10" t="inlineStr">
        <is>
          <t>BDS003589</t>
        </is>
      </c>
      <c r="H10" t="inlineStr">
        <is>
          <t>Salmol Syrup (60 ml.)</t>
        </is>
      </c>
      <c r="I10" t="inlineStr">
        <is>
          <t>เด็กโตรับประทานครั้งละ 1 ช้อนชา วันละ 3-4 ครั้ง หรือตามแพทย์สั่ง</t>
        </is>
      </c>
      <c r="P10" t="inlineStr">
        <is>
          <t>Bronchodilators (inhalers/oral)</t>
        </is>
      </c>
    </row>
  </sheetData>
  <autoFilter ref="A1:P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138</v>
      </c>
      <c r="B2" t="inlineStr">
        <is>
          <t>ยาขับลม</t>
        </is>
      </c>
      <c r="C2" t="n">
        <v>1079</v>
      </c>
      <c r="D2" t="inlineStr">
        <is>
          <t>Air-X 120</t>
        </is>
      </c>
      <c r="E2" t="inlineStr">
        <is>
          <t>แผง 10 เม็ด</t>
        </is>
      </c>
      <c r="F2" t="inlineStr">
        <is>
          <t>Simethicone 120 mg.</t>
        </is>
      </c>
      <c r="G2" t="inlineStr">
        <is>
          <t>BDS001079</t>
        </is>
      </c>
      <c r="H2" t="inlineStr">
        <is>
          <t>Air-X 120 (10 tabs)</t>
        </is>
      </c>
      <c r="I2" t="inlineStr">
        <is>
          <t>รับประทาน (เคี้ยว) ครั้งละ 1 เม็ด วันละ 3-4 ครั้ง</t>
        </is>
      </c>
      <c r="P2" t="inlineStr">
        <is>
          <t>Carminatives (gas relief)</t>
        </is>
      </c>
    </row>
    <row r="3">
      <c r="A3" t="n">
        <v>139</v>
      </c>
      <c r="B3" t="inlineStr">
        <is>
          <t>ยาขับลม</t>
        </is>
      </c>
      <c r="C3" t="n">
        <v>6054</v>
      </c>
      <c r="D3" t="inlineStr">
        <is>
          <t>Gogaz</t>
        </is>
      </c>
      <c r="E3" t="inlineStr">
        <is>
          <t>กล่อง 10 แคปซูล</t>
        </is>
      </c>
      <c r="F3" t="inlineStr">
        <is>
          <t>Simethicone 200 mg.</t>
        </is>
      </c>
      <c r="G3" t="inlineStr">
        <is>
          <t>BDS006054</t>
        </is>
      </c>
      <c r="H3" t="inlineStr">
        <is>
          <t>Gogaz (10 cap)</t>
        </is>
      </c>
      <c r="I3" t="inlineStr">
        <is>
          <t>รับประทานครั้งละ 1 แคปซูล วันละ 1-2 ครั้ง หลังอาหาร หรือก่อนนอน หรือตามแพทย์สั่ง</t>
        </is>
      </c>
      <c r="P3" t="inlineStr">
        <is>
          <t>Carminatives (gas relief)</t>
        </is>
      </c>
    </row>
    <row r="4">
      <c r="A4" t="n">
        <v>140</v>
      </c>
      <c r="B4" t="inlineStr">
        <is>
          <t>ยาขับลม</t>
        </is>
      </c>
      <c r="C4" t="n">
        <v>8682</v>
      </c>
      <c r="D4" t="inlineStr">
        <is>
          <t>Pudin Hara</t>
        </is>
      </c>
      <c r="E4" t="inlineStr">
        <is>
          <t>แผง 10 แคปซูล</t>
        </is>
      </c>
      <c r="F4" t="inlineStr">
        <is>
          <t>Peppermint Oil 150 mg.+Spearmint Oil 30 mg.</t>
        </is>
      </c>
      <c r="G4" t="inlineStr">
        <is>
          <t>BDS008682</t>
        </is>
      </c>
      <c r="H4" t="inlineStr">
        <is>
          <t>Pudin Hara (10 cap)</t>
        </is>
      </c>
      <c r="I4" t="inlineStr">
        <is>
          <t xml:space="preserve">รับประทานครั้งละ 2 แคปซูล หลังอาหาร พร้อมน้ำ 1 แก้ว </t>
        </is>
      </c>
      <c r="P4" t="inlineStr">
        <is>
          <t>Carminatives (gas relief)</t>
        </is>
      </c>
    </row>
    <row r="5">
      <c r="A5" t="n">
        <v>141</v>
      </c>
      <c r="B5" t="inlineStr">
        <is>
          <t>ยาขับลม</t>
        </is>
      </c>
      <c r="C5" t="n">
        <v>47683</v>
      </c>
      <c r="D5" t="inlineStr">
        <is>
          <t>Soda Mint</t>
        </is>
      </c>
      <c r="E5" t="inlineStr">
        <is>
          <t>แผง 10 เม็ด</t>
        </is>
      </c>
      <c r="F5" t="inlineStr">
        <is>
          <t>Sodium bicarbonate 300 mg+Peppermint Oil 0.003 ml</t>
        </is>
      </c>
      <c r="G5" t="inlineStr">
        <is>
          <t>BDS047683</t>
        </is>
      </c>
      <c r="H5" t="inlineStr">
        <is>
          <t>Soda Mint (10 tabs)</t>
        </is>
      </c>
      <c r="I5" t="inlineStr">
        <is>
          <t>รับประทานครั้งละ 2 เม็ด วันละ 2-4 ครั้ง ก่อนอาหาร หรือตามแพทย์สั่ง</t>
        </is>
      </c>
      <c r="P5" t="inlineStr">
        <is>
          <t>Carminatives (gas relief)</t>
        </is>
      </c>
    </row>
    <row r="6">
      <c r="A6" t="n">
        <v>142</v>
      </c>
      <c r="B6" t="inlineStr">
        <is>
          <t>ยาขับลม</t>
        </is>
      </c>
      <c r="C6" t="n">
        <v>3910</v>
      </c>
      <c r="D6" t="inlineStr">
        <is>
          <t>V-Cap</t>
        </is>
      </c>
      <c r="E6" t="inlineStr">
        <is>
          <t>แผง 10 แคปซูล</t>
        </is>
      </c>
      <c r="F6" t="inlineStr">
        <is>
          <t>Simethicone 150 mg.</t>
        </is>
      </c>
      <c r="G6" t="inlineStr">
        <is>
          <t>BDS003910</t>
        </is>
      </c>
      <c r="H6" t="inlineStr">
        <is>
          <t>V-Cap (10 cap)</t>
        </is>
      </c>
      <c r="I6" t="inlineStr">
        <is>
          <t>รับประทานครั้งละ 1 แคปซูล วันละ 3 ครั้ง</t>
        </is>
      </c>
      <c r="P6" t="inlineStr">
        <is>
          <t>Carminatives (gas relief)</t>
        </is>
      </c>
    </row>
    <row r="7">
      <c r="A7" t="n">
        <v>293</v>
      </c>
      <c r="B7" t="inlineStr">
        <is>
          <t>ยาขับลม ชนิดน้ำ (D)</t>
        </is>
      </c>
      <c r="C7" t="n">
        <v>8034</v>
      </c>
      <c r="D7" t="inlineStr">
        <is>
          <t>Berclomine Syrup</t>
        </is>
      </c>
      <c r="E7" t="inlineStr">
        <is>
          <t>ขวด 60 ml.</t>
        </is>
      </c>
      <c r="F7" t="inlineStr">
        <is>
          <t>Dicyclomine 5 mg.+Simethicone 50 mg./5 ml.</t>
        </is>
      </c>
      <c r="G7" t="inlineStr">
        <is>
          <t>BDS008034</t>
        </is>
      </c>
      <c r="H7" t="inlineStr">
        <is>
          <t>Berclomine Syrup (60 ml.)</t>
        </is>
      </c>
      <c r="I7" t="inlineStr">
        <is>
          <t>รับประทานครั้งละ 1 ช้อนชา วันละ 4 ครั้ง ก่อนอาหาร</t>
        </is>
      </c>
      <c r="P7" t="inlineStr">
        <is>
          <t>Carminatives (gas relief)</t>
        </is>
      </c>
    </row>
    <row r="8">
      <c r="A8" t="n">
        <v>330</v>
      </c>
      <c r="B8" t="inlineStr">
        <is>
          <t>ยาขับลม ชนิดน้ำ</t>
        </is>
      </c>
      <c r="C8" t="n">
        <v>1013</v>
      </c>
      <c r="D8" t="inlineStr">
        <is>
          <t>Air-X Drops</t>
        </is>
      </c>
      <c r="E8" t="inlineStr">
        <is>
          <t>ขวด 15 ml.</t>
        </is>
      </c>
      <c r="F8" t="inlineStr">
        <is>
          <t>Simethicone 40 mg./0.6 ml.</t>
        </is>
      </c>
      <c r="G8" t="inlineStr">
        <is>
          <t>BDS001013</t>
        </is>
      </c>
      <c r="H8" t="inlineStr">
        <is>
          <t>Air-X Drops (15 ml.)</t>
        </is>
      </c>
      <c r="I8" t="inlineStr">
        <is>
          <t>รับประทานครั้งละ 0.3 ml. วันละ 3 ครั้ง หลังอาหาร</t>
        </is>
      </c>
      <c r="P8" t="inlineStr">
        <is>
          <t>Carminatives (gas relief)</t>
        </is>
      </c>
    </row>
    <row r="9">
      <c r="A9" t="n">
        <v>331</v>
      </c>
      <c r="B9" t="inlineStr">
        <is>
          <t>ยาขับลม ชนิดน้ำ</t>
        </is>
      </c>
      <c r="C9" t="n">
        <v>2631</v>
      </c>
      <c r="D9" t="inlineStr">
        <is>
          <t>Mixt.Carminative (GPO) 180 ml</t>
        </is>
      </c>
      <c r="E9" t="inlineStr">
        <is>
          <t>ขวด 180 ml.</t>
        </is>
      </c>
      <c r="F9" t="inlineStr">
        <is>
          <t>Cardamon Tincture 1.80 ml.+Capsicum Tincture 0.06 ml.+Ginger Tincture 0.024 ml./15 ml.</t>
        </is>
      </c>
      <c r="G9" t="inlineStr">
        <is>
          <t>BDS002631</t>
        </is>
      </c>
      <c r="H9" t="inlineStr">
        <is>
          <t>Mixt.Carminative (GPO) 180 ml (180 ml.)</t>
        </is>
      </c>
      <c r="I9" t="inlineStr">
        <is>
          <t>รับประทานครั้งละ 1 ช้อนโต๊ะ วันละ 3-4 ครั้ง หลังอาหาร หรือเมื่อมีอาการ</t>
        </is>
      </c>
      <c r="P9" t="inlineStr">
        <is>
          <t>Carminatives (gas relief)</t>
        </is>
      </c>
    </row>
    <row r="10">
      <c r="A10" t="n">
        <v>332</v>
      </c>
      <c r="B10" t="inlineStr">
        <is>
          <t>ยาขับลม ชนิดน้ำ</t>
        </is>
      </c>
      <c r="C10" t="n">
        <v>2632</v>
      </c>
      <c r="D10" t="inlineStr">
        <is>
          <t>Mixt.Carminative (GPO) 450 ml</t>
        </is>
      </c>
      <c r="E10" t="inlineStr">
        <is>
          <t>ขวด 450 ml.</t>
        </is>
      </c>
      <c r="F10" t="inlineStr">
        <is>
          <t>Cardamon Tincture 1.80 ml.+Capsicum Tincture 0.06 ml.+Ginger Tincture 0.024 ml./15 ml.</t>
        </is>
      </c>
      <c r="G10" t="inlineStr">
        <is>
          <t>BDS002632</t>
        </is>
      </c>
      <c r="H10" t="inlineStr">
        <is>
          <t>Mixt.Carminative (GPO) 450 ml (450 ml.)</t>
        </is>
      </c>
      <c r="I10" t="inlineStr">
        <is>
          <t>รับประทานครั้งละ 1 ช้อนโต๊ะ วันละ 3-4 ครั้ง หลังอาหาร หรือเมื่อมีอาการ</t>
        </is>
      </c>
      <c r="P10" t="inlineStr">
        <is>
          <t>Carminatives (gas relief)</t>
        </is>
      </c>
    </row>
    <row r="11">
      <c r="A11" t="n">
        <v>333</v>
      </c>
      <c r="B11" t="inlineStr">
        <is>
          <t>ยาขับลม ชนิดน้ำ</t>
        </is>
      </c>
      <c r="C11" t="n">
        <v>7967</v>
      </c>
      <c r="D11" t="inlineStr">
        <is>
          <t>Ziga Gas</t>
        </is>
      </c>
      <c r="E11" t="inlineStr">
        <is>
          <t>ขวด 240 ml.</t>
        </is>
      </c>
      <c r="F11" t="inlineStr">
        <is>
          <t>เปล้าน้อย+สมุลแว้ง+ขมิ้นชัน+กานพลู+ลูกกระวาน+เกล็ดสะระแหน่</t>
        </is>
      </c>
      <c r="G11" t="inlineStr">
        <is>
          <t>BDS007967</t>
        </is>
      </c>
      <c r="H11" t="inlineStr">
        <is>
          <t>Ziga Gas (240 ml.)</t>
        </is>
      </c>
      <c r="I11" t="inlineStr">
        <is>
          <t>รับประทานครั้งละ 1-2 ช้อนโต๊ะ วันละ 3-4 ครั้ง หลังอาหาร และก่อนนอน</t>
        </is>
      </c>
      <c r="P11" t="inlineStr">
        <is>
          <t>Carminatives (gas relief)</t>
        </is>
      </c>
    </row>
    <row r="12">
      <c r="A12" t="n">
        <v>412</v>
      </c>
      <c r="B12" t="inlineStr">
        <is>
          <t>ยาขับลม (D)</t>
        </is>
      </c>
      <c r="C12" t="n">
        <v>1038</v>
      </c>
      <c r="D12" t="inlineStr">
        <is>
          <t>Avarin</t>
        </is>
      </c>
      <c r="E12" t="inlineStr">
        <is>
          <t>กล่อง 10 แคปซูล</t>
        </is>
      </c>
      <c r="F12" t="inlineStr">
        <is>
          <t>Simethicone 300 mg.+Alverine Citrate 60 mg.</t>
        </is>
      </c>
      <c r="G12" t="inlineStr">
        <is>
          <t>BDS001038</t>
        </is>
      </c>
      <c r="H12" t="inlineStr">
        <is>
          <t>Avarin (10 cap)</t>
        </is>
      </c>
      <c r="I12" t="inlineStr">
        <is>
          <t>รับประทานครั้งละ 1 แคปซูล วันละ 3  ครั้ง หลังอาหาร</t>
        </is>
      </c>
      <c r="P12" t="inlineStr">
        <is>
          <t>Carminatives (gas relief)</t>
        </is>
      </c>
    </row>
    <row r="13">
      <c r="A13" t="n">
        <v>413</v>
      </c>
      <c r="B13" t="inlineStr">
        <is>
          <t>ยาขับลม (D)</t>
        </is>
      </c>
      <c r="C13" t="n">
        <v>1234</v>
      </c>
      <c r="D13" t="inlineStr">
        <is>
          <t>Berclomin tabs</t>
        </is>
      </c>
      <c r="E13" t="inlineStr">
        <is>
          <t>แผง 10 เม็ด</t>
        </is>
      </c>
      <c r="F13" t="inlineStr">
        <is>
          <t>Dicyclomine 10 mg.+Simethicone 100 mg.</t>
        </is>
      </c>
      <c r="G13" t="inlineStr">
        <is>
          <t>BDS001234</t>
        </is>
      </c>
      <c r="H13" t="inlineStr">
        <is>
          <t>Berclomin tabs (10 tabs)</t>
        </is>
      </c>
      <c r="I13" t="inlineStr">
        <is>
          <t>รับประทานครั้งละ 1-2 เม็ด วันละ 3-4 ครั้ง ก่อนอาหาร</t>
        </is>
      </c>
      <c r="P13" t="inlineStr">
        <is>
          <t>Carminatives (gas relief)</t>
        </is>
      </c>
    </row>
    <row r="14">
      <c r="A14" t="n">
        <v>414</v>
      </c>
      <c r="B14" t="inlineStr">
        <is>
          <t>ยาขับลม (D)</t>
        </is>
      </c>
      <c r="C14" t="n">
        <v>44943</v>
      </c>
      <c r="D14" t="inlineStr">
        <is>
          <t xml:space="preserve">Meteospasmyl </t>
        </is>
      </c>
      <c r="E14" t="inlineStr">
        <is>
          <t>แผง 10 เม็ด</t>
        </is>
      </c>
      <c r="F14" t="inlineStr">
        <is>
          <t>Alverine Citrate 60 mg +Simethicone 300 mg</t>
        </is>
      </c>
      <c r="G14" t="inlineStr">
        <is>
          <t>BDS044943</t>
        </is>
      </c>
      <c r="H14" t="inlineStr">
        <is>
          <t>Meteospasmyl  (10 tabs)</t>
        </is>
      </c>
      <c r="I14" t="inlineStr">
        <is>
          <t>รับประทานครั้งละ 1 แคปซูล วันละ 3  ครั้ง หลังอาหาร</t>
        </is>
      </c>
      <c r="P14" t="inlineStr">
        <is>
          <t>Carminatives (gas relief)</t>
        </is>
      </c>
    </row>
    <row r="15">
      <c r="A15" t="n">
        <v>493</v>
      </c>
      <c r="B15" t="inlineStr">
        <is>
          <t>ยาขับลม (OTC)</t>
        </is>
      </c>
      <c r="C15" t="n">
        <v>1014</v>
      </c>
      <c r="D15" t="inlineStr">
        <is>
          <t>Air-X</t>
        </is>
      </c>
      <c r="E15" t="inlineStr">
        <is>
          <t>แผง 10 เม็ด</t>
        </is>
      </c>
      <c r="F15" t="inlineStr">
        <is>
          <t>Simethicone 80 mg.</t>
        </is>
      </c>
      <c r="G15" t="inlineStr">
        <is>
          <t>BDS001014</t>
        </is>
      </c>
      <c r="H15" t="inlineStr">
        <is>
          <t>Air-X (10 tabs)</t>
        </is>
      </c>
      <c r="I15" t="inlineStr">
        <is>
          <t>รับประทาน (เคี้ยว) ครั้งละ 1-2 เม็ด วันละ 3-4 ครั้ง หลังอาหาร</t>
        </is>
      </c>
      <c r="P15" t="inlineStr">
        <is>
          <t>Carminatives (gas relief)</t>
        </is>
      </c>
    </row>
    <row r="16">
      <c r="A16" t="n">
        <v>494</v>
      </c>
      <c r="B16" t="inlineStr">
        <is>
          <t>ยาขับลม (OTC)</t>
        </is>
      </c>
      <c r="C16" t="n">
        <v>1089</v>
      </c>
      <c r="D16" t="inlineStr">
        <is>
          <t>Air-X Lemon</t>
        </is>
      </c>
      <c r="E16" t="inlineStr">
        <is>
          <t>แผง 10 เม็ด</t>
        </is>
      </c>
      <c r="F16" t="inlineStr">
        <is>
          <t>Simethicone 80 mg.</t>
        </is>
      </c>
      <c r="G16" t="inlineStr">
        <is>
          <t>BDS001089</t>
        </is>
      </c>
      <c r="H16" t="inlineStr">
        <is>
          <t>Air-X Lemon (10 tabs)</t>
        </is>
      </c>
      <c r="I16" t="inlineStr">
        <is>
          <t>รับประทาน (เคี้ยว) ครั้งละ 1-2 เม็ด วันละ 3-4 ครั้ง</t>
        </is>
      </c>
      <c r="P16" t="inlineStr">
        <is>
          <t>Carminatives (gas relief)</t>
        </is>
      </c>
    </row>
    <row r="17">
      <c r="A17" t="n">
        <v>495</v>
      </c>
      <c r="B17" t="inlineStr">
        <is>
          <t>ยาขับลม (OTC)</t>
        </is>
      </c>
      <c r="C17" t="n">
        <v>1085</v>
      </c>
      <c r="D17" t="inlineStr">
        <is>
          <t>Air-X Orange</t>
        </is>
      </c>
      <c r="E17" t="inlineStr">
        <is>
          <t>แผง 10 เม็ด</t>
        </is>
      </c>
      <c r="F17" t="inlineStr">
        <is>
          <t>Simethicone 80 mg.</t>
        </is>
      </c>
      <c r="G17" t="inlineStr">
        <is>
          <t>BDS001085</t>
        </is>
      </c>
      <c r="H17" t="inlineStr">
        <is>
          <t>Air-X Orange (10 tabs)</t>
        </is>
      </c>
      <c r="I17" t="inlineStr">
        <is>
          <t>รับประทาน (เคี้ยว) ครั้งละ 2 เม็ด วันละ 3-4 ครั้ง</t>
        </is>
      </c>
      <c r="P17" t="inlineStr">
        <is>
          <t>Carminatives (gas relief)</t>
        </is>
      </c>
    </row>
    <row r="18">
      <c r="A18" t="n">
        <v>496</v>
      </c>
      <c r="B18" t="inlineStr">
        <is>
          <t>ยาขับลม (OTC)</t>
        </is>
      </c>
      <c r="C18" t="n">
        <v>1088</v>
      </c>
      <c r="D18" t="inlineStr">
        <is>
          <t>Air-X Sugar Free</t>
        </is>
      </c>
      <c r="E18" t="inlineStr">
        <is>
          <t>แผง 10 เม็ด</t>
        </is>
      </c>
      <c r="F18" t="inlineStr">
        <is>
          <t>Simethicone 40 mg.</t>
        </is>
      </c>
      <c r="G18" t="inlineStr">
        <is>
          <t>BDS001088</t>
        </is>
      </c>
      <c r="H18" t="inlineStr">
        <is>
          <t>Air-X Sugar Free (10 tabs)</t>
        </is>
      </c>
      <c r="I18" t="inlineStr">
        <is>
          <t>รับประทาน (เคี้ยว) ครั้งละ 1-2 เม็ด วันละ 3-4 ครั้ง หลังอาหาร</t>
        </is>
      </c>
      <c r="P18" t="inlineStr">
        <is>
          <t>Carminatives (gas relief)</t>
        </is>
      </c>
    </row>
    <row r="19">
      <c r="A19" t="n">
        <v>497</v>
      </c>
      <c r="B19" t="inlineStr">
        <is>
          <t>ยาขับลม (OTC)</t>
        </is>
      </c>
      <c r="C19" t="n">
        <v>1641</v>
      </c>
      <c r="D19" t="inlineStr">
        <is>
          <t>Dioxzye</t>
        </is>
      </c>
      <c r="E19" t="inlineStr">
        <is>
          <t>แผง 10 เม็ด</t>
        </is>
      </c>
      <c r="F19" t="inlineStr">
        <is>
          <t>Simethicone 80 mg.</t>
        </is>
      </c>
      <c r="G19" t="inlineStr">
        <is>
          <t>BDS001641</t>
        </is>
      </c>
      <c r="H19" t="inlineStr">
        <is>
          <t>Dioxzye (10 tabs)</t>
        </is>
      </c>
      <c r="I19" t="inlineStr">
        <is>
          <t>รับประทาน (เคี้ยว) ครั้งละ 2 เม็ด วันละ3-4 ครั้ง หลังอาหาร</t>
        </is>
      </c>
      <c r="P19" t="inlineStr">
        <is>
          <t>Carminatives (gas relief)</t>
        </is>
      </c>
    </row>
  </sheetData>
  <autoFilter ref="A1:P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143</v>
      </c>
      <c r="B2" t="inlineStr">
        <is>
          <t>ยาต้านเชื้อรา (D)</t>
        </is>
      </c>
      <c r="C2" t="n">
        <v>40602</v>
      </c>
      <c r="D2" t="inlineStr">
        <is>
          <t>Biozole 150 mg</t>
        </is>
      </c>
      <c r="E2" t="inlineStr">
        <is>
          <t>กล่อง 1 แคปซูล</t>
        </is>
      </c>
      <c r="F2" t="inlineStr">
        <is>
          <t>Fluconazole 150 mg.</t>
        </is>
      </c>
      <c r="G2" t="inlineStr">
        <is>
          <t>BDS040602</t>
        </is>
      </c>
      <c r="H2" t="inlineStr">
        <is>
          <t>Biozole 150 mg (1 cap)</t>
        </is>
      </c>
      <c r="I2" t="inlineStr">
        <is>
          <t>รับประทานครั้งละ 1 แคปซูล วันละ 1 ครั้ง หลังอาหาร หรือตามแพทย์สั่ง</t>
        </is>
      </c>
      <c r="P2" t="inlineStr">
        <is>
          <t>Antifungals (oral/topical)</t>
        </is>
      </c>
    </row>
    <row r="3">
      <c r="A3" t="n">
        <v>144</v>
      </c>
      <c r="B3" t="inlineStr">
        <is>
          <t>ยาต้านเชื้อรา (D)</t>
        </is>
      </c>
      <c r="C3" t="n">
        <v>7128</v>
      </c>
      <c r="D3" t="inlineStr">
        <is>
          <t>Funa 200 mg</t>
        </is>
      </c>
      <c r="E3" t="inlineStr">
        <is>
          <t>กล่อง 1 แคปซูล</t>
        </is>
      </c>
      <c r="F3" t="inlineStr">
        <is>
          <t>Fluconazole 200 mg.</t>
        </is>
      </c>
      <c r="G3" t="inlineStr">
        <is>
          <t>BDS007128</t>
        </is>
      </c>
      <c r="H3" t="inlineStr">
        <is>
          <t>Funa 200 mg (1 cap)</t>
        </is>
      </c>
      <c r="I3" t="inlineStr">
        <is>
          <t>รับประทานครั้งละ 1 แคปซูล วันละ 1 ครั้ง หลังอาหาร</t>
        </is>
      </c>
      <c r="P3" t="inlineStr">
        <is>
          <t>Antifungals (oral/topical)</t>
        </is>
      </c>
    </row>
    <row r="4">
      <c r="A4" t="n">
        <v>145</v>
      </c>
      <c r="B4" t="inlineStr">
        <is>
          <t>ยาต้านเชื้อรา (D)</t>
        </is>
      </c>
      <c r="C4" t="n">
        <v>7572</v>
      </c>
      <c r="D4" t="inlineStr">
        <is>
          <t>J.V.Nazole</t>
        </is>
      </c>
      <c r="E4" t="inlineStr">
        <is>
          <t>แผง 10 เม็ด</t>
        </is>
      </c>
      <c r="F4" t="inlineStr">
        <is>
          <t>Ketoconazole 200 mg.</t>
        </is>
      </c>
      <c r="G4" t="inlineStr">
        <is>
          <t>BDS007572</t>
        </is>
      </c>
      <c r="H4" t="inlineStr">
        <is>
          <t>J.V.Nazole (10 tabs)</t>
        </is>
      </c>
      <c r="P4" t="inlineStr">
        <is>
          <t>Antifungals (oral/topical)</t>
        </is>
      </c>
    </row>
    <row r="5">
      <c r="A5" t="n">
        <v>146</v>
      </c>
      <c r="B5" t="inlineStr">
        <is>
          <t>ยาต้านเชื้อรา (D)</t>
        </is>
      </c>
      <c r="C5" t="n">
        <v>2826</v>
      </c>
      <c r="D5" t="inlineStr">
        <is>
          <t>Ninazol T.O.</t>
        </is>
      </c>
      <c r="E5" t="inlineStr">
        <is>
          <t>แผง 10 เม็ด</t>
        </is>
      </c>
      <c r="F5" t="inlineStr">
        <is>
          <t>Ketoconazole 200 mg.</t>
        </is>
      </c>
      <c r="G5" t="inlineStr">
        <is>
          <t>BDS002826</t>
        </is>
      </c>
      <c r="H5" t="inlineStr">
        <is>
          <t>Ninazol T.O. (10 tabs)</t>
        </is>
      </c>
      <c r="I5" t="inlineStr">
        <is>
          <t>รับประทานครั้งละ 1 เม็ด วันละ 1 ครั้ง หลังอาหาร</t>
        </is>
      </c>
      <c r="P5" t="inlineStr">
        <is>
          <t>Antifungals (oral/topical)</t>
        </is>
      </c>
    </row>
    <row r="6">
      <c r="A6" t="n">
        <v>147</v>
      </c>
      <c r="B6" t="inlineStr">
        <is>
          <t>ยาต้านเชื้อรา (D)</t>
        </is>
      </c>
      <c r="C6" t="n">
        <v>45631</v>
      </c>
      <c r="D6" t="inlineStr">
        <is>
          <t>Nyst Oral</t>
        </is>
      </c>
      <c r="E6" t="inlineStr">
        <is>
          <t>ขวด 12 ml.</t>
        </is>
      </c>
      <c r="F6" t="inlineStr">
        <is>
          <t>Nystatin 100,000 Unit/1 ml.</t>
        </is>
      </c>
      <c r="G6" t="inlineStr">
        <is>
          <t>BDS045631</t>
        </is>
      </c>
      <c r="H6" t="inlineStr">
        <is>
          <t>Nyst Oral (12 ml.)</t>
        </is>
      </c>
      <c r="I6" t="inlineStr">
        <is>
          <t>รับประทานครั้งละ 1 หลอดหยด วันละ 4 ครั้ง หลังอาหารและก่อนนอน</t>
        </is>
      </c>
      <c r="P6" t="inlineStr">
        <is>
          <t>Antifungals (oral/topical)</t>
        </is>
      </c>
    </row>
    <row r="7">
      <c r="A7" t="n">
        <v>148</v>
      </c>
      <c r="B7" t="inlineStr">
        <is>
          <t>ยาต้านเชื้อรา (D)</t>
        </is>
      </c>
      <c r="C7" t="n">
        <v>3653</v>
      </c>
      <c r="D7" t="inlineStr">
        <is>
          <t>Spornar</t>
        </is>
      </c>
      <c r="E7" t="inlineStr">
        <is>
          <t>กล่อง 10 แคปซูล</t>
        </is>
      </c>
      <c r="F7" t="inlineStr">
        <is>
          <t>Itraconazole 100 mg.</t>
        </is>
      </c>
      <c r="G7" t="inlineStr">
        <is>
          <t>BDS003653</t>
        </is>
      </c>
      <c r="H7" t="inlineStr">
        <is>
          <t>Spornar (10 cap)</t>
        </is>
      </c>
      <c r="I7" t="inlineStr">
        <is>
          <t>รับประทานครั้งละ 1 แคปซูล วันละ 1 ครั้ง หลังอาหาร หรือตามแพทย์สั่ง</t>
        </is>
      </c>
      <c r="P7" t="inlineStr">
        <is>
          <t>Antifungals (oral/topical)</t>
        </is>
      </c>
    </row>
    <row r="8">
      <c r="A8" t="n">
        <v>715</v>
      </c>
      <c r="B8" t="inlineStr">
        <is>
          <t>ยาทาฆ่าเชื้อราและแก้คัน (D)</t>
        </is>
      </c>
      <c r="C8" t="n">
        <v>1491</v>
      </c>
      <c r="D8" t="inlineStr">
        <is>
          <t>Canasone C.B. Cream</t>
        </is>
      </c>
      <c r="E8" t="inlineStr">
        <is>
          <t>หลอด 15 g.</t>
        </is>
      </c>
      <c r="F8" t="inlineStr">
        <is>
          <t>Clotrimazole 1%+Betamethasone Dipropionate (eq. to Betamethasone 0.1%) w/w</t>
        </is>
      </c>
      <c r="G8" t="inlineStr">
        <is>
          <t>BDS001491</t>
        </is>
      </c>
      <c r="H8" t="inlineStr">
        <is>
          <t>Canasone C.B. Cream (15 g.)</t>
        </is>
      </c>
      <c r="I8" t="inlineStr">
        <is>
          <t>ทาบางๆ ในบริเวณที่มีอาการ วันละ 2-3 ครั้ง จนกว่าจะหายจากอาการ</t>
        </is>
      </c>
      <c r="P8" t="inlineStr">
        <is>
          <t>Antifungals (oral/topical)</t>
        </is>
      </c>
    </row>
    <row r="9">
      <c r="A9" t="n">
        <v>716</v>
      </c>
      <c r="B9" t="inlineStr">
        <is>
          <t>ยาทาฆ่าเชื้อราและแก้คัน (D)</t>
        </is>
      </c>
      <c r="C9" t="n">
        <v>1417</v>
      </c>
      <c r="D9" t="inlineStr">
        <is>
          <t>Canazol-Be Cream ใหญ่</t>
        </is>
      </c>
      <c r="E9" t="inlineStr">
        <is>
          <t>หลอด 15 g.</t>
        </is>
      </c>
      <c r="F9" t="inlineStr">
        <is>
          <t>Clotrimazole 1 g+Betamethasone Dipropionate (eq. to Betamethasone 0.1 g)/100 g</t>
        </is>
      </c>
      <c r="G9" t="inlineStr">
        <is>
          <t>BDS001417</t>
        </is>
      </c>
      <c r="H9" t="inlineStr">
        <is>
          <t>Canazol-Be Cream ใหญ่ (15 g.)</t>
        </is>
      </c>
      <c r="I9" t="inlineStr">
        <is>
          <t>ทาบางๆ บริเวณที่มีอาการ วันละ 2-3 ครั้ง</t>
        </is>
      </c>
      <c r="P9" t="inlineStr">
        <is>
          <t>Antifungals (oral/topical)</t>
        </is>
      </c>
    </row>
    <row r="10">
      <c r="A10" t="n">
        <v>717</v>
      </c>
      <c r="B10" t="inlineStr">
        <is>
          <t>ยาทาฆ่าเชื้อราและแก้คัน (D)</t>
        </is>
      </c>
      <c r="C10" t="n">
        <v>7517</v>
      </c>
      <c r="D10" t="inlineStr">
        <is>
          <t>Clotribet-D Cream เล็ก</t>
        </is>
      </c>
      <c r="E10" t="inlineStr">
        <is>
          <t>หลอด 5 g.</t>
        </is>
      </c>
      <c r="F10" t="inlineStr">
        <is>
          <t>Clotrimazole 1 g+Betamethasone Dipropionate 0.064 g (eq. to Betamethasone 0.05 g)/100 g</t>
        </is>
      </c>
      <c r="G10" t="inlineStr">
        <is>
          <t>BDS007517</t>
        </is>
      </c>
      <c r="H10" t="inlineStr">
        <is>
          <t>Clotribet-D Cream เล็ก (5 g.)</t>
        </is>
      </c>
      <c r="I10" t="inlineStr">
        <is>
          <t>ทาครีมบางๆ บริเวณที่มีอาการ วันละ 2-3 ครั้ง</t>
        </is>
      </c>
      <c r="P10" t="inlineStr">
        <is>
          <t>Antifungals (oral/topical)</t>
        </is>
      </c>
    </row>
    <row r="11">
      <c r="A11" t="n">
        <v>718</v>
      </c>
      <c r="B11" t="inlineStr">
        <is>
          <t>ยาทาฆ่าเชื้อราและแก้คัน (D)</t>
        </is>
      </c>
      <c r="C11" t="n">
        <v>7516</v>
      </c>
      <c r="D11" t="inlineStr">
        <is>
          <t>Clotribet-D Cream ใหญ่</t>
        </is>
      </c>
      <c r="E11" t="inlineStr">
        <is>
          <t>หลอด 15 g.</t>
        </is>
      </c>
      <c r="F11" t="inlineStr">
        <is>
          <t>Clotrimazole 1 g+Betamethasone Dipropionate 0.064 g (eq. to Betamethasone 0.05 g)/100 g</t>
        </is>
      </c>
      <c r="G11" t="inlineStr">
        <is>
          <t>BDS007516</t>
        </is>
      </c>
      <c r="H11" t="inlineStr">
        <is>
          <t>Clotribet-D Cream ใหญ่ (15 g.)</t>
        </is>
      </c>
      <c r="I11" t="inlineStr">
        <is>
          <t>ทาครีมบางๆ บริเวณที่มีอาการ วันละ 2-3 ครั้ง</t>
        </is>
      </c>
      <c r="P11" t="inlineStr">
        <is>
          <t>Antifungals (oral/topical)</t>
        </is>
      </c>
    </row>
    <row r="12">
      <c r="A12" t="n">
        <v>719</v>
      </c>
      <c r="B12" t="inlineStr">
        <is>
          <t>ยาทาฆ่าเชื้อราและแก้คัน (D)</t>
        </is>
      </c>
      <c r="C12" t="n">
        <v>7736</v>
      </c>
      <c r="D12" t="inlineStr">
        <is>
          <t>Fango-B Cream เล็ก</t>
        </is>
      </c>
      <c r="E12" t="inlineStr">
        <is>
          <t>หลอด 5 g.</t>
        </is>
      </c>
      <c r="F12" t="inlineStr">
        <is>
          <t>Clotrimazole 1 g+Betamethasone Valerate (eq. to Betamethasone 0.1 g)/100 g</t>
        </is>
      </c>
      <c r="G12" t="inlineStr">
        <is>
          <t>BDS007736</t>
        </is>
      </c>
      <c r="H12" t="inlineStr">
        <is>
          <t>Fango-B Cream เล็ก (5 g.)</t>
        </is>
      </c>
      <c r="I12" t="inlineStr">
        <is>
          <t>ทาครีมบางๆ บริเวณที่มีอาการ วันละ 2-3 ครั้ง</t>
        </is>
      </c>
      <c r="P12" t="inlineStr">
        <is>
          <t>Antifungals (oral/topical)</t>
        </is>
      </c>
    </row>
    <row r="13">
      <c r="A13" t="n">
        <v>720</v>
      </c>
      <c r="B13" t="inlineStr">
        <is>
          <t>ยาทาฆ่าเชื้อราและแก้คัน (D)</t>
        </is>
      </c>
      <c r="C13" t="n">
        <v>1956</v>
      </c>
      <c r="D13" t="inlineStr">
        <is>
          <t>Fango-B Cream ใหญ่</t>
        </is>
      </c>
      <c r="E13" t="inlineStr">
        <is>
          <t>หลอด 15 g.</t>
        </is>
      </c>
      <c r="F13" t="inlineStr">
        <is>
          <t>Clotrimazole 1 g+Betamethasone Valerate (eq. to Betamethasone 0.1 g)/100 g</t>
        </is>
      </c>
      <c r="G13" t="inlineStr">
        <is>
          <t>BDS001956</t>
        </is>
      </c>
      <c r="H13" t="inlineStr">
        <is>
          <t>Fango-B Cream ใหญ่ (15 g.)</t>
        </is>
      </c>
      <c r="I13" t="inlineStr">
        <is>
          <t>ทาครีมบางๆ ในบริเวณที่มีอาการ วันละ 2-3 ครั้ง หรือใช้ตามแพทย์สั่ง</t>
        </is>
      </c>
      <c r="P13" t="inlineStr">
        <is>
          <t>Antifungals (oral/topical)</t>
        </is>
      </c>
    </row>
    <row r="14">
      <c r="A14" t="n">
        <v>721</v>
      </c>
      <c r="B14" t="inlineStr">
        <is>
          <t>ยาทาฆ่าเชื้อราและแก้คัน (D)</t>
        </is>
      </c>
      <c r="C14" t="n">
        <v>1932</v>
      </c>
      <c r="D14" t="inlineStr">
        <is>
          <t>Fungiderm-B</t>
        </is>
      </c>
      <c r="E14" t="inlineStr">
        <is>
          <t>หลอด 20 g.</t>
        </is>
      </c>
      <c r="F14" t="inlineStr">
        <is>
          <t>Clotrimazole 1 g+Betamethasone Valerate (eq. to Betamethasone 0.1 g)/100 g</t>
        </is>
      </c>
      <c r="G14" t="inlineStr">
        <is>
          <t>BDS001932</t>
        </is>
      </c>
      <c r="H14" t="inlineStr">
        <is>
          <t>Fungiderm-B (20 g.)</t>
        </is>
      </c>
      <c r="I14" t="inlineStr">
        <is>
          <t>ทาบางๆ ในบริเวณที่มีอาการ วันละ 2-3 ครั้ง จนกว่าจะหายจากอาการ</t>
        </is>
      </c>
      <c r="P14" t="inlineStr">
        <is>
          <t>Antifungals (oral/topical)</t>
        </is>
      </c>
    </row>
    <row r="15">
      <c r="A15" t="n">
        <v>722</v>
      </c>
      <c r="B15" t="inlineStr">
        <is>
          <t>ยาทาฆ่าเชื้อราและแก้คัน (D)</t>
        </is>
      </c>
      <c r="C15" t="n">
        <v>2538</v>
      </c>
      <c r="D15" t="inlineStr">
        <is>
          <t>Lymarin Cream ใหญ่</t>
        </is>
      </c>
      <c r="E15" t="inlineStr">
        <is>
          <t>หลอด 15 g.</t>
        </is>
      </c>
      <c r="F15" t="inlineStr">
        <is>
          <t>Miconazole Nitrate 2%+Triamcinolone Acetonide 0.2% w/w</t>
        </is>
      </c>
      <c r="G15" t="inlineStr">
        <is>
          <t>BDS002538</t>
        </is>
      </c>
      <c r="H15" t="inlineStr">
        <is>
          <t>Lymarin Cream ใหญ่ (15 g.)</t>
        </is>
      </c>
      <c r="I15" t="inlineStr">
        <is>
          <t>ทาครีมบางๆ บริเวณที่ติดเชื้อ วันละ 2-3 ครั้ง</t>
        </is>
      </c>
      <c r="P15" t="inlineStr">
        <is>
          <t>Antifungals (oral/topical)</t>
        </is>
      </c>
    </row>
    <row r="16">
      <c r="A16" t="n">
        <v>723</v>
      </c>
      <c r="B16" t="inlineStr">
        <is>
          <t>ยาทาฆ่าเชื้อราและแก้คัน (D)</t>
        </is>
      </c>
      <c r="C16" t="n">
        <v>2650</v>
      </c>
      <c r="D16" t="inlineStr">
        <is>
          <t>Myda-B Cream เล็ก</t>
        </is>
      </c>
      <c r="E16" t="inlineStr">
        <is>
          <t>หลอด 5 g.</t>
        </is>
      </c>
      <c r="F16" t="inlineStr">
        <is>
          <t>Clotrimazole 1%+Betamethasone Valerate (eq. to Betamethasone 0.1%) w/w</t>
        </is>
      </c>
      <c r="G16" t="inlineStr">
        <is>
          <t>BDS002650</t>
        </is>
      </c>
      <c r="H16" t="inlineStr">
        <is>
          <t>Myda-B Cream เล็ก (5 g.)</t>
        </is>
      </c>
      <c r="I16" t="inlineStr">
        <is>
          <t>ทาครีมบางๆ บริเวณที่มีอาการ วันละ 2-3 ครั้ง</t>
        </is>
      </c>
      <c r="P16" t="inlineStr">
        <is>
          <t>Antifungals (oral/topical)</t>
        </is>
      </c>
    </row>
    <row r="17">
      <c r="A17" t="n">
        <v>724</v>
      </c>
      <c r="B17" t="inlineStr">
        <is>
          <t>ยาทาฆ่าเชื้อราและแก้คัน (D)</t>
        </is>
      </c>
      <c r="C17" t="n">
        <v>2651</v>
      </c>
      <c r="D17" t="inlineStr">
        <is>
          <t>Myda-B Cream ใหญ่</t>
        </is>
      </c>
      <c r="E17" t="inlineStr">
        <is>
          <t>หลอด 15 g.</t>
        </is>
      </c>
      <c r="F17" t="inlineStr">
        <is>
          <t>Clotrimazole 1%+Betamethasone Valerate (eq. to Betamethasone 0.1%) w/w</t>
        </is>
      </c>
      <c r="G17" t="inlineStr">
        <is>
          <t>BDS002651</t>
        </is>
      </c>
      <c r="H17" t="inlineStr">
        <is>
          <t>Myda-B Cream ใหญ่ (15 g.)</t>
        </is>
      </c>
      <c r="I17" t="inlineStr">
        <is>
          <t>ทาครีมบางๆ บริเวณที่มีอาการ วันละ 2-3 ครั้ง</t>
        </is>
      </c>
      <c r="P17" t="inlineStr">
        <is>
          <t>Antifungals (oral/topical)</t>
        </is>
      </c>
    </row>
    <row r="18">
      <c r="A18" t="n">
        <v>725</v>
      </c>
      <c r="B18" t="inlineStr">
        <is>
          <t>ยาทาฆ่าเชื้อราและแก้คัน (D)</t>
        </is>
      </c>
      <c r="C18" t="n">
        <v>8239</v>
      </c>
      <c r="D18" t="inlineStr">
        <is>
          <t>Myrazole-B Cream</t>
        </is>
      </c>
      <c r="E18" t="inlineStr">
        <is>
          <t>หลอด 5 g.</t>
        </is>
      </c>
      <c r="F18" t="inlineStr">
        <is>
          <t>Clotrimazole 1%+Betamethasone Valerate (eq. to Betamethasone 0.1%) w/w</t>
        </is>
      </c>
      <c r="G18" t="inlineStr">
        <is>
          <t>BDS008239</t>
        </is>
      </c>
      <c r="H18" t="inlineStr">
        <is>
          <t>Myrazole-B Cream (5 g.)</t>
        </is>
      </c>
      <c r="I18" t="inlineStr">
        <is>
          <t>ทาครีมบางๆ บริเวณที่มีอาการ วันละ 2-3 ครั้ง</t>
        </is>
      </c>
      <c r="P18" t="inlineStr">
        <is>
          <t>Antifungals (oral/topical)</t>
        </is>
      </c>
    </row>
    <row r="19">
      <c r="A19" t="n">
        <v>726</v>
      </c>
      <c r="B19" t="inlineStr">
        <is>
          <t>ยาทาฆ่าเชื้อราและแก้คัน (D)</t>
        </is>
      </c>
      <c r="C19" t="n">
        <v>8221</v>
      </c>
      <c r="D19" t="inlineStr">
        <is>
          <t>Tara-Plus Cream</t>
        </is>
      </c>
      <c r="E19" t="inlineStr">
        <is>
          <t>หลอด 15 g.</t>
        </is>
      </c>
      <c r="F19" t="inlineStr">
        <is>
          <t xml:space="preserve">Miconazole Nitrate 2 g+Triamcinolone Acetonide 0.1 g/100 g </t>
        </is>
      </c>
      <c r="G19" t="inlineStr">
        <is>
          <t>BDS008221</t>
        </is>
      </c>
      <c r="H19" t="inlineStr">
        <is>
          <t>Tara-Plus Cream (15 g.)</t>
        </is>
      </c>
      <c r="I19" t="inlineStr">
        <is>
          <t>ทาบริเวณที่เป็น วันละ 2 ครั้ง เช้า-เย็น</t>
        </is>
      </c>
      <c r="P19" t="inlineStr">
        <is>
          <t>Antifungals (oral/topical)</t>
        </is>
      </c>
    </row>
  </sheetData>
  <autoFilter ref="A1:P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149</v>
      </c>
      <c r="B2" t="inlineStr">
        <is>
          <t>ยาต้านเชื้อไวรัส (D)</t>
        </is>
      </c>
      <c r="C2" t="n">
        <v>8064</v>
      </c>
      <c r="D2" t="inlineStr">
        <is>
          <t>Acyvir 400 mg</t>
        </is>
      </c>
      <c r="E2" t="inlineStr">
        <is>
          <t>แผง 5 เม็ด</t>
        </is>
      </c>
      <c r="F2" t="inlineStr">
        <is>
          <t>Acyclovir 400 mg.</t>
        </is>
      </c>
      <c r="G2" t="inlineStr">
        <is>
          <t>BDS008064</t>
        </is>
      </c>
      <c r="H2" t="inlineStr">
        <is>
          <t>Acyvir 400 mg (5 tabs)</t>
        </is>
      </c>
      <c r="I2" t="inlineStr">
        <is>
          <t>กรณีเริม รับประทานครั้งละ 1 เม็ด ทุก 6 ชั่วโมง (วันละ 3 ครั้ง)</t>
        </is>
      </c>
      <c r="P2" t="inlineStr">
        <is>
          <t>Antivirals (oral/topical)</t>
        </is>
      </c>
    </row>
    <row r="3">
      <c r="A3" t="n">
        <v>150</v>
      </c>
      <c r="B3" t="inlineStr">
        <is>
          <t>ยาต้านเชื้อไวรัส (D)</t>
        </is>
      </c>
      <c r="C3" t="n">
        <v>8065</v>
      </c>
      <c r="D3" t="inlineStr">
        <is>
          <t>Acyvir 800 mg</t>
        </is>
      </c>
      <c r="E3" t="inlineStr">
        <is>
          <t>แผง 5 เม็ด</t>
        </is>
      </c>
      <c r="F3" t="inlineStr">
        <is>
          <t>Acyclovir 800 mg.</t>
        </is>
      </c>
      <c r="G3" t="inlineStr">
        <is>
          <t>BDS008065</t>
        </is>
      </c>
      <c r="H3" t="inlineStr">
        <is>
          <t>Acyvir 800 mg (5 tabs)</t>
        </is>
      </c>
      <c r="I3" t="inlineStr">
        <is>
          <t>กรณีงูสวัด รับประทานครั้งละ 1 เม็ด ทุก 4 ชั่วโมง (วันละ 5 ครั้ง)</t>
        </is>
      </c>
      <c r="P3" t="inlineStr">
        <is>
          <t>Antivirals (oral/topical)</t>
        </is>
      </c>
    </row>
    <row r="4">
      <c r="A4" t="n">
        <v>151</v>
      </c>
      <c r="B4" t="inlineStr">
        <is>
          <t>ยาต้านเชื้อไวรัส (D)</t>
        </is>
      </c>
      <c r="C4" t="n">
        <v>7782</v>
      </c>
      <c r="D4" t="inlineStr">
        <is>
          <t>Clinovir 200 mg</t>
        </is>
      </c>
      <c r="E4" t="inlineStr">
        <is>
          <t>แผง 5 เม็ด</t>
        </is>
      </c>
      <c r="F4" t="inlineStr">
        <is>
          <t>Acyclovir 200 mg.</t>
        </is>
      </c>
      <c r="G4" t="inlineStr">
        <is>
          <t>BDS007782</t>
        </is>
      </c>
      <c r="H4" t="inlineStr">
        <is>
          <t>Clinovir 200 mg (5 tabs)</t>
        </is>
      </c>
      <c r="I4" t="inlineStr">
        <is>
          <t>รับประทานครั้งละ 1 เม็ด ทุก 4 ชั่วโมง (วันละ 5 ครั้ง)</t>
        </is>
      </c>
      <c r="P4" t="inlineStr">
        <is>
          <t>Antivirals (oral/topical)</t>
        </is>
      </c>
    </row>
    <row r="5">
      <c r="A5" t="n">
        <v>152</v>
      </c>
      <c r="B5" t="inlineStr">
        <is>
          <t>ยาต้านเชื้อไวรัส (D)</t>
        </is>
      </c>
      <c r="C5" t="n">
        <v>7783</v>
      </c>
      <c r="D5" t="inlineStr">
        <is>
          <t>Clinovir 400 mg</t>
        </is>
      </c>
      <c r="E5" t="inlineStr">
        <is>
          <t>แผง 5 เม็ด</t>
        </is>
      </c>
      <c r="F5" t="inlineStr">
        <is>
          <t>Acyclovir 400 mg.</t>
        </is>
      </c>
      <c r="G5" t="inlineStr">
        <is>
          <t>BDS007783</t>
        </is>
      </c>
      <c r="H5" t="inlineStr">
        <is>
          <t>Clinovir 400 mg (5 tabs)</t>
        </is>
      </c>
      <c r="I5" t="inlineStr">
        <is>
          <t>กรณีเริม รับประทานครั้งละ 1 เม็ด ทุก 6 ชั่วโมง (วันละ 3 ครั้ง)</t>
        </is>
      </c>
      <c r="P5" t="inlineStr">
        <is>
          <t>Antivirals (oral/topical)</t>
        </is>
      </c>
    </row>
    <row r="6">
      <c r="A6" t="n">
        <v>153</v>
      </c>
      <c r="B6" t="inlineStr">
        <is>
          <t>ยาต้านเชื้อไวรัส (D)</t>
        </is>
      </c>
      <c r="C6" t="n">
        <v>7781</v>
      </c>
      <c r="D6" t="inlineStr">
        <is>
          <t>Clinovir 800 mg</t>
        </is>
      </c>
      <c r="E6" t="inlineStr">
        <is>
          <t>แผง 5 เม็ด</t>
        </is>
      </c>
      <c r="F6" t="inlineStr">
        <is>
          <t>Acyclovir 800 mg.</t>
        </is>
      </c>
      <c r="G6" t="inlineStr">
        <is>
          <t>BDS007781</t>
        </is>
      </c>
      <c r="H6" t="inlineStr">
        <is>
          <t>Clinovir 800 mg (5 tabs)</t>
        </is>
      </c>
      <c r="I6" t="inlineStr">
        <is>
          <t>กรณีงูสวัด รับประทานครั้งละ 1 เม็ด ทุก 4 ชั่วโมง (วันละ 5 ครั้ง)</t>
        </is>
      </c>
      <c r="P6" t="inlineStr">
        <is>
          <t>Antivirals (oral/topical)</t>
        </is>
      </c>
    </row>
    <row r="7">
      <c r="A7" t="n">
        <v>154</v>
      </c>
      <c r="B7" t="inlineStr">
        <is>
          <t>ยาต้านเชื้อไวรัส (D)</t>
        </is>
      </c>
      <c r="C7" t="n">
        <v>4019</v>
      </c>
      <c r="D7" t="inlineStr">
        <is>
          <t>Vilerm 200 mg 5s</t>
        </is>
      </c>
      <c r="E7" t="inlineStr">
        <is>
          <t>แผง 5 เม็ด</t>
        </is>
      </c>
      <c r="F7" t="inlineStr">
        <is>
          <t>Acyclovir 200 mg.</t>
        </is>
      </c>
      <c r="G7" t="inlineStr">
        <is>
          <t>BDS004019</t>
        </is>
      </c>
      <c r="H7" t="inlineStr">
        <is>
          <t>Vilerm 200 mg 5s (5 tabs)</t>
        </is>
      </c>
      <c r="I7" t="inlineStr">
        <is>
          <t>รับประทานครั้งละ 1 เม็ด วันละ 5 ครั้ง นาน 5 วัน</t>
        </is>
      </c>
      <c r="P7" t="inlineStr">
        <is>
          <t>Antivirals (oral/topical)</t>
        </is>
      </c>
    </row>
    <row r="8">
      <c r="A8" t="n">
        <v>155</v>
      </c>
      <c r="B8" t="inlineStr">
        <is>
          <t>ยาต้านเชื้อไวรัส (D)</t>
        </is>
      </c>
      <c r="C8" t="n">
        <v>4086</v>
      </c>
      <c r="D8" t="inlineStr">
        <is>
          <t>Vilerm 400 mg 5s</t>
        </is>
      </c>
      <c r="E8" t="inlineStr">
        <is>
          <t>แผง 5 เม็ด</t>
        </is>
      </c>
      <c r="F8" t="inlineStr">
        <is>
          <t>Acyclovir 400 mg.</t>
        </is>
      </c>
      <c r="G8" t="inlineStr">
        <is>
          <t>BDS004086</t>
        </is>
      </c>
      <c r="H8" t="inlineStr">
        <is>
          <t>Vilerm 400 mg 5s (5 tabs)</t>
        </is>
      </c>
      <c r="I8" t="inlineStr">
        <is>
          <t>รับประทานครั้งละ 1 เม็ด วันละ 5 ครั้ง นาน 5 วัน</t>
        </is>
      </c>
      <c r="P8" t="inlineStr">
        <is>
          <t>Antivirals (oral/topical)</t>
        </is>
      </c>
    </row>
    <row r="9">
      <c r="A9" t="n">
        <v>156</v>
      </c>
      <c r="B9" t="inlineStr">
        <is>
          <t>ยาต้านเชื้อไวรัส (D)</t>
        </is>
      </c>
      <c r="C9" t="n">
        <v>4011</v>
      </c>
      <c r="D9" t="inlineStr">
        <is>
          <t>Vilerm 800 mg 5s</t>
        </is>
      </c>
      <c r="E9" t="inlineStr">
        <is>
          <t>แผง 5 เม็ด</t>
        </is>
      </c>
      <c r="F9" t="inlineStr">
        <is>
          <t>Acyclovir 800 mg.</t>
        </is>
      </c>
      <c r="G9" t="inlineStr">
        <is>
          <t>BDS004011</t>
        </is>
      </c>
      <c r="H9" t="inlineStr">
        <is>
          <t>Vilerm 800 mg 5s (5 tabs)</t>
        </is>
      </c>
      <c r="I9" t="inlineStr">
        <is>
          <t>รับประทานครั้งละ 1 เม็ด ทุก 4 ชั่วโมง (วันละ 5 ครั้ง)</t>
        </is>
      </c>
      <c r="P9" t="inlineStr">
        <is>
          <t>Antivirals (oral/topical)</t>
        </is>
      </c>
    </row>
    <row r="10">
      <c r="A10" t="n">
        <v>783</v>
      </c>
      <c r="B10" t="inlineStr">
        <is>
          <t>ยาทาฆ่าเชื้อไวรัส (D)</t>
        </is>
      </c>
      <c r="C10" t="n">
        <v>7001</v>
      </c>
      <c r="D10" t="inlineStr">
        <is>
          <t>Acevax Cream</t>
        </is>
      </c>
      <c r="E10" t="inlineStr">
        <is>
          <t>ซอง 1 g.</t>
        </is>
      </c>
      <c r="F10" t="inlineStr">
        <is>
          <t>Acyclovir 5 g./100 g.</t>
        </is>
      </c>
      <c r="G10" t="inlineStr">
        <is>
          <t>BDS007001</t>
        </is>
      </c>
      <c r="H10" t="inlineStr">
        <is>
          <t>Acevax Cream (1 g.)</t>
        </is>
      </c>
      <c r="I10" t="inlineStr">
        <is>
          <t>ทาครีมบางๆ บริเวณที่ติดเชื้อหรือบริเวณที่เริ่มแสดงอาการ ทุก 3-4 ชั่วโมง ต่อเนื่อง 5-7 วัน</t>
        </is>
      </c>
      <c r="P10" t="inlineStr">
        <is>
          <t>Antivirals (oral/topical)</t>
        </is>
      </c>
    </row>
    <row r="11">
      <c r="A11" t="n">
        <v>784</v>
      </c>
      <c r="B11" t="inlineStr">
        <is>
          <t>ยาทาฆ่าเชื้อไวรัส (D)</t>
        </is>
      </c>
      <c r="C11" t="n">
        <v>7719</v>
      </c>
      <c r="D11" t="inlineStr">
        <is>
          <t>Clinovir Cream</t>
        </is>
      </c>
      <c r="E11" t="inlineStr">
        <is>
          <t>หลอด 5 g.</t>
        </is>
      </c>
      <c r="F11" t="inlineStr">
        <is>
          <t>Acyclovir 5%w/w</t>
        </is>
      </c>
      <c r="G11" t="inlineStr">
        <is>
          <t>BDS007719</t>
        </is>
      </c>
      <c r="H11" t="inlineStr">
        <is>
          <t>Clinovir Cream (5 g.)</t>
        </is>
      </c>
      <c r="I11" t="inlineStr">
        <is>
          <t>ทาครีมบางๆ บริเวณที่ติดเชื้อหรือบริเวณที่เริ่มแสดงอาการ ทุก 4 ชั่วโมง (วันละ 5 ครั้ง) ต่อเนื่อง 5 วัน</t>
        </is>
      </c>
      <c r="P11" t="inlineStr">
        <is>
          <t>Antivirals (oral/topical)</t>
        </is>
      </c>
    </row>
    <row r="12">
      <c r="A12" t="n">
        <v>785</v>
      </c>
      <c r="B12" t="inlineStr">
        <is>
          <t>ยาทาฆ่าเชื้อไวรัส (D)</t>
        </is>
      </c>
      <c r="C12" t="n">
        <v>4046</v>
      </c>
      <c r="D12" t="inlineStr">
        <is>
          <t>Vilerm Cream 5 g</t>
        </is>
      </c>
      <c r="E12" t="inlineStr">
        <is>
          <t>หลอด 5 g.</t>
        </is>
      </c>
      <c r="F12" t="inlineStr">
        <is>
          <t>Acyclovir 5 g./100 g.</t>
        </is>
      </c>
      <c r="G12" t="inlineStr">
        <is>
          <t>BDS004046</t>
        </is>
      </c>
      <c r="H12" t="inlineStr">
        <is>
          <t>Vilerm Cream 5 g (5 g.)</t>
        </is>
      </c>
      <c r="I12" t="inlineStr">
        <is>
          <t>ทาบริเวณที่ติดเชื้อ วันละ 5 ครั้ง ทุก 4 ชั่วโมง</t>
        </is>
      </c>
      <c r="P12" t="inlineStr">
        <is>
          <t>Antivirals (oral/topical)</t>
        </is>
      </c>
    </row>
    <row r="13">
      <c r="A13" t="n">
        <v>786</v>
      </c>
      <c r="B13" t="inlineStr">
        <is>
          <t>ยาทาฆ่าเชื้อไวรัส (D)</t>
        </is>
      </c>
      <c r="C13" t="n">
        <v>4020</v>
      </c>
      <c r="D13" t="inlineStr">
        <is>
          <t>Vilerm Cream sachet 1 g</t>
        </is>
      </c>
      <c r="E13" t="inlineStr">
        <is>
          <t>ซอง 1 g.</t>
        </is>
      </c>
      <c r="F13" t="inlineStr">
        <is>
          <t>Acyclovir 5 g./100 g.</t>
        </is>
      </c>
      <c r="G13" t="inlineStr">
        <is>
          <t>BDS004020</t>
        </is>
      </c>
      <c r="H13" t="inlineStr">
        <is>
          <t>Vilerm Cream sachet 1 g (1 g.)</t>
        </is>
      </c>
      <c r="I13" t="inlineStr">
        <is>
          <t>ทาบริเวณที่ติดเชื้อ วันละ 5 ครั้ง ทุก 4 ชั่วโมง</t>
        </is>
      </c>
      <c r="P13" t="inlineStr">
        <is>
          <t>Antivirals (oral/topical)</t>
        </is>
      </c>
    </row>
    <row r="14">
      <c r="A14" t="n">
        <v>787</v>
      </c>
      <c r="B14" t="inlineStr">
        <is>
          <t>ยาทาฆ่าเชื้อไวรัส (D)</t>
        </is>
      </c>
      <c r="C14" t="n">
        <v>4216</v>
      </c>
      <c r="D14" t="inlineStr">
        <is>
          <t>Zevin Cream</t>
        </is>
      </c>
      <c r="E14" t="inlineStr">
        <is>
          <t>หลอด 3 g.</t>
        </is>
      </c>
      <c r="F14" t="inlineStr">
        <is>
          <t>Acyclovir 5 g./100 g.</t>
        </is>
      </c>
      <c r="G14" t="inlineStr">
        <is>
          <t>BDS004216</t>
        </is>
      </c>
      <c r="H14" t="inlineStr">
        <is>
          <t>Zevin Cream (3 g.)</t>
        </is>
      </c>
      <c r="I14" t="inlineStr">
        <is>
          <t>ทาบริเวณที่ติดเชื้อ วันละ 5 ครั้ง ทุก 4 ชั่วโมง</t>
        </is>
      </c>
      <c r="P14" t="inlineStr">
        <is>
          <t>Antivirals (oral/topical)</t>
        </is>
      </c>
    </row>
  </sheetData>
  <autoFilter ref="A1:P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157</v>
      </c>
      <c r="B2" t="inlineStr">
        <is>
          <t>ยาฆ่าพยาธิ</t>
        </is>
      </c>
      <c r="C2" t="n">
        <v>1230</v>
      </c>
      <c r="D2" t="inlineStr">
        <is>
          <t>Benda 500</t>
        </is>
      </c>
      <c r="E2" t="inlineStr">
        <is>
          <t>กล่อง 1 เม็ด</t>
        </is>
      </c>
      <c r="F2" t="inlineStr">
        <is>
          <t>Mebendazole 500 mg.</t>
        </is>
      </c>
      <c r="G2" t="inlineStr">
        <is>
          <t>BDS001230</t>
        </is>
      </c>
      <c r="H2" t="inlineStr">
        <is>
          <t>Benda 500 (1 tab)</t>
        </is>
      </c>
      <c r="I2" t="inlineStr">
        <is>
          <t>รับประทาน (เคี้ยว) ครั้งละ 1 เม็ด วันละ 1 ครั้ง ก่อนนอน</t>
        </is>
      </c>
      <c r="P2" t="inlineStr">
        <is>
          <t>Antiparasitics / deworming</t>
        </is>
      </c>
    </row>
    <row r="3">
      <c r="A3" t="n">
        <v>158</v>
      </c>
      <c r="B3" t="inlineStr">
        <is>
          <t>ยาฆ่าพยาธิ</t>
        </is>
      </c>
      <c r="C3" t="n">
        <v>1227</v>
      </c>
      <c r="D3" t="inlineStr">
        <is>
          <t>Benda 500 กลิ่นเลมอน</t>
        </is>
      </c>
      <c r="E3" t="inlineStr">
        <is>
          <t>กล่อง 1 เม็ด</t>
        </is>
      </c>
      <c r="F3" t="inlineStr">
        <is>
          <t>Mebendazole 500 mg.</t>
        </is>
      </c>
      <c r="G3" t="inlineStr">
        <is>
          <t>BDS001227</t>
        </is>
      </c>
      <c r="H3" t="inlineStr">
        <is>
          <t>Benda 500 กลิ่นเลมอน (1 tab)</t>
        </is>
      </c>
      <c r="I3" t="inlineStr">
        <is>
          <t>รับประทาน (เคี้ยว) ครั้งละ 1 เม็ด วันละ 1 ครั้ง ก่อนนอน</t>
        </is>
      </c>
      <c r="P3" t="inlineStr">
        <is>
          <t>Antiparasitics / deworming</t>
        </is>
      </c>
    </row>
    <row r="4">
      <c r="A4" t="n">
        <v>159</v>
      </c>
      <c r="B4" t="inlineStr">
        <is>
          <t>ยาฆ่าพยาธิ</t>
        </is>
      </c>
      <c r="C4" t="n">
        <v>1927</v>
      </c>
      <c r="D4" t="inlineStr">
        <is>
          <t>Fugacar 500 รสผลไม้</t>
        </is>
      </c>
      <c r="E4" t="inlineStr">
        <is>
          <t>กล่อง 1 เม็ด</t>
        </is>
      </c>
      <c r="F4" t="inlineStr">
        <is>
          <t>Mebendazole 500 mg.</t>
        </is>
      </c>
      <c r="G4" t="inlineStr">
        <is>
          <t>BDS001927</t>
        </is>
      </c>
      <c r="H4" t="inlineStr">
        <is>
          <t>Fugacar 500 รสผลไม้ (1 tab)</t>
        </is>
      </c>
      <c r="I4" t="inlineStr">
        <is>
          <t>รับประทาน (เคี้ยว) ครั้งละ 1  เม็ด วันละ 1 ครั้ง ก่อนนอน</t>
        </is>
      </c>
      <c r="P4" t="inlineStr">
        <is>
          <t>Antiparasitics / deworming</t>
        </is>
      </c>
    </row>
    <row r="5">
      <c r="A5" t="n">
        <v>266</v>
      </c>
      <c r="B5" t="inlineStr">
        <is>
          <t>ยาฆ่าพยาธิ ชนิดน้ำ (D)</t>
        </is>
      </c>
      <c r="C5" t="n">
        <v>1231</v>
      </c>
      <c r="D5" t="inlineStr">
        <is>
          <t>Benda Syrup กลิ่นผลไม้รวม</t>
        </is>
      </c>
      <c r="E5" t="inlineStr">
        <is>
          <t>ขวด 30 ml.</t>
        </is>
      </c>
      <c r="F5" t="inlineStr">
        <is>
          <t>Mebendazole 100 mg./5 ml.</t>
        </is>
      </c>
      <c r="G5" t="inlineStr">
        <is>
          <t>BDS001231</t>
        </is>
      </c>
      <c r="H5" t="inlineStr">
        <is>
          <t>Benda Syrup กลิ่นผลไม้รวม (30 ml.)</t>
        </is>
      </c>
      <c r="I5" t="inlineStr">
        <is>
          <t>รับประทานครั้งละ 1 ช้อนชา วันละ 2 ครั้ง ติดต่อกัน 3 วัน</t>
        </is>
      </c>
      <c r="P5" t="inlineStr">
        <is>
          <t>Antiparasitics / deworming</t>
        </is>
      </c>
    </row>
    <row r="6">
      <c r="A6" t="n">
        <v>267</v>
      </c>
      <c r="B6" t="inlineStr">
        <is>
          <t>ยาฆ่าพยาธิ ชนิดน้ำ (D)</t>
        </is>
      </c>
      <c r="C6" t="n">
        <v>49775</v>
      </c>
      <c r="D6" t="inlineStr">
        <is>
          <t>Zenzera-200 Suspension</t>
        </is>
      </c>
      <c r="E6" t="inlineStr">
        <is>
          <t>ซอง 10 ml.</t>
        </is>
      </c>
      <c r="F6" t="inlineStr">
        <is>
          <t>Albendazole 200 mg./5 ml.</t>
        </is>
      </c>
      <c r="G6" t="inlineStr">
        <is>
          <t>BDS049775</t>
        </is>
      </c>
      <c r="H6" t="inlineStr">
        <is>
          <t>Zenzera-200 Suspension (10 ml.)</t>
        </is>
      </c>
      <c r="I6" t="inlineStr">
        <is>
          <t xml:space="preserve">รับประทานครั้งละ 10 ml. (1 ซอง) วันละ 2 ครั้ง ติดต่อกัน 3 วัน </t>
        </is>
      </c>
      <c r="P6" t="inlineStr">
        <is>
          <t>Antiparasitics / deworming</t>
        </is>
      </c>
    </row>
    <row r="7">
      <c r="A7" t="n">
        <v>415</v>
      </c>
      <c r="B7" t="inlineStr">
        <is>
          <t>ยาฆ่าพยาธิ (D)</t>
        </is>
      </c>
      <c r="C7" t="n">
        <v>8455</v>
      </c>
      <c r="D7" t="inlineStr">
        <is>
          <t>CB-400</t>
        </is>
      </c>
      <c r="E7" t="inlineStr">
        <is>
          <t>กล่อง 1 เม็ด</t>
        </is>
      </c>
      <c r="F7" t="inlineStr">
        <is>
          <t>Albendazole 400 mg.</t>
        </is>
      </c>
      <c r="G7" t="inlineStr">
        <is>
          <t>BDS008455</t>
        </is>
      </c>
      <c r="H7" t="inlineStr">
        <is>
          <t>CB-400 (1 tab)</t>
        </is>
      </c>
      <c r="I7" t="inlineStr">
        <is>
          <t>สำหรับพยาธิตัวกลม รับประทานครั้งละ 1 เม็ด วันละ 1 ครั้ง</t>
        </is>
      </c>
      <c r="P7" t="inlineStr">
        <is>
          <t>Antiparasitics / deworming</t>
        </is>
      </c>
    </row>
    <row r="8">
      <c r="A8" t="n">
        <v>416</v>
      </c>
      <c r="B8" t="inlineStr">
        <is>
          <t>ยาฆ่าพยาธิ (D)</t>
        </is>
      </c>
      <c r="C8" t="n">
        <v>2104</v>
      </c>
      <c r="D8" t="inlineStr">
        <is>
          <t>Hexin ฆ่าพยาธิ</t>
        </is>
      </c>
      <c r="E8" t="inlineStr">
        <is>
          <t>แผง 4 เม็ด</t>
        </is>
      </c>
      <c r="F8" t="inlineStr">
        <is>
          <t>Niclosamide 500 mg.+Phenolphthalein 75 mg.</t>
        </is>
      </c>
      <c r="G8" t="inlineStr">
        <is>
          <t>BDS002104</t>
        </is>
      </c>
      <c r="H8" t="inlineStr">
        <is>
          <t>Hexin ฆ่าพยาธิ (4 tabs)</t>
        </is>
      </c>
      <c r="I8" t="inlineStr">
        <is>
          <t xml:space="preserve">ผู้ใหญ่รับประทาน (เคี้ยว) ครั้งละ 4 เม็ด วันละ 1 ครั้ง ก่อนนอน </t>
        </is>
      </c>
      <c r="P8" t="inlineStr">
        <is>
          <t>Antiparasitics / deworming</t>
        </is>
      </c>
    </row>
    <row r="9">
      <c r="A9" t="n">
        <v>417</v>
      </c>
      <c r="B9" t="inlineStr">
        <is>
          <t>ยาฆ่าพยาธิ (D)</t>
        </is>
      </c>
      <c r="C9" t="n">
        <v>4217</v>
      </c>
      <c r="D9" t="inlineStr">
        <is>
          <t>Zentel 400 mg</t>
        </is>
      </c>
      <c r="E9" t="inlineStr">
        <is>
          <t>กล่อง 1 เม็ด</t>
        </is>
      </c>
      <c r="F9" t="inlineStr">
        <is>
          <t>Albendazole 400 mg.</t>
        </is>
      </c>
      <c r="G9" t="inlineStr">
        <is>
          <t>BDS004217</t>
        </is>
      </c>
      <c r="H9" t="inlineStr">
        <is>
          <t>Zentel 400 mg (1 tab)</t>
        </is>
      </c>
      <c r="I9" t="inlineStr">
        <is>
          <t>สำหรับพยาธิตัวกลม รับประทานครั้งละ 1 เม็ด วันละ 1 ครั้ง</t>
        </is>
      </c>
      <c r="P9" t="inlineStr">
        <is>
          <t>Antiparasitics / deworming</t>
        </is>
      </c>
    </row>
  </sheetData>
  <autoFilter ref="A1:P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160</v>
      </c>
      <c r="B2" t="inlineStr">
        <is>
          <t>ยาดูดซับสารพิษ</t>
        </is>
      </c>
      <c r="C2" t="n">
        <v>42304</v>
      </c>
      <c r="D2" t="inlineStr">
        <is>
          <t>Dehecta</t>
        </is>
      </c>
      <c r="E2" t="inlineStr">
        <is>
          <t>ซอง 20 ml.</t>
        </is>
      </c>
      <c r="F2" t="inlineStr">
        <is>
          <t>Dioctahedral Smectite 3 g./20 ml.</t>
        </is>
      </c>
      <c r="G2" t="inlineStr">
        <is>
          <t>BDS042304</t>
        </is>
      </c>
      <c r="H2" t="inlineStr">
        <is>
          <t>Dehecta (20 ml.)</t>
        </is>
      </c>
      <c r="I2" t="inlineStr">
        <is>
          <t xml:space="preserve">รับประทานครั้งละ 1 ซอง วันละ 3-4 ครั้ง </t>
        </is>
      </c>
      <c r="P2" t="inlineStr">
        <is>
          <t>Adsorbents / toxin binders</t>
        </is>
      </c>
    </row>
    <row r="3">
      <c r="A3" t="n">
        <v>161</v>
      </c>
      <c r="B3" t="inlineStr">
        <is>
          <t>ยาดูดซับสารพิษ</t>
        </is>
      </c>
      <c r="C3" t="n">
        <v>7122</v>
      </c>
      <c r="D3" t="inlineStr">
        <is>
          <t>Deltacarbon</t>
        </is>
      </c>
      <c r="E3" t="inlineStr">
        <is>
          <t>กล่อง 10 เม็ด</t>
        </is>
      </c>
      <c r="F3" t="inlineStr">
        <is>
          <t>Medicinal Charcoal 250 mg.</t>
        </is>
      </c>
      <c r="G3" t="inlineStr">
        <is>
          <t>BDS007122</t>
        </is>
      </c>
      <c r="H3" t="inlineStr">
        <is>
          <t>Deltacarbon (10 tabs)</t>
        </is>
      </c>
      <c r="I3" t="inlineStr">
        <is>
          <t>รับประทานครั้งละ 3 เม็ด วันละ 3-4 ครั้ง</t>
        </is>
      </c>
      <c r="P3" t="inlineStr">
        <is>
          <t>Adsorbents / toxin binders</t>
        </is>
      </c>
    </row>
    <row r="4">
      <c r="A4" t="n">
        <v>162</v>
      </c>
      <c r="B4" t="inlineStr">
        <is>
          <t>ยาดูดซับสารพิษ</t>
        </is>
      </c>
      <c r="C4" t="n">
        <v>45666</v>
      </c>
      <c r="D4" t="inlineStr">
        <is>
          <t>Ny-C-Bon</t>
        </is>
      </c>
      <c r="E4" t="inlineStr">
        <is>
          <t>กล่อง 10 แคปซูล</t>
        </is>
      </c>
      <c r="F4" t="inlineStr">
        <is>
          <t>Activated Charcoal 260 mg.</t>
        </is>
      </c>
      <c r="G4" t="inlineStr">
        <is>
          <t>BDS045666</t>
        </is>
      </c>
      <c r="H4" t="inlineStr">
        <is>
          <t>Ny-C-Bon (10 cap)</t>
        </is>
      </c>
      <c r="I4" t="inlineStr">
        <is>
          <t xml:space="preserve">รับประทานครั้งละ 3 เม็ด วันละ 3-4 ครั้ง </t>
        </is>
      </c>
      <c r="P4" t="inlineStr">
        <is>
          <t>Adsorbents / toxin binders</t>
        </is>
      </c>
    </row>
    <row r="5">
      <c r="A5" t="n">
        <v>163</v>
      </c>
      <c r="B5" t="inlineStr">
        <is>
          <t>ยาดูดซับสารพิษ</t>
        </is>
      </c>
      <c r="C5" t="n">
        <v>3546</v>
      </c>
      <c r="D5" t="inlineStr">
        <is>
          <t>Smecta</t>
        </is>
      </c>
      <c r="E5" t="inlineStr">
        <is>
          <t>ซอง 3 g.</t>
        </is>
      </c>
      <c r="F5" t="inlineStr">
        <is>
          <t>Dioctahedral Smectite 3 g.</t>
        </is>
      </c>
      <c r="G5" t="inlineStr">
        <is>
          <t>BDS003546</t>
        </is>
      </c>
      <c r="H5" t="inlineStr">
        <is>
          <t>Smecta (3 g.)</t>
        </is>
      </c>
      <c r="I5" t="inlineStr">
        <is>
          <t>ผสมสเมคต้าในน้ำประมาณ 30-50 ml. วันละ 3 ซอง</t>
        </is>
      </c>
      <c r="P5" t="inlineStr">
        <is>
          <t>Adsorbents / toxin binders</t>
        </is>
      </c>
    </row>
  </sheetData>
  <autoFilter ref="A1:P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164</v>
      </c>
      <c r="B2" t="inlineStr">
        <is>
          <t>ยาฆ่าเชื้อแบคทีเรียอื่นๆ (D)</t>
        </is>
      </c>
      <c r="C2" t="n">
        <v>3912</v>
      </c>
      <c r="D2" t="inlineStr">
        <is>
          <t>Dacin-F 300</t>
        </is>
      </c>
      <c r="E2" t="inlineStr">
        <is>
          <t>แผง 10 แคปซูล</t>
        </is>
      </c>
      <c r="F2" t="inlineStr">
        <is>
          <t>Clindamycin 300 mg.</t>
        </is>
      </c>
      <c r="G2" t="inlineStr">
        <is>
          <t>BDS003912</t>
        </is>
      </c>
      <c r="H2" t="inlineStr">
        <is>
          <t>Dacin-F 300 (10 cap)</t>
        </is>
      </c>
      <c r="I2" t="inlineStr">
        <is>
          <t>รับประทานครั้งละ 1 แคปซูล วันละ 3  ครั้ง หลังอาหาร</t>
        </is>
      </c>
      <c r="P2" t="inlineStr">
        <is>
          <t>Other antibiotics</t>
        </is>
      </c>
    </row>
    <row r="3">
      <c r="A3" t="n">
        <v>165</v>
      </c>
      <c r="B3" t="inlineStr">
        <is>
          <t>ยาฆ่าเชื้อแบคทีเรียอื่นๆ (D)</t>
        </is>
      </c>
      <c r="C3" t="n">
        <v>7723</v>
      </c>
      <c r="D3" t="inlineStr">
        <is>
          <t>Doxylcap</t>
        </is>
      </c>
      <c r="E3" t="inlineStr">
        <is>
          <t>แผง 10 แคปซูล</t>
        </is>
      </c>
      <c r="F3" t="inlineStr">
        <is>
          <t>Doxycycline Hyclate (eq. to Doxycycline 100 mg.)</t>
        </is>
      </c>
      <c r="G3" t="inlineStr">
        <is>
          <t>BDS007723</t>
        </is>
      </c>
      <c r="H3" t="inlineStr">
        <is>
          <t>Doxylcap (10 cap)</t>
        </is>
      </c>
      <c r="I3" t="inlineStr">
        <is>
          <t>รับประทานครั้งละ 1 แคปซูล วันละ 2 ครั้ง หลังอาหาร</t>
        </is>
      </c>
      <c r="P3" t="inlineStr">
        <is>
          <t>Other antibiotics</t>
        </is>
      </c>
    </row>
    <row r="4">
      <c r="A4" t="n">
        <v>166</v>
      </c>
      <c r="B4" t="inlineStr">
        <is>
          <t>ยาฆ่าเชื้อแบคทีเรียอื่นๆ (D)</t>
        </is>
      </c>
      <c r="C4" t="n">
        <v>44901</v>
      </c>
      <c r="D4" t="inlineStr">
        <is>
          <t>Metrolex 400 mg</t>
        </is>
      </c>
      <c r="E4" t="inlineStr">
        <is>
          <t>แผง 10 เม็ด</t>
        </is>
      </c>
      <c r="F4" t="inlineStr">
        <is>
          <t>Metronidazole 400 mg.</t>
        </is>
      </c>
      <c r="G4" t="inlineStr">
        <is>
          <t>BDS044901</t>
        </is>
      </c>
      <c r="H4" t="inlineStr">
        <is>
          <t>Metrolex 400 mg (10 tabs)</t>
        </is>
      </c>
      <c r="I4" t="inlineStr">
        <is>
          <t xml:space="preserve">รับประทานครั้งละ 1-2 เม็ด วันละ 3 ครั้ง หลังอาหารทันที หรือตามแพทย์สั่ง </t>
        </is>
      </c>
      <c r="P4" t="inlineStr">
        <is>
          <t>Other antibiotics</t>
        </is>
      </c>
    </row>
    <row r="5">
      <c r="A5" t="n">
        <v>167</v>
      </c>
      <c r="B5" t="inlineStr">
        <is>
          <t>ยาฆ่าเชื้อแบคทีเรียอื่นๆ (D)</t>
        </is>
      </c>
      <c r="C5" t="n">
        <v>7193</v>
      </c>
      <c r="D5" t="inlineStr">
        <is>
          <t>Metronidazole 400</t>
        </is>
      </c>
      <c r="E5" t="inlineStr">
        <is>
          <t>แผง 10 เม็ด</t>
        </is>
      </c>
      <c r="F5" t="inlineStr">
        <is>
          <t>Metronidazole 400 mg.</t>
        </is>
      </c>
      <c r="G5" t="inlineStr">
        <is>
          <t>BDS007193</t>
        </is>
      </c>
      <c r="H5" t="inlineStr">
        <is>
          <t>Metronidazole 400 (10 tabs)</t>
        </is>
      </c>
      <c r="I5" t="inlineStr">
        <is>
          <t xml:space="preserve">รับประทานครั้งละ 1-2 เม็ด วันละ 3 ครั้ง หลังอาหารทันที หรือตามแพทย์สั่ง </t>
        </is>
      </c>
      <c r="P5" t="inlineStr">
        <is>
          <t>Other antibiotics</t>
        </is>
      </c>
    </row>
    <row r="6">
      <c r="A6" t="n">
        <v>170</v>
      </c>
      <c r="B6" t="inlineStr">
        <is>
          <t>ยาฆ่าเชื้อแบคทีเรีย ชนิดน้ำ (D)</t>
        </is>
      </c>
      <c r="C6" t="n">
        <v>1046</v>
      </c>
      <c r="D6" t="inlineStr">
        <is>
          <t>AMK 228</t>
        </is>
      </c>
      <c r="E6" t="inlineStr">
        <is>
          <t>ขวด 70 ml.</t>
        </is>
      </c>
      <c r="F6" t="inlineStr">
        <is>
          <t>Amoxicillin 200 mg.+Clavulanic Acid 28 mg./5 ml.</t>
        </is>
      </c>
      <c r="G6" t="inlineStr">
        <is>
          <t>BDS001046</t>
        </is>
      </c>
      <c r="H6" t="inlineStr">
        <is>
          <t>AMK 228 (70 ml.)</t>
        </is>
      </c>
      <c r="I6" t="inlineStr">
        <is>
          <t>รับประทานครั้งละ 1 ช้อนชา (5 ml.) วันละ 2 ครั้ง</t>
        </is>
      </c>
      <c r="P6" t="inlineStr">
        <is>
          <t>Other antibiotics</t>
        </is>
      </c>
    </row>
    <row r="7">
      <c r="A7" t="n">
        <v>171</v>
      </c>
      <c r="B7" t="inlineStr">
        <is>
          <t>ยาฆ่าเชื้อแบคทีเรีย ชนิดน้ำ (D)</t>
        </is>
      </c>
      <c r="C7" t="n">
        <v>1047</v>
      </c>
      <c r="D7" t="inlineStr">
        <is>
          <t>AMK 457</t>
        </is>
      </c>
      <c r="E7" t="inlineStr">
        <is>
          <t>ขวด 70 ml.</t>
        </is>
      </c>
      <c r="F7" t="inlineStr">
        <is>
          <t>Amoxicillin 400 mg.+Clavulanic Acid 57 mg./5 ml.</t>
        </is>
      </c>
      <c r="G7" t="inlineStr">
        <is>
          <t>BDS001047</t>
        </is>
      </c>
      <c r="H7" t="inlineStr">
        <is>
          <t>AMK 457 (70 ml.)</t>
        </is>
      </c>
      <c r="I7" t="inlineStr">
        <is>
          <t>เด็กเล็กรับประทานครั้งละ ครึ่ง ช้อนชา (2.5 ml.) วันละ 2 ครั้ง</t>
        </is>
      </c>
      <c r="P7" t="inlineStr">
        <is>
          <t>Other antibiotics</t>
        </is>
      </c>
    </row>
    <row r="8">
      <c r="A8" t="n">
        <v>172</v>
      </c>
      <c r="B8" t="inlineStr">
        <is>
          <t>ยาฆ่าเชื้อแบคทีเรีย ชนิดน้ำ (D)</t>
        </is>
      </c>
      <c r="C8" t="n">
        <v>1056</v>
      </c>
      <c r="D8" t="inlineStr">
        <is>
          <t>Augmentin 457 mg</t>
        </is>
      </c>
      <c r="E8" t="inlineStr">
        <is>
          <t>ขวด 70 ml.</t>
        </is>
      </c>
      <c r="F8" t="inlineStr">
        <is>
          <t>Amoxicillin 400 mg.+Clavulanic Acid 57 mg./5 ml.</t>
        </is>
      </c>
      <c r="G8" t="inlineStr">
        <is>
          <t>BDS001056</t>
        </is>
      </c>
      <c r="H8" t="inlineStr">
        <is>
          <t>Augmentin 457 mg (70 ml.)</t>
        </is>
      </c>
      <c r="I8" t="inlineStr">
        <is>
          <t>เด็กเล็กรับประทานครั้งละ 1/2 ช้อนชา (2.5 ml.) วันละ 2 ครั้ง</t>
        </is>
      </c>
      <c r="P8" t="inlineStr">
        <is>
          <t>Other antibiotics</t>
        </is>
      </c>
    </row>
    <row r="9">
      <c r="A9" t="n">
        <v>173</v>
      </c>
      <c r="B9" t="inlineStr">
        <is>
          <t>ยาฆ่าเชื้อแบคทีเรีย ชนิดน้ำ (D)</t>
        </is>
      </c>
      <c r="C9" t="n">
        <v>1054</v>
      </c>
      <c r="D9" t="inlineStr">
        <is>
          <t>Augmentin ES</t>
        </is>
      </c>
      <c r="E9" t="inlineStr">
        <is>
          <t>ขวด 50 ml.</t>
        </is>
      </c>
      <c r="F9" t="inlineStr">
        <is>
          <t>Amoxicillin 600 mg.+Clavulanic Acid 42.9 mg./5 ml.</t>
        </is>
      </c>
      <c r="G9" t="inlineStr">
        <is>
          <t>BDS001054</t>
        </is>
      </c>
      <c r="H9" t="inlineStr">
        <is>
          <t>Augmentin ES (50 ml.)</t>
        </is>
      </c>
      <c r="I9" t="inlineStr">
        <is>
          <t xml:space="preserve">รับประทานตามแพทย์สั่ง </t>
        </is>
      </c>
      <c r="P9" t="inlineStr">
        <is>
          <t>Other antibiotics</t>
        </is>
      </c>
    </row>
    <row r="10">
      <c r="A10" t="n">
        <v>174</v>
      </c>
      <c r="B10" t="inlineStr">
        <is>
          <t>ยาฆ่าเชื้อแบคทีเรีย ชนิดน้ำ (D)</t>
        </is>
      </c>
      <c r="C10" t="n">
        <v>1084</v>
      </c>
      <c r="D10" t="inlineStr">
        <is>
          <t>Azith Oral Suspension</t>
        </is>
      </c>
      <c r="E10" t="inlineStr">
        <is>
          <t>ขวด 15 ml.</t>
        </is>
      </c>
      <c r="F10" t="inlineStr">
        <is>
          <t>Azithromycin 200 mg./5 ml.</t>
        </is>
      </c>
      <c r="G10" t="inlineStr">
        <is>
          <t>BDS001084</t>
        </is>
      </c>
      <c r="H10" t="inlineStr">
        <is>
          <t>Azith Oral Suspension (15 ml.)</t>
        </is>
      </c>
      <c r="I10" t="inlineStr">
        <is>
          <t xml:space="preserve">รับประทานครั้งละ 1 ช้อนชา วันละ 1 ครั้ง ก่อนอาหาร </t>
        </is>
      </c>
      <c r="P10" t="inlineStr">
        <is>
          <t>Other antibiotics</t>
        </is>
      </c>
    </row>
    <row r="11">
      <c r="A11" t="n">
        <v>175</v>
      </c>
      <c r="B11" t="inlineStr">
        <is>
          <t>ยาฆ่าเชื้อแบคทีเรีย ชนิดน้ำ (D)</t>
        </is>
      </c>
      <c r="C11" t="n">
        <v>1441</v>
      </c>
      <c r="D11" t="inlineStr">
        <is>
          <t>Cefspan Suspension</t>
        </is>
      </c>
      <c r="E11" t="inlineStr">
        <is>
          <t>ขวด 30 ml.</t>
        </is>
      </c>
      <c r="F11" t="inlineStr">
        <is>
          <t>Cefixime 100 mg./5 ml.</t>
        </is>
      </c>
      <c r="G11" t="inlineStr">
        <is>
          <t>BDS001441</t>
        </is>
      </c>
      <c r="H11" t="inlineStr">
        <is>
          <t>Cefspan Suspension (30 ml.)</t>
        </is>
      </c>
      <c r="I11" t="inlineStr">
        <is>
          <t>เด็กโตรับประทานครั้งละ 1 ช้อนชาวันละ 2 ครั้ง หรือตามแพทย์สั่ง</t>
        </is>
      </c>
      <c r="P11" t="inlineStr">
        <is>
          <t>Other antibiotics</t>
        </is>
      </c>
    </row>
    <row r="12">
      <c r="A12" t="n">
        <v>176</v>
      </c>
      <c r="B12" t="inlineStr">
        <is>
          <t>ยาฆ่าเชื้อแบคทีเรีย ชนิดน้ำ (D)</t>
        </is>
      </c>
      <c r="C12" t="n">
        <v>2206</v>
      </c>
      <c r="D12" t="inlineStr">
        <is>
          <t>Ibilex Syrup</t>
        </is>
      </c>
      <c r="E12" t="inlineStr">
        <is>
          <t>ขวด 60 ml.</t>
        </is>
      </c>
      <c r="F12" t="inlineStr">
        <is>
          <t>Cephalexin 125 mg./5 ml.</t>
        </is>
      </c>
      <c r="G12" t="inlineStr">
        <is>
          <t>BDS002206</t>
        </is>
      </c>
      <c r="H12" t="inlineStr">
        <is>
          <t>Ibilex Syrup (60 ml.)</t>
        </is>
      </c>
      <c r="I12" t="inlineStr">
        <is>
          <t>รับประทานครั้งละ 1 ช้อนชา วันละ 3 ครั้ง</t>
        </is>
      </c>
      <c r="P12" t="inlineStr">
        <is>
          <t>Other antibiotics</t>
        </is>
      </c>
    </row>
    <row r="13">
      <c r="A13" t="n">
        <v>177</v>
      </c>
      <c r="B13" t="inlineStr">
        <is>
          <t>ยาฆ่าเชื้อแบคทีเรีย ชนิดน้ำ (D)</t>
        </is>
      </c>
      <c r="C13" t="n">
        <v>2693</v>
      </c>
      <c r="D13" t="inlineStr">
        <is>
          <t>Meiact Fine Granules</t>
        </is>
      </c>
      <c r="E13" t="inlineStr">
        <is>
          <t>ซอง 0.5 g.</t>
        </is>
      </c>
      <c r="F13" t="inlineStr">
        <is>
          <t>Cefditoren 50 mg.</t>
        </is>
      </c>
      <c r="G13" t="inlineStr">
        <is>
          <t>BDS002693</t>
        </is>
      </c>
      <c r="H13" t="inlineStr">
        <is>
          <t>Meiact Fine Granules (0.5 g.)</t>
        </is>
      </c>
      <c r="I13" t="inlineStr">
        <is>
          <t xml:space="preserve">รับประทานตามแพทย์สั่ง </t>
        </is>
      </c>
      <c r="P13" t="inlineStr">
        <is>
          <t>Other antibiotics</t>
        </is>
      </c>
    </row>
    <row r="14">
      <c r="A14" t="n">
        <v>178</v>
      </c>
      <c r="B14" t="inlineStr">
        <is>
          <t>ยาฆ่าเชื้อแบคทีเรีย ชนิดน้ำ (D)</t>
        </is>
      </c>
      <c r="C14" t="n">
        <v>7586</v>
      </c>
      <c r="D14" t="inlineStr">
        <is>
          <t>Newtamox For Oral Suspension</t>
        </is>
      </c>
      <c r="E14" t="inlineStr">
        <is>
          <t>ขวด 60 ml.</t>
        </is>
      </c>
      <c r="F14" t="inlineStr">
        <is>
          <t>Amoxicillin 125 mg./5 ml.</t>
        </is>
      </c>
      <c r="G14" t="inlineStr">
        <is>
          <t>BDS007586</t>
        </is>
      </c>
      <c r="H14" t="inlineStr">
        <is>
          <t>Newtamox For Oral Suspension (60 ml.)</t>
        </is>
      </c>
      <c r="I14" t="inlineStr">
        <is>
          <t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 ครั้ง</t>
        </is>
      </c>
      <c r="P14" t="inlineStr">
        <is>
          <t>Other antibiotics</t>
        </is>
      </c>
    </row>
    <row r="15">
      <c r="A15" t="n">
        <v>179</v>
      </c>
      <c r="B15" t="inlineStr">
        <is>
          <t>ยาฆ่าเชื้อแบคทีเรีย ชนิดน้ำ (D)</t>
        </is>
      </c>
      <c r="C15" t="n">
        <v>7589</v>
      </c>
      <c r="D15" t="inlineStr">
        <is>
          <t>Newthrocin</t>
        </is>
      </c>
      <c r="E15" t="inlineStr">
        <is>
          <t>ขวด 60 ml.</t>
        </is>
      </c>
      <c r="F15" t="inlineStr">
        <is>
          <t>Erythromycin 125 mg./5 ml.</t>
        </is>
      </c>
      <c r="G15" t="inlineStr">
        <is>
          <t>BDS007589</t>
        </is>
      </c>
      <c r="H15" t="inlineStr">
        <is>
          <t>Newthrocin (60 ml.)</t>
        </is>
      </c>
      <c r="I15" t="inlineStr">
        <is>
          <t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 ช้อนชา วันละ 3-4 ครั้ง</t>
        </is>
      </c>
      <c r="P15" t="inlineStr">
        <is>
          <t>Other antibiotics</t>
        </is>
      </c>
    </row>
    <row r="16">
      <c r="A16" t="n">
        <v>180</v>
      </c>
      <c r="B16" t="inlineStr">
        <is>
          <t>ยาฆ่าเชื้อแบคทีเรีย ชนิดน้ำ (D)</t>
        </is>
      </c>
      <c r="C16" t="n">
        <v>46209</v>
      </c>
      <c r="D16" t="inlineStr">
        <is>
          <t>Onzet Oral Suspension</t>
        </is>
      </c>
      <c r="E16" t="inlineStr">
        <is>
          <t>ขวด 15 ml.</t>
        </is>
      </c>
      <c r="F16" t="inlineStr">
        <is>
          <t>Azithromycin 200 mg./5 ml.</t>
        </is>
      </c>
      <c r="G16" t="inlineStr">
        <is>
          <t>BDS046209</t>
        </is>
      </c>
      <c r="H16" t="inlineStr">
        <is>
          <t>Onzet Oral Suspension (15 ml.)</t>
        </is>
      </c>
      <c r="I16" t="inlineStr">
        <is>
          <t xml:space="preserve">รับประทานครั้งละ 1 ช้อนชา วันละ 1 ครั้ง ก่อนอาหาร </t>
        </is>
      </c>
      <c r="P16" t="inlineStr">
        <is>
          <t>Other antibiotics</t>
        </is>
      </c>
    </row>
    <row r="17">
      <c r="A17" t="n">
        <v>181</v>
      </c>
      <c r="B17" t="inlineStr">
        <is>
          <t>ยาฆ่าเชื้อแบคทีเรีย ชนิดน้ำ (D)</t>
        </is>
      </c>
      <c r="C17" t="n">
        <v>3549</v>
      </c>
      <c r="D17" t="inlineStr">
        <is>
          <t>Sia-Mox Syrup 125 mg</t>
        </is>
      </c>
      <c r="E17" t="inlineStr">
        <is>
          <t>ขวด 60 ml.</t>
        </is>
      </c>
      <c r="F17" t="inlineStr">
        <is>
          <t>Amoxicillin 125 mg./5 ml.</t>
        </is>
      </c>
      <c r="G17" t="inlineStr">
        <is>
          <t>BDS003549</t>
        </is>
      </c>
      <c r="H17" t="inlineStr">
        <is>
          <t>Sia-Mox Syrup 125 mg (60 ml.)</t>
        </is>
      </c>
      <c r="I17" t="inlineStr">
        <is>
          <t>รับประทานครั้งละ 1 ช้อนชา วันละ 3 ครั้ง</t>
        </is>
      </c>
      <c r="P17" t="inlineStr">
        <is>
          <t>Other antibiotics</t>
        </is>
      </c>
    </row>
    <row r="18">
      <c r="A18" t="n">
        <v>182</v>
      </c>
      <c r="B18" t="inlineStr">
        <is>
          <t>ยาฆ่าเชื้อแบคทีเรีย ชนิดน้ำ (D)</t>
        </is>
      </c>
      <c r="C18" t="n">
        <v>3550</v>
      </c>
      <c r="D18" t="inlineStr">
        <is>
          <t>Sia-Mox Syrup 250 mg</t>
        </is>
      </c>
      <c r="E18" t="inlineStr">
        <is>
          <t>ขวด 60 ml.</t>
        </is>
      </c>
      <c r="F18" t="inlineStr">
        <is>
          <t>Amoxicillin 250 mg./5 ml.</t>
        </is>
      </c>
      <c r="G18" t="inlineStr">
        <is>
          <t>BDS003550</t>
        </is>
      </c>
      <c r="H18" t="inlineStr">
        <is>
          <t>Sia-Mox Syrup 250 mg (60 ml.)</t>
        </is>
      </c>
      <c r="I18" t="inlineStr">
        <is>
          <t>เด็กโตรับประทานครั้งละ 1 ช้อนชา วันละ 3 ครั้ง</t>
        </is>
      </c>
      <c r="P18" t="inlineStr">
        <is>
          <t>Other antibiotics</t>
        </is>
      </c>
    </row>
    <row r="19">
      <c r="A19" t="n">
        <v>183</v>
      </c>
      <c r="B19" t="inlineStr">
        <is>
          <t>ยาฆ่าเชื้อแบคทีเรีย ชนิดน้ำ (D)</t>
        </is>
      </c>
      <c r="C19" t="n">
        <v>7682</v>
      </c>
      <c r="D19" t="inlineStr">
        <is>
          <t>Xalin Dry Syrup 125 mg</t>
        </is>
      </c>
      <c r="E19" t="inlineStr">
        <is>
          <t>ขวด 60 ml.</t>
        </is>
      </c>
      <c r="F19" t="inlineStr">
        <is>
          <t>Cloxacillin 125 mg./5 ml.</t>
        </is>
      </c>
      <c r="G19" t="inlineStr">
        <is>
          <t>BDS007682</t>
        </is>
      </c>
      <c r="H19" t="inlineStr">
        <is>
          <t>Xalin Dry Syrup 125 mg (60 ml.)</t>
        </is>
      </c>
      <c r="I19" t="inlineStr">
        <is>
          <t>เติมน้ำสะอาดลงในขวดเพียงเล็กน้อย เขย่าแล้วเติมน้ำจนถึงระดับที่กำหนดให้ เด็กเล็กรับประทานครั้งละ 1-2 ช้อนชา วันละ 3-4 ครั้ง ก่อนอาหาร</t>
        </is>
      </c>
      <c r="P19" t="inlineStr">
        <is>
          <t>Other antibiotics</t>
        </is>
      </c>
    </row>
    <row r="20">
      <c r="A20" t="n">
        <v>184</v>
      </c>
      <c r="B20" t="inlineStr">
        <is>
          <t>ยาฆ่าเชื้อแบคทีเรีย ชนิดน้ำ (D)</t>
        </is>
      </c>
      <c r="C20" t="n">
        <v>4225</v>
      </c>
      <c r="D20" t="inlineStr">
        <is>
          <t>Zithromax Dry 200 mg</t>
        </is>
      </c>
      <c r="E20" t="inlineStr">
        <is>
          <t>ขวด 15 ml.</t>
        </is>
      </c>
      <c r="F20" t="inlineStr">
        <is>
          <t>Azithromycin 200 mg./5 ml.</t>
        </is>
      </c>
      <c r="G20" t="inlineStr">
        <is>
          <t>BDS004225</t>
        </is>
      </c>
      <c r="H20" t="inlineStr">
        <is>
          <t>Zithromax Dry 200 mg (15 ml.)</t>
        </is>
      </c>
      <c r="I20" t="inlineStr">
        <is>
          <t xml:space="preserve">รับประทานครั้งละ 1 ช้อนชา วันละ 1 ครั้ง ก่อนอาหาร </t>
        </is>
      </c>
      <c r="P20" t="inlineStr">
        <is>
          <t>Other antibiotics</t>
        </is>
      </c>
    </row>
  </sheetData>
  <autoFilter ref="A1:P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228</v>
      </c>
      <c r="B2" t="inlineStr">
        <is>
          <t>ยาแก้ปวดอักเสบกลุ่ม NSAIDs (D)</t>
        </is>
      </c>
      <c r="C2" t="n">
        <v>40009</v>
      </c>
      <c r="D2" t="inlineStr">
        <is>
          <t xml:space="preserve">Anpuzz 520 </t>
        </is>
      </c>
      <c r="E2" t="inlineStr">
        <is>
          <t>กล่อง 10 เม็ด</t>
        </is>
      </c>
      <c r="F2" t="inlineStr">
        <is>
          <t>Mefenamic acid 500 mg. + Dicyclomine HCl 20 mg.</t>
        </is>
      </c>
      <c r="G2" t="inlineStr">
        <is>
          <t>BDS040009</t>
        </is>
      </c>
      <c r="H2" t="inlineStr">
        <is>
          <t>Anpuzz 520  (10 tabs)</t>
        </is>
      </c>
      <c r="I2" t="inlineStr">
        <is>
          <t xml:space="preserve">รับประทานครั้งละ 1 เม็ด วันละ 3 ครั้ง หลังอาหารทันที </t>
        </is>
      </c>
      <c r="P2" t="inlineStr">
        <is>
          <t>NSAIDs (oral anti-inflammatory painkillers)</t>
        </is>
      </c>
    </row>
    <row r="3">
      <c r="A3" t="n">
        <v>229</v>
      </c>
      <c r="B3" t="inlineStr">
        <is>
          <t>ยาแก้ปวดอักเสบกลุ่ม NSAIDs (D)</t>
        </is>
      </c>
      <c r="C3" t="n">
        <v>1076</v>
      </c>
      <c r="D3" t="inlineStr">
        <is>
          <t>Arcoxia 120 mg</t>
        </is>
      </c>
      <c r="E3" t="inlineStr">
        <is>
          <t>แผง 5 เม็ด</t>
        </is>
      </c>
      <c r="F3" t="inlineStr">
        <is>
          <t>Etoricoxib 120 mg.</t>
        </is>
      </c>
      <c r="G3" t="inlineStr">
        <is>
          <t>BDS001076</t>
        </is>
      </c>
      <c r="H3" t="inlineStr">
        <is>
          <t>Arcoxia 120 mg (5 tabs)</t>
        </is>
      </c>
      <c r="I3" t="inlineStr">
        <is>
          <t>รับประทานครั้งละ 1 เม็ด วันละ 1 ครั้ง หลังอาหารทันที</t>
        </is>
      </c>
      <c r="P3" t="inlineStr">
        <is>
          <t>NSAIDs (oral anti-inflammatory painkillers)</t>
        </is>
      </c>
    </row>
    <row r="4">
      <c r="A4" t="n">
        <v>230</v>
      </c>
      <c r="B4" t="inlineStr">
        <is>
          <t>ยาแก้ปวดอักเสบกลุ่ม NSAIDs (D)</t>
        </is>
      </c>
      <c r="C4" t="n">
        <v>1078</v>
      </c>
      <c r="D4" t="inlineStr">
        <is>
          <t>Arcoxia 60 mg</t>
        </is>
      </c>
      <c r="E4" t="inlineStr">
        <is>
          <t>แผง 5 เม็ด</t>
        </is>
      </c>
      <c r="F4" t="inlineStr">
        <is>
          <t>Etoricoxib 60 mg.</t>
        </is>
      </c>
      <c r="G4" t="inlineStr">
        <is>
          <t>BDS001078</t>
        </is>
      </c>
      <c r="H4" t="inlineStr">
        <is>
          <t>Arcoxia 60 mg (5 tabs)</t>
        </is>
      </c>
      <c r="I4" t="inlineStr">
        <is>
          <t>รับประทานครั้งละ 1 เม็ด วันละ 1 ครั้ง หลังอาหารทันที</t>
        </is>
      </c>
      <c r="P4" t="inlineStr">
        <is>
          <t>NSAIDs (oral anti-inflammatory painkillers)</t>
        </is>
      </c>
    </row>
    <row r="5">
      <c r="A5" t="n">
        <v>231</v>
      </c>
      <c r="B5" t="inlineStr">
        <is>
          <t>ยาแก้ปวดอักเสบกลุ่ม NSAIDs (D)</t>
        </is>
      </c>
      <c r="C5" t="n">
        <v>1075</v>
      </c>
      <c r="D5" t="inlineStr">
        <is>
          <t>Arcoxia 90 mg</t>
        </is>
      </c>
      <c r="E5" t="inlineStr">
        <is>
          <t>แผง 5 เม็ด</t>
        </is>
      </c>
      <c r="F5" t="inlineStr">
        <is>
          <t>Etoricoxib 90 mg.</t>
        </is>
      </c>
      <c r="G5" t="inlineStr">
        <is>
          <t>BDS001075</t>
        </is>
      </c>
      <c r="H5" t="inlineStr">
        <is>
          <t>Arcoxia 90 mg (5 tabs)</t>
        </is>
      </c>
      <c r="I5" t="inlineStr">
        <is>
          <t>รับประทานครั้งละ 1 เม็ด  วันละ 1 ครั้ง หลังอาหารทันที</t>
        </is>
      </c>
      <c r="P5" t="inlineStr">
        <is>
          <t>NSAIDs (oral anti-inflammatory painkillers)</t>
        </is>
      </c>
    </row>
    <row r="6">
      <c r="A6" t="n">
        <v>232</v>
      </c>
      <c r="B6" t="inlineStr">
        <is>
          <t>ยาแก้ปวดอักเสบกลุ่ม NSAIDs (D)</t>
        </is>
      </c>
      <c r="C6" t="n">
        <v>40616</v>
      </c>
      <c r="D6" t="inlineStr">
        <is>
          <t>Biocoxib 90 mg.</t>
        </is>
      </c>
      <c r="E6" t="inlineStr">
        <is>
          <t>แผง 5 เม็ด</t>
        </is>
      </c>
      <c r="F6" t="inlineStr">
        <is>
          <t>Etoricoxib 90 mg.</t>
        </is>
      </c>
      <c r="G6" t="inlineStr">
        <is>
          <t>BDS040616</t>
        </is>
      </c>
      <c r="H6" t="inlineStr">
        <is>
          <t>Biocoxib 90 mg. (5 tabs)</t>
        </is>
      </c>
      <c r="I6" t="inlineStr">
        <is>
          <t>รับประทานครั้งละ 1 เม็ด  วันละ 1 ครั้ง หลังอาหารทันที</t>
        </is>
      </c>
      <c r="P6" t="inlineStr">
        <is>
          <t>NSAIDs (oral anti-inflammatory painkillers)</t>
        </is>
      </c>
    </row>
    <row r="7">
      <c r="A7" t="n">
        <v>233</v>
      </c>
      <c r="B7" t="inlineStr">
        <is>
          <t>ยาแก้ปวดอักเสบกลุ่ม NSAIDs (D)</t>
        </is>
      </c>
      <c r="C7" t="n">
        <v>8116</v>
      </c>
      <c r="D7" t="inlineStr">
        <is>
          <t>Cambic 15</t>
        </is>
      </c>
      <c r="E7" t="inlineStr">
        <is>
          <t>แผง 10 เม็ด</t>
        </is>
      </c>
      <c r="F7" t="inlineStr">
        <is>
          <t>Meloxicam 15 mg.</t>
        </is>
      </c>
      <c r="G7" t="inlineStr">
        <is>
          <t>BDS008116</t>
        </is>
      </c>
      <c r="H7" t="inlineStr">
        <is>
          <t>Cambic 15 (10 tabs)</t>
        </is>
      </c>
      <c r="I7" t="inlineStr">
        <is>
          <t>รับประทานครั้งละ 1 เม็ด วันละ 1 ครั้ง หลังอาหารทันที</t>
        </is>
      </c>
      <c r="P7" t="inlineStr">
        <is>
          <t>NSAIDs (oral anti-inflammatory painkillers)</t>
        </is>
      </c>
    </row>
    <row r="8">
      <c r="A8" t="n">
        <v>234</v>
      </c>
      <c r="B8" t="inlineStr">
        <is>
          <t>ยาแก้ปวดอักเสบกลุ่ม NSAIDs (D)</t>
        </is>
      </c>
      <c r="C8" t="n">
        <v>41402</v>
      </c>
      <c r="D8" t="inlineStr">
        <is>
          <t>Cataflam 50 mg</t>
        </is>
      </c>
      <c r="E8" t="inlineStr">
        <is>
          <t>แผง 10 เม็ด</t>
        </is>
      </c>
      <c r="F8" t="inlineStr">
        <is>
          <t>Diclofenac Potassium 50 mg</t>
        </is>
      </c>
      <c r="G8" t="inlineStr">
        <is>
          <t>BDS041402</t>
        </is>
      </c>
      <c r="H8" t="inlineStr">
        <is>
          <t>Cataflam 50 mg (10 tabs)</t>
        </is>
      </c>
      <c r="I8" t="inlineStr">
        <is>
          <t>รับประทานครั้งละ 1 เม็ด วันละ 1-2 ครั้ง หลังอาหารทันที หรือตามแพทย์สั่ง</t>
        </is>
      </c>
      <c r="P8" t="inlineStr">
        <is>
          <t>NSAIDs (oral anti-inflammatory painkillers)</t>
        </is>
      </c>
    </row>
    <row r="9">
      <c r="A9" t="n">
        <v>235</v>
      </c>
      <c r="B9" t="inlineStr">
        <is>
          <t>ยาแก้ปวดอักเสบกลุ่ม NSAIDs (D)</t>
        </is>
      </c>
      <c r="C9" t="n">
        <v>7035</v>
      </c>
      <c r="D9" t="inlineStr">
        <is>
          <t>Catanac 50 mg</t>
        </is>
      </c>
      <c r="E9" t="inlineStr">
        <is>
          <t>แผง 10 เม็ด</t>
        </is>
      </c>
      <c r="F9" t="inlineStr">
        <is>
          <t>Diclofenac Potassium 50 mg.</t>
        </is>
      </c>
      <c r="G9" t="inlineStr">
        <is>
          <t>BDS007035</t>
        </is>
      </c>
      <c r="H9" t="inlineStr">
        <is>
          <t>Catanac 50 mg (10 tabs)</t>
        </is>
      </c>
      <c r="I9" t="inlineStr">
        <is>
          <t>รับประทานครั้งละ 1 เม็ด วันละ 3 ครั้ง หลังอาหารทันที</t>
        </is>
      </c>
      <c r="P9" t="inlineStr">
        <is>
          <t>NSAIDs (oral anti-inflammatory painkillers)</t>
        </is>
      </c>
    </row>
    <row r="10">
      <c r="A10" t="n">
        <v>236</v>
      </c>
      <c r="B10" t="inlineStr">
        <is>
          <t>ยาแก้ปวดอักเสบกลุ่ม NSAIDs (D)</t>
        </is>
      </c>
      <c r="C10" t="n">
        <v>1509</v>
      </c>
      <c r="D10" t="inlineStr">
        <is>
          <t>Celebrex 200 mg</t>
        </is>
      </c>
      <c r="E10" t="inlineStr">
        <is>
          <t>กล่อง 10 แคปซูล</t>
        </is>
      </c>
      <c r="F10" t="inlineStr">
        <is>
          <t>Celecoxib 200 mg.</t>
        </is>
      </c>
      <c r="G10" t="inlineStr">
        <is>
          <t>BDS001509</t>
        </is>
      </c>
      <c r="H10" t="inlineStr">
        <is>
          <t>Celebrex 200 mg (10 cap)</t>
        </is>
      </c>
      <c r="I10" t="inlineStr">
        <is>
          <t>รับประทานครั้งละ 1 แคปซูล วันละ 2 ครั้ง หลังอาหารทันที</t>
        </is>
      </c>
      <c r="P10" t="inlineStr">
        <is>
          <t>NSAIDs (oral anti-inflammatory painkillers)</t>
        </is>
      </c>
    </row>
    <row r="11">
      <c r="A11" t="n">
        <v>237</v>
      </c>
      <c r="B11" t="inlineStr">
        <is>
          <t>ยาแก้ปวดอักเสบกลุ่ม NSAIDs (D)</t>
        </is>
      </c>
      <c r="C11" t="n">
        <v>1507</v>
      </c>
      <c r="D11" t="inlineStr">
        <is>
          <t>Celebrex 400 mg</t>
        </is>
      </c>
      <c r="E11" t="inlineStr">
        <is>
          <t>กล่อง 10 แคปซูล</t>
        </is>
      </c>
      <c r="F11" t="inlineStr">
        <is>
          <t>Celecoxib 400 mg.</t>
        </is>
      </c>
      <c r="G11" t="inlineStr">
        <is>
          <t>BDS001507</t>
        </is>
      </c>
      <c r="H11" t="inlineStr">
        <is>
          <t>Celebrex 400 mg (10 cap)</t>
        </is>
      </c>
      <c r="I11" t="inlineStr">
        <is>
          <t>รับประทานครั้งละ 1 แคปซูล วันละ 1 ครั้ง หลังอาหารทันที</t>
        </is>
      </c>
      <c r="P11" t="inlineStr">
        <is>
          <t>NSAIDs (oral anti-inflammatory painkillers)</t>
        </is>
      </c>
    </row>
    <row r="12">
      <c r="A12" t="n">
        <v>238</v>
      </c>
      <c r="B12" t="inlineStr">
        <is>
          <t>ยาแก้ปวดอักเสบกลุ่ม NSAIDs (D)</t>
        </is>
      </c>
      <c r="C12" t="n">
        <v>1822</v>
      </c>
      <c r="D12" t="inlineStr">
        <is>
          <t>Dosanac 25</t>
        </is>
      </c>
      <c r="E12" t="inlineStr">
        <is>
          <t>กล่อง 10 เม็ด</t>
        </is>
      </c>
      <c r="F12" t="inlineStr">
        <is>
          <t>Diclofenac Sodium 25 mg.</t>
        </is>
      </c>
      <c r="G12" t="inlineStr">
        <is>
          <t>BDS001822</t>
        </is>
      </c>
      <c r="H12" t="inlineStr">
        <is>
          <t>Dosanac 25 (10 tabs)</t>
        </is>
      </c>
      <c r="I12" t="inlineStr">
        <is>
          <t>รับประทานครั้งละ 1-2 เม็ด วันละ 3 ครั้ง หลังอาหารทันที หรือตามแพทย์สั่ง</t>
        </is>
      </c>
      <c r="P12" t="inlineStr">
        <is>
          <t>NSAIDs (oral anti-inflammatory painkillers)</t>
        </is>
      </c>
    </row>
    <row r="13">
      <c r="A13" t="n">
        <v>239</v>
      </c>
      <c r="B13" t="inlineStr">
        <is>
          <t>ยาแก้ปวดอักเสบกลุ่ม NSAIDs (D)</t>
        </is>
      </c>
      <c r="C13" t="n">
        <v>1824</v>
      </c>
      <c r="D13" t="inlineStr">
        <is>
          <t>Dosanac 50</t>
        </is>
      </c>
      <c r="E13" t="inlineStr">
        <is>
          <t>กล่อง 10 เม็ด</t>
        </is>
      </c>
      <c r="F13" t="inlineStr">
        <is>
          <t>Diclofenac Sodium 50 mg.</t>
        </is>
      </c>
      <c r="G13" t="inlineStr">
        <is>
          <t>BDS001824</t>
        </is>
      </c>
      <c r="H13" t="inlineStr">
        <is>
          <t>Dosanac 50 (10 tabs)</t>
        </is>
      </c>
      <c r="I13" t="inlineStr">
        <is>
          <t>รับประทานครั้งละ 1 เม็ดวันละ 3 ครั้ง หลังอาหารทันที หรือตามแพทย์สั่ง</t>
        </is>
      </c>
      <c r="P13" t="inlineStr">
        <is>
          <t>NSAIDs (oral anti-inflammatory painkillers)</t>
        </is>
      </c>
    </row>
    <row r="14">
      <c r="A14" t="n">
        <v>240</v>
      </c>
      <c r="B14" t="inlineStr">
        <is>
          <t>ยาแก้ปวดอักเสบกลุ่ม NSAIDs (D)</t>
        </is>
      </c>
      <c r="C14" t="n">
        <v>42806</v>
      </c>
      <c r="D14" t="inlineStr">
        <is>
          <t>Eberil 120</t>
        </is>
      </c>
      <c r="E14" t="inlineStr">
        <is>
          <t>กล่อง 5 เม็ด</t>
        </is>
      </c>
      <c r="F14" t="inlineStr">
        <is>
          <t>Etoricoxib 120 mg.</t>
        </is>
      </c>
      <c r="G14" t="inlineStr">
        <is>
          <t>BDS042806</t>
        </is>
      </c>
      <c r="H14" t="inlineStr">
        <is>
          <t>Eberil 120 (5 tabs)</t>
        </is>
      </c>
      <c r="I14" t="inlineStr">
        <is>
          <t>รับประทานครั้งละ 1 เม็ด วันละ 1 ครั้ง หลังอาหารทันที</t>
        </is>
      </c>
      <c r="P14" t="inlineStr">
        <is>
          <t>NSAIDs (oral anti-inflammatory painkillers)</t>
        </is>
      </c>
    </row>
    <row r="15">
      <c r="A15" t="n">
        <v>241</v>
      </c>
      <c r="B15" t="inlineStr">
        <is>
          <t>ยาแก้ปวดอักเสบกลุ่ม NSAIDs (D)</t>
        </is>
      </c>
      <c r="C15" t="n">
        <v>8061</v>
      </c>
      <c r="D15" t="inlineStr">
        <is>
          <t>Felcam</t>
        </is>
      </c>
      <c r="E15" t="inlineStr">
        <is>
          <t>แผง 10 เม็ด</t>
        </is>
      </c>
      <c r="F15" t="inlineStr">
        <is>
          <t>Piroxicam 20 mg.</t>
        </is>
      </c>
      <c r="G15" t="inlineStr">
        <is>
          <t>BDS008061</t>
        </is>
      </c>
      <c r="H15" t="inlineStr">
        <is>
          <t>Felcam (10 tabs)</t>
        </is>
      </c>
      <c r="I15" t="inlineStr">
        <is>
          <t>รับประทานครั้งละ 1 เม็ด วันละ 1-2 ครั้ง หลังอาหารทันที</t>
        </is>
      </c>
      <c r="P15" t="inlineStr">
        <is>
          <t>NSAIDs (oral anti-inflammatory painkillers)</t>
        </is>
      </c>
    </row>
    <row r="16">
      <c r="A16" t="n">
        <v>242</v>
      </c>
      <c r="B16" t="inlineStr">
        <is>
          <t>ยาแก้ปวดอักเสบกลุ่ม NSAIDs (D)</t>
        </is>
      </c>
      <c r="C16" t="n">
        <v>7602</v>
      </c>
      <c r="D16" t="inlineStr">
        <is>
          <t>Felcam Capsule</t>
        </is>
      </c>
      <c r="E16" t="inlineStr">
        <is>
          <t>แผง 10 แคปซูล</t>
        </is>
      </c>
      <c r="F16" t="inlineStr">
        <is>
          <t>Piroxicam 10 mg.</t>
        </is>
      </c>
      <c r="G16" t="inlineStr">
        <is>
          <t>BDS007602</t>
        </is>
      </c>
      <c r="H16" t="inlineStr">
        <is>
          <t>Felcam Capsule (10 cap)</t>
        </is>
      </c>
      <c r="I16" t="inlineStr">
        <is>
          <t>รับประทานครั้งละ 1-2 แคปซูล วันละ 2 ครั้ง หลังอาหารทันที</t>
        </is>
      </c>
      <c r="P16" t="inlineStr">
        <is>
          <t>NSAIDs (oral anti-inflammatory painkillers)</t>
        </is>
      </c>
    </row>
    <row r="17">
      <c r="A17" t="n">
        <v>243</v>
      </c>
      <c r="B17" t="inlineStr">
        <is>
          <t>ยาแก้ปวดอักเสบกลุ่ม NSAIDs (D)</t>
        </is>
      </c>
      <c r="C17" t="n">
        <v>44250</v>
      </c>
      <c r="D17" t="inlineStr">
        <is>
          <t>Japrolox tabslets</t>
        </is>
      </c>
      <c r="E17" t="inlineStr">
        <is>
          <t>กล่อง 20 เม็ด</t>
        </is>
      </c>
      <c r="F17" t="inlineStr">
        <is>
          <t>Loxoprofen sodium 60 mg.</t>
        </is>
      </c>
      <c r="G17" t="inlineStr">
        <is>
          <t>BDS044250</t>
        </is>
      </c>
      <c r="H17" t="inlineStr">
        <is>
          <t>Japrolox tabslets (20 tabs)</t>
        </is>
      </c>
      <c r="I17" t="inlineStr">
        <is>
          <t>รับประทานครั้งละ 1 เม็ด วันละ 3 ครั้ง หลังอาหารทันที</t>
        </is>
      </c>
      <c r="P17" t="inlineStr">
        <is>
          <t>NSAIDs (oral anti-inflammatory painkillers)</t>
        </is>
      </c>
    </row>
    <row r="18">
      <c r="A18" t="n">
        <v>244</v>
      </c>
      <c r="B18" t="inlineStr">
        <is>
          <t>ยาแก้ปวดอักเสบกลุ่ม NSAIDs (D)</t>
        </is>
      </c>
      <c r="C18" t="n">
        <v>44900</v>
      </c>
      <c r="D18" t="inlineStr">
        <is>
          <t>Mefamed 500</t>
        </is>
      </c>
      <c r="E18" t="inlineStr">
        <is>
          <t>แผง 10 เม็ด</t>
        </is>
      </c>
      <c r="F18" t="inlineStr">
        <is>
          <t>Mefenamic acid 500 mg.</t>
        </is>
      </c>
      <c r="G18" t="inlineStr">
        <is>
          <t>BDS044900</t>
        </is>
      </c>
      <c r="H18" t="inlineStr">
        <is>
          <t>Mefamed 500 (10 tabs)</t>
        </is>
      </c>
      <c r="I18" t="inlineStr">
        <is>
          <t xml:space="preserve">รับประทานครั้งละ 1 เม็ด วันละ 3 ครั้ง หลังอาหารทันที </t>
        </is>
      </c>
      <c r="P18" t="inlineStr">
        <is>
          <t>NSAIDs (oral anti-inflammatory painkillers)</t>
        </is>
      </c>
    </row>
    <row r="19">
      <c r="A19" t="n">
        <v>245</v>
      </c>
      <c r="B19" t="inlineStr">
        <is>
          <t>ยาแก้ปวดอักเสบกลุ่ม NSAIDs (D)</t>
        </is>
      </c>
      <c r="C19" t="n">
        <v>2669</v>
      </c>
      <c r="D19" t="inlineStr">
        <is>
          <t>Melcam</t>
        </is>
      </c>
      <c r="E19" t="inlineStr">
        <is>
          <t>แผง 10 เม็ด</t>
        </is>
      </c>
      <c r="F19" t="inlineStr">
        <is>
          <t>Meloxicam 7.5 mg.</t>
        </is>
      </c>
      <c r="G19" t="inlineStr">
        <is>
          <t>BDS002669</t>
        </is>
      </c>
      <c r="H19" t="inlineStr">
        <is>
          <t>Melcam (10 tabs)</t>
        </is>
      </c>
      <c r="I19" t="inlineStr">
        <is>
          <t>รับประทานครั้งละ 1 เม็ด  วันละ 1-2 ครั้ง หลังอาหารทันที</t>
        </is>
      </c>
      <c r="P19" t="inlineStr">
        <is>
          <t>NSAIDs (oral anti-inflammatory painkillers)</t>
        </is>
      </c>
    </row>
    <row r="20">
      <c r="A20" t="n">
        <v>246</v>
      </c>
      <c r="B20" t="inlineStr">
        <is>
          <t>ยาแก้ปวดอักเสบกลุ่ม NSAIDs (D)</t>
        </is>
      </c>
      <c r="C20" t="n">
        <v>44909</v>
      </c>
      <c r="D20" t="inlineStr">
        <is>
          <t xml:space="preserve">Meomic 500 </t>
        </is>
      </c>
      <c r="E20" t="inlineStr">
        <is>
          <t>แผง 10 เม็ด</t>
        </is>
      </c>
      <c r="F20" t="inlineStr">
        <is>
          <t>Mefenamic acid 500 mg.</t>
        </is>
      </c>
      <c r="G20" t="inlineStr">
        <is>
          <t>BDS044909</t>
        </is>
      </c>
      <c r="H20" t="inlineStr">
        <is>
          <t>Meomic 500  (10 tabs)</t>
        </is>
      </c>
      <c r="I20" t="inlineStr">
        <is>
          <t xml:space="preserve">รับประทานครั้งละ 1 เม็ด วันละ 3 ครั้ง หลังอาหารทันที </t>
        </is>
      </c>
      <c r="P20" t="inlineStr">
        <is>
          <t>NSAIDs (oral anti-inflammatory painkillers)</t>
        </is>
      </c>
    </row>
    <row r="21">
      <c r="A21" t="n">
        <v>247</v>
      </c>
      <c r="B21" t="inlineStr">
        <is>
          <t>ยาแก้ปวดอักเสบกลุ่ม NSAIDs (D)</t>
        </is>
      </c>
      <c r="C21" t="n">
        <v>2642</v>
      </c>
      <c r="D21" t="inlineStr">
        <is>
          <t>Mobic 7.5 mg</t>
        </is>
      </c>
      <c r="E21" t="inlineStr">
        <is>
          <t>แผง 10  เม็ด</t>
        </is>
      </c>
      <c r="F21" t="inlineStr">
        <is>
          <t>Meloxicam 7.5 mg.</t>
        </is>
      </c>
      <c r="G21" t="inlineStr">
        <is>
          <t>BDS002642</t>
        </is>
      </c>
      <c r="H21" t="inlineStr">
        <is>
          <t>Mobic 7.5 mg (10 tabs)</t>
        </is>
      </c>
      <c r="I21" t="inlineStr">
        <is>
          <t>รับประทานครั้งละ 1-2 เม็ด วันละ 1-2 ครั้ง หลังอาหารทันที</t>
        </is>
      </c>
      <c r="P21" t="inlineStr">
        <is>
          <t>NSAIDs (oral anti-inflammatory painkillers)</t>
        </is>
      </c>
    </row>
    <row r="22">
      <c r="A22" t="n">
        <v>248</v>
      </c>
      <c r="B22" t="inlineStr">
        <is>
          <t>ยาแก้ปวดอักเสบกลุ่ม NSAIDs (D)</t>
        </is>
      </c>
      <c r="C22" t="n">
        <v>45624</v>
      </c>
      <c r="D22" t="inlineStr">
        <is>
          <t>Naprofazt</t>
        </is>
      </c>
      <c r="E22" t="inlineStr">
        <is>
          <t>แผง 10 แคปซูล</t>
        </is>
      </c>
      <c r="F22" t="inlineStr">
        <is>
          <t>Naproxen (as Naproxen Sodium) 250 mg.</t>
        </is>
      </c>
      <c r="G22" t="inlineStr">
        <is>
          <t>BDS045624</t>
        </is>
      </c>
      <c r="H22" t="inlineStr">
        <is>
          <t>Naprofazt (10 cap)</t>
        </is>
      </c>
      <c r="I22" t="inlineStr">
        <is>
          <t>รับประทานครั้งละ 1 แคปซูล วันละ 2 ครั้ง หลังอาหารทันที</t>
        </is>
      </c>
      <c r="P22" t="inlineStr">
        <is>
          <t>NSAIDs (oral anti-inflammatory painkillers)</t>
        </is>
      </c>
    </row>
    <row r="23">
      <c r="A23" t="n">
        <v>249</v>
      </c>
      <c r="B23" t="inlineStr">
        <is>
          <t>ยาแก้ปวดอักเสบกลุ่ม NSAIDs (D)</t>
        </is>
      </c>
      <c r="C23" t="n">
        <v>7214</v>
      </c>
      <c r="D23" t="inlineStr">
        <is>
          <t>Naproflex</t>
        </is>
      </c>
      <c r="E23" t="inlineStr">
        <is>
          <t>แผง 6 เม็ด</t>
        </is>
      </c>
      <c r="F23" t="inlineStr">
        <is>
          <t>Naproxen sodium 275 mg.</t>
        </is>
      </c>
      <c r="G23" t="inlineStr">
        <is>
          <t>BDS007214</t>
        </is>
      </c>
      <c r="H23" t="inlineStr">
        <is>
          <t>Naproflex (6 tabs)</t>
        </is>
      </c>
      <c r="I23" t="inlineStr">
        <is>
          <t>รับประทานครั้งละ 1 เม็ด วันละ 2 ครั้ง หลังอาหารทันที</t>
        </is>
      </c>
      <c r="P23" t="inlineStr">
        <is>
          <t>NSAIDs (oral anti-inflammatory painkillers)</t>
        </is>
      </c>
    </row>
    <row r="24">
      <c r="A24" t="n">
        <v>250</v>
      </c>
      <c r="B24" t="inlineStr">
        <is>
          <t>ยาแก้ปวดอักเสบกลุ่ม NSAIDs (D)</t>
        </is>
      </c>
      <c r="C24" t="n">
        <v>7576</v>
      </c>
      <c r="D24" t="inlineStr">
        <is>
          <t>Naprosian</t>
        </is>
      </c>
      <c r="E24" t="inlineStr">
        <is>
          <t>แผง 10 เม็ด</t>
        </is>
      </c>
      <c r="F24" t="inlineStr">
        <is>
          <t>Naproxen 250 mg.</t>
        </is>
      </c>
      <c r="G24" t="inlineStr">
        <is>
          <t>BDS007576</t>
        </is>
      </c>
      <c r="H24" t="inlineStr">
        <is>
          <t>Naprosian (10 tabs)</t>
        </is>
      </c>
      <c r="I24" t="inlineStr">
        <is>
          <t>รับประทานครั้งละ 1 เม็ด วันละ 2 ครั้ง หลังอาหารทันที</t>
        </is>
      </c>
      <c r="P24" t="inlineStr">
        <is>
          <t>NSAIDs (oral anti-inflammatory painkillers)</t>
        </is>
      </c>
    </row>
    <row r="25">
      <c r="A25" t="n">
        <v>251</v>
      </c>
      <c r="B25" t="inlineStr">
        <is>
          <t>ยาแก้ปวดอักเสบกลุ่ม NSAIDs (D)</t>
        </is>
      </c>
      <c r="C25" t="n">
        <v>3422</v>
      </c>
      <c r="D25" t="inlineStr">
        <is>
          <t>Pircam 20 mg</t>
        </is>
      </c>
      <c r="E25" t="inlineStr">
        <is>
          <t>แผง 10 แคปซูล</t>
        </is>
      </c>
      <c r="F25" t="inlineStr">
        <is>
          <t>Piroxicam 20 mg.</t>
        </is>
      </c>
      <c r="G25" t="inlineStr">
        <is>
          <t>BDS003422</t>
        </is>
      </c>
      <c r="H25" t="inlineStr">
        <is>
          <t>Pircam 20 mg (10 cap)</t>
        </is>
      </c>
      <c r="I25" t="inlineStr">
        <is>
          <t>รับประทานครั้งละ 1 แคปซูล วันละ 2 ครั้ง หลังอาหารทันที</t>
        </is>
      </c>
      <c r="P25" t="inlineStr">
        <is>
          <t>NSAIDs (oral anti-inflammatory painkillers)</t>
        </is>
      </c>
    </row>
    <row r="26">
      <c r="A26" t="n">
        <v>252</v>
      </c>
      <c r="B26" t="inlineStr">
        <is>
          <t>ยาแก้ปวดอักเสบกลุ่ม NSAIDs (D)</t>
        </is>
      </c>
      <c r="C26" t="n">
        <v>3131</v>
      </c>
      <c r="D26" t="inlineStr">
        <is>
          <t>Ponstan 500 mg</t>
        </is>
      </c>
      <c r="E26" t="inlineStr">
        <is>
          <t>แผง 10 เม็ด</t>
        </is>
      </c>
      <c r="F26" t="inlineStr">
        <is>
          <t>Mefenamic acid 500 mg.</t>
        </is>
      </c>
      <c r="G26" t="inlineStr">
        <is>
          <t>BDS003131</t>
        </is>
      </c>
      <c r="H26" t="inlineStr">
        <is>
          <t>Ponstan 500 mg (10 tabs)</t>
        </is>
      </c>
      <c r="I26" t="inlineStr">
        <is>
          <t>รับประทานครั้งละ 1 เม็ด วันละ 3 ครั้ง หลังอาหารทันที</t>
        </is>
      </c>
      <c r="P26" t="inlineStr">
        <is>
          <t>NSAIDs (oral anti-inflammatory painkillers)</t>
        </is>
      </c>
    </row>
    <row r="27">
      <c r="A27" t="n">
        <v>253</v>
      </c>
      <c r="B27" t="inlineStr">
        <is>
          <t>ยาแก้ปวดอักเสบกลุ่ม NSAIDs (D)</t>
        </is>
      </c>
      <c r="C27" t="n">
        <v>47654</v>
      </c>
      <c r="D27" t="inlineStr">
        <is>
          <t>Soproxen</t>
        </is>
      </c>
      <c r="E27" t="inlineStr">
        <is>
          <t>แผง 10 เม็ด</t>
        </is>
      </c>
      <c r="F27" t="inlineStr">
        <is>
          <t>Naproxen sodium 275 mg. (eq. to Naproxen 250 mg.)</t>
        </is>
      </c>
      <c r="G27" t="inlineStr">
        <is>
          <t>BDS047654</t>
        </is>
      </c>
      <c r="H27" t="inlineStr">
        <is>
          <t>Soproxen (10 tabs)</t>
        </is>
      </c>
      <c r="I27" t="inlineStr">
        <is>
          <t>รับประทานครั้งละ 1 เม็ด วันละ 2 ครั้ง หลังอาหารทันที</t>
        </is>
      </c>
      <c r="P27" t="inlineStr">
        <is>
          <t>NSAIDs (oral anti-inflammatory painkillers)</t>
        </is>
      </c>
    </row>
    <row r="28">
      <c r="A28" t="n">
        <v>254</v>
      </c>
      <c r="B28" t="inlineStr">
        <is>
          <t>ยาแก้ปวดอักเสบกลุ่ม NSAIDs (D)</t>
        </is>
      </c>
      <c r="C28" t="n">
        <v>3581</v>
      </c>
      <c r="D28" t="inlineStr">
        <is>
          <t>S-Pro 600</t>
        </is>
      </c>
      <c r="E28" t="inlineStr">
        <is>
          <t>แผง 10 เม็ด</t>
        </is>
      </c>
      <c r="F28" t="inlineStr">
        <is>
          <t>Ibuprofen 600 mg.</t>
        </is>
      </c>
      <c r="G28" t="inlineStr">
        <is>
          <t>BDS003581</t>
        </is>
      </c>
      <c r="H28" t="inlineStr">
        <is>
          <t>S-Pro 600 (10 tabs)</t>
        </is>
      </c>
      <c r="I28" t="inlineStr">
        <is>
          <t>รับประทานครั้งละ 1 เม็ด ทุก 6 ชั่วโมง เมื่อมีอาการ</t>
        </is>
      </c>
      <c r="P28" t="inlineStr">
        <is>
          <t>NSAIDs (oral anti-inflammatory painkillers)</t>
        </is>
      </c>
    </row>
    <row r="29">
      <c r="A29" t="n">
        <v>255</v>
      </c>
      <c r="B29" t="inlineStr">
        <is>
          <t>ยาแก้ปวดอักเสบกลุ่ม NSAIDs (D)</t>
        </is>
      </c>
      <c r="C29" t="n">
        <v>3599</v>
      </c>
      <c r="D29" t="inlineStr">
        <is>
          <t>Subsyde-CR</t>
        </is>
      </c>
      <c r="E29" t="inlineStr">
        <is>
          <t>แผง 10 แคปซูล</t>
        </is>
      </c>
      <c r="F29" t="inlineStr">
        <is>
          <t>Diclofenac Sodium 100 mg. (Controlled Release cap)</t>
        </is>
      </c>
      <c r="G29" t="inlineStr">
        <is>
          <t>BDS003599</t>
        </is>
      </c>
      <c r="H29" t="inlineStr">
        <is>
          <t>Subsyde-CR (10 cap)</t>
        </is>
      </c>
      <c r="I29" t="inlineStr">
        <is>
          <t>รับประทานครั้งละ 1 แคปซูล วันละ 1 ครั้ง หลังอาหารทันที</t>
        </is>
      </c>
      <c r="P29" t="inlineStr">
        <is>
          <t>NSAIDs (oral anti-inflammatory painkillers)</t>
        </is>
      </c>
    </row>
    <row r="30">
      <c r="A30" t="n">
        <v>256</v>
      </c>
      <c r="B30" t="inlineStr">
        <is>
          <t>ยาแก้ปวดอักเสบกลุ่ม NSAIDs (D)</t>
        </is>
      </c>
      <c r="C30" t="n">
        <v>3568</v>
      </c>
      <c r="D30" t="inlineStr">
        <is>
          <t>Synflex</t>
        </is>
      </c>
      <c r="E30" t="inlineStr">
        <is>
          <t>แผง 6 เม็ด</t>
        </is>
      </c>
      <c r="F30" t="inlineStr">
        <is>
          <t>Naproxen sodium 275 mg.</t>
        </is>
      </c>
      <c r="G30" t="inlineStr">
        <is>
          <t>BDS003568</t>
        </is>
      </c>
      <c r="H30" t="inlineStr">
        <is>
          <t>Synflex (6 tabs)</t>
        </is>
      </c>
      <c r="I30" t="inlineStr">
        <is>
          <t xml:space="preserve">รับประทานครั้งละ 1 เม็ด วันละ 2 ครั้ง หลังอาหารทันที </t>
        </is>
      </c>
      <c r="P30" t="inlineStr">
        <is>
          <t>NSAIDs (oral anti-inflammatory painkillers)</t>
        </is>
      </c>
    </row>
    <row r="31">
      <c r="A31" t="n">
        <v>257</v>
      </c>
      <c r="B31" t="inlineStr">
        <is>
          <t>ยาแก้ปวดอักเสบกลุ่ม NSAIDs (D)</t>
        </is>
      </c>
      <c r="C31" t="n">
        <v>49251</v>
      </c>
      <c r="D31" t="inlineStr">
        <is>
          <t>Voltaren SR 100 mg</t>
        </is>
      </c>
      <c r="E31" t="inlineStr">
        <is>
          <t>แผง 10 เม็ด</t>
        </is>
      </c>
      <c r="F31" t="inlineStr">
        <is>
          <t>Diclofenac Sodium 100 mg.</t>
        </is>
      </c>
      <c r="G31" t="inlineStr">
        <is>
          <t>BDS049251</t>
        </is>
      </c>
      <c r="H31" t="inlineStr">
        <is>
          <t>Voltaren SR 100 mg (10 tabs)</t>
        </is>
      </c>
      <c r="I31" t="inlineStr">
        <is>
          <t>รับประทานครั้งละ 1 เม็ด วันละ 1 ครั้ง หลังอาหารทันที</t>
        </is>
      </c>
      <c r="P31" t="inlineStr">
        <is>
          <t>NSAIDs (oral anti-inflammatory painkillers)</t>
        </is>
      </c>
    </row>
    <row r="32">
      <c r="A32" t="n">
        <v>258</v>
      </c>
      <c r="B32" t="inlineStr">
        <is>
          <t>ยาแก้ปวดอักเสบกลุ่ม NSAIDs (D)</t>
        </is>
      </c>
      <c r="C32" t="n">
        <v>4052</v>
      </c>
      <c r="D32" t="inlineStr">
        <is>
          <t>Voltaren SR 75 mg</t>
        </is>
      </c>
      <c r="E32" t="inlineStr">
        <is>
          <t>แผง 10 เม็ด</t>
        </is>
      </c>
      <c r="F32" t="inlineStr">
        <is>
          <t>Diclofenac Sodium 75 mg.</t>
        </is>
      </c>
      <c r="G32" t="inlineStr">
        <is>
          <t>BDS004052</t>
        </is>
      </c>
      <c r="H32" t="inlineStr">
        <is>
          <t>Voltaren SR 75 mg (10 tabs)</t>
        </is>
      </c>
      <c r="I32" t="inlineStr">
        <is>
          <t>รับประทานครั้งละ 1-2 เม็ด วันละ 1 ครั้ง หลังอาหารทันที</t>
        </is>
      </c>
      <c r="P32" t="inlineStr">
        <is>
          <t>NSAIDs (oral anti-inflammatory painkillers)</t>
        </is>
      </c>
    </row>
    <row r="33">
      <c r="A33" t="n">
        <v>259</v>
      </c>
      <c r="B33" t="inlineStr">
        <is>
          <t>ยาแก้ปวดอักเสบกลุ่ม NSAIDs (D)</t>
        </is>
      </c>
      <c r="C33" t="n">
        <v>4041</v>
      </c>
      <c r="D33" t="inlineStr">
        <is>
          <t>Voltaren-25</t>
        </is>
      </c>
      <c r="E33" t="inlineStr">
        <is>
          <t>แผง 10 เม็ด</t>
        </is>
      </c>
      <c r="F33" t="inlineStr">
        <is>
          <t>Diclofenac Sodium 25 mg.</t>
        </is>
      </c>
      <c r="G33" t="inlineStr">
        <is>
          <t>BDS004041</t>
        </is>
      </c>
      <c r="H33" t="inlineStr">
        <is>
          <t>Voltaren-25 (10 tabs)</t>
        </is>
      </c>
      <c r="I33" t="inlineStr">
        <is>
          <t>รับประทานครั้งละ 1-2 เม็ด วันละ 3 ครั้ง หลังอาหารทันที</t>
        </is>
      </c>
      <c r="P33" t="inlineStr">
        <is>
          <t>NSAIDs (oral anti-inflammatory painkillers)</t>
        </is>
      </c>
    </row>
    <row r="34">
      <c r="A34" t="n">
        <v>260</v>
      </c>
      <c r="B34" t="inlineStr">
        <is>
          <t>ยาแก้ปวดอักเสบกลุ่ม NSAIDs (D)</t>
        </is>
      </c>
      <c r="C34" t="n">
        <v>49777</v>
      </c>
      <c r="D34" t="inlineStr">
        <is>
          <t>Zobrex</t>
        </is>
      </c>
      <c r="E34" t="inlineStr">
        <is>
          <t>กล่อง 10 แคปซูล</t>
        </is>
      </c>
      <c r="F34" t="inlineStr">
        <is>
          <t>Celecoxib 200 mg.</t>
        </is>
      </c>
      <c r="G34" t="inlineStr">
        <is>
          <t>BDS049777</t>
        </is>
      </c>
      <c r="H34" t="inlineStr">
        <is>
          <t>Zobrex (10 cap)</t>
        </is>
      </c>
      <c r="I34" t="inlineStr">
        <is>
          <t xml:space="preserve">รับประทานครั้งละ 1-2 แคปซูล วันละ 1 ครั้ง หลังอาหารทันที หรือตามแพทย์สั่ง </t>
        </is>
      </c>
      <c r="P34" t="inlineStr">
        <is>
          <t>NSAIDs (oral anti-inflammatory painkillers)</t>
        </is>
      </c>
    </row>
  </sheetData>
  <autoFilter ref="A1:P3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276</v>
      </c>
      <c r="B2" t="inlineStr">
        <is>
          <t>ยาแก้ปวดไมเกรน (D)</t>
        </is>
      </c>
      <c r="C2" t="n">
        <v>1071</v>
      </c>
      <c r="D2" t="inlineStr">
        <is>
          <t>Avamigran</t>
        </is>
      </c>
      <c r="E2" t="inlineStr">
        <is>
          <t>กล่อง 1 แผง</t>
        </is>
      </c>
      <c r="F2" t="inlineStr">
        <is>
          <t>Ergotamine tartrate 1 mg.+Caffeine 100 mg.</t>
        </is>
      </c>
      <c r="G2" t="inlineStr">
        <is>
          <t>BDS001071</t>
        </is>
      </c>
      <c r="H2" t="inlineStr">
        <is>
          <t>Avamigran (1 blister)</t>
        </is>
      </c>
      <c r="I2" t="inlineStr">
        <is>
          <t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  <c r="P2" t="inlineStr">
        <is>
          <t>Migraine-specific drugs</t>
        </is>
      </c>
    </row>
    <row r="3">
      <c r="A3" t="n">
        <v>277</v>
      </c>
      <c r="B3" t="inlineStr">
        <is>
          <t>ยาแก้ปวดไมเกรน (D)</t>
        </is>
      </c>
      <c r="C3" t="n">
        <v>1405</v>
      </c>
      <c r="D3" t="inlineStr">
        <is>
          <t>Cafergot</t>
        </is>
      </c>
      <c r="E3" t="inlineStr">
        <is>
          <t>กล่อง 10 เม็ด</t>
        </is>
      </c>
      <c r="F3" t="inlineStr">
        <is>
          <t>Ergotamine tartrate 1 mg.+Caffeine 100 mg.</t>
        </is>
      </c>
      <c r="G3" t="inlineStr">
        <is>
          <t>BDS001405</t>
        </is>
      </c>
      <c r="H3" t="inlineStr">
        <is>
          <t>Cafergot (10 tabs)</t>
        </is>
      </c>
      <c r="I3" t="inlineStr">
        <is>
          <t>ผู้ใหญ่และเด็กอายุ 12 ปีขึ้นไป: รับประทาน 2 เม็ดทันที หากอาการไม่ดีขึ้นภายใน 30 นาทีรับประทานซ้ำได้อีกครั้งละ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  <c r="P3" t="inlineStr">
        <is>
          <t>Migraine-specific drugs</t>
        </is>
      </c>
    </row>
    <row r="4">
      <c r="A4" t="n">
        <v>278</v>
      </c>
      <c r="B4" t="inlineStr">
        <is>
          <t>ยาแก้ปวดไมเกรน (D)</t>
        </is>
      </c>
      <c r="C4" t="n">
        <v>6840</v>
      </c>
      <c r="D4" t="inlineStr">
        <is>
          <t>Relpax 40 mg</t>
        </is>
      </c>
      <c r="E4" t="inlineStr">
        <is>
          <t>กล่อง 2 เม็ด</t>
        </is>
      </c>
      <c r="F4" t="inlineStr">
        <is>
          <t>Eletriptan 40 mg.</t>
        </is>
      </c>
      <c r="G4" t="inlineStr">
        <is>
          <t>BDS006840</t>
        </is>
      </c>
      <c r="H4" t="inlineStr">
        <is>
          <t>Relpax 40 mg (2 tabs)</t>
        </is>
      </c>
      <c r="I4" t="inlineStr">
        <is>
          <t>รับประทานครั้งละ 1 เม็ด เมื่อเริ่มมีอาการ รับประทานเม็ดที่ 2 ได้ ห่างจากเม็ดแรก 2 ชั่วโมง</t>
        </is>
      </c>
      <c r="P4" t="inlineStr">
        <is>
          <t>Migraine-specific drugs</t>
        </is>
      </c>
    </row>
    <row r="5">
      <c r="A5" t="n">
        <v>279</v>
      </c>
      <c r="B5" t="inlineStr">
        <is>
          <t>ยาแก้ปวดไมเกรน (D)</t>
        </is>
      </c>
      <c r="C5" t="n">
        <v>47646</v>
      </c>
      <c r="D5" t="inlineStr">
        <is>
          <t>Siagran 50 mg</t>
        </is>
      </c>
      <c r="E5" t="inlineStr">
        <is>
          <t>กล่อง 4 เม็ด</t>
        </is>
      </c>
      <c r="F5" t="inlineStr">
        <is>
          <t>Sumatriptan succinate (eq. to Sumatriptan 50 mg.)</t>
        </is>
      </c>
      <c r="G5" t="inlineStr">
        <is>
          <t>BDS047646</t>
        </is>
      </c>
      <c r="H5" t="inlineStr">
        <is>
          <t>Siagran 50 mg (4 tabs)</t>
        </is>
      </c>
      <c r="I5" t="inlineStr">
        <is>
          <t>รับประทานครั้งละ 1 เม็ด เมื่อเริ่มมีอาการ รับประทานซ้ำได้ หลังจากรับประทานเม็ดแรกแล้ว 2 ชั่วโมง</t>
        </is>
      </c>
      <c r="P5" t="inlineStr">
        <is>
          <t>Migraine-specific drugs</t>
        </is>
      </c>
    </row>
    <row r="6">
      <c r="A6" t="n">
        <v>280</v>
      </c>
      <c r="B6" t="inlineStr">
        <is>
          <t>ยาแก้ปวดไมเกรน (D)</t>
        </is>
      </c>
      <c r="C6" t="n">
        <v>1404</v>
      </c>
      <c r="D6" t="inlineStr">
        <is>
          <t>Tofago</t>
        </is>
      </c>
      <c r="E6" t="inlineStr">
        <is>
          <t>กล่อง 10 เม็ด</t>
        </is>
      </c>
      <c r="F6" t="inlineStr">
        <is>
          <t>Ergotamine tartrate 1 mg.+Caffeine 100 mg.</t>
        </is>
      </c>
      <c r="G6" t="inlineStr">
        <is>
          <t>BDS001404</t>
        </is>
      </c>
      <c r="H6" t="inlineStr">
        <is>
          <t>Tofago (10 tabs)</t>
        </is>
      </c>
      <c r="I6" t="inlineStr">
        <is>
          <t>ผู้ใหญ่และเด็กอายุ 12 ปีขึ้นไป: รับประทาน 2 เม็ดทันที หากอาการไม่ดีขึ้นหลังรับประทานยาไป 30 นาที รับประทานซ้ำได้อีกครั้งละ 1 เม็ด แต่ห้ามรับประทานเกิน 6 เม็ด/วัน ห้ามรับประทานยาเกิน 10 เม็ด/สัปดาห์</t>
        </is>
      </c>
      <c r="P6" t="inlineStr">
        <is>
          <t>Migraine-specific drugs</t>
        </is>
      </c>
    </row>
  </sheetData>
  <autoFilter ref="A1:P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301</v>
      </c>
      <c r="B2" t="inlineStr">
        <is>
          <t>ยาแก้ปวดรุนแรง (D)</t>
        </is>
      </c>
      <c r="C2" t="n">
        <v>3739</v>
      </c>
      <c r="D2" t="inlineStr">
        <is>
          <t>Tramal</t>
        </is>
      </c>
      <c r="E2" t="inlineStr">
        <is>
          <t>กล่อง 10 แคปซูล</t>
        </is>
      </c>
      <c r="F2" t="inlineStr">
        <is>
          <t>Tramadol HCl 50 mg.</t>
        </is>
      </c>
      <c r="G2" t="inlineStr">
        <is>
          <t>BDS003739</t>
        </is>
      </c>
      <c r="H2" t="inlineStr">
        <is>
          <t>Tramal (10 cap)</t>
        </is>
      </c>
      <c r="I2" t="inlineStr">
        <is>
          <t>รับประทานครั้งละ 1 แคปซูลวันละ 3 ครั้ง หลังอาหาร</t>
        </is>
      </c>
      <c r="P2" t="inlineStr">
        <is>
          <t>Strong pain meds</t>
        </is>
      </c>
    </row>
  </sheetData>
  <autoFilter ref="A1:P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302</v>
      </c>
      <c r="B2" t="inlineStr">
        <is>
          <t>ยาแก้ปวดเกร็งกล้ามเนื้อเรียบ (D)</t>
        </is>
      </c>
      <c r="C2" t="n">
        <v>1283</v>
      </c>
      <c r="D2" t="inlineStr">
        <is>
          <t>Buscopan</t>
        </is>
      </c>
      <c r="E2" t="inlineStr">
        <is>
          <t>แผง 10 เม็ด</t>
        </is>
      </c>
      <c r="F2" t="inlineStr">
        <is>
          <t>Hyoscine-N-butylbromide 10 mg.</t>
        </is>
      </c>
      <c r="G2" t="inlineStr">
        <is>
          <t>BDS001283</t>
        </is>
      </c>
      <c r="H2" t="inlineStr">
        <is>
          <t>Buscopan (10 tabs)</t>
        </is>
      </c>
      <c r="I2" t="inlineStr">
        <is>
          <t xml:space="preserve">รับประทานครั้งละ 1-2 เม็ด วันละ 3-5 ครั้ง </t>
        </is>
      </c>
      <c r="P2" t="inlineStr">
        <is>
          <t>Antispasmodics (smooth muscle cramps / abdominal colic)</t>
        </is>
      </c>
    </row>
    <row r="3">
      <c r="A3" t="n">
        <v>303</v>
      </c>
      <c r="B3" t="inlineStr">
        <is>
          <t>ยาแก้ปวดเกร็งกล้ามเนื้อเรียบ (D)</t>
        </is>
      </c>
      <c r="C3" t="n">
        <v>7061</v>
      </c>
      <c r="D3" t="inlineStr">
        <is>
          <t>Cencopan-S</t>
        </is>
      </c>
      <c r="E3" t="inlineStr">
        <is>
          <t>แผง 10 เม็ด</t>
        </is>
      </c>
      <c r="F3" t="inlineStr">
        <is>
          <t>Hyoscine-N-butylbromide 10 mg.</t>
        </is>
      </c>
      <c r="G3" t="inlineStr">
        <is>
          <t>BDS007061</t>
        </is>
      </c>
      <c r="H3" t="inlineStr">
        <is>
          <t>Cencopan-S (10 tabs)</t>
        </is>
      </c>
      <c r="I3" t="inlineStr">
        <is>
          <t>รับประทานครั้งละ 1-2 เม็ด วันละ 3 ครั้ง หรือเมื่อมีอาการ</t>
        </is>
      </c>
      <c r="P3" t="inlineStr">
        <is>
          <t>Antispasmodics (smooth muscle cramps / abdominal colic)</t>
        </is>
      </c>
    </row>
    <row r="4">
      <c r="A4" t="n">
        <v>304</v>
      </c>
      <c r="B4" t="inlineStr">
        <is>
          <t>ยาแก้ปวดเกร็งกล้ามเนื้อเรียบ (D)</t>
        </is>
      </c>
      <c r="C4" t="n">
        <v>1484</v>
      </c>
      <c r="D4" t="inlineStr">
        <is>
          <t>Colofac 135</t>
        </is>
      </c>
      <c r="E4" t="inlineStr">
        <is>
          <t>แผง 10 เม็ด</t>
        </is>
      </c>
      <c r="F4" t="inlineStr">
        <is>
          <t>Mebeverine HCl 135 mg.</t>
        </is>
      </c>
      <c r="G4" t="inlineStr">
        <is>
          <t>BDS001484</t>
        </is>
      </c>
      <c r="H4" t="inlineStr">
        <is>
          <t>Colofac 135 (10 tabs)</t>
        </is>
      </c>
      <c r="I4" t="inlineStr">
        <is>
          <t>รับประทานครั้งละ 1 เม็ด วันละ 3 ครั้ง ก่อนอาหาร</t>
        </is>
      </c>
      <c r="P4" t="inlineStr">
        <is>
          <t>Antispasmodics (smooth muscle cramps / abdominal colic)</t>
        </is>
      </c>
    </row>
    <row r="5">
      <c r="A5" t="n">
        <v>305</v>
      </c>
      <c r="B5" t="inlineStr">
        <is>
          <t>ยาแก้ปวดเกร็งกล้ามเนื้อเรียบ (D)</t>
        </is>
      </c>
      <c r="C5" t="n">
        <v>1707</v>
      </c>
      <c r="D5" t="inlineStr">
        <is>
          <t>Duspatin 135</t>
        </is>
      </c>
      <c r="E5" t="inlineStr">
        <is>
          <t>แผง 10 เม็ด</t>
        </is>
      </c>
      <c r="F5" t="inlineStr">
        <is>
          <t>Mebeverine HCl 135 mg.</t>
        </is>
      </c>
      <c r="G5" t="inlineStr">
        <is>
          <t>BDS001707</t>
        </is>
      </c>
      <c r="H5" t="inlineStr">
        <is>
          <t>Duspatin 135 (10 tabs)</t>
        </is>
      </c>
      <c r="I5" t="inlineStr">
        <is>
          <t>รับประทานครั้งละ 1 เม็ด พร้อมน้ำ วันละ 3 ครั้ง ก่อนอาหาร 20 นาที</t>
        </is>
      </c>
      <c r="P5" t="inlineStr">
        <is>
          <t>Antispasmodics (smooth muscle cramps / abdominal colic)</t>
        </is>
      </c>
    </row>
    <row r="6">
      <c r="A6" t="n">
        <v>306</v>
      </c>
      <c r="B6" t="inlineStr">
        <is>
          <t>ยาแก้ปวดเกร็งกล้ามเนื้อเรียบ (D)</t>
        </is>
      </c>
      <c r="C6" t="n">
        <v>7284</v>
      </c>
      <c r="D6" t="inlineStr">
        <is>
          <t>Scopas S/C tabslets</t>
        </is>
      </c>
      <c r="E6" t="inlineStr">
        <is>
          <t>แผง 10 เม็ด</t>
        </is>
      </c>
      <c r="F6" t="inlineStr">
        <is>
          <t>Hyoscine-N-butylbromide 10 mg.</t>
        </is>
      </c>
      <c r="G6" t="inlineStr">
        <is>
          <t>BDS007284</t>
        </is>
      </c>
      <c r="H6" t="inlineStr">
        <is>
          <t>Scopas S/C tabslets (10 tabs)</t>
        </is>
      </c>
      <c r="I6" t="inlineStr">
        <is>
          <t>รับประทานครั้งละ 1-2 เม็ด วันละ 3 ครั้ง หรือเมื่อมีอาการ</t>
        </is>
      </c>
      <c r="P6" t="inlineStr">
        <is>
          <t>Antispasmodics (smooth muscle cramps / abdominal colic)</t>
        </is>
      </c>
    </row>
    <row r="7">
      <c r="A7" t="n">
        <v>307</v>
      </c>
      <c r="B7" t="inlineStr">
        <is>
          <t>ยาแก้ปวดเกร็งกล้ามเนื้อเรียบ (D)</t>
        </is>
      </c>
      <c r="C7" t="n">
        <v>7303</v>
      </c>
      <c r="D7" t="inlineStr">
        <is>
          <t>Spacovin 40</t>
        </is>
      </c>
      <c r="E7" t="inlineStr">
        <is>
          <t>แผง 10 เม็ด</t>
        </is>
      </c>
      <c r="F7" t="inlineStr">
        <is>
          <t>Drotaverine Hydrochloride 40 mg.</t>
        </is>
      </c>
      <c r="G7" t="inlineStr">
        <is>
          <t>BDS007303</t>
        </is>
      </c>
      <c r="H7" t="inlineStr">
        <is>
          <t>Spacovin 40 (10 tabs)</t>
        </is>
      </c>
      <c r="I7" t="inlineStr">
        <is>
          <t>รับประทานครั้งละ 1-2 เม็ด วันละ 3 ครั้ง หรือเมื่อมีอาการ</t>
        </is>
      </c>
      <c r="P7" t="inlineStr">
        <is>
          <t>Antispasmodics (smooth muscle cramps / abdominal colic)</t>
        </is>
      </c>
    </row>
    <row r="8">
      <c r="A8" t="n">
        <v>308</v>
      </c>
      <c r="B8" t="inlineStr">
        <is>
          <t>ยาแก้ปวดเกร็งกล้ามเนื้อเรียบ (D)</t>
        </is>
      </c>
      <c r="C8" t="n">
        <v>7107</v>
      </c>
      <c r="D8" t="inlineStr">
        <is>
          <t>Sparta</t>
        </is>
      </c>
      <c r="E8" t="inlineStr">
        <is>
          <t>แผง 10 เม็ด</t>
        </is>
      </c>
      <c r="F8" t="inlineStr">
        <is>
          <t>Drotaverine Hydrochloride 40 mg.</t>
        </is>
      </c>
      <c r="G8" t="inlineStr">
        <is>
          <t>BDS007107</t>
        </is>
      </c>
      <c r="H8" t="inlineStr">
        <is>
          <t>Sparta (10 tabs)</t>
        </is>
      </c>
      <c r="I8" t="inlineStr">
        <is>
          <t>รับประทานครั้งละ 1-2 เม็ด วันละ 3 ครั้ง หรือเมื่อมีอาการ</t>
        </is>
      </c>
      <c r="P8" t="inlineStr">
        <is>
          <t>Antispasmodics (smooth muscle cramps / abdominal colic)</t>
        </is>
      </c>
    </row>
    <row r="9">
      <c r="A9" t="n">
        <v>309</v>
      </c>
      <c r="B9" t="inlineStr">
        <is>
          <t>ยาแก้ปวดเกร็งกล้ามเนื้อเรียบ (D)</t>
        </is>
      </c>
      <c r="C9" t="n">
        <v>7274</v>
      </c>
      <c r="D9" t="inlineStr">
        <is>
          <t>Spasuri</t>
        </is>
      </c>
      <c r="E9" t="inlineStr">
        <is>
          <t>แผง 10 เม็ด</t>
        </is>
      </c>
      <c r="F9" t="inlineStr">
        <is>
          <t>Flavoxate HCl 100 mg.</t>
        </is>
      </c>
      <c r="G9" t="inlineStr">
        <is>
          <t>BDS007274</t>
        </is>
      </c>
      <c r="H9" t="inlineStr">
        <is>
          <t>Spasuri (10 tabs)</t>
        </is>
      </c>
      <c r="I9" t="inlineStr">
        <is>
          <t>รับประทานครั้งละ 1-2 เม็ด วันละ 3 ครั้ง หรือเมื่อมีอาการ</t>
        </is>
      </c>
      <c r="P9" t="inlineStr">
        <is>
          <t>Antispasmodics (smooth muscle cramps / abdominal colic)</t>
        </is>
      </c>
    </row>
    <row r="10">
      <c r="A10" t="n">
        <v>430</v>
      </c>
      <c r="B10" t="inlineStr">
        <is>
          <t>ยาแก้ปวดเกร็งท้อง ชนิดน้ำ (D)</t>
        </is>
      </c>
      <c r="C10" t="n">
        <v>8325</v>
      </c>
      <c r="D10" t="inlineStr">
        <is>
          <t>Oscin Syrup</t>
        </is>
      </c>
      <c r="E10" t="inlineStr">
        <is>
          <t>ขวด 30 ml.</t>
        </is>
      </c>
      <c r="F10" t="inlineStr">
        <is>
          <t>Hyoscine-N-butylbromide 5 mg./5 ml.</t>
        </is>
      </c>
      <c r="G10" t="inlineStr">
        <is>
          <t>BDS008325</t>
        </is>
      </c>
      <c r="H10" t="inlineStr">
        <is>
          <t>Oscin Syrup (30 ml.)</t>
        </is>
      </c>
      <c r="I10" t="inlineStr">
        <is>
          <t>เด็กเล็กรับประทานครั้งละ 1-2 ช้อนชา วันละ 3 ครั้งหรือเมื่อมีอาการ</t>
        </is>
      </c>
      <c r="P10" t="inlineStr">
        <is>
          <t>Antispasmodics (smooth muscle cramps / abdominal colic)</t>
        </is>
      </c>
    </row>
  </sheetData>
  <autoFilter ref="A1:P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334</v>
      </c>
      <c r="B2" t="inlineStr">
        <is>
          <t>ยาคลายกล้ามเนื้อ (D)</t>
        </is>
      </c>
      <c r="C2" t="n">
        <v>6664</v>
      </c>
      <c r="D2" t="inlineStr">
        <is>
          <t>Baclofen</t>
        </is>
      </c>
      <c r="E2" t="inlineStr">
        <is>
          <t>แผง 10 เม็ด</t>
        </is>
      </c>
      <c r="F2" t="inlineStr">
        <is>
          <t>Baclofen 10 mg.</t>
        </is>
      </c>
      <c r="G2" t="inlineStr">
        <is>
          <t>BDS006664</t>
        </is>
      </c>
      <c r="H2" t="inlineStr">
        <is>
          <t>Baclofen (10 tabs)</t>
        </is>
      </c>
      <c r="I2" t="inlineStr">
        <is>
          <t>รับประทาน ครั้งละ 1-2 เม็ด วันละ 2-3 ครั้ง</t>
        </is>
      </c>
      <c r="P2" t="inlineStr">
        <is>
          <t>Muscle relaxants</t>
        </is>
      </c>
    </row>
    <row r="3">
      <c r="A3" t="n">
        <v>335</v>
      </c>
      <c r="B3" t="inlineStr">
        <is>
          <t>ยาคลายกล้ามเนื้อ (D)</t>
        </is>
      </c>
      <c r="C3" t="n">
        <v>1271</v>
      </c>
      <c r="D3" t="inlineStr">
        <is>
          <t>Biocalm</t>
        </is>
      </c>
      <c r="E3" t="inlineStr">
        <is>
          <t>แผง 10 เม็ด</t>
        </is>
      </c>
      <c r="F3" t="inlineStr">
        <is>
          <t>Tolperisone 50 mg.</t>
        </is>
      </c>
      <c r="G3" t="inlineStr">
        <is>
          <t>BDS001271</t>
        </is>
      </c>
      <c r="H3" t="inlineStr">
        <is>
          <t>Biocalm (10 tabs)</t>
        </is>
      </c>
      <c r="I3" t="inlineStr">
        <is>
          <t>รับประทานครั้งละ 1 เม็ด วันละ 3 ครั้ง หรือตามแพทย์สั่ง</t>
        </is>
      </c>
      <c r="K3" t="n">
        <v>80</v>
      </c>
      <c r="L3" t="n">
        <v>8</v>
      </c>
      <c r="M3" t="inlineStr">
        <is>
          <t>USER</t>
        </is>
      </c>
      <c r="N3" t="inlineStr">
        <is>
          <t>2026-02-07</t>
        </is>
      </c>
      <c r="O3" t="inlineStr">
        <is>
          <t>User provided price (Biocalm 10 tabs).</t>
        </is>
      </c>
      <c r="P3" t="inlineStr">
        <is>
          <t>Muscle relaxants</t>
        </is>
      </c>
    </row>
    <row r="4">
      <c r="A4" t="n">
        <v>336</v>
      </c>
      <c r="B4" t="inlineStr">
        <is>
          <t>ยาคลายกล้ามเนื้อ (D)</t>
        </is>
      </c>
      <c r="C4" t="n">
        <v>7049</v>
      </c>
      <c r="D4" t="inlineStr">
        <is>
          <t>Cenasic</t>
        </is>
      </c>
      <c r="E4" t="inlineStr">
        <is>
          <t>แผง 10 เม็ด</t>
        </is>
      </c>
      <c r="F4" t="inlineStr">
        <is>
          <t>Paracetamol 450 mg.+Orphenadrine Citrate 35 mg.</t>
        </is>
      </c>
      <c r="G4" t="inlineStr">
        <is>
          <t>BDS007049</t>
        </is>
      </c>
      <c r="H4" t="inlineStr">
        <is>
          <t>Cenasic (10 tabs)</t>
        </is>
      </c>
      <c r="I4" t="inlineStr">
        <is>
          <t>รับประทานครั้งละ 1-2 เม็ด วันละ 3 ครั้ง หลังอาหาร</t>
        </is>
      </c>
      <c r="P4" t="inlineStr">
        <is>
          <t>Muscle relaxants</t>
        </is>
      </c>
    </row>
    <row r="5">
      <c r="A5" t="n">
        <v>337</v>
      </c>
      <c r="B5" t="inlineStr">
        <is>
          <t>ยาคลายกล้ามเนื้อ (D)</t>
        </is>
      </c>
      <c r="C5" t="n">
        <v>41455</v>
      </c>
      <c r="D5" t="inlineStr">
        <is>
          <t>Corilax tabslet</t>
        </is>
      </c>
      <c r="E5" t="inlineStr">
        <is>
          <t>แผง 10 เม็ด</t>
        </is>
      </c>
      <c r="F5" t="inlineStr">
        <is>
          <t>Paracetamol 450 mg.+Orphenadrine Citrate 35 mg.</t>
        </is>
      </c>
      <c r="G5" t="inlineStr">
        <is>
          <t>BDS041455</t>
        </is>
      </c>
      <c r="H5" t="inlineStr">
        <is>
          <t>Corilax tabslet (10 tabs)</t>
        </is>
      </c>
      <c r="I5" t="inlineStr">
        <is>
          <t>รับประทานครั้งละ 1-2 เม็ด วันละ 3 ครั้ง หรือตามแพทย์สั่ง</t>
        </is>
      </c>
      <c r="P5" t="inlineStr">
        <is>
          <t>Muscle relaxants</t>
        </is>
      </c>
    </row>
    <row r="6">
      <c r="A6" t="n">
        <v>338</v>
      </c>
      <c r="B6" t="inlineStr">
        <is>
          <t>ยาคลายกล้ามเนื้อ (D)</t>
        </is>
      </c>
      <c r="C6" t="n">
        <v>3410</v>
      </c>
      <c r="D6" t="inlineStr">
        <is>
          <t>M-Calm tabslet</t>
        </is>
      </c>
      <c r="E6" t="inlineStr">
        <is>
          <t>แผง 10 เม็ด</t>
        </is>
      </c>
      <c r="F6" t="inlineStr">
        <is>
          <t>Tolperisone Hydrochloride 50 mg.</t>
        </is>
      </c>
      <c r="G6" t="inlineStr">
        <is>
          <t>BDS003410</t>
        </is>
      </c>
      <c r="H6" t="inlineStr">
        <is>
          <t>M-Calm tabslet (10 tabs)</t>
        </is>
      </c>
      <c r="I6" t="inlineStr">
        <is>
          <t>รับประทานครั้งละ 1-2 เม็ด วันละ 3 ครั้ง</t>
        </is>
      </c>
      <c r="P6" t="inlineStr">
        <is>
          <t>Muscle relaxants</t>
        </is>
      </c>
    </row>
    <row r="7">
      <c r="A7" t="n">
        <v>339</v>
      </c>
      <c r="B7" t="inlineStr">
        <is>
          <t>ยาคลายกล้ามเนื้อ (D)</t>
        </is>
      </c>
      <c r="C7" t="n">
        <v>44932</v>
      </c>
      <c r="D7" t="inlineStr">
        <is>
          <t>Muslexac</t>
        </is>
      </c>
      <c r="E7" t="inlineStr">
        <is>
          <t>กล่อง 10 เม็ด</t>
        </is>
      </c>
      <c r="F7" t="inlineStr">
        <is>
          <t>Paracetamol 500 mg.+Orphenadrine Citrate 35 mg.</t>
        </is>
      </c>
      <c r="G7" t="inlineStr">
        <is>
          <t>BDS044932</t>
        </is>
      </c>
      <c r="H7" t="inlineStr">
        <is>
          <t>Muslexac (10 tabs)</t>
        </is>
      </c>
      <c r="I7" t="inlineStr">
        <is>
          <t>รับประทานครั้งละ 1-2 เม็ด วันละ 3 ครั้ง</t>
        </is>
      </c>
      <c r="P7" t="inlineStr">
        <is>
          <t>Muscle relaxants</t>
        </is>
      </c>
    </row>
    <row r="8">
      <c r="A8" t="n">
        <v>340</v>
      </c>
      <c r="B8" t="inlineStr">
        <is>
          <t>ยาคลายกล้ามเนื้อ (D)</t>
        </is>
      </c>
      <c r="C8" t="n">
        <v>7571</v>
      </c>
      <c r="D8" t="inlineStr">
        <is>
          <t>Musolax</t>
        </is>
      </c>
      <c r="E8" t="inlineStr">
        <is>
          <t>แผง 10 เม็ด</t>
        </is>
      </c>
      <c r="F8" t="inlineStr">
        <is>
          <t>Eperisone hydrochloride 50 mg.</t>
        </is>
      </c>
      <c r="G8" t="inlineStr">
        <is>
          <t>BDS007571</t>
        </is>
      </c>
      <c r="H8" t="inlineStr">
        <is>
          <t>Musolax (10 tabs)</t>
        </is>
      </c>
      <c r="I8" t="inlineStr">
        <is>
          <t>รับประทานครั้งละ 1 เม็ด วันละ 3 ครั้ง หลังอาหาร</t>
        </is>
      </c>
      <c r="P8" t="inlineStr">
        <is>
          <t>Muscle relaxants</t>
        </is>
      </c>
    </row>
    <row r="9">
      <c r="A9" t="n">
        <v>341</v>
      </c>
      <c r="B9" t="inlineStr">
        <is>
          <t>ยาคลายกล้ามเนื้อ (D)</t>
        </is>
      </c>
      <c r="C9" t="n">
        <v>2652</v>
      </c>
      <c r="D9" t="inlineStr">
        <is>
          <t>Mydocalm</t>
        </is>
      </c>
      <c r="E9" t="inlineStr">
        <is>
          <t>แผง 10 เม็ด</t>
        </is>
      </c>
      <c r="F9" t="inlineStr">
        <is>
          <t>Tolperisone 50 mg.</t>
        </is>
      </c>
      <c r="G9" t="inlineStr">
        <is>
          <t>BDS002652</t>
        </is>
      </c>
      <c r="H9" t="inlineStr">
        <is>
          <t>Mydocalm (10 tabs)</t>
        </is>
      </c>
      <c r="I9" t="inlineStr">
        <is>
          <t xml:space="preserve">รับประทานครั้งละ 1-2 เม็ด วันละ 3 ครั้ง </t>
        </is>
      </c>
      <c r="K9" t="n">
        <v>58</v>
      </c>
      <c r="L9" t="n">
        <v>5.8</v>
      </c>
      <c r="M9" t="inlineStr">
        <is>
          <t>https://bigya.co.th/product-detail/320</t>
        </is>
      </c>
      <c r="N9" t="inlineStr">
        <is>
          <t>2026-02-07</t>
        </is>
      </c>
      <c r="O9" t="inlineStr">
        <is>
          <t>Retail price at BIGYA (strip 10 tablets).</t>
        </is>
      </c>
      <c r="P9" t="inlineStr">
        <is>
          <t>Muscle relaxants</t>
        </is>
      </c>
    </row>
    <row r="10">
      <c r="A10" t="n">
        <v>342</v>
      </c>
      <c r="B10" t="inlineStr">
        <is>
          <t>ยาคลายกล้ามเนื้อ (D)</t>
        </is>
      </c>
      <c r="C10" t="n">
        <v>2701</v>
      </c>
      <c r="D10" t="inlineStr">
        <is>
          <t>Myonal 50 mg</t>
        </is>
      </c>
      <c r="E10" t="inlineStr">
        <is>
          <t>แผง 10 เม็ด</t>
        </is>
      </c>
      <c r="F10" t="inlineStr">
        <is>
          <t>Eperisone hydrochloride 50 mg.</t>
        </is>
      </c>
      <c r="G10" t="inlineStr">
        <is>
          <t>BDS002701</t>
        </is>
      </c>
      <c r="H10" t="inlineStr">
        <is>
          <t>Myonal 50 mg (10 tabs)</t>
        </is>
      </c>
      <c r="I10" t="inlineStr">
        <is>
          <t>รับประทานครั้งละ 1 เม็ด วันละ 3 ครั้ง หลังอาหาร</t>
        </is>
      </c>
      <c r="K10" t="n">
        <v>116.6666666666667</v>
      </c>
      <c r="L10" t="n">
        <v>11.66666666666667</v>
      </c>
      <c r="M10" t="inlineStr">
        <is>
          <t>https://medtide.com/meds/pain-and-inflammation/muscle-relaxants/eperisone-myonal-50-mg-30-tablets-box/</t>
        </is>
      </c>
      <c r="N10" t="inlineStr">
        <is>
          <t>2026-02-07</t>
        </is>
      </c>
      <c r="O10" t="inlineStr">
        <is>
          <t>Derived from Medtide price 350 THB per box (30 tablets = 3 strips). Entered per-strip estimate.</t>
        </is>
      </c>
      <c r="P10" t="inlineStr">
        <is>
          <t>Muscle relaxants</t>
        </is>
      </c>
    </row>
    <row r="11">
      <c r="A11" t="n">
        <v>343</v>
      </c>
      <c r="B11" t="inlineStr">
        <is>
          <t>ยาคลายกล้ามเนื้อ (D)</t>
        </is>
      </c>
      <c r="C11" t="n">
        <v>7752</v>
      </c>
      <c r="D11" t="inlineStr">
        <is>
          <t>Noraphen</t>
        </is>
      </c>
      <c r="E11" t="inlineStr">
        <is>
          <t>แผง 10 เม็ด</t>
        </is>
      </c>
      <c r="F11" t="inlineStr">
        <is>
          <t>Paracetamol 500 mg.+Orphenadrine Citrate 35 mg.</t>
        </is>
      </c>
      <c r="G11" t="inlineStr">
        <is>
          <t>BDS007752</t>
        </is>
      </c>
      <c r="H11" t="inlineStr">
        <is>
          <t>Noraphen (10 tabs)</t>
        </is>
      </c>
      <c r="I11" t="inlineStr">
        <is>
          <t>รับประทานครั้งละ 1-2 เม็ด วันละ 3 ครั้ง หลังอาหาร</t>
        </is>
      </c>
      <c r="P11" t="inlineStr">
        <is>
          <t>Muscle relaxants</t>
        </is>
      </c>
    </row>
    <row r="12">
      <c r="A12" t="n">
        <v>344</v>
      </c>
      <c r="B12" t="inlineStr">
        <is>
          <t>ยาคลายกล้ามเนื้อ (D)</t>
        </is>
      </c>
      <c r="C12" t="n">
        <v>2840</v>
      </c>
      <c r="D12" t="inlineStr">
        <is>
          <t>Norgesic</t>
        </is>
      </c>
      <c r="E12" t="inlineStr">
        <is>
          <t>แผง 10 เม็ด</t>
        </is>
      </c>
      <c r="F12" t="inlineStr">
        <is>
          <t>Paracetamol 450 mg.+Orphenadrine Citrate 35 mg.</t>
        </is>
      </c>
      <c r="G12" t="inlineStr">
        <is>
          <t>BDS002840</t>
        </is>
      </c>
      <c r="H12" t="inlineStr">
        <is>
          <t>Norgesic (10 tabs)</t>
        </is>
      </c>
      <c r="I12" t="inlineStr">
        <is>
          <t>รับประทานครั้งละ 1-2 เม็ด วันละ 3 ครั้ง</t>
        </is>
      </c>
      <c r="P12" t="inlineStr">
        <is>
          <t>Muscle relaxants</t>
        </is>
      </c>
    </row>
    <row r="13">
      <c r="A13" t="n">
        <v>345</v>
      </c>
      <c r="B13" t="inlineStr">
        <is>
          <t>ยาคลายกล้ามเนื้อ (D)</t>
        </is>
      </c>
      <c r="C13" t="n">
        <v>45616</v>
      </c>
      <c r="D13" t="inlineStr">
        <is>
          <t>Norpa tabslets</t>
        </is>
      </c>
      <c r="E13" t="inlineStr">
        <is>
          <t>แผง 10 เม็ด</t>
        </is>
      </c>
      <c r="F13" t="inlineStr">
        <is>
          <t>Paracetamol 450 mg.+Orphenadrine Citrate 35 mg.</t>
        </is>
      </c>
      <c r="G13" t="inlineStr">
        <is>
          <t>BDS045616</t>
        </is>
      </c>
      <c r="H13" t="inlineStr">
        <is>
          <t>Norpa tabslets (10 tabs)</t>
        </is>
      </c>
      <c r="I13" t="inlineStr">
        <is>
          <t>รับประทานครั้งละ 1-2 เม็ด วันละ 2-3 ครั้ง หลังอาหาร หรือตามแพทย์สั่ง</t>
        </is>
      </c>
      <c r="P13" t="inlineStr">
        <is>
          <t>Muscle relaxants</t>
        </is>
      </c>
    </row>
    <row r="14">
      <c r="A14" t="n">
        <v>346</v>
      </c>
      <c r="B14" t="inlineStr">
        <is>
          <t>ยาคลายกล้ามเนื้อ (D)</t>
        </is>
      </c>
      <c r="C14" t="n">
        <v>3571</v>
      </c>
      <c r="D14" t="inlineStr">
        <is>
          <t>Soneriper M</t>
        </is>
      </c>
      <c r="E14" t="inlineStr">
        <is>
          <t>แผง 10 เม็ด</t>
        </is>
      </c>
      <c r="F14" t="inlineStr">
        <is>
          <t>Tolperisone Hydrochloride 50 mg.</t>
        </is>
      </c>
      <c r="G14" t="inlineStr">
        <is>
          <t>BDS003571</t>
        </is>
      </c>
      <c r="H14" t="inlineStr">
        <is>
          <t>Soneriper M (10 tabs)</t>
        </is>
      </c>
      <c r="I14" t="inlineStr">
        <is>
          <t>รับประทานครั้งละ 1-2 เม็ด วันละ 3 ครั้ง</t>
        </is>
      </c>
      <c r="P14" t="inlineStr">
        <is>
          <t>Muscle relaxants</t>
        </is>
      </c>
    </row>
    <row r="15">
      <c r="A15" t="n">
        <v>347</v>
      </c>
      <c r="B15" t="inlineStr">
        <is>
          <t>ยาคลายกล้ามเนื้อ (D)</t>
        </is>
      </c>
      <c r="C15" t="n">
        <v>48632</v>
      </c>
      <c r="D15" t="inlineStr">
        <is>
          <t>Torrent</t>
        </is>
      </c>
      <c r="E15" t="inlineStr">
        <is>
          <t>กล่อง 10 เม็ด</t>
        </is>
      </c>
      <c r="F15" t="inlineStr">
        <is>
          <t>Paracetamol 450 mg.+Orphenadrine Citrate 35 mg.</t>
        </is>
      </c>
      <c r="G15" t="inlineStr">
        <is>
          <t>BDS048632</t>
        </is>
      </c>
      <c r="H15" t="inlineStr">
        <is>
          <t>Torrent (10 tabs)</t>
        </is>
      </c>
      <c r="I15" t="inlineStr">
        <is>
          <t>รับประทานครั้งละ 1-2 เม็ด วันละ 3 ครั้ง</t>
        </is>
      </c>
      <c r="P15" t="inlineStr">
        <is>
          <t>Muscle relaxants</t>
        </is>
      </c>
    </row>
  </sheetData>
  <autoFilter ref="A1:P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350</v>
      </c>
      <c r="B2" t="inlineStr">
        <is>
          <t>ยาฆ่าเชื้อแบคทีเรียทางเดินปัสสาวะ (D)</t>
        </is>
      </c>
      <c r="C2" t="n">
        <v>8001</v>
      </c>
      <c r="D2" t="inlineStr">
        <is>
          <t>Actrim</t>
        </is>
      </c>
      <c r="E2" t="inlineStr">
        <is>
          <t>แผง 10 เม็ด</t>
        </is>
      </c>
      <c r="F2" t="inlineStr">
        <is>
          <t>Trimethoprim 80 mg.+Sulfamethoxazole 400 mg.</t>
        </is>
      </c>
      <c r="G2" t="inlineStr">
        <is>
          <t>BDS008001</t>
        </is>
      </c>
      <c r="H2" t="inlineStr">
        <is>
          <t>Actrim (10 tabs)</t>
        </is>
      </c>
      <c r="I2" t="inlineStr">
        <is>
          <t>ผู้ใหญ่รับประทานครั้งละ 2 เม็ด วันละ 2 ครั้ง หลังอาหาร</t>
        </is>
      </c>
      <c r="P2" t="inlineStr">
        <is>
          <t>UTI antibiotics</t>
        </is>
      </c>
    </row>
    <row r="3">
      <c r="A3" t="n">
        <v>351</v>
      </c>
      <c r="B3" t="inlineStr">
        <is>
          <t>ยาฆ่าเชื้อแบคทีเรียทางเดินปัสสาวะ (D)</t>
        </is>
      </c>
      <c r="C3" t="n">
        <v>1072</v>
      </c>
      <c r="D3" t="inlineStr">
        <is>
          <t>Avelox tabslet</t>
        </is>
      </c>
      <c r="E3" t="inlineStr">
        <is>
          <t>กล่อง 5 เม็ด</t>
        </is>
      </c>
      <c r="F3" t="inlineStr">
        <is>
          <t>Moxifloxacin Hydrochloride 400 mg.</t>
        </is>
      </c>
      <c r="G3" t="inlineStr">
        <is>
          <t>BDS001072</t>
        </is>
      </c>
      <c r="H3" t="inlineStr">
        <is>
          <t>Avelox tabslet (5 tabs)</t>
        </is>
      </c>
      <c r="I3" t="inlineStr">
        <is>
          <t>รับประทานครั้งละ 1 เม็ด วันละ 1 ครั้ง หรือตามแพทย์สั่ง</t>
        </is>
      </c>
      <c r="P3" t="inlineStr">
        <is>
          <t>UTI antibiotics</t>
        </is>
      </c>
    </row>
    <row r="4">
      <c r="A4" t="n">
        <v>352</v>
      </c>
      <c r="B4" t="inlineStr">
        <is>
          <t>ยาฆ่าเชื้อแบคทีเรียทางเดินปัสสาวะ (D)</t>
        </is>
      </c>
      <c r="C4" t="n">
        <v>1496</v>
      </c>
      <c r="D4" t="inlineStr">
        <is>
          <t>Cifloxin 500 mg</t>
        </is>
      </c>
      <c r="E4" t="inlineStr">
        <is>
          <t>กล่อง 10 เม็ด</t>
        </is>
      </c>
      <c r="F4" t="inlineStr">
        <is>
          <t>Ciprofloxacin 500 mg.</t>
        </is>
      </c>
      <c r="G4" t="inlineStr">
        <is>
          <t>BDS001496</t>
        </is>
      </c>
      <c r="H4" t="inlineStr">
        <is>
          <t>Cifloxin 500 mg (10 tabs)</t>
        </is>
      </c>
      <c r="I4" t="inlineStr">
        <is>
          <t>รับประทานครั้งละ 1 เม็ดวันละ 2  ครั้ง เช้า-เย็น</t>
        </is>
      </c>
      <c r="P4" t="inlineStr">
        <is>
          <t>UTI antibiotics</t>
        </is>
      </c>
    </row>
    <row r="5">
      <c r="A5" t="n">
        <v>353</v>
      </c>
      <c r="B5" t="inlineStr">
        <is>
          <t>ยาฆ่าเชื้อแบคทีเรียทางเดินปัสสาวะ (D)</t>
        </is>
      </c>
      <c r="C5" t="n">
        <v>41409</v>
      </c>
      <c r="D5" t="inlineStr">
        <is>
          <t>Cipflocin 500 mg</t>
        </is>
      </c>
      <c r="E5" t="inlineStr">
        <is>
          <t>แผง 10 เม็ด</t>
        </is>
      </c>
      <c r="F5" t="inlineStr">
        <is>
          <t>Ciprofloxacin 500 mg.</t>
        </is>
      </c>
      <c r="G5" t="inlineStr">
        <is>
          <t>BDS041409</t>
        </is>
      </c>
      <c r="H5" t="inlineStr">
        <is>
          <t>Cipflocin 500 mg (10 tabs)</t>
        </is>
      </c>
      <c r="I5" t="inlineStr">
        <is>
          <t>รับประทานครั้งละ 1 เม็ด วันละ 2  ครั้ง เช้า-เย็น หรือตามแพทย์สั่ง</t>
        </is>
      </c>
      <c r="P5" t="inlineStr">
        <is>
          <t>UTI antibiotics</t>
        </is>
      </c>
    </row>
    <row r="6">
      <c r="A6" t="n">
        <v>354</v>
      </c>
      <c r="B6" t="inlineStr">
        <is>
          <t>ยาฆ่าเชื้อแบคทีเรียทางเดินปัสสาวะ (D)</t>
        </is>
      </c>
      <c r="C6" t="n">
        <v>8114</v>
      </c>
      <c r="D6" t="inlineStr">
        <is>
          <t>Ciproxin-500</t>
        </is>
      </c>
      <c r="E6" t="inlineStr">
        <is>
          <t>แผง 10 เม็ด</t>
        </is>
      </c>
      <c r="F6" t="inlineStr">
        <is>
          <t>Ciprofloxacin 500 mg.</t>
        </is>
      </c>
      <c r="G6" t="inlineStr">
        <is>
          <t>BDS008114</t>
        </is>
      </c>
      <c r="H6" t="inlineStr">
        <is>
          <t>Ciproxin-500 (10 tabs)</t>
        </is>
      </c>
      <c r="I6" t="inlineStr">
        <is>
          <t>รับประทานครั้งละ 1 เม็ด วันละ 2  ครั้ง เช้า-เย็น</t>
        </is>
      </c>
      <c r="P6" t="inlineStr">
        <is>
          <t>UTI antibiotics</t>
        </is>
      </c>
    </row>
    <row r="7">
      <c r="A7" t="n">
        <v>355</v>
      </c>
      <c r="B7" t="inlineStr">
        <is>
          <t>ยาฆ่าเชื้อแบคทีเรียทางเดินปัสสาวะ (D)</t>
        </is>
      </c>
      <c r="C7" t="n">
        <v>1548</v>
      </c>
      <c r="D7" t="inlineStr">
        <is>
          <t>Cravit 500 mg</t>
        </is>
      </c>
      <c r="E7" t="inlineStr">
        <is>
          <t>กล่อง 5 เม็ด</t>
        </is>
      </c>
      <c r="F7" t="inlineStr">
        <is>
          <t>Levofloxacin 500 mg.</t>
        </is>
      </c>
      <c r="G7" t="inlineStr">
        <is>
          <t>BDS001548</t>
        </is>
      </c>
      <c r="H7" t="inlineStr">
        <is>
          <t>Cravit 500 mg (5 tabs)</t>
        </is>
      </c>
      <c r="I7" t="inlineStr">
        <is>
          <t>รับประทานครั้งละ 1 เม็ด วันละ 1 ครั้ง</t>
        </is>
      </c>
      <c r="P7" t="inlineStr">
        <is>
          <t>UTI antibiotics</t>
        </is>
      </c>
    </row>
    <row r="8">
      <c r="A8" t="n">
        <v>356</v>
      </c>
      <c r="B8" t="inlineStr">
        <is>
          <t>ยาฆ่าเชื้อแบคทีเรียทางเดินปัสสาวะ (D)</t>
        </is>
      </c>
      <c r="C8" t="n">
        <v>8681</v>
      </c>
      <c r="D8" t="inlineStr">
        <is>
          <t>Levomac 500</t>
        </is>
      </c>
      <c r="E8" t="inlineStr">
        <is>
          <t>กล่อง 5 เม็ด</t>
        </is>
      </c>
      <c r="F8" t="inlineStr">
        <is>
          <t>Levofloxacin 500 mg.</t>
        </is>
      </c>
      <c r="G8" t="inlineStr">
        <is>
          <t>BDS008681</t>
        </is>
      </c>
      <c r="H8" t="inlineStr">
        <is>
          <t>Levomac 500 (5 tabs)</t>
        </is>
      </c>
      <c r="I8" t="inlineStr">
        <is>
          <t>รับประทานครั้งละ 1 เม็ด วันละ 1 ครั้ง</t>
        </is>
      </c>
      <c r="P8" t="inlineStr">
        <is>
          <t>UTI antibiotics</t>
        </is>
      </c>
    </row>
    <row r="9">
      <c r="A9" t="n">
        <v>357</v>
      </c>
      <c r="B9" t="inlineStr">
        <is>
          <t>ยาฆ่าเชื้อแบคทีเรียทางเดินปัสสาวะ (D)</t>
        </is>
      </c>
      <c r="C9" t="n">
        <v>7591</v>
      </c>
      <c r="D9" t="inlineStr">
        <is>
          <t>Noflox-400</t>
        </is>
      </c>
      <c r="E9" t="inlineStr">
        <is>
          <t>แผง 10 เม็ด</t>
        </is>
      </c>
      <c r="F9" t="inlineStr">
        <is>
          <t>Norfloxacin 400 mg.</t>
        </is>
      </c>
      <c r="G9" t="inlineStr">
        <is>
          <t>BDS007591</t>
        </is>
      </c>
      <c r="H9" t="inlineStr">
        <is>
          <t>Noflox-400 (10 tabs)</t>
        </is>
      </c>
      <c r="I9" t="inlineStr">
        <is>
          <t>รับประทานครั้งละ 1 เม็ด วันละ 2 ครั้ง เช้า-เย็น</t>
        </is>
      </c>
      <c r="P9" t="inlineStr">
        <is>
          <t>UTI antibiotics</t>
        </is>
      </c>
    </row>
    <row r="10">
      <c r="A10" t="n">
        <v>358</v>
      </c>
      <c r="B10" t="inlineStr">
        <is>
          <t>ยาฆ่าเชื้อแบคทีเรียทางเดินปัสสาวะ (D)</t>
        </is>
      </c>
      <c r="C10" t="n">
        <v>7751</v>
      </c>
      <c r="D10" t="inlineStr">
        <is>
          <t>Norfloxyl-400</t>
        </is>
      </c>
      <c r="E10" t="inlineStr">
        <is>
          <t>แผง 10 เม็ด</t>
        </is>
      </c>
      <c r="F10" t="inlineStr">
        <is>
          <t>Norfloxacin 400 mg.</t>
        </is>
      </c>
      <c r="G10" t="inlineStr">
        <is>
          <t>BDS007751</t>
        </is>
      </c>
      <c r="H10" t="inlineStr">
        <is>
          <t>Norfloxyl-400 (10 tabs)</t>
        </is>
      </c>
      <c r="I10" t="inlineStr">
        <is>
          <t>รับประทานครั้งละ 1 เม็ด วันละ 2 ครั้ง เช้า-เย็น</t>
        </is>
      </c>
      <c r="P10" t="inlineStr">
        <is>
          <t>UTI antibiotics</t>
        </is>
      </c>
    </row>
    <row r="11">
      <c r="A11" t="n">
        <v>359</v>
      </c>
      <c r="B11" t="inlineStr">
        <is>
          <t>ยาฆ่าเชื้อแบคทีเรียทางเดินปัสสาวะ (D)</t>
        </is>
      </c>
      <c r="C11" t="n">
        <v>9086</v>
      </c>
      <c r="D11" t="inlineStr">
        <is>
          <t>Norxacin 400 mg</t>
        </is>
      </c>
      <c r="E11" t="inlineStr">
        <is>
          <t>กล่อง 8 เม็ด</t>
        </is>
      </c>
      <c r="F11" t="inlineStr">
        <is>
          <t>Norfloxacin 400 mg.</t>
        </is>
      </c>
      <c r="G11" t="inlineStr">
        <is>
          <t>BDS009086</t>
        </is>
      </c>
      <c r="H11" t="inlineStr">
        <is>
          <t>Norxacin 400 mg (8 tabs)</t>
        </is>
      </c>
      <c r="I11" t="inlineStr">
        <is>
          <t>รับประทานครั้งละ 1 เม็ด วันละ 2 ครั้ง เช้า-เย็น</t>
        </is>
      </c>
      <c r="P11" t="inlineStr">
        <is>
          <t>UTI antibiotics</t>
        </is>
      </c>
    </row>
    <row r="12">
      <c r="A12" t="n">
        <v>360</v>
      </c>
      <c r="B12" t="inlineStr">
        <is>
          <t>ยาฆ่าเชื้อแบคทีเรียทางเดินปัสสาวะ (D)</t>
        </is>
      </c>
      <c r="C12" t="n">
        <v>7971</v>
      </c>
      <c r="D12" t="inlineStr">
        <is>
          <t>Oflomac-200</t>
        </is>
      </c>
      <c r="E12" t="inlineStr">
        <is>
          <t>แผง 10 เม็ด</t>
        </is>
      </c>
      <c r="F12" t="inlineStr">
        <is>
          <t>Ofloxacin 200 mg.</t>
        </is>
      </c>
      <c r="G12" t="inlineStr">
        <is>
          <t>BDS007971</t>
        </is>
      </c>
      <c r="H12" t="inlineStr">
        <is>
          <t>Oflomac-200 (10 tabs)</t>
        </is>
      </c>
      <c r="I12" t="inlineStr">
        <is>
          <t>รับประทานครั้งละ 1 เม็ดวันละ 2 ครั้ง เช้า-เย็น</t>
        </is>
      </c>
      <c r="P12" t="inlineStr">
        <is>
          <t>UTI antibiotics</t>
        </is>
      </c>
    </row>
    <row r="13">
      <c r="A13" t="n">
        <v>361</v>
      </c>
      <c r="B13" t="inlineStr">
        <is>
          <t>ยาฆ่าเชื้อแบคทีเรียทางเดินปัสสาวะ (D)</t>
        </is>
      </c>
      <c r="C13" t="n">
        <v>7238</v>
      </c>
      <c r="D13" t="inlineStr">
        <is>
          <t>Proflox 500 mg</t>
        </is>
      </c>
      <c r="E13" t="inlineStr">
        <is>
          <t>แผง 10 เม็ด</t>
        </is>
      </c>
      <c r="F13" t="inlineStr">
        <is>
          <t>Ciprofloxacin 500 mg.</t>
        </is>
      </c>
      <c r="G13" t="inlineStr">
        <is>
          <t>BDS007238</t>
        </is>
      </c>
      <c r="H13" t="inlineStr">
        <is>
          <t>Proflox 500 mg (10 tabs)</t>
        </is>
      </c>
      <c r="I13" t="inlineStr">
        <is>
          <t>รับประทานครั้งละ 1 เม็ด วันละ 2 ครั้ง เช้า - เย็น</t>
        </is>
      </c>
      <c r="P13" t="inlineStr">
        <is>
          <t>UTI antibiotics</t>
        </is>
      </c>
    </row>
    <row r="14">
      <c r="A14" t="n">
        <v>362</v>
      </c>
      <c r="B14" t="inlineStr">
        <is>
          <t>ยาฆ่าเชื้อแบคทีเรียทางเดินปัสสาวะ (D)</t>
        </is>
      </c>
      <c r="C14" t="n">
        <v>47662</v>
      </c>
      <c r="D14" t="inlineStr">
        <is>
          <t>Sixime</t>
        </is>
      </c>
      <c r="E14" t="inlineStr">
        <is>
          <t>แผง 10 แคปซูล</t>
        </is>
      </c>
      <c r="F14" t="inlineStr">
        <is>
          <t>Cefixime 100 mg.</t>
        </is>
      </c>
      <c r="G14" t="inlineStr">
        <is>
          <t>BDS047662</t>
        </is>
      </c>
      <c r="H14" t="inlineStr">
        <is>
          <t>Sixime (10 cap)</t>
        </is>
      </c>
      <c r="I14" t="inlineStr">
        <is>
          <t>รับประทานครั้งละ 1 แคปซูล วันละ 2 ครั้ง หรือตามแพทย์สั่ง</t>
        </is>
      </c>
      <c r="P14" t="inlineStr">
        <is>
          <t>UTI antibiotics</t>
        </is>
      </c>
    </row>
    <row r="15">
      <c r="A15" t="n">
        <v>363</v>
      </c>
      <c r="B15" t="inlineStr">
        <is>
          <t>ยาฆ่าเชื้อแบคทีเรียทางเดินปัสสาวะ (D)</t>
        </is>
      </c>
      <c r="C15" t="n">
        <v>7311</v>
      </c>
      <c r="D15" t="inlineStr">
        <is>
          <t>Xacin</t>
        </is>
      </c>
      <c r="E15" t="inlineStr">
        <is>
          <t>แผง 10 เม็ด</t>
        </is>
      </c>
      <c r="F15" t="inlineStr">
        <is>
          <t>Norfloxacin 400 mg.</t>
        </is>
      </c>
      <c r="G15" t="inlineStr">
        <is>
          <t>BDS007311</t>
        </is>
      </c>
      <c r="H15" t="inlineStr">
        <is>
          <t>Xacin (10 tabs)</t>
        </is>
      </c>
      <c r="I15" t="inlineStr">
        <is>
          <t>รับประทานครั้งละ 1 เม็ด วันละ 2 ครั้ง เช้า-เย็น</t>
        </is>
      </c>
      <c r="P15" t="inlineStr">
        <is>
          <t>UTI antibiotics</t>
        </is>
      </c>
    </row>
  </sheetData>
  <autoFilter ref="A1:P1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397</v>
      </c>
      <c r="B2" t="inlineStr">
        <is>
          <t>ผงเกลือแร่</t>
        </is>
      </c>
      <c r="C2" t="n">
        <v>8282</v>
      </c>
      <c r="D2" t="inlineStr">
        <is>
          <t>Cera ORS รสส้ม</t>
        </is>
      </c>
      <c r="E2" t="inlineStr">
        <is>
          <t>กล่อง 5 ซอง</t>
        </is>
      </c>
      <c r="F2" t="inlineStr">
        <is>
          <t>Glucose Anhydrous 3 g.+Sodium Chloride 0.53 g.+Potassium Chloride 0.23 g.+Sodium Citrate Dihydrate 0.44 g.</t>
        </is>
      </c>
      <c r="G2" t="inlineStr">
        <is>
          <t>BDS008282</t>
        </is>
      </c>
      <c r="H2" t="inlineStr">
        <is>
          <t>Cera ORS รสส้ม (5 sachets)</t>
        </is>
      </c>
      <c r="I2" t="inlineStr">
        <is>
          <t xml:space="preserve">ละลายครั้งละ 1 ซอง ต่อน้ำ 1 แก้ว (150 ml.) </t>
        </is>
      </c>
      <c r="P2" t="inlineStr">
        <is>
          <t>ORS / electrolytes</t>
        </is>
      </c>
    </row>
  </sheetData>
  <autoFilter ref="A1:P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418</v>
      </c>
      <c r="B2" t="inlineStr">
        <is>
          <t>ยาช่วยย่อยอาหาร</t>
        </is>
      </c>
      <c r="C2" t="n">
        <v>1465</v>
      </c>
      <c r="D2" t="inlineStr">
        <is>
          <t>Combizym</t>
        </is>
      </c>
      <c r="E2" t="inlineStr">
        <is>
          <t>แผง 10 เม็ด</t>
        </is>
      </c>
      <c r="F2" t="inlineStr">
        <is>
          <t>(Cellulase+Protease+Amylase) 24 mg.+(Lipase+Protease+Amylase) 220 mg.</t>
        </is>
      </c>
      <c r="G2" t="inlineStr">
        <is>
          <t>BDS001465</t>
        </is>
      </c>
      <c r="H2" t="inlineStr">
        <is>
          <t>Combizym (10 tabs)</t>
        </is>
      </c>
      <c r="I2" t="inlineStr">
        <is>
          <t>รับประทานครั้งละ 1-2 เม็ด วันละ 3 ครั้ง หลังอาหาร</t>
        </is>
      </c>
      <c r="P2" t="inlineStr">
        <is>
          <t>Digestive aids</t>
        </is>
      </c>
    </row>
    <row r="3">
      <c r="A3" t="n">
        <v>419</v>
      </c>
      <c r="B3" t="inlineStr">
        <is>
          <t>ยาช่วยย่อยอาหาร</t>
        </is>
      </c>
      <c r="C3" t="n">
        <v>1636</v>
      </c>
      <c r="D3" t="inlineStr">
        <is>
          <t>Diasgest</t>
        </is>
      </c>
      <c r="E3" t="inlineStr">
        <is>
          <t>แผง 10 เม็ด</t>
        </is>
      </c>
      <c r="F3" t="inlineStr">
        <is>
          <t xml:space="preserve">diastase 50 mg+Aluminium magnesium silicate 100 mg+Sodium bicarbonate 60 mg+Calcium carbonate </t>
        </is>
      </c>
      <c r="G3" t="inlineStr">
        <is>
          <t>BDS001636</t>
        </is>
      </c>
      <c r="H3" t="inlineStr">
        <is>
          <t>Diasgest (10 tabs)</t>
        </is>
      </c>
      <c r="I3" t="inlineStr">
        <is>
          <t>รับประทานครั้งละ 1-2 เม็ด วันละ 3 ครั้ง หลังอาหาร หรือเมื่อมีอาการ</t>
        </is>
      </c>
      <c r="P3" t="inlineStr">
        <is>
          <t>Digestive aids</t>
        </is>
      </c>
    </row>
    <row r="4">
      <c r="A4" t="n">
        <v>420</v>
      </c>
      <c r="B4" t="inlineStr">
        <is>
          <t>ยาช่วยย่อยอาหาร</t>
        </is>
      </c>
      <c r="C4" t="n">
        <v>2043</v>
      </c>
      <c r="D4" t="inlineStr">
        <is>
          <t>Gaszym</t>
        </is>
      </c>
      <c r="E4" t="inlineStr">
        <is>
          <t>แผง 10 เม็ด</t>
        </is>
      </c>
      <c r="F4" t="inlineStr">
        <is>
          <t>Simethicone 60 mg.+Pancreatin 4NF 200 mg.</t>
        </is>
      </c>
      <c r="G4" t="inlineStr">
        <is>
          <t>BDS002043</t>
        </is>
      </c>
      <c r="H4" t="inlineStr">
        <is>
          <t>Gaszym (10 tabs)</t>
        </is>
      </c>
      <c r="I4" t="inlineStr">
        <is>
          <t>รับประทานครั้งละ 1-2 เม็ด วันละ 3 ครั้ง หลังอาหารทันที หรือเมื่อมีอาการ</t>
        </is>
      </c>
      <c r="P4" t="inlineStr">
        <is>
          <t>Digestive aids</t>
        </is>
      </c>
    </row>
    <row r="5">
      <c r="A5" t="n">
        <v>421</v>
      </c>
      <c r="B5" t="inlineStr">
        <is>
          <t>ยาช่วยย่อยอาหาร</t>
        </is>
      </c>
      <c r="C5" t="n">
        <v>2681</v>
      </c>
      <c r="D5" t="inlineStr">
        <is>
          <t>Magesto-F bottle 100s</t>
        </is>
      </c>
      <c r="E5" t="inlineStr">
        <is>
          <t>ขวด 100 เม็ด</t>
        </is>
      </c>
      <c r="F5" t="inlineStr">
        <is>
          <t>Mamylase+Thiamine mononitrate+Diastase+Scopolia extract+Calcium carbonate</t>
        </is>
      </c>
      <c r="G5" t="inlineStr">
        <is>
          <t>BDS002681</t>
        </is>
      </c>
      <c r="H5" t="inlineStr">
        <is>
          <t>Magesto-F bottle 100s (100 tabs)</t>
        </is>
      </c>
      <c r="I5" t="inlineStr">
        <is>
          <t>รับประทานครั้งละ 2-4 เม็ด วันละ 3 ครั้ง หลังอาหาร</t>
        </is>
      </c>
      <c r="P5" t="inlineStr">
        <is>
          <t>Digestive aids</t>
        </is>
      </c>
    </row>
    <row r="6">
      <c r="A6" t="n">
        <v>422</v>
      </c>
      <c r="B6" t="inlineStr">
        <is>
          <t>ยาช่วยย่อยอาหาร</t>
        </is>
      </c>
      <c r="C6" t="n">
        <v>2224</v>
      </c>
      <c r="D6" t="inlineStr">
        <is>
          <t>Magesto-F sachet 10s</t>
        </is>
      </c>
      <c r="E6" t="inlineStr">
        <is>
          <t>ซอง 10 เม็ด</t>
        </is>
      </c>
      <c r="F6" t="inlineStr">
        <is>
          <t>Mamylase+Thiamine mononitrate+Diastase+Scopolia extract+Calcium carbonate</t>
        </is>
      </c>
      <c r="G6" t="inlineStr">
        <is>
          <t>BDS002224</t>
        </is>
      </c>
      <c r="H6" t="inlineStr">
        <is>
          <t>Magesto-F sachet 10s (10 tabs)</t>
        </is>
      </c>
      <c r="I6" t="inlineStr">
        <is>
          <t>รับประทานครั้งละ 2-4 เม็ด วันละ 3 ครั้ง หลังอาหาร</t>
        </is>
      </c>
      <c r="P6" t="inlineStr">
        <is>
          <t>Digestive aids</t>
        </is>
      </c>
    </row>
  </sheetData>
  <autoFilter ref="A1:P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483</v>
      </c>
      <c r="B2" t="inlineStr">
        <is>
          <t>ยาฆ่าเชื้อพยาธิในช่องคลอด (D)</t>
        </is>
      </c>
      <c r="C2" t="n">
        <v>40003</v>
      </c>
      <c r="D2" t="inlineStr">
        <is>
          <t>Asiazole-T.N. tabslets</t>
        </is>
      </c>
      <c r="E2" t="inlineStr">
        <is>
          <t>กล่อง 4 เม็ด</t>
        </is>
      </c>
      <c r="F2" t="inlineStr">
        <is>
          <t>Tinidazole 500 mg.</t>
        </is>
      </c>
      <c r="G2" t="inlineStr">
        <is>
          <t>BDS040003</t>
        </is>
      </c>
      <c r="H2" t="inlineStr">
        <is>
          <t>Asiazole-T.N. tabslets (4 tabs)</t>
        </is>
      </c>
      <c r="I2" t="inlineStr">
        <is>
          <t>รับประทานครั้งละ 4 เม็ด  วันละ 1 ครั้ง ก่อนนอน</t>
        </is>
      </c>
      <c r="P2" t="inlineStr">
        <is>
          <t>Vaginal antiparasitic/anti-infective</t>
        </is>
      </c>
    </row>
    <row r="3">
      <c r="A3" t="n">
        <v>484</v>
      </c>
      <c r="B3" t="inlineStr">
        <is>
          <t>ยาฆ่าเชื้อพยาธิในช่องคลอด (D)</t>
        </is>
      </c>
      <c r="C3" t="n">
        <v>7954</v>
      </c>
      <c r="D3" t="inlineStr">
        <is>
          <t>Gyno Gena-500</t>
        </is>
      </c>
      <c r="E3" t="inlineStr">
        <is>
          <t>กล่อง 4 เม็ด</t>
        </is>
      </c>
      <c r="F3" t="inlineStr">
        <is>
          <t>Tinidazole 500 mg.</t>
        </is>
      </c>
      <c r="G3" t="inlineStr">
        <is>
          <t>BDS007954</t>
        </is>
      </c>
      <c r="H3" t="inlineStr">
        <is>
          <t>Gyno Gena-500 (4 tabs)</t>
        </is>
      </c>
      <c r="I3" t="inlineStr">
        <is>
          <t>รับประทานครั้งละ 4 เม็ด วันละ 1 ครั้ง ก่อนนอน</t>
        </is>
      </c>
      <c r="P3" t="inlineStr">
        <is>
          <t>Vaginal antiparasitic/anti-infective</t>
        </is>
      </c>
    </row>
  </sheetData>
  <autoFilter ref="A1:P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629</v>
      </c>
      <c r="B2" t="inlineStr">
        <is>
          <t>น้ำเกลือ</t>
        </is>
      </c>
      <c r="C2" t="n">
        <v>44313</v>
      </c>
      <c r="D2" t="inlineStr">
        <is>
          <t>Klean &amp; Kare Saline (ANB)</t>
        </is>
      </c>
      <c r="E2" t="inlineStr">
        <is>
          <t>ขวด 200 ml.</t>
        </is>
      </c>
      <c r="F2" t="inlineStr">
        <is>
          <t>Sodium Chloride 0.9 g./100 ml.</t>
        </is>
      </c>
      <c r="G2" t="inlineStr">
        <is>
          <t>BDS044313</t>
        </is>
      </c>
      <c r="H2" t="inlineStr">
        <is>
          <t>Klean &amp; Kare Saline (ANB) (200 ml.)</t>
        </is>
      </c>
      <c r="I2" t="inlineStr">
        <is>
          <t xml:space="preserve">ล้างทำความสะอาดในบริเวณที่ต้องการ </t>
        </is>
      </c>
      <c r="P2" t="inlineStr">
        <is>
          <t>Normal saline / irrigation</t>
        </is>
      </c>
    </row>
    <row r="3">
      <c r="A3" t="n">
        <v>630</v>
      </c>
      <c r="B3" t="inlineStr">
        <is>
          <t>น้ำเกลือ</t>
        </is>
      </c>
      <c r="C3" t="n">
        <v>44321</v>
      </c>
      <c r="D3" t="inlineStr">
        <is>
          <t>Klean &amp; Kare Saline กลาง</t>
        </is>
      </c>
      <c r="E3" t="inlineStr">
        <is>
          <t>ขวด 500 ml.</t>
        </is>
      </c>
      <c r="F3" t="inlineStr">
        <is>
          <t>Sodium Chloride 0.9 g./100 ml.</t>
        </is>
      </c>
      <c r="G3" t="inlineStr">
        <is>
          <t>BDS044321</t>
        </is>
      </c>
      <c r="H3" t="inlineStr">
        <is>
          <t>Klean &amp; Kare Saline กลาง (500 ml.)</t>
        </is>
      </c>
      <c r="I3" t="inlineStr">
        <is>
          <t xml:space="preserve">ล้างทำความสะอาดในบริเวณที่ต้องการ </t>
        </is>
      </c>
      <c r="P3" t="inlineStr">
        <is>
          <t>Normal saline / irrigation</t>
        </is>
      </c>
    </row>
    <row r="4">
      <c r="A4" t="n">
        <v>631</v>
      </c>
      <c r="B4" t="inlineStr">
        <is>
          <t>น้ำเกลือ</t>
        </is>
      </c>
      <c r="C4" t="n">
        <v>44320</v>
      </c>
      <c r="D4" t="inlineStr">
        <is>
          <t>Klean &amp; Kare Saline เล็ก</t>
        </is>
      </c>
      <c r="E4" t="inlineStr">
        <is>
          <t>ขวด 100 ml.</t>
        </is>
      </c>
      <c r="F4" t="inlineStr">
        <is>
          <t>Sodium Chloride 0.9 g./100 ml.</t>
        </is>
      </c>
      <c r="G4" t="inlineStr">
        <is>
          <t>BDS044320</t>
        </is>
      </c>
      <c r="H4" t="inlineStr">
        <is>
          <t>Klean &amp; Kare Saline เล็ก (100 ml.)</t>
        </is>
      </c>
      <c r="I4" t="inlineStr">
        <is>
          <t xml:space="preserve">ล้างทำความสะอาดในบริเวณที่ต้องการ </t>
        </is>
      </c>
      <c r="P4" t="inlineStr">
        <is>
          <t>Normal saline / irrigation</t>
        </is>
      </c>
    </row>
    <row r="5">
      <c r="A5" t="n">
        <v>632</v>
      </c>
      <c r="B5" t="inlineStr">
        <is>
          <t>น้ำเกลือ</t>
        </is>
      </c>
      <c r="C5" t="n">
        <v>44322</v>
      </c>
      <c r="D5" t="inlineStr">
        <is>
          <t>Klean &amp; Kare Saline ใหญ่</t>
        </is>
      </c>
      <c r="E5" t="inlineStr">
        <is>
          <t>ขวด 1000 ml.</t>
        </is>
      </c>
      <c r="F5" t="inlineStr">
        <is>
          <t>Sodium Chloride 0.9 g./100 ml.</t>
        </is>
      </c>
      <c r="G5" t="inlineStr">
        <is>
          <t>BDS044322</t>
        </is>
      </c>
      <c r="H5" t="inlineStr">
        <is>
          <t>Klean &amp; Kare Saline ใหญ่ (1000 ml.)</t>
        </is>
      </c>
      <c r="I5" t="inlineStr">
        <is>
          <t xml:space="preserve">ล้างทำความสะอาดในบริเวณที่ต้องการ </t>
        </is>
      </c>
      <c r="P5" t="inlineStr">
        <is>
          <t>Normal saline / irrigation</t>
        </is>
      </c>
    </row>
    <row r="6">
      <c r="A6" t="n">
        <v>633</v>
      </c>
      <c r="B6" t="inlineStr">
        <is>
          <t>น้ำเกลือ</t>
        </is>
      </c>
      <c r="C6" t="n">
        <v>4868</v>
      </c>
      <c r="D6" t="inlineStr">
        <is>
          <t>Normal Saline (Otsuka)</t>
        </is>
      </c>
      <c r="E6" t="inlineStr">
        <is>
          <t>ขวด 1000 ml.</t>
        </is>
      </c>
      <c r="F6" t="inlineStr">
        <is>
          <t>Sodium Chloride 0.9 g./100 ml.</t>
        </is>
      </c>
      <c r="G6" t="inlineStr">
        <is>
          <t>BDS004868</t>
        </is>
      </c>
      <c r="H6" t="inlineStr">
        <is>
          <t>Normal Saline (Otsuka) (1000 ml.)</t>
        </is>
      </c>
      <c r="I6" t="inlineStr">
        <is>
          <t xml:space="preserve">ทำความสะอาดในบริเวณที่ต้องการ </t>
        </is>
      </c>
      <c r="P6" t="inlineStr">
        <is>
          <t>Normal saline / irrigation</t>
        </is>
      </c>
    </row>
    <row r="7">
      <c r="A7" t="n">
        <v>634</v>
      </c>
      <c r="B7" t="inlineStr">
        <is>
          <t>น้ำเกลือ</t>
        </is>
      </c>
      <c r="C7" t="n">
        <v>45626</v>
      </c>
      <c r="D7" t="inlineStr">
        <is>
          <t>Normal Saline (Thai Nakorn Patana)</t>
        </is>
      </c>
      <c r="E7" t="inlineStr">
        <is>
          <t>ขวด 1000 ml.</t>
        </is>
      </c>
      <c r="F7" t="inlineStr">
        <is>
          <t>Sodium Chloride 0.9 g./100 ml.</t>
        </is>
      </c>
      <c r="G7" t="inlineStr">
        <is>
          <t>BDS045626</t>
        </is>
      </c>
      <c r="H7" t="inlineStr">
        <is>
          <t>Normal Saline (Thai Nakorn Patana) (1000 ml.)</t>
        </is>
      </c>
      <c r="I7" t="inlineStr">
        <is>
          <t xml:space="preserve">ทำความสะอาดในบริเวณที่ต้องการ </t>
        </is>
      </c>
      <c r="P7" t="inlineStr">
        <is>
          <t>Normal saline / irrigation</t>
        </is>
      </c>
    </row>
    <row r="8">
      <c r="A8" t="n">
        <v>635</v>
      </c>
      <c r="B8" t="inlineStr">
        <is>
          <t>น้ำเกลือ</t>
        </is>
      </c>
      <c r="C8" t="n">
        <v>47669</v>
      </c>
      <c r="D8" t="inlineStr">
        <is>
          <t>Sofclens Normal Saline Solution</t>
        </is>
      </c>
      <c r="E8" t="inlineStr">
        <is>
          <t>ขวด 100 ml.</t>
        </is>
      </c>
      <c r="F8" t="inlineStr">
        <is>
          <t>Sodium Chloride 0.9 % w/v</t>
        </is>
      </c>
      <c r="G8" t="inlineStr">
        <is>
          <t>BDS047669</t>
        </is>
      </c>
      <c r="H8" t="inlineStr">
        <is>
          <t>Sofclens Normal Saline Solution (100 ml.)</t>
        </is>
      </c>
      <c r="I8" t="inlineStr">
        <is>
          <t xml:space="preserve">ล้างทำความสะอาดในบริเวณที่ต้องการ </t>
        </is>
      </c>
      <c r="P8" t="inlineStr">
        <is>
          <t>Normal saline / irrigation</t>
        </is>
      </c>
    </row>
    <row r="9">
      <c r="A9" t="n">
        <v>636</v>
      </c>
      <c r="B9" t="inlineStr">
        <is>
          <t>น้ำเกลือ</t>
        </is>
      </c>
      <c r="C9" t="n">
        <v>4870</v>
      </c>
      <c r="D9" t="inlineStr">
        <is>
          <t>น้ำเกลือล้างแผล (วิทยาศรม)</t>
        </is>
      </c>
      <c r="E9" t="inlineStr">
        <is>
          <t>ขวด 120 ml.</t>
        </is>
      </c>
      <c r="F9" t="inlineStr">
        <is>
          <t>Sodium Chloride 0.9 g./100 ml.</t>
        </is>
      </c>
      <c r="G9" t="inlineStr">
        <is>
          <t>BDS004870</t>
        </is>
      </c>
      <c r="H9" t="inlineStr">
        <is>
          <t>น้ำเกลือล้างแผล (วิทยาศรม) (120 ml.)</t>
        </is>
      </c>
      <c r="I9" t="inlineStr">
        <is>
          <t>เช็ดทำความสะอาด วันละ 2-3 ครั้ง</t>
        </is>
      </c>
      <c r="P9" t="inlineStr">
        <is>
          <t>Normal saline / irrigation</t>
        </is>
      </c>
    </row>
  </sheetData>
  <autoFilter ref="A1:P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637</v>
      </c>
      <c r="B2" t="inlineStr">
        <is>
          <t xml:space="preserve">ยาทาและยาพ่นแก้ปวดเมื่อย </t>
        </is>
      </c>
      <c r="C2" t="n">
        <v>1032</v>
      </c>
      <c r="D2" t="inlineStr">
        <is>
          <t>Ammeltz เล็ก</t>
        </is>
      </c>
      <c r="E2" t="inlineStr">
        <is>
          <t>ขวด 48 ml.</t>
        </is>
      </c>
      <c r="F2" t="inlineStr">
        <is>
          <t>L-Menthol+DL-Campher+Methyl Salicylate+Vanillylamide</t>
        </is>
      </c>
      <c r="G2" t="inlineStr">
        <is>
          <t>BDS001032</t>
        </is>
      </c>
      <c r="H2" t="inlineStr">
        <is>
          <t>Ammeltz เล็ก (48 ml.)</t>
        </is>
      </c>
      <c r="I2" t="inlineStr">
        <is>
          <t>ทาบริเวณที่มีอาการปวด วันละ 2-3 ครั้ง</t>
        </is>
      </c>
      <c r="P2" t="inlineStr">
        <is>
          <t>Topical pain relief / topical NSAIDs</t>
        </is>
      </c>
    </row>
    <row r="3">
      <c r="A3" t="n">
        <v>638</v>
      </c>
      <c r="B3" t="inlineStr">
        <is>
          <t xml:space="preserve">ยาทาและยาพ่นแก้ปวดเมื่อย </t>
        </is>
      </c>
      <c r="C3" t="n">
        <v>1031</v>
      </c>
      <c r="D3" t="inlineStr">
        <is>
          <t>Ammeltz ใหญ่</t>
        </is>
      </c>
      <c r="E3" t="inlineStr">
        <is>
          <t>ขวด 82 ml.</t>
        </is>
      </c>
      <c r="F3" t="inlineStr">
        <is>
          <t>L-Menthol+DL-Campher+Methyl Salicylate+Vanillylamide</t>
        </is>
      </c>
      <c r="G3" t="inlineStr">
        <is>
          <t>BDS001031</t>
        </is>
      </c>
      <c r="H3" t="inlineStr">
        <is>
          <t>Ammeltz ใหญ่ (82 ml.)</t>
        </is>
      </c>
      <c r="I3" t="inlineStr">
        <is>
          <t>ทาบริเวณที่ปวด วันละ 2-3 ครั้ง</t>
        </is>
      </c>
      <c r="P3" t="inlineStr">
        <is>
          <t>Topical pain relief / topical NSAIDs</t>
        </is>
      </c>
    </row>
    <row r="4">
      <c r="A4" t="n">
        <v>639</v>
      </c>
      <c r="B4" t="inlineStr">
        <is>
          <t xml:space="preserve">ยาทาและยาพ่นแก้ปวดเมื่อย </t>
        </is>
      </c>
      <c r="C4" t="n">
        <v>40020</v>
      </c>
      <c r="D4" t="inlineStr">
        <is>
          <t>Arotika Rub</t>
        </is>
      </c>
      <c r="E4" t="inlineStr">
        <is>
          <t>หลอด 35 g.</t>
        </is>
      </c>
      <c r="F4" t="inlineStr">
        <is>
          <t>Capsicum Tincture 0.05% w/v 4.5 g.+Methyl Salicylate 10.2 g.+ Menthol 5.44 g.+Clove Oil 1.36 g./100 g.</t>
        </is>
      </c>
      <c r="G4" t="inlineStr">
        <is>
          <t>BDS040020</t>
        </is>
      </c>
      <c r="H4" t="inlineStr">
        <is>
          <t>Arotika Rub (35 g.)</t>
        </is>
      </c>
      <c r="I4" t="inlineStr">
        <is>
          <t>ทาบริเวณที่ปวดบางๆ  วันละ 2-3 ครั้ง</t>
        </is>
      </c>
      <c r="P4" t="inlineStr">
        <is>
          <t>Topical pain relief / topical NSAIDs</t>
        </is>
      </c>
    </row>
    <row r="5">
      <c r="A5" t="n">
        <v>640</v>
      </c>
      <c r="B5" t="inlineStr">
        <is>
          <t xml:space="preserve">ยาทาและยาพ่นแก้ปวดเมื่อย </t>
        </is>
      </c>
      <c r="C5" t="n">
        <v>7711</v>
      </c>
      <c r="D5" t="inlineStr">
        <is>
          <t>Capsika Gel</t>
        </is>
      </c>
      <c r="E5" t="inlineStr">
        <is>
          <t>หลอด 35 g.</t>
        </is>
      </c>
      <c r="F5" t="inlineStr">
        <is>
          <t>Capsaicin 0.0125%/100 g.</t>
        </is>
      </c>
      <c r="G5" t="inlineStr">
        <is>
          <t>BDS007711</t>
        </is>
      </c>
      <c r="H5" t="inlineStr">
        <is>
          <t>Capsika Gel (35 g.)</t>
        </is>
      </c>
      <c r="I5" t="inlineStr">
        <is>
          <t>ทาเจลบางๆ บริเวณที่มีอาการ วันละ 2-3 ครั้ง</t>
        </is>
      </c>
      <c r="P5" t="inlineStr">
        <is>
          <t>Topical pain relief / topical NSAIDs</t>
        </is>
      </c>
    </row>
    <row r="6">
      <c r="A6" t="n">
        <v>641</v>
      </c>
      <c r="B6" t="inlineStr">
        <is>
          <t xml:space="preserve">ยาทาและยาพ่นแก้ปวดเมื่อย </t>
        </is>
      </c>
      <c r="C6" t="n">
        <v>1541</v>
      </c>
      <c r="D6" t="inlineStr">
        <is>
          <t>Capsika-25 Gel</t>
        </is>
      </c>
      <c r="E6" t="inlineStr">
        <is>
          <t>หลอด 35 g.</t>
        </is>
      </c>
      <c r="F6" t="inlineStr">
        <is>
          <t>Capsaicin 0.025%</t>
        </is>
      </c>
      <c r="G6" t="inlineStr">
        <is>
          <t>BDS001541</t>
        </is>
      </c>
      <c r="H6" t="inlineStr">
        <is>
          <t>Capsika-25 Gel (35 g.)</t>
        </is>
      </c>
      <c r="I6" t="inlineStr">
        <is>
          <t>ทาเจลบางๆ บริเวณที่มีอาการ วันละ 3-4 ครั้ง</t>
        </is>
      </c>
      <c r="P6" t="inlineStr">
        <is>
          <t>Topical pain relief / topical NSAIDs</t>
        </is>
      </c>
    </row>
    <row r="7">
      <c r="A7" t="n">
        <v>642</v>
      </c>
      <c r="B7" t="inlineStr">
        <is>
          <t xml:space="preserve">ยาทาและยาพ่นแก้ปวดเมื่อย </t>
        </is>
      </c>
      <c r="C7" t="n">
        <v>1475</v>
      </c>
      <c r="D7" t="inlineStr">
        <is>
          <t>Counterpain Cool กลาง</t>
        </is>
      </c>
      <c r="E7" t="inlineStr">
        <is>
          <t>หลอด 60 g.</t>
        </is>
      </c>
      <c r="F7" t="inlineStr">
        <is>
          <t>Menthol 4%</t>
        </is>
      </c>
      <c r="G7" t="inlineStr">
        <is>
          <t>BDS001475</t>
        </is>
      </c>
      <c r="H7" t="inlineStr">
        <is>
          <t>Counterpain Cool กลาง (60 g.)</t>
        </is>
      </c>
      <c r="I7" t="inlineStr">
        <is>
          <t>ทาเบาๆ บริเวณที่มีอาการ จนกระทั่งยาซึมเข้าผิวหนัง วันละ 2-3 ครั้ง</t>
        </is>
      </c>
      <c r="P7" t="inlineStr">
        <is>
          <t>Topical pain relief / topical NSAIDs</t>
        </is>
      </c>
    </row>
    <row r="8">
      <c r="A8" t="n">
        <v>643</v>
      </c>
      <c r="B8" t="inlineStr">
        <is>
          <t xml:space="preserve">ยาทาและยาพ่นแก้ปวดเมื่อย </t>
        </is>
      </c>
      <c r="C8" t="n">
        <v>1474</v>
      </c>
      <c r="D8" t="inlineStr">
        <is>
          <t>Counterpain Cool เล็ก</t>
        </is>
      </c>
      <c r="E8" t="inlineStr">
        <is>
          <t>หลอด 30 g.</t>
        </is>
      </c>
      <c r="F8" t="inlineStr">
        <is>
          <t>Menthol 4%</t>
        </is>
      </c>
      <c r="G8" t="inlineStr">
        <is>
          <t>BDS001474</t>
        </is>
      </c>
      <c r="H8" t="inlineStr">
        <is>
          <t>Counterpain Cool เล็ก (30 g.)</t>
        </is>
      </c>
      <c r="I8" t="inlineStr">
        <is>
          <t>ทาเบาๆ บริเวณที่มีอาการ จนกระทั่งยาซึมเข้าผิวหนัง วันละ 2-3 ครั้ง</t>
        </is>
      </c>
      <c r="P8" t="inlineStr">
        <is>
          <t>Topical pain relief / topical NSAIDs</t>
        </is>
      </c>
    </row>
    <row r="9">
      <c r="A9" t="n">
        <v>644</v>
      </c>
      <c r="B9" t="inlineStr">
        <is>
          <t xml:space="preserve">ยาทาและยาพ่นแก้ปวดเมื่อย </t>
        </is>
      </c>
      <c r="C9" t="n">
        <v>1476</v>
      </c>
      <c r="D9" t="inlineStr">
        <is>
          <t>Counterpain Cool ใหญ่</t>
        </is>
      </c>
      <c r="E9" t="inlineStr">
        <is>
          <t>หลอด 120 g.</t>
        </is>
      </c>
      <c r="F9" t="inlineStr">
        <is>
          <t>Menthol 4%</t>
        </is>
      </c>
      <c r="G9" t="inlineStr">
        <is>
          <t>BDS001476</t>
        </is>
      </c>
      <c r="H9" t="inlineStr">
        <is>
          <t>Counterpain Cool ใหญ่ (120 g.)</t>
        </is>
      </c>
      <c r="I9" t="inlineStr">
        <is>
          <t>ทาเบาๆ บริเวณที่มีอาการ จนกระทั่งยาซึมเข้าผิวหนัง วันละ 2-3 ครั้ง</t>
        </is>
      </c>
      <c r="P9" t="inlineStr">
        <is>
          <t>Topical pain relief / topical NSAIDs</t>
        </is>
      </c>
    </row>
    <row r="10">
      <c r="A10" t="n">
        <v>645</v>
      </c>
      <c r="B10" t="inlineStr">
        <is>
          <t xml:space="preserve">ยาทาและยาพ่นแก้ปวดเมื่อย </t>
        </is>
      </c>
      <c r="C10" t="n">
        <v>1472</v>
      </c>
      <c r="D10" t="inlineStr">
        <is>
          <t>Counterpain กลาง</t>
        </is>
      </c>
      <c r="E10" t="inlineStr">
        <is>
          <t>หลอด 60 g.</t>
        </is>
      </c>
      <c r="F10" t="inlineStr">
        <is>
          <t>Methyl Salicylate 10.2%+Eugenol 1.36%+Menthol 5.44%</t>
        </is>
      </c>
      <c r="G10" t="inlineStr">
        <is>
          <t>BDS001472</t>
        </is>
      </c>
      <c r="H10" t="inlineStr">
        <is>
          <t>Counterpain กลาง (60 g.)</t>
        </is>
      </c>
      <c r="I10" t="inlineStr">
        <is>
          <t>ทาครีมบริเวณที่ปวด จนกระทั่งยาซึมเข้าผิวหนัง วันละ 2-3 ครั้ง</t>
        </is>
      </c>
      <c r="P10" t="inlineStr">
        <is>
          <t>Topical pain relief / topical NSAIDs</t>
        </is>
      </c>
    </row>
    <row r="11">
      <c r="A11" t="n">
        <v>646</v>
      </c>
      <c r="B11" t="inlineStr">
        <is>
          <t xml:space="preserve">ยาทาและยาพ่นแก้ปวดเมื่อย </t>
        </is>
      </c>
      <c r="C11" t="n">
        <v>1471</v>
      </c>
      <c r="D11" t="inlineStr">
        <is>
          <t>Counterpain เล็ก</t>
        </is>
      </c>
      <c r="E11" t="inlineStr">
        <is>
          <t>หลอด 30 g.</t>
        </is>
      </c>
      <c r="F11" t="inlineStr">
        <is>
          <t>Menthol 5.44%+Methyl Salicylate 10.2%+Eugenol 1.36%</t>
        </is>
      </c>
      <c r="G11" t="inlineStr">
        <is>
          <t>BDS001471</t>
        </is>
      </c>
      <c r="H11" t="inlineStr">
        <is>
          <t>Counterpain เล็ก (30 g.)</t>
        </is>
      </c>
      <c r="I11" t="inlineStr">
        <is>
          <t>ทาเบาๆ บริเวณที่มีอาการ จนกระทั่งยาซึมเข้าผิวหนัง วันละ 2-3 ครั้ง</t>
        </is>
      </c>
      <c r="P11" t="inlineStr">
        <is>
          <t>Topical pain relief / topical NSAIDs</t>
        </is>
      </c>
    </row>
    <row r="12">
      <c r="A12" t="n">
        <v>647</v>
      </c>
      <c r="B12" t="inlineStr">
        <is>
          <t xml:space="preserve">ยาทาและยาพ่นแก้ปวดเมื่อย </t>
        </is>
      </c>
      <c r="C12" t="n">
        <v>1473</v>
      </c>
      <c r="D12" t="inlineStr">
        <is>
          <t>Counterpain ใหญ่</t>
        </is>
      </c>
      <c r="E12" t="inlineStr">
        <is>
          <t>หลอด 120 g.</t>
        </is>
      </c>
      <c r="F12" t="inlineStr">
        <is>
          <t>Menthol 5.44%+Methyl Salicylate 10.2%+Eugenol 1.36%</t>
        </is>
      </c>
      <c r="G12" t="inlineStr">
        <is>
          <t>BDS001473</t>
        </is>
      </c>
      <c r="H12" t="inlineStr">
        <is>
          <t>Counterpain ใหญ่ (120 g.)</t>
        </is>
      </c>
      <c r="I12" t="inlineStr">
        <is>
          <t>ทาเบาๆ บริเวณที่มีอาการ จนกระทั่งยาซึมเข้าผิวหนัง วันละ 2-3 ครั้ง</t>
        </is>
      </c>
      <c r="K12" t="n">
        <v>300</v>
      </c>
      <c r="L12" t="n">
        <v>2.5</v>
      </c>
      <c r="M12" t="inlineStr">
        <is>
          <t>USER</t>
        </is>
      </c>
      <c r="N12" t="inlineStr">
        <is>
          <t>2026-02-07</t>
        </is>
      </c>
      <c r="O12" t="inlineStr">
        <is>
          <t>User provided price (Counterpain 120 g).</t>
        </is>
      </c>
      <c r="P12" t="inlineStr">
        <is>
          <t>Topical pain relief / topical NSAIDs</t>
        </is>
      </c>
    </row>
    <row r="13">
      <c r="A13" t="n">
        <v>648</v>
      </c>
      <c r="B13" t="inlineStr">
        <is>
          <t xml:space="preserve">ยาทาและยาพ่นแก้ปวดเมื่อย </t>
        </is>
      </c>
      <c r="C13" t="n">
        <v>1924</v>
      </c>
      <c r="D13" t="inlineStr">
        <is>
          <t>Flanil</t>
        </is>
      </c>
      <c r="E13" t="inlineStr">
        <is>
          <t>หลอด 30 g.</t>
        </is>
      </c>
      <c r="F13" t="inlineStr">
        <is>
          <t>Menthol 5.44 g.+Methyl Salicylate 10.20 g.+Eugenol 1.36 g./100 g.</t>
        </is>
      </c>
      <c r="G13" t="inlineStr">
        <is>
          <t>BDS001924</t>
        </is>
      </c>
      <c r="H13" t="inlineStr">
        <is>
          <t>Flanil (30 g.)</t>
        </is>
      </c>
      <c r="I13" t="inlineStr">
        <is>
          <t>ทา (นวด) เบาๆ บริเวณที่มีอาการ จนกระทั่งยาซึมเข้าผิวหนัง วันละ 2-3 ครั้ง</t>
        </is>
      </c>
      <c r="P13" t="inlineStr">
        <is>
          <t>Topical pain relief / topical NSAIDs</t>
        </is>
      </c>
    </row>
    <row r="14">
      <c r="A14" t="n">
        <v>649</v>
      </c>
      <c r="B14" t="inlineStr">
        <is>
          <t xml:space="preserve">ยาทาและยาพ่นแก้ปวดเมื่อย </t>
        </is>
      </c>
      <c r="C14" t="n">
        <v>8608</v>
      </c>
      <c r="D14" t="inlineStr">
        <is>
          <t>Muscort Cream</t>
        </is>
      </c>
      <c r="E14" t="inlineStr">
        <is>
          <t>หลอด 25 g.</t>
        </is>
      </c>
      <c r="F14" t="inlineStr">
        <is>
          <t>Menthol 5.44%+Methyl Salicylate 10.12%+Eugenol 1.36%</t>
        </is>
      </c>
      <c r="G14" t="inlineStr">
        <is>
          <t>BDS008608</t>
        </is>
      </c>
      <c r="H14" t="inlineStr">
        <is>
          <t>Muscort Cream (25 g.)</t>
        </is>
      </c>
      <c r="I14" t="inlineStr">
        <is>
          <t>ทาเบาๆ บริเวณที่มีอาการ จนกระทั่งยาซึมเข้าผิวหนัง วันละ 2-3 ครั้ง</t>
        </is>
      </c>
      <c r="P14" t="inlineStr">
        <is>
          <t>Topical pain relief / topical NSAIDs</t>
        </is>
      </c>
    </row>
    <row r="15">
      <c r="A15" t="n">
        <v>650</v>
      </c>
      <c r="B15" t="inlineStr">
        <is>
          <t xml:space="preserve">ยาทาและยาพ่นแก้ปวดเมื่อย </t>
        </is>
      </c>
      <c r="C15" t="n">
        <v>2817</v>
      </c>
      <c r="D15" t="inlineStr">
        <is>
          <t>Neotica Balm เล็ก</t>
        </is>
      </c>
      <c r="E15" t="inlineStr">
        <is>
          <t>หลอด 30 g.</t>
        </is>
      </c>
      <c r="F15" t="inlineStr">
        <is>
          <t>Menthol 5.64 g.+Camphor 1.8 g.+Methyl Salicylate 12.5 g.+Eucalyptus oil 1.8 g.+Eugenol 1.36 g./100 g</t>
        </is>
      </c>
      <c r="G15" t="inlineStr">
        <is>
          <t>BDS002817</t>
        </is>
      </c>
      <c r="H15" t="inlineStr">
        <is>
          <t>Neotica Balm เล็ก (30 g.)</t>
        </is>
      </c>
      <c r="I15" t="inlineStr">
        <is>
          <t>ทา (นวด) เบาๆ บริเวณที่มีอาการ จนกระทั่งยาซึมเข้าผิวหนัง วันละ 2-3 ครั้ง</t>
        </is>
      </c>
      <c r="P15" t="inlineStr">
        <is>
          <t>Topical pain relief / topical NSAIDs</t>
        </is>
      </c>
    </row>
    <row r="16">
      <c r="A16" t="n">
        <v>651</v>
      </c>
      <c r="B16" t="inlineStr">
        <is>
          <t xml:space="preserve">ยาทาและยาพ่นแก้ปวดเมื่อย </t>
        </is>
      </c>
      <c r="C16" t="n">
        <v>2819</v>
      </c>
      <c r="D16" t="inlineStr">
        <is>
          <t>Neotica Balm ใหญ่</t>
        </is>
      </c>
      <c r="E16" t="inlineStr">
        <is>
          <t>หลอด 100 g.</t>
        </is>
      </c>
      <c r="F16" t="inlineStr">
        <is>
          <t>Menthol 5.64 g.+Camphor 1.8 g.+Methyl Salicylate 12.5 g.+Eucalyptus oil 1.8 g.+Eugenol 1.36 g./100 g</t>
        </is>
      </c>
      <c r="G16" t="inlineStr">
        <is>
          <t>BDS002819</t>
        </is>
      </c>
      <c r="H16" t="inlineStr">
        <is>
          <t>Neotica Balm ใหญ่ (100 g.)</t>
        </is>
      </c>
      <c r="I16" t="inlineStr">
        <is>
          <t>ทา (นวด) เบาๆ บริเวณที่มีอาการ จนกระทั่งยาซึมเข้าผิวหนัง วันละ 2-3 ครั้ง</t>
        </is>
      </c>
      <c r="P16" t="inlineStr">
        <is>
          <t>Topical pain relief / topical NSAIDs</t>
        </is>
      </c>
    </row>
    <row r="17">
      <c r="A17" t="n">
        <v>652</v>
      </c>
      <c r="B17" t="inlineStr">
        <is>
          <t xml:space="preserve">ยาทาและยาพ่นแก้ปวดเมื่อย </t>
        </is>
      </c>
      <c r="C17" t="n">
        <v>3118</v>
      </c>
      <c r="D17" t="inlineStr">
        <is>
          <t>Perskindol Classic Gel</t>
        </is>
      </c>
      <c r="E17" t="inlineStr">
        <is>
          <t>กล่อง 100 ml.</t>
        </is>
      </c>
      <c r="F17" t="inlineStr">
        <is>
          <t>Menthol 1.5%+Pine Needle Oil 1.35%+Wintergreen Oil 0.35%+Orange Oil 0.4%</t>
        </is>
      </c>
      <c r="G17" t="inlineStr">
        <is>
          <t>BDS003118</t>
        </is>
      </c>
      <c r="H17" t="inlineStr">
        <is>
          <t>Perskindol Classic Gel (100 ml.)</t>
        </is>
      </c>
      <c r="I17" t="inlineStr">
        <is>
          <t>ทาบริเวณที่มีอาการ วันละ 3-4 ครั้ง นวดเบาๆ จนเนื้อเจลซึมเข้าสู่ผิวหนัง</t>
        </is>
      </c>
      <c r="P17" t="inlineStr">
        <is>
          <t>Topical pain relief / topical NSAIDs</t>
        </is>
      </c>
    </row>
    <row r="18">
      <c r="A18" t="n">
        <v>653</v>
      </c>
      <c r="B18" t="inlineStr">
        <is>
          <t xml:space="preserve">ยาทาและยาพ่นแก้ปวดเมื่อย </t>
        </is>
      </c>
      <c r="C18" t="n">
        <v>3119</v>
      </c>
      <c r="D18" t="inlineStr">
        <is>
          <t>Perskindol Classic Spray</t>
        </is>
      </c>
      <c r="E18" t="inlineStr">
        <is>
          <t>กระป๋อง 150 ml.</t>
        </is>
      </c>
      <c r="F18" t="inlineStr">
        <is>
          <t>Menthol 1.5%+Pine Needle Oil 1.35%+Wintergreen Oil 0.35%+Orange Oil 0.4%+Lemon Oil 0.1%</t>
        </is>
      </c>
      <c r="G18" t="inlineStr">
        <is>
          <t>BDS003119</t>
        </is>
      </c>
      <c r="H18" t="inlineStr">
        <is>
          <t>Perskindol Classic Spray (150 ml.)</t>
        </is>
      </c>
      <c r="I18" t="inlineStr">
        <is>
          <t>ฉีดพ่นบริเวณที่มีอาการ วันละ 3-4 ครั้ง นวดเบาๆ</t>
        </is>
      </c>
      <c r="P18" t="inlineStr">
        <is>
          <t>Topical pain relief / topical NSAIDs</t>
        </is>
      </c>
    </row>
    <row r="19">
      <c r="A19" t="n">
        <v>654</v>
      </c>
      <c r="B19" t="inlineStr">
        <is>
          <t xml:space="preserve">ยาทาและยาพ่นแก้ปวดเมื่อย </t>
        </is>
      </c>
      <c r="C19" t="n">
        <v>3117</v>
      </c>
      <c r="D19" t="inlineStr">
        <is>
          <t>Perskindol Cool Spray</t>
        </is>
      </c>
      <c r="E19" t="inlineStr">
        <is>
          <t>กระป๋อง 250 ml.</t>
        </is>
      </c>
      <c r="F19" t="inlineStr">
        <is>
          <t>I-Menthol 5 mg./1 g.</t>
        </is>
      </c>
      <c r="G19" t="inlineStr">
        <is>
          <t>BDS003117</t>
        </is>
      </c>
      <c r="H19" t="inlineStr">
        <is>
          <t>Perskindol Cool Spray (250 ml.)</t>
        </is>
      </c>
      <c r="I19" t="inlineStr">
        <is>
          <t>ฉีดพ่นบริเวณที่มีอาการ ได้บ่อยครั้งตามต้องการ</t>
        </is>
      </c>
      <c r="P19" t="inlineStr">
        <is>
          <t>Topical pain relief / topical NSAIDs</t>
        </is>
      </c>
    </row>
    <row r="20">
      <c r="A20" t="n">
        <v>655</v>
      </c>
      <c r="B20" t="inlineStr">
        <is>
          <t xml:space="preserve">ยาทาและยาพ่นแก้ปวดเมื่อย </t>
        </is>
      </c>
      <c r="C20" t="n">
        <v>46527</v>
      </c>
      <c r="D20" t="inlineStr">
        <is>
          <t>Plaivana Cream</t>
        </is>
      </c>
      <c r="E20" t="inlineStr">
        <is>
          <t>หลอด 35 g.</t>
        </is>
      </c>
      <c r="F20" t="inlineStr">
        <is>
          <t>น้ำมันไพล 14 g./100 g.</t>
        </is>
      </c>
      <c r="G20" t="inlineStr">
        <is>
          <t>BDS046527</t>
        </is>
      </c>
      <c r="H20" t="inlineStr">
        <is>
          <t>Plaivana Cream (35 g.)</t>
        </is>
      </c>
      <c r="I20" t="inlineStr">
        <is>
          <t>นวดหรือทาบริเวณที่มีอาการ วันละ 2-3 ครั้ง</t>
        </is>
      </c>
      <c r="P20" t="inlineStr">
        <is>
          <t>Topical pain relief / topical NSAIDs</t>
        </is>
      </c>
    </row>
    <row r="21">
      <c r="A21" t="n">
        <v>656</v>
      </c>
      <c r="B21" t="inlineStr">
        <is>
          <t xml:space="preserve">ยาทาและยาพ่นแก้ปวดเมื่อย </t>
        </is>
      </c>
      <c r="C21" t="n">
        <v>2875</v>
      </c>
      <c r="D21" t="inlineStr">
        <is>
          <t>Reparil Ice Spray</t>
        </is>
      </c>
      <c r="E21" t="inlineStr">
        <is>
          <t>กระป๋อง 200 ml.</t>
        </is>
      </c>
      <c r="F21" t="inlineStr">
        <is>
          <t>Butane+Pentane+Isobutane+Propane+Isopropyl alcohol+Menthol+Camphor</t>
        </is>
      </c>
      <c r="G21" t="inlineStr">
        <is>
          <t>BDS002875</t>
        </is>
      </c>
      <c r="H21" t="inlineStr">
        <is>
          <t>Reparil Ice Spray (200 ml.)</t>
        </is>
      </c>
      <c r="I21" t="inlineStr">
        <is>
          <t>สเปรย์ห่างจากบริเวณที่ต้องการอย่างน้อย 15 เซนติเมตร ฉีดค้างไว้ไม่เกิน 5 วินาทีใช้ได้บ่อยตามต้องการ</t>
        </is>
      </c>
      <c r="P21" t="inlineStr">
        <is>
          <t>Topical pain relief / topical NSAIDs</t>
        </is>
      </c>
    </row>
    <row r="22">
      <c r="A22" t="n">
        <v>657</v>
      </c>
      <c r="B22" t="inlineStr">
        <is>
          <t xml:space="preserve">ยาทาและยาพ่นแก้ปวดเมื่อย </t>
        </is>
      </c>
      <c r="C22" t="n">
        <v>3602</v>
      </c>
      <c r="D22" t="inlineStr">
        <is>
          <t>Salonpas Cream</t>
        </is>
      </c>
      <c r="E22" t="inlineStr">
        <is>
          <t>หลอด 30 g.</t>
        </is>
      </c>
      <c r="F22" t="inlineStr">
        <is>
          <t xml:space="preserve">Methyl salicylate 15 g.+Menthol 7 g./100 g. </t>
        </is>
      </c>
      <c r="G22" t="inlineStr">
        <is>
          <t>BDS003602</t>
        </is>
      </c>
      <c r="H22" t="inlineStr">
        <is>
          <t>Salonpas Cream (30 g.)</t>
        </is>
      </c>
      <c r="I22" t="inlineStr">
        <is>
          <t xml:space="preserve">ทาบริเวณที่มีอาการ ไม่เกินวันละ 3-4 ครั้ง </t>
        </is>
      </c>
      <c r="P22" t="inlineStr">
        <is>
          <t>Topical pain relief / topical NSAIDs</t>
        </is>
      </c>
    </row>
    <row r="23">
      <c r="A23" t="n">
        <v>798</v>
      </c>
      <c r="B23" t="inlineStr">
        <is>
          <t>ยาทาและยาพ่นแก้ปวดอักเสบ NSAIDs</t>
        </is>
      </c>
      <c r="C23" t="n">
        <v>1470</v>
      </c>
      <c r="D23" t="inlineStr">
        <is>
          <t>Counterpain Plus</t>
        </is>
      </c>
      <c r="E23" t="inlineStr">
        <is>
          <t>หลอด 25 g.</t>
        </is>
      </c>
      <c r="F23" t="inlineStr">
        <is>
          <t>Piroxicam 0.5%+Methyl salicylate 10.2%+Menthol 5.43%+Eugenol 1.37%</t>
        </is>
      </c>
      <c r="G23" t="inlineStr">
        <is>
          <t>BDS001470</t>
        </is>
      </c>
      <c r="H23" t="inlineStr">
        <is>
          <t>Counterpain Plus (25 g.)</t>
        </is>
      </c>
      <c r="I23" t="inlineStr">
        <is>
          <t>ทา (นวด) เบาๆ บริเวณที่มีอาการ จนกระทั่งยาซึมเข้าผิวหนัง วันละ 2-3 ครั้ง</t>
        </is>
      </c>
      <c r="P23" t="inlineStr">
        <is>
          <t>Topical pain relief / topical NSAIDs</t>
        </is>
      </c>
    </row>
    <row r="24">
      <c r="A24" t="n">
        <v>799</v>
      </c>
      <c r="B24" t="inlineStr">
        <is>
          <t>ยาทาและยาพ่นแก้ปวดอักเสบ NSAIDs</t>
        </is>
      </c>
      <c r="C24" t="n">
        <v>1656</v>
      </c>
      <c r="D24" t="inlineStr">
        <is>
          <t>Difelene Gel เล็ก</t>
        </is>
      </c>
      <c r="E24" t="inlineStr">
        <is>
          <t>หลอด 30 g.</t>
        </is>
      </c>
      <c r="F24" t="inlineStr">
        <is>
          <t>Diclofenac diethylammonium 1.16 g./100 g (eq. to Diclofenac Sodium 1.0 g)</t>
        </is>
      </c>
      <c r="G24" t="inlineStr">
        <is>
          <t>BDS001656</t>
        </is>
      </c>
      <c r="H24" t="inlineStr">
        <is>
          <t>Difelene Gel เล็ก (30 g.)</t>
        </is>
      </c>
      <c r="I24" t="inlineStr">
        <is>
          <t>ทา (นวด) เบาๆ บริเวณที่มีอาการ จนกระทั่งยาซึมเข้าผิวหนัง วันละ 2-3 ครั้ง</t>
        </is>
      </c>
      <c r="P24" t="inlineStr">
        <is>
          <t>Topical pain relief / topical NSAIDs</t>
        </is>
      </c>
    </row>
    <row r="25">
      <c r="A25" t="n">
        <v>800</v>
      </c>
      <c r="B25" t="inlineStr">
        <is>
          <t>ยาทาและยาพ่นแก้ปวดอักเสบ NSAIDs</t>
        </is>
      </c>
      <c r="C25" t="n">
        <v>1654</v>
      </c>
      <c r="D25" t="inlineStr">
        <is>
          <t>Difelene Gel ใหญ่</t>
        </is>
      </c>
      <c r="E25" t="inlineStr">
        <is>
          <t>หลอด 60 g.</t>
        </is>
      </c>
      <c r="F25" t="inlineStr">
        <is>
          <t>Diclofenac diethylammonium 1.16 g./100 g (eq. to Diclofenac Sodium 1.0 g).</t>
        </is>
      </c>
      <c r="G25" t="inlineStr">
        <is>
          <t>BDS001654</t>
        </is>
      </c>
      <c r="H25" t="inlineStr">
        <is>
          <t>Difelene Gel ใหญ่ (60 g.)</t>
        </is>
      </c>
      <c r="I25" t="inlineStr">
        <is>
          <t>ทา (นวด) เบาๆ บริเวณที่มีอาการ จนกระทั่งยาซึมเข้าผิวหนัง วันละ 2-3 ครั้ง</t>
        </is>
      </c>
      <c r="P25" t="inlineStr">
        <is>
          <t>Topical pain relief / topical NSAIDs</t>
        </is>
      </c>
    </row>
    <row r="26">
      <c r="A26" t="n">
        <v>801</v>
      </c>
      <c r="B26" t="inlineStr">
        <is>
          <t>ยาทาและยาพ่นแก้ปวดอักเสบ NSAIDs</t>
        </is>
      </c>
      <c r="C26" t="n">
        <v>1806</v>
      </c>
      <c r="D26" t="inlineStr">
        <is>
          <t>Elmetacin พ่นแก้ปวด</t>
        </is>
      </c>
      <c r="E26" t="inlineStr">
        <is>
          <t>ขวด 50 ml.</t>
        </is>
      </c>
      <c r="F26" t="inlineStr">
        <is>
          <t>Indomethacin 8 mg./0.8 g.</t>
        </is>
      </c>
      <c r="G26" t="inlineStr">
        <is>
          <t>BDS001806</t>
        </is>
      </c>
      <c r="H26" t="inlineStr">
        <is>
          <t>Elmetacin พ่นแก้ปวด (50 ml.)</t>
        </is>
      </c>
      <c r="I26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  <c r="P26" t="inlineStr">
        <is>
          <t>Topical pain relief / topical NSAIDs</t>
        </is>
      </c>
    </row>
    <row r="27">
      <c r="A27" t="n">
        <v>802</v>
      </c>
      <c r="B27" t="inlineStr">
        <is>
          <t>ยาทาและยาพ่นแก้ปวดอักเสบ NSAIDs</t>
        </is>
      </c>
      <c r="C27" t="n">
        <v>6242</v>
      </c>
      <c r="D27" t="inlineStr">
        <is>
          <t>Fastum Gel</t>
        </is>
      </c>
      <c r="E27" t="inlineStr">
        <is>
          <t>หลอด 30 g.</t>
        </is>
      </c>
      <c r="F27" t="inlineStr">
        <is>
          <t>Ketoprofen 2.5%</t>
        </is>
      </c>
      <c r="G27" t="inlineStr">
        <is>
          <t>BDS006242</t>
        </is>
      </c>
      <c r="H27" t="inlineStr">
        <is>
          <t>Fastum Gel (30 g.)</t>
        </is>
      </c>
      <c r="I27" t="inlineStr">
        <is>
          <t>ทาเจลบางๆ บริเวณที่มีอาการ วันละ 1-2 ครั้ง</t>
        </is>
      </c>
      <c r="P27" t="inlineStr">
        <is>
          <t>Topical pain relief / topical NSAIDs</t>
        </is>
      </c>
    </row>
    <row r="28">
      <c r="A28" t="n">
        <v>803</v>
      </c>
      <c r="B28" t="inlineStr">
        <is>
          <t>ยาทาและยาพ่นแก้ปวดอักเสบ NSAIDs</t>
        </is>
      </c>
      <c r="C28" t="n">
        <v>7952</v>
      </c>
      <c r="D28" t="inlineStr">
        <is>
          <t>Felgesic Gel</t>
        </is>
      </c>
      <c r="E28" t="inlineStr">
        <is>
          <t>หลอด 30 g.</t>
        </is>
      </c>
      <c r="F28" t="inlineStr">
        <is>
          <t>Piroxicam 0.5 g/100 ml.</t>
        </is>
      </c>
      <c r="G28" t="inlineStr">
        <is>
          <t>BDS007952</t>
        </is>
      </c>
      <c r="H28" t="inlineStr">
        <is>
          <t>Felgesic Gel (30 g.)</t>
        </is>
      </c>
      <c r="I28" t="inlineStr">
        <is>
          <t>ทาบริเวณที่มีอาการปวด วันละ 2-3 ครั้ง</t>
        </is>
      </c>
      <c r="P28" t="inlineStr">
        <is>
          <t>Topical pain relief / topical NSAIDs</t>
        </is>
      </c>
    </row>
    <row r="29">
      <c r="A29" t="n">
        <v>804</v>
      </c>
      <c r="B29" t="inlineStr">
        <is>
          <t>ยาทาและยาพ่นแก้ปวดอักเสบ NSAIDs</t>
        </is>
      </c>
      <c r="C29" t="n">
        <v>1917</v>
      </c>
      <c r="D29" t="inlineStr">
        <is>
          <t>Flamic Gel</t>
        </is>
      </c>
      <c r="E29" t="inlineStr">
        <is>
          <t>หลอด 25 g.</t>
        </is>
      </c>
      <c r="F29" t="inlineStr">
        <is>
          <t>Piroxicam 5 mg./1 g.</t>
        </is>
      </c>
      <c r="G29" t="inlineStr">
        <is>
          <t>BDS001917</t>
        </is>
      </c>
      <c r="H29" t="inlineStr">
        <is>
          <t>Flamic Gel (25 g.)</t>
        </is>
      </c>
      <c r="I29" t="inlineStr">
        <is>
          <t>ทา (นวด) เบาๆ บริเวณที่มีอาการ จนกระทั่งยาซึมเข้าผิวหนัง วันละ 2-3 ครั้ง</t>
        </is>
      </c>
      <c r="P29" t="inlineStr">
        <is>
          <t>Topical pain relief / topical NSAIDs</t>
        </is>
      </c>
    </row>
    <row r="30">
      <c r="A30" t="n">
        <v>805</v>
      </c>
      <c r="B30" t="inlineStr">
        <is>
          <t>ยาทาและยาพ่นแก้ปวดอักเสบ NSAIDs</t>
        </is>
      </c>
      <c r="C30" t="n">
        <v>2684</v>
      </c>
      <c r="D30" t="inlineStr">
        <is>
          <t>M-Cin</t>
        </is>
      </c>
      <c r="E30" t="inlineStr">
        <is>
          <t>ขวด 50 ml.</t>
        </is>
      </c>
      <c r="F30" t="inlineStr">
        <is>
          <t>Indomethacin 8 mg./1 ml.</t>
        </is>
      </c>
      <c r="G30" t="inlineStr">
        <is>
          <t>BDS002684</t>
        </is>
      </c>
      <c r="H30" t="inlineStr">
        <is>
          <t>M-Cin (50 ml.)</t>
        </is>
      </c>
      <c r="I30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  <c r="P30" t="inlineStr">
        <is>
          <t>Topical pain relief / topical NSAIDs</t>
        </is>
      </c>
    </row>
    <row r="31">
      <c r="A31" t="n">
        <v>806</v>
      </c>
      <c r="B31" t="inlineStr">
        <is>
          <t>ยาทาและยาพ่นแก้ปวดอักเสบ NSAIDs</t>
        </is>
      </c>
      <c r="C31" t="n">
        <v>7574</v>
      </c>
      <c r="D31" t="inlineStr">
        <is>
          <t>Neofenac Gel เล็ก</t>
        </is>
      </c>
      <c r="E31" t="inlineStr">
        <is>
          <t>หลอด 20 g.</t>
        </is>
      </c>
      <c r="F31" t="inlineStr">
        <is>
          <t>Diclofenac Sodium 1 g./100 g.</t>
        </is>
      </c>
      <c r="G31" t="inlineStr">
        <is>
          <t>BDS007574</t>
        </is>
      </c>
      <c r="H31" t="inlineStr">
        <is>
          <t>Neofenac Gel เล็ก (20 g.)</t>
        </is>
      </c>
      <c r="I31" t="inlineStr">
        <is>
          <t>ทาเจลบางๆ บริเวณที่มีอาการ วันละ 2-4 ครั้ง</t>
        </is>
      </c>
      <c r="P31" t="inlineStr">
        <is>
          <t>Topical pain relief / topical NSAIDs</t>
        </is>
      </c>
    </row>
    <row r="32">
      <c r="A32" t="n">
        <v>807</v>
      </c>
      <c r="B32" t="inlineStr">
        <is>
          <t>ยาทาและยาพ่นแก้ปวดอักเสบ NSAIDs</t>
        </is>
      </c>
      <c r="C32" t="n">
        <v>7575</v>
      </c>
      <c r="D32" t="inlineStr">
        <is>
          <t>Neofenac Gel ใหญ่</t>
        </is>
      </c>
      <c r="E32" t="inlineStr">
        <is>
          <t>หลอด 50 g.</t>
        </is>
      </c>
      <c r="F32" t="inlineStr">
        <is>
          <t>Diclofenac Sodium 1 g./100 g.</t>
        </is>
      </c>
      <c r="G32" t="inlineStr">
        <is>
          <t>BDS007575</t>
        </is>
      </c>
      <c r="H32" t="inlineStr">
        <is>
          <t>Neofenac Gel ใหญ่ (50 g.)</t>
        </is>
      </c>
      <c r="I32" t="inlineStr">
        <is>
          <t>ทาเจลบางๆ บริเวณที่มีอาการ วันละ 2-4 ครั้ง</t>
        </is>
      </c>
      <c r="P32" t="inlineStr">
        <is>
          <t>Topical pain relief / topical NSAIDs</t>
        </is>
      </c>
    </row>
    <row r="33">
      <c r="A33" t="n">
        <v>808</v>
      </c>
      <c r="B33" t="inlineStr">
        <is>
          <t>ยาทาและยาพ่นแก้ปวดอักเสบ NSAIDs</t>
        </is>
      </c>
      <c r="C33" t="n">
        <v>45623</v>
      </c>
      <c r="D33" t="inlineStr">
        <is>
          <t>Neotica Cool</t>
        </is>
      </c>
      <c r="E33" t="inlineStr">
        <is>
          <t>หลอด 30 g.</t>
        </is>
      </c>
      <c r="F33" t="inlineStr">
        <is>
          <t>Piroxicam 5 mg./1 g.</t>
        </is>
      </c>
      <c r="G33" t="inlineStr">
        <is>
          <t>BDS045623</t>
        </is>
      </c>
      <c r="H33" t="inlineStr">
        <is>
          <t>Neotica Cool (30 g.)</t>
        </is>
      </c>
      <c r="I33" t="inlineStr">
        <is>
          <t>ทา (นวด) เบาๆ บริเวณที่มีอาการ จนกระทั่งยาซึมเข้าผิวหนัง วันละ 2-4 ครั้ง</t>
        </is>
      </c>
      <c r="P33" t="inlineStr">
        <is>
          <t>Topical pain relief / topical NSAIDs</t>
        </is>
      </c>
    </row>
    <row r="34">
      <c r="A34" t="n">
        <v>809</v>
      </c>
      <c r="B34" t="inlineStr">
        <is>
          <t>ยาทาและยาพ่นแก้ปวดอักเสบ NSAIDs</t>
        </is>
      </c>
      <c r="C34" t="n">
        <v>6730</v>
      </c>
      <c r="D34" t="inlineStr">
        <is>
          <t>N-Zen Gel ใหญ่</t>
        </is>
      </c>
      <c r="E34" t="inlineStr">
        <is>
          <t>หลอด 60 g.</t>
        </is>
      </c>
      <c r="F34" t="inlineStr">
        <is>
          <t>Diclofenac Sodium 1 g./100 g.</t>
        </is>
      </c>
      <c r="G34" t="inlineStr">
        <is>
          <t>BDS006730</t>
        </is>
      </c>
      <c r="H34" t="inlineStr">
        <is>
          <t>N-Zen Gel ใหญ่ (60 g.)</t>
        </is>
      </c>
      <c r="I34" t="inlineStr">
        <is>
          <t>ทาบริเวณที่เป็น แล้วนวดเบาๆ   วันละ 3-4 ครั้ง</t>
        </is>
      </c>
      <c r="P34" t="inlineStr">
        <is>
          <t>Topical pain relief / topical NSAIDs</t>
        </is>
      </c>
    </row>
    <row r="35">
      <c r="A35" t="n">
        <v>810</v>
      </c>
      <c r="B35" t="inlineStr">
        <is>
          <t>ยาทาและยาพ่นแก้ปวดอักเสบ NSAIDs</t>
        </is>
      </c>
      <c r="C35" t="n">
        <v>6814</v>
      </c>
      <c r="D35" t="inlineStr">
        <is>
          <t>Painelief Cool Gel</t>
        </is>
      </c>
      <c r="E35" t="inlineStr">
        <is>
          <t>หลอด 30 g.</t>
        </is>
      </c>
      <c r="F35" t="inlineStr">
        <is>
          <t>Diclofenac Sodium (as diethylammonium) 10 mg.</t>
        </is>
      </c>
      <c r="G35" t="inlineStr">
        <is>
          <t>BDS006814</t>
        </is>
      </c>
      <c r="H35" t="inlineStr">
        <is>
          <t>Painelief Cool Gel (30 g.)</t>
        </is>
      </c>
      <c r="I35" t="inlineStr">
        <is>
          <t>ทาบริเวณที่มีอาการ วันละ 3-4 ครั้ง</t>
        </is>
      </c>
      <c r="P35" t="inlineStr">
        <is>
          <t>Topical pain relief / topical NSAIDs</t>
        </is>
      </c>
    </row>
    <row r="36">
      <c r="A36" t="n">
        <v>811</v>
      </c>
      <c r="B36" t="inlineStr">
        <is>
          <t>ยาทาและยาพ่นแก้ปวดอักเสบ NSAIDs</t>
        </is>
      </c>
      <c r="C36" t="n">
        <v>46515</v>
      </c>
      <c r="D36" t="inlineStr">
        <is>
          <t>Painelief Cool Gel ใหญ่</t>
        </is>
      </c>
      <c r="E36" t="inlineStr">
        <is>
          <t>หลอด 60 g.</t>
        </is>
      </c>
      <c r="F36" t="inlineStr">
        <is>
          <t>Diclofenac Sodium (as diethylammonium) 10 mg.</t>
        </is>
      </c>
      <c r="G36" t="inlineStr">
        <is>
          <t>BDS046515</t>
        </is>
      </c>
      <c r="H36" t="inlineStr">
        <is>
          <t>Painelief Cool Gel ใหญ่ (60 g.)</t>
        </is>
      </c>
      <c r="I36" t="inlineStr">
        <is>
          <t>ทาบริเวณที่มีอาการ วันละ 3-4 ครั้ง</t>
        </is>
      </c>
      <c r="P36" t="inlineStr">
        <is>
          <t>Topical pain relief / topical NSAIDs</t>
        </is>
      </c>
    </row>
    <row r="37">
      <c r="A37" t="n">
        <v>812</v>
      </c>
      <c r="B37" t="inlineStr">
        <is>
          <t>ยาทาและยาพ่นแก้ปวดอักเสบ NSAIDs</t>
        </is>
      </c>
      <c r="C37" t="n">
        <v>7224</v>
      </c>
      <c r="D37" t="inlineStr">
        <is>
          <t>Piridene Gel</t>
        </is>
      </c>
      <c r="E37" t="inlineStr">
        <is>
          <t>หลอด 25 g.</t>
        </is>
      </c>
      <c r="F37" t="inlineStr">
        <is>
          <t>Piroxicam 0.5 g./100 g.</t>
        </is>
      </c>
      <c r="G37" t="inlineStr">
        <is>
          <t>BDS007224</t>
        </is>
      </c>
      <c r="H37" t="inlineStr">
        <is>
          <t>Piridene Gel (25 g.)</t>
        </is>
      </c>
      <c r="I37" t="inlineStr">
        <is>
          <t>ทาเจลบางๆ บริเวณที่มีอาการ วันละ 2-4 ครั้ง</t>
        </is>
      </c>
      <c r="P37" t="inlineStr">
        <is>
          <t>Topical pain relief / topical NSAIDs</t>
        </is>
      </c>
    </row>
    <row r="38">
      <c r="A38" t="n">
        <v>813</v>
      </c>
      <c r="B38" t="inlineStr">
        <is>
          <t>ยาทาและยาพ่นแก้ปวดอักเสบ NSAIDs</t>
        </is>
      </c>
      <c r="C38" t="n">
        <v>47729</v>
      </c>
      <c r="D38" t="inlineStr">
        <is>
          <t>Satogesic Gel</t>
        </is>
      </c>
      <c r="E38" t="inlineStr">
        <is>
          <t>หลอด 35 g.</t>
        </is>
      </c>
      <c r="F38" t="inlineStr">
        <is>
          <t>Indomethacin 0.75 g + L-menthol  0.3 g.</t>
        </is>
      </c>
      <c r="G38" t="inlineStr">
        <is>
          <t>BDS047729</t>
        </is>
      </c>
      <c r="H38" t="inlineStr">
        <is>
          <t>Satogesic Gel (35 g.)</t>
        </is>
      </c>
      <c r="I38" t="inlineStr">
        <is>
          <t xml:space="preserve">ทายาในปริมาณที่เหมาะสมบริเวณที่มีอาการ </t>
        </is>
      </c>
      <c r="P38" t="inlineStr">
        <is>
          <t>Topical pain relief / topical NSAIDs</t>
        </is>
      </c>
    </row>
    <row r="39">
      <c r="A39" t="n">
        <v>814</v>
      </c>
      <c r="B39" t="inlineStr">
        <is>
          <t>ยาทาและยาพ่นแก้ปวดอักเสบ NSAIDs</t>
        </is>
      </c>
      <c r="C39" t="n">
        <v>3914</v>
      </c>
      <c r="D39" t="inlineStr">
        <is>
          <t>Uniren Spray</t>
        </is>
      </c>
      <c r="E39" t="inlineStr">
        <is>
          <t>ขวด 60 ml.</t>
        </is>
      </c>
      <c r="F39" t="inlineStr">
        <is>
          <t>Diclofenac Sodium 1 % w/w</t>
        </is>
      </c>
      <c r="G39" t="inlineStr">
        <is>
          <t>BDS003914</t>
        </is>
      </c>
      <c r="H39" t="inlineStr">
        <is>
          <t>Uniren Spray (60 ml.)</t>
        </is>
      </c>
      <c r="I39" t="inlineStr">
        <is>
          <t>พ่นน้ำยาตรงบริเวณที่มีอาการในจำนวนที่เพียงพอ ไม่ต้องถูนวด วันละ 3-5 ครั้ง</t>
        </is>
      </c>
      <c r="K39" t="n">
        <v>346</v>
      </c>
      <c r="L39" t="n">
        <v>5.77</v>
      </c>
      <c r="M39" t="inlineStr">
        <is>
          <t>USER</t>
        </is>
      </c>
      <c r="N39" t="inlineStr">
        <is>
          <t>2026-02-07</t>
        </is>
      </c>
      <c r="O39" t="inlineStr">
        <is>
          <t>User provided price (Uniren Spray 60 ml).</t>
        </is>
      </c>
      <c r="P39" t="inlineStr">
        <is>
          <t>Topical pain relief / topical NSAIDs</t>
        </is>
      </c>
    </row>
    <row r="40">
      <c r="A40" t="n">
        <v>815</v>
      </c>
      <c r="B40" t="inlineStr">
        <is>
          <t>ยาทาและยาพ่นแก้ปวดอักเสบ NSAIDs</t>
        </is>
      </c>
      <c r="C40" t="n">
        <v>4043</v>
      </c>
      <c r="D40" t="inlineStr">
        <is>
          <t>Voltaren Emulgel กลาง</t>
        </is>
      </c>
      <c r="E40" t="inlineStr">
        <is>
          <t>หลอด 25 g.</t>
        </is>
      </c>
      <c r="F40" t="inlineStr">
        <is>
          <t>Diclofenac Sodium 1 g./100 g.</t>
        </is>
      </c>
      <c r="G40" t="inlineStr">
        <is>
          <t>BDS004043</t>
        </is>
      </c>
      <c r="H40" t="inlineStr">
        <is>
          <t>Voltaren Emulgel กลาง (25 g.)</t>
        </is>
      </c>
      <c r="I40" t="inlineStr">
        <is>
          <t>ทา (นวด) เบาๆ บริเวณที่มีอาการ จนกระทั่งยาซึมเข้าผิวหนัง วันละ 2-3 ครั้ง</t>
        </is>
      </c>
      <c r="K40" t="n">
        <v>235</v>
      </c>
      <c r="L40" t="n">
        <v>235</v>
      </c>
      <c r="M40" t="inlineStr">
        <is>
          <t>https://www.yaadeedee.com/product/27758-32070/%E0%B9%82%E0%B8%A7%E0%B8%A5%E0%B8%97%E0%B8%B2%E0%B9%80%E0%B8%A3%E0%B8%99-%E0%B8%AD%E0%B8%B5%E0%B8%A1%E0%B8%B1%E0%B8%A5%E0%B9%80%E0%B8%88%E0%B8%A5-%E0%B9%80%E0%B8%88%E0%B8%A5%E0%B8%97%E0%B8%B2%E0%B8%9A%E0%B8%A3%E0%B8%A3%E0%B9%80%E0%B8%97%E0%B8%B2%E0%B8%AD%E0%B8%B2%E0%B8%81%E0%B8%B2%E0%B8%A3%E0%B8%9B%E0%B8%A7%E0%B8%94-voltaren-emulgel-%E0%B8%A1%E0%B8%B5-4-%E0%B8%82%E0%B8%99%E0%B8%B2%E0%B8%94</t>
        </is>
      </c>
      <c r="N40" t="inlineStr">
        <is>
          <t>2026-02-07</t>
        </is>
      </c>
      <c r="O40" t="inlineStr">
        <is>
          <t>Page shows 25 g variant; price fields are inconsistent—used 235 THB as best visible pack price.</t>
        </is>
      </c>
      <c r="P40" t="inlineStr">
        <is>
          <t>Topical pain relief / topical NSAIDs</t>
        </is>
      </c>
    </row>
    <row r="41">
      <c r="A41" t="n">
        <v>816</v>
      </c>
      <c r="B41" t="inlineStr">
        <is>
          <t>ยาทาและยาพ่นแก้ปวดอักเสบ NSAIDs</t>
        </is>
      </c>
      <c r="C41" t="n">
        <v>4042</v>
      </c>
      <c r="D41" t="inlineStr">
        <is>
          <t>Voltaren Emulgel เล็ก</t>
        </is>
      </c>
      <c r="E41" t="inlineStr">
        <is>
          <t>หลอด 10 g.</t>
        </is>
      </c>
      <c r="F41" t="inlineStr">
        <is>
          <t>Diclofenac Sodium 1 g./100 g.</t>
        </is>
      </c>
      <c r="G41" t="inlineStr">
        <is>
          <t>BDS004042</t>
        </is>
      </c>
      <c r="H41" t="inlineStr">
        <is>
          <t>Voltaren Emulgel เล็ก (10 g.)</t>
        </is>
      </c>
      <c r="I41" t="inlineStr">
        <is>
          <t>ทา (นวด) เบาๆ บริเวณที่มีอาการ จนกระทั่งยาซึมเข้าผิวหนัง วันละ 2-3 ครั้ง</t>
        </is>
      </c>
      <c r="P41" t="inlineStr">
        <is>
          <t>Topical pain relief / topical NSAIDs</t>
        </is>
      </c>
    </row>
    <row r="42">
      <c r="A42" t="n">
        <v>817</v>
      </c>
      <c r="B42" t="inlineStr">
        <is>
          <t>ยาทาและยาพ่นแก้ปวดอักเสบ NSAIDs</t>
        </is>
      </c>
      <c r="C42" t="n">
        <v>4044</v>
      </c>
      <c r="D42" t="inlineStr">
        <is>
          <t>Voltaren Emulgel ใหญ่</t>
        </is>
      </c>
      <c r="E42" t="inlineStr">
        <is>
          <t>หลอด 50 g.</t>
        </is>
      </c>
      <c r="F42" t="inlineStr">
        <is>
          <t>Diclofenac Sodium 1 g./100 g.</t>
        </is>
      </c>
      <c r="G42" t="inlineStr">
        <is>
          <t>BDS004044</t>
        </is>
      </c>
      <c r="H42" t="inlineStr">
        <is>
          <t>Voltaren Emulgel ใหญ่ (50 g.)</t>
        </is>
      </c>
      <c r="I42" t="inlineStr">
        <is>
          <t>ทา (นวด) เบาๆ บริเวณที่มีอาการ จนกระทั่งยาซึมเข้าผิวหนัง วันละ 2-3 ครั้ง</t>
        </is>
      </c>
      <c r="P42" t="inlineStr">
        <is>
          <t>Topical pain relief / topical NSAIDs</t>
        </is>
      </c>
    </row>
  </sheetData>
  <autoFilter ref="A1:P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679</v>
      </c>
      <c r="B2" t="inlineStr">
        <is>
          <t>ยาทาแก้แพ้, แก้คัน (D)</t>
        </is>
      </c>
      <c r="C2" t="n">
        <v>6745</v>
      </c>
      <c r="D2" t="inlineStr">
        <is>
          <t>Antergan Cream</t>
        </is>
      </c>
      <c r="E2" t="inlineStr">
        <is>
          <t>หลอด 10 g.</t>
        </is>
      </c>
      <c r="F2" t="inlineStr">
        <is>
          <t>Hydrocortisone Acetate 5 mg+Mepyramine Maleate 20 mg/1 g</t>
        </is>
      </c>
      <c r="G2" t="inlineStr">
        <is>
          <t>BDS006745</t>
        </is>
      </c>
      <c r="H2" t="inlineStr">
        <is>
          <t>Antergan Cream (10 g.)</t>
        </is>
      </c>
      <c r="I2" t="inlineStr">
        <is>
          <t>ทาบางๆ วันละ 2-3 ครั้ง  หรือตามแพทย์สั่ง</t>
        </is>
      </c>
      <c r="P2" t="inlineStr">
        <is>
          <t>Eczema/diaper rash / anti-itch topicals</t>
        </is>
      </c>
    </row>
    <row r="3">
      <c r="A3" t="n">
        <v>680</v>
      </c>
      <c r="B3" t="inlineStr">
        <is>
          <t>ยาทาแก้แพ้, แก้คัน (D)</t>
        </is>
      </c>
      <c r="C3" t="n">
        <v>1057</v>
      </c>
      <c r="D3" t="inlineStr">
        <is>
          <t>Aristocort 0.02%</t>
        </is>
      </c>
      <c r="E3" t="inlineStr">
        <is>
          <t>หลอด 15 g.</t>
        </is>
      </c>
      <c r="F3" t="inlineStr">
        <is>
          <t>Triamcinolone Acetonide 0.02%</t>
        </is>
      </c>
      <c r="G3" t="inlineStr">
        <is>
          <t>BDS001057</t>
        </is>
      </c>
      <c r="H3" t="inlineStr">
        <is>
          <t>Aristocort 0.02% (15 g.)</t>
        </is>
      </c>
      <c r="I3" t="inlineStr">
        <is>
          <t>ทาครีมบางๆ บริเวณที่มีอาการ วันละ 3-4 ครั้ง</t>
        </is>
      </c>
      <c r="P3" t="inlineStr">
        <is>
          <t>Eczema/diaper rash / anti-itch topicals</t>
        </is>
      </c>
    </row>
    <row r="4">
      <c r="A4" t="n">
        <v>681</v>
      </c>
      <c r="B4" t="inlineStr">
        <is>
          <t>ยาทาแก้แพ้, แก้คัน (D)</t>
        </is>
      </c>
      <c r="C4" t="n">
        <v>1058</v>
      </c>
      <c r="D4" t="inlineStr">
        <is>
          <t>Aristocort 0.1%</t>
        </is>
      </c>
      <c r="E4" t="inlineStr">
        <is>
          <t>หลอด 15 g.</t>
        </is>
      </c>
      <c r="F4" t="inlineStr">
        <is>
          <t>Triamcinolone Acetonide 1 mg/1 g (0.1%)+Preservative (Benzyl alcohol 2.0%)</t>
        </is>
      </c>
      <c r="G4" t="inlineStr">
        <is>
          <t>BDS001058</t>
        </is>
      </c>
      <c r="H4" t="inlineStr">
        <is>
          <t>Aristocort 0.1% (15 g.)</t>
        </is>
      </c>
      <c r="I4" t="inlineStr">
        <is>
          <t>ทาครีมบางๆ บริเวณที่มีอาการ วันละ 3-4 ครั้ง</t>
        </is>
      </c>
      <c r="P4" t="inlineStr">
        <is>
          <t>Eczema/diaper rash / anti-itch topicals</t>
        </is>
      </c>
    </row>
    <row r="5">
      <c r="A5" t="n">
        <v>682</v>
      </c>
      <c r="B5" t="inlineStr">
        <is>
          <t>ยาทาแก้แพ้, แก้คัน (D)</t>
        </is>
      </c>
      <c r="C5" t="n">
        <v>7501</v>
      </c>
      <c r="D5" t="inlineStr">
        <is>
          <t>Betatone Cream เล็ก</t>
        </is>
      </c>
      <c r="E5" t="inlineStr">
        <is>
          <t>หลอด 5 g.</t>
        </is>
      </c>
      <c r="F5" t="inlineStr">
        <is>
          <t>Betamethasone Valerate (eq. to Betamethasone 0.10 g/100 g)</t>
        </is>
      </c>
      <c r="G5" t="inlineStr">
        <is>
          <t>BDS007501</t>
        </is>
      </c>
      <c r="H5" t="inlineStr">
        <is>
          <t>Betatone Cream เล็ก (5 g.)</t>
        </is>
      </c>
      <c r="I5" t="inlineStr">
        <is>
          <t>ทาครีมบางๆ บริเวณที่มีอาการ วันละ 2-3 ครั้ง</t>
        </is>
      </c>
      <c r="P5" t="inlineStr">
        <is>
          <t>Eczema/diaper rash / anti-itch topicals</t>
        </is>
      </c>
    </row>
    <row r="6">
      <c r="A6" t="n">
        <v>683</v>
      </c>
      <c r="B6" t="inlineStr">
        <is>
          <t>ยาทาแก้แพ้, แก้คัน (D)</t>
        </is>
      </c>
      <c r="C6" t="n">
        <v>7502</v>
      </c>
      <c r="D6" t="inlineStr">
        <is>
          <t>Betatone Cream ใหญ่</t>
        </is>
      </c>
      <c r="E6" t="inlineStr">
        <is>
          <t>หลอด 15 g.</t>
        </is>
      </c>
      <c r="F6" t="inlineStr">
        <is>
          <t>Betamethasone Valerate (eq. to Betamethasone 0.10 g/100 g)</t>
        </is>
      </c>
      <c r="G6" t="inlineStr">
        <is>
          <t>BDS007502</t>
        </is>
      </c>
      <c r="H6" t="inlineStr">
        <is>
          <t>Betatone Cream ใหญ่ (15 g.)</t>
        </is>
      </c>
      <c r="I6" t="inlineStr">
        <is>
          <t>ทาครีมบางๆ บริเวณที่มีอาการ วันละ 2-3 ครั้ง</t>
        </is>
      </c>
      <c r="P6" t="inlineStr">
        <is>
          <t>Eczema/diaper rash / anti-itch topicals</t>
        </is>
      </c>
    </row>
    <row r="7">
      <c r="A7" t="n">
        <v>684</v>
      </c>
      <c r="B7" t="inlineStr">
        <is>
          <t>ยาทาแก้แพ้, แก้คัน (D)</t>
        </is>
      </c>
      <c r="C7" t="n">
        <v>1246</v>
      </c>
      <c r="D7" t="inlineStr">
        <is>
          <t>Betnovate Cream ใหญ่</t>
        </is>
      </c>
      <c r="E7" t="inlineStr">
        <is>
          <t>หลอด 15 g.</t>
        </is>
      </c>
      <c r="F7" t="inlineStr">
        <is>
          <t>Betamethasone 17-Valerate 0.122 %w/w</t>
        </is>
      </c>
      <c r="G7" t="inlineStr">
        <is>
          <t>BDS001246</t>
        </is>
      </c>
      <c r="H7" t="inlineStr">
        <is>
          <t>Betnovate Cream ใหญ่ (15 g.)</t>
        </is>
      </c>
      <c r="I7" t="inlineStr">
        <is>
          <t>ทาครีมบางๆ บริเวณที่มีอาการ วันละ 2-3 ครั้ง</t>
        </is>
      </c>
      <c r="P7" t="inlineStr">
        <is>
          <t>Eczema/diaper rash / anti-itch topicals</t>
        </is>
      </c>
    </row>
    <row r="8">
      <c r="A8" t="n">
        <v>685</v>
      </c>
      <c r="B8" t="inlineStr">
        <is>
          <t>ยาทาแก้แพ้, แก้คัน (D)</t>
        </is>
      </c>
      <c r="C8" t="n">
        <v>1216</v>
      </c>
      <c r="D8" t="inlineStr">
        <is>
          <t>Betnovate Scalp</t>
        </is>
      </c>
      <c r="E8" t="inlineStr">
        <is>
          <t>ขวด 30 ml.</t>
        </is>
      </c>
      <c r="F8" t="inlineStr">
        <is>
          <t>Betamethasone 17-Valerate 0.122 % w/w</t>
        </is>
      </c>
      <c r="G8" t="inlineStr">
        <is>
          <t>BDS001216</t>
        </is>
      </c>
      <c r="H8" t="inlineStr">
        <is>
          <t>Betnovate Scalp (30 ml.)</t>
        </is>
      </c>
      <c r="I8" t="inlineStr">
        <is>
          <t xml:space="preserve">ทาบางๆ บริเวณที่มีอาการ วันละ 2 ครั้ง </t>
        </is>
      </c>
      <c r="P8" t="inlineStr">
        <is>
          <t>Eczema/diaper rash / anti-itch topicals</t>
        </is>
      </c>
    </row>
    <row r="9">
      <c r="A9" t="n">
        <v>686</v>
      </c>
      <c r="B9" t="inlineStr">
        <is>
          <t>ยาทาแก้แพ้, แก้คัน (D)</t>
        </is>
      </c>
      <c r="C9" t="n">
        <v>41408</v>
      </c>
      <c r="D9" t="inlineStr">
        <is>
          <t>Clinivate Cream ใหญ่</t>
        </is>
      </c>
      <c r="E9" t="inlineStr">
        <is>
          <t>หลอด 15 g.</t>
        </is>
      </c>
      <c r="F9" t="inlineStr">
        <is>
          <t>Betamethasone Valerate (eq. to Betamethasone 1 mg./1 g.</t>
        </is>
      </c>
      <c r="G9" t="inlineStr">
        <is>
          <t>BDS041408</t>
        </is>
      </c>
      <c r="H9" t="inlineStr">
        <is>
          <t>Clinivate Cream ใหญ่ (15 g.)</t>
        </is>
      </c>
      <c r="I9" t="inlineStr">
        <is>
          <t>ทาครีมบางๆ ในบริเวณที่มีอาการ วันละ 2-3 ครั้ง หรือใช้ตามแพทย์สั่ง</t>
        </is>
      </c>
      <c r="P9" t="inlineStr">
        <is>
          <t>Eczema/diaper rash / anti-itch topicals</t>
        </is>
      </c>
    </row>
    <row r="10">
      <c r="A10" t="n">
        <v>687</v>
      </c>
      <c r="B10" t="inlineStr">
        <is>
          <t>ยาทาแก้แพ้, แก้คัน (D)</t>
        </is>
      </c>
      <c r="C10" t="n">
        <v>6198</v>
      </c>
      <c r="D10" t="inlineStr">
        <is>
          <t>Clinoderm Cream</t>
        </is>
      </c>
      <c r="E10" t="inlineStr">
        <is>
          <t>หลอด 15 g.</t>
        </is>
      </c>
      <c r="F10" t="inlineStr">
        <is>
          <t>Clobetasol Propionate 0.05 g/100 g (0.05%)</t>
        </is>
      </c>
      <c r="G10" t="inlineStr">
        <is>
          <t>BDS006198</t>
        </is>
      </c>
      <c r="H10" t="inlineStr">
        <is>
          <t>Clinoderm Cream (15 g.)</t>
        </is>
      </c>
      <c r="I10" t="inlineStr">
        <is>
          <t xml:space="preserve">ทาครีมบางๆ บริเวณที่มีอาการ วันละ 1-2 ครั้ง </t>
        </is>
      </c>
      <c r="P10" t="inlineStr">
        <is>
          <t>Eczema/diaper rash / anti-itch topicals</t>
        </is>
      </c>
    </row>
    <row r="11">
      <c r="A11" t="n">
        <v>688</v>
      </c>
      <c r="B11" t="inlineStr">
        <is>
          <t>ยาทาแก้แพ้, แก้คัน (D)</t>
        </is>
      </c>
      <c r="C11" t="n">
        <v>7514</v>
      </c>
      <c r="D11" t="inlineStr">
        <is>
          <t>Clobevate Cream เล็ก</t>
        </is>
      </c>
      <c r="E11" t="inlineStr">
        <is>
          <t>หลอด 5 g.</t>
        </is>
      </c>
      <c r="F11" t="inlineStr">
        <is>
          <t>Clobetasol Propionate 0.05 g/100 g (0.05%)</t>
        </is>
      </c>
      <c r="G11" t="inlineStr">
        <is>
          <t>BDS007514</t>
        </is>
      </c>
      <c r="H11" t="inlineStr">
        <is>
          <t>Clobevate Cream เล็ก (5 g.)</t>
        </is>
      </c>
      <c r="I11" t="inlineStr">
        <is>
          <t>ทาครีมบางๆ บริเวณที่มีอาการ วันละ 2-3 ครั้ง</t>
        </is>
      </c>
      <c r="P11" t="inlineStr">
        <is>
          <t>Eczema/diaper rash / anti-itch topicals</t>
        </is>
      </c>
    </row>
    <row r="12">
      <c r="A12" t="n">
        <v>689</v>
      </c>
      <c r="B12" t="inlineStr">
        <is>
          <t>ยาทาแก้แพ้, แก้คัน (D)</t>
        </is>
      </c>
      <c r="C12" t="n">
        <v>7515</v>
      </c>
      <c r="D12" t="inlineStr">
        <is>
          <t>Clobevate Cream ใหญ่</t>
        </is>
      </c>
      <c r="E12" t="inlineStr">
        <is>
          <t>หลอด 15 g.</t>
        </is>
      </c>
      <c r="F12" t="inlineStr">
        <is>
          <t>Clobetasol Propionate 0.05 g/100 g (0.05%)</t>
        </is>
      </c>
      <c r="G12" t="inlineStr">
        <is>
          <t>BDS007515</t>
        </is>
      </c>
      <c r="H12" t="inlineStr">
        <is>
          <t>Clobevate Cream ใหญ่ (15 g.)</t>
        </is>
      </c>
      <c r="I12" t="inlineStr">
        <is>
          <t>ทาครีมบางๆ บริเวณที่มีอาการ วันละ 2-3 ครั้ง</t>
        </is>
      </c>
      <c r="P12" t="inlineStr">
        <is>
          <t>Eczema/diaper rash / anti-itch topicals</t>
        </is>
      </c>
    </row>
    <row r="13">
      <c r="A13" t="n">
        <v>690</v>
      </c>
      <c r="B13" t="inlineStr">
        <is>
          <t>ยาทาแก้แพ้, แก้คัน (D)</t>
        </is>
      </c>
      <c r="C13" t="n">
        <v>1621</v>
      </c>
      <c r="D13" t="inlineStr">
        <is>
          <t>Dermatop Cream เล็ก</t>
        </is>
      </c>
      <c r="E13" t="inlineStr">
        <is>
          <t>หลอด 5 g.</t>
        </is>
      </c>
      <c r="F13" t="inlineStr">
        <is>
          <t>Prednicarbate 2.5 mg/1 g (0.25%)</t>
        </is>
      </c>
      <c r="G13" t="inlineStr">
        <is>
          <t>BDS001621</t>
        </is>
      </c>
      <c r="H13" t="inlineStr">
        <is>
          <t>Dermatop Cream เล็ก (5 g.)</t>
        </is>
      </c>
      <c r="I13" t="inlineStr">
        <is>
          <t>ทาครีมบางๆ บริเวณที่มีอาการ วันละ 2-3 ครั้ง</t>
        </is>
      </c>
      <c r="P13" t="inlineStr">
        <is>
          <t>Eczema/diaper rash / anti-itch topicals</t>
        </is>
      </c>
    </row>
    <row r="14">
      <c r="A14" t="n">
        <v>691</v>
      </c>
      <c r="B14" t="inlineStr">
        <is>
          <t>ยาทาแก้แพ้, แก้คัน (D)</t>
        </is>
      </c>
      <c r="C14" t="n">
        <v>1622</v>
      </c>
      <c r="D14" t="inlineStr">
        <is>
          <t>Dermovate Cream เล็ก</t>
        </is>
      </c>
      <c r="E14" t="inlineStr">
        <is>
          <t>หลอด 5 g.</t>
        </is>
      </c>
      <c r="F14" t="inlineStr">
        <is>
          <t>Clobetasol Propionate 0.05% w/w</t>
        </is>
      </c>
      <c r="G14" t="inlineStr">
        <is>
          <t>BDS001622</t>
        </is>
      </c>
      <c r="H14" t="inlineStr">
        <is>
          <t>Dermovate Cream เล็ก (5 g.)</t>
        </is>
      </c>
      <c r="I14" t="inlineStr">
        <is>
          <t>ทาครีมบางๆ บริเวณที่มีอาการวันละ 2-3 ครั้ง</t>
        </is>
      </c>
      <c r="P14" t="inlineStr">
        <is>
          <t>Eczema/diaper rash / anti-itch topicals</t>
        </is>
      </c>
    </row>
    <row r="15">
      <c r="A15" t="n">
        <v>692</v>
      </c>
      <c r="B15" t="inlineStr">
        <is>
          <t>ยาทาแก้แพ้, แก้คัน (D)</t>
        </is>
      </c>
      <c r="C15" t="n">
        <v>1623</v>
      </c>
      <c r="D15" t="inlineStr">
        <is>
          <t>Dermovate Cream ใหญ่</t>
        </is>
      </c>
      <c r="E15" t="inlineStr">
        <is>
          <t>หลอด 15 g.</t>
        </is>
      </c>
      <c r="F15" t="inlineStr">
        <is>
          <t>Clobetasol Propionate 0.05% w/w</t>
        </is>
      </c>
      <c r="G15" t="inlineStr">
        <is>
          <t>BDS001623</t>
        </is>
      </c>
      <c r="H15" t="inlineStr">
        <is>
          <t>Dermovate Cream ใหญ่ (15 g.)</t>
        </is>
      </c>
      <c r="I15" t="inlineStr">
        <is>
          <t>ทาครีมบางๆ บริเวณที่มีอาการวันละ 2-3 ครั้ง</t>
        </is>
      </c>
      <c r="P15" t="inlineStr">
        <is>
          <t>Eczema/diaper rash / anti-itch topicals</t>
        </is>
      </c>
    </row>
    <row r="16">
      <c r="A16" t="n">
        <v>693</v>
      </c>
      <c r="B16" t="inlineStr">
        <is>
          <t>ยาทาแก้แพ้, แก้คัน (D)</t>
        </is>
      </c>
      <c r="C16" t="n">
        <v>1630</v>
      </c>
      <c r="D16" t="inlineStr">
        <is>
          <t>Dermovate Ointment</t>
        </is>
      </c>
      <c r="E16" t="inlineStr">
        <is>
          <t>หลอด 5 g.</t>
        </is>
      </c>
      <c r="F16" t="inlineStr">
        <is>
          <t>Clobetasol Propionate 0.05% w/w</t>
        </is>
      </c>
      <c r="G16" t="inlineStr">
        <is>
          <t>BDS001630</t>
        </is>
      </c>
      <c r="H16" t="inlineStr">
        <is>
          <t>Dermovate Ointment (5 g.)</t>
        </is>
      </c>
      <c r="I16" t="inlineStr">
        <is>
          <t>ทาครีมบางๆ บริเวณที่มีอาการวันละ 2-3 ครั้ง</t>
        </is>
      </c>
      <c r="P16" t="inlineStr">
        <is>
          <t>Eczema/diaper rash / anti-itch topicals</t>
        </is>
      </c>
    </row>
    <row r="17">
      <c r="A17" t="n">
        <v>694</v>
      </c>
      <c r="B17" t="inlineStr">
        <is>
          <t>ยาทาแก้แพ้, แก้คัน (D)</t>
        </is>
      </c>
      <c r="C17" t="n">
        <v>1660</v>
      </c>
      <c r="D17" t="inlineStr">
        <is>
          <t>Dermovate Scalp</t>
        </is>
      </c>
      <c r="E17" t="inlineStr">
        <is>
          <t>ขวด 30 ml.</t>
        </is>
      </c>
      <c r="F17" t="inlineStr">
        <is>
          <t>Clobetasol Propionate 0.05% w/w</t>
        </is>
      </c>
      <c r="G17" t="inlineStr">
        <is>
          <t>BDS001660</t>
        </is>
      </c>
      <c r="H17" t="inlineStr">
        <is>
          <t>Dermovate Scalp (30 ml.)</t>
        </is>
      </c>
      <c r="I17" t="inlineStr">
        <is>
          <t>ทาบางๆ บริเวณที่มีอาการ วันละ 2-3 ครั้ง</t>
        </is>
      </c>
      <c r="P17" t="inlineStr">
        <is>
          <t>Eczema/diaper rash / anti-itch topicals</t>
        </is>
      </c>
    </row>
    <row r="18">
      <c r="A18" t="n">
        <v>695</v>
      </c>
      <c r="B18" t="inlineStr">
        <is>
          <t>ยาทาแก้แพ้, แก้คัน (D)</t>
        </is>
      </c>
      <c r="C18" t="n">
        <v>1650</v>
      </c>
      <c r="D18" t="inlineStr">
        <is>
          <t>Diprosalic Ointment</t>
        </is>
      </c>
      <c r="E18" t="inlineStr">
        <is>
          <t>หลอด 5 g.</t>
        </is>
      </c>
      <c r="F18" t="inlineStr">
        <is>
          <t>Betamethasone Dipropionate (eq. to Betamethasone 0.05%)+Salicylic acid 3%</t>
        </is>
      </c>
      <c r="G18" t="inlineStr">
        <is>
          <t>BDS001650</t>
        </is>
      </c>
      <c r="H18" t="inlineStr">
        <is>
          <t>Diprosalic Ointment (5 g.)</t>
        </is>
      </c>
      <c r="I18" t="inlineStr">
        <is>
          <t xml:space="preserve">ทาขี้ผึ้งบางๆ ให้ทั่วบริเวณที่มีอาการ วันละ 2 ครั้ง </t>
        </is>
      </c>
      <c r="P18" t="inlineStr">
        <is>
          <t>Eczema/diaper rash / anti-itch topicals</t>
        </is>
      </c>
    </row>
    <row r="19">
      <c r="A19" t="n">
        <v>696</v>
      </c>
      <c r="B19" t="inlineStr">
        <is>
          <t>ยาทาแก้แพ้, แก้คัน (D)</t>
        </is>
      </c>
      <c r="C19" t="n">
        <v>1546</v>
      </c>
      <c r="D19" t="inlineStr">
        <is>
          <t>Diprosalic Ointment ใหญ่</t>
        </is>
      </c>
      <c r="E19" t="inlineStr">
        <is>
          <t>หลอด 15 g.</t>
        </is>
      </c>
      <c r="F19" t="inlineStr">
        <is>
          <t>Betamethasone Dipropionate (eq. to Betamethasone 0.05%)+Salicylic acid 3%</t>
        </is>
      </c>
      <c r="G19" t="inlineStr">
        <is>
          <t>BDS001546</t>
        </is>
      </c>
      <c r="H19" t="inlineStr">
        <is>
          <t>Diprosalic Ointment ใหญ่ (15 g.)</t>
        </is>
      </c>
      <c r="I19" t="inlineStr">
        <is>
          <t>ทาขี้ผึ้งบางๆ ให้ทั่วบริเวณที่มีอาการ วันละ 2 ครั้ง เช้า-ก่อนนอน</t>
        </is>
      </c>
      <c r="P19" t="inlineStr">
        <is>
          <t>Eczema/diaper rash / anti-itch topicals</t>
        </is>
      </c>
    </row>
    <row r="20">
      <c r="A20" t="n">
        <v>697</v>
      </c>
      <c r="B20" t="inlineStr">
        <is>
          <t>ยาทาแก้แพ้, แก้คัน (D)</t>
        </is>
      </c>
      <c r="C20" t="n">
        <v>1699</v>
      </c>
      <c r="D20" t="inlineStr">
        <is>
          <t>Diprotop Ointment</t>
        </is>
      </c>
      <c r="E20" t="inlineStr">
        <is>
          <t>หลอด 5 g.</t>
        </is>
      </c>
      <c r="F20" t="inlineStr">
        <is>
          <t>Betamethasone Dipropionate 0.64 mg (eq. to Betamethasone 0.5 mg)+Propylene Glycol</t>
        </is>
      </c>
      <c r="G20" t="inlineStr">
        <is>
          <t>BDS001699</t>
        </is>
      </c>
      <c r="H20" t="inlineStr">
        <is>
          <t>Diprotop Ointment (5 g.)</t>
        </is>
      </c>
      <c r="I20" t="inlineStr">
        <is>
          <t>ทาบางๆ ให้ทั่วผิวหนังบริเวณที่เป็น วันละ 1 ครั้ง ตอนเช้า</t>
        </is>
      </c>
      <c r="P20" t="inlineStr">
        <is>
          <t>Eczema/diaper rash / anti-itch topicals</t>
        </is>
      </c>
    </row>
    <row r="21">
      <c r="A21" t="n">
        <v>698</v>
      </c>
      <c r="B21" t="inlineStr">
        <is>
          <t>ยาทาแก้แพ้, แก้คัน (D)</t>
        </is>
      </c>
      <c r="C21" t="n">
        <v>1803</v>
      </c>
      <c r="D21" t="inlineStr">
        <is>
          <t>Elomet 0.1 %</t>
        </is>
      </c>
      <c r="E21" t="inlineStr">
        <is>
          <t>หลอด 5 g.</t>
        </is>
      </c>
      <c r="F21" t="inlineStr">
        <is>
          <t>Mometasone Furoate 1 mg/1 g (0.1%)</t>
        </is>
      </c>
      <c r="G21" t="inlineStr">
        <is>
          <t>BDS001803</t>
        </is>
      </c>
      <c r="H21" t="inlineStr">
        <is>
          <t>Elomet 0.1 % (5 g.)</t>
        </is>
      </c>
      <c r="I21" t="inlineStr">
        <is>
          <t xml:space="preserve">ทาครีมบางๆ บริเวณที่เป็น วันละ 1 ครั้ง จนรอยโรคหายหรือทาติดต่อกัน 3 อาทิตย์ </t>
        </is>
      </c>
      <c r="P21" t="inlineStr">
        <is>
          <t>Eczema/diaper rash / anti-itch topicals</t>
        </is>
      </c>
    </row>
    <row r="22">
      <c r="A22" t="n">
        <v>699</v>
      </c>
      <c r="B22" t="inlineStr">
        <is>
          <t>ยาทาแก้แพ้, แก้คัน (D)</t>
        </is>
      </c>
      <c r="C22" t="n">
        <v>1807</v>
      </c>
      <c r="D22" t="inlineStr">
        <is>
          <t>Elomet 0.1%</t>
        </is>
      </c>
      <c r="E22" t="inlineStr">
        <is>
          <t>หลอด 15 g.</t>
        </is>
      </c>
      <c r="F22" t="inlineStr">
        <is>
          <t>Mometasone Furoate 1 mg/1 g (0.1%)</t>
        </is>
      </c>
      <c r="G22" t="inlineStr">
        <is>
          <t>BDS001807</t>
        </is>
      </c>
      <c r="H22" t="inlineStr">
        <is>
          <t>Elomet 0.1% (15 g.)</t>
        </is>
      </c>
      <c r="I22" t="inlineStr">
        <is>
          <t>ทาครีมบางๆ บริเวณที่เป็น วันละ 1 ครั้ง</t>
        </is>
      </c>
      <c r="P22" t="inlineStr">
        <is>
          <t>Eczema/diaper rash / anti-itch topicals</t>
        </is>
      </c>
    </row>
    <row r="23">
      <c r="A23" t="n">
        <v>700</v>
      </c>
      <c r="B23" t="inlineStr">
        <is>
          <t>ยาทาแก้แพ้, แก้คัน (D)</t>
        </is>
      </c>
      <c r="C23" t="n">
        <v>1607</v>
      </c>
      <c r="D23" t="inlineStr">
        <is>
          <t>Elomet Lotion</t>
        </is>
      </c>
      <c r="E23" t="inlineStr">
        <is>
          <t>ขวด 30 ml.</t>
        </is>
      </c>
      <c r="F23" t="inlineStr">
        <is>
          <t>Mometasone Furoate 1 mg+Isopropyl Alcohol 400 mg/1 g</t>
        </is>
      </c>
      <c r="G23" t="inlineStr">
        <is>
          <t>BDS001607</t>
        </is>
      </c>
      <c r="H23" t="inlineStr">
        <is>
          <t>Elomet Lotion (30 ml.)</t>
        </is>
      </c>
      <c r="I23" t="inlineStr">
        <is>
          <t>ทาโลชั่น 2-3 หยด หรือปริมาณที่เพียงพอกับบริเวณที่เป็น  วันละ 1 ครั้ง</t>
        </is>
      </c>
      <c r="P23" t="inlineStr">
        <is>
          <t>Eczema/diaper rash / anti-itch topicals</t>
        </is>
      </c>
    </row>
    <row r="24">
      <c r="A24" t="n">
        <v>701</v>
      </c>
      <c r="B24" t="inlineStr">
        <is>
          <t>ยาทาแก้แพ้, แก้คัน (D)</t>
        </is>
      </c>
      <c r="C24" t="n">
        <v>6023</v>
      </c>
      <c r="D24" t="inlineStr">
        <is>
          <t>Epiklin Skin Ointment</t>
        </is>
      </c>
      <c r="E24" t="inlineStr">
        <is>
          <t>หลอด 15 g.</t>
        </is>
      </c>
      <c r="F24" t="inlineStr">
        <is>
          <t>Betamethasone Dipropionate 0.64 mg+Salicylic acid 30 mg/1 g</t>
        </is>
      </c>
      <c r="G24" t="inlineStr">
        <is>
          <t>BDS006023</t>
        </is>
      </c>
      <c r="H24" t="inlineStr">
        <is>
          <t>Epiklin Skin Ointment (15 g.)</t>
        </is>
      </c>
      <c r="I24" t="inlineStr">
        <is>
          <t xml:space="preserve">ทาบางๆ ให้ทั่วบริเวณที่เป็น วันละ 1-2 ครั้ง </t>
        </is>
      </c>
      <c r="P24" t="inlineStr">
        <is>
          <t>Eczema/diaper rash / anti-itch topicals</t>
        </is>
      </c>
    </row>
    <row r="25">
      <c r="A25" t="n">
        <v>702</v>
      </c>
      <c r="B25" t="inlineStr">
        <is>
          <t>ยาทาแก้แพ้, แก้คัน (D)</t>
        </is>
      </c>
      <c r="C25" t="n">
        <v>1825</v>
      </c>
      <c r="D25" t="inlineStr">
        <is>
          <t>Esperson</t>
        </is>
      </c>
      <c r="E25" t="inlineStr">
        <is>
          <t>หลอด 5 g.</t>
        </is>
      </c>
      <c r="F25" t="inlineStr">
        <is>
          <t>Desoximetasone 2.5 mg/1 g (0.25%)</t>
        </is>
      </c>
      <c r="G25" t="inlineStr">
        <is>
          <t>BDS001825</t>
        </is>
      </c>
      <c r="H25" t="inlineStr">
        <is>
          <t>Esperson (5 g.)</t>
        </is>
      </c>
      <c r="I25" t="inlineStr">
        <is>
          <t>ทาครีมบางๆ บริเวณที่มีอาการ วันละ 1-2 ครั้ง</t>
        </is>
      </c>
      <c r="P25" t="inlineStr">
        <is>
          <t>Eczema/diaper rash / anti-itch topicals</t>
        </is>
      </c>
    </row>
    <row r="26">
      <c r="A26" t="n">
        <v>703</v>
      </c>
      <c r="B26" t="inlineStr">
        <is>
          <t>ยาทาแก้แพ้, แก้คัน (D)</t>
        </is>
      </c>
      <c r="C26" t="n">
        <v>42807</v>
      </c>
      <c r="D26" t="inlineStr">
        <is>
          <t>Esperson กลาง</t>
        </is>
      </c>
      <c r="E26" t="inlineStr">
        <is>
          <t>หลอด 15 g.</t>
        </is>
      </c>
      <c r="F26" t="inlineStr">
        <is>
          <t>Desoximetasone 2.5 mg/1 g (0.25%)</t>
        </is>
      </c>
      <c r="G26" t="inlineStr">
        <is>
          <t>BDS042807</t>
        </is>
      </c>
      <c r="H26" t="inlineStr">
        <is>
          <t>Esperson กลาง (15 g.)</t>
        </is>
      </c>
      <c r="I26" t="inlineStr">
        <is>
          <t>ทาครีมบางๆ บริเวณที่มีอาการ วันละ 1-2 ครั้ง</t>
        </is>
      </c>
      <c r="P26" t="inlineStr">
        <is>
          <t>Eczema/diaper rash / anti-itch topicals</t>
        </is>
      </c>
    </row>
    <row r="27">
      <c r="A27" t="n">
        <v>704</v>
      </c>
      <c r="B27" t="inlineStr">
        <is>
          <t>ยาทาแก้แพ้, แก้คัน (D)</t>
        </is>
      </c>
      <c r="C27" t="n">
        <v>3719</v>
      </c>
      <c r="D27" t="inlineStr">
        <is>
          <t>T.A.Cream 0.02%</t>
        </is>
      </c>
      <c r="E27" t="inlineStr">
        <is>
          <t>หลอด 15 g.</t>
        </is>
      </c>
      <c r="F27" t="inlineStr">
        <is>
          <t>Triamcinolone Acetonide 0.02 g/100 g (0.02%)</t>
        </is>
      </c>
      <c r="G27" t="inlineStr">
        <is>
          <t>BDS003719</t>
        </is>
      </c>
      <c r="H27" t="inlineStr">
        <is>
          <t>T.A.Cream 0.02% (15 g.)</t>
        </is>
      </c>
      <c r="I27" t="inlineStr">
        <is>
          <t xml:space="preserve">ทาครีมบางๆ บริเวณที่มีอาการ วันละ 2 ครั้ง </t>
        </is>
      </c>
      <c r="P27" t="inlineStr">
        <is>
          <t>Eczema/diaper rash / anti-itch topicals</t>
        </is>
      </c>
    </row>
    <row r="28">
      <c r="A28" t="n">
        <v>705</v>
      </c>
      <c r="B28" t="inlineStr">
        <is>
          <t>ยาทาแก้แพ้, แก้คัน (D)</t>
        </is>
      </c>
      <c r="C28" t="n">
        <v>3773</v>
      </c>
      <c r="D28" t="inlineStr">
        <is>
          <t>T.A.Cream 0.1% เล็ก</t>
        </is>
      </c>
      <c r="E28" t="inlineStr">
        <is>
          <t>หลอด 5 g.</t>
        </is>
      </c>
      <c r="F28" t="inlineStr">
        <is>
          <t>Triamcinolone Acetonide 0.1 g/100 g (0.1%)</t>
        </is>
      </c>
      <c r="G28" t="inlineStr">
        <is>
          <t>BDS003773</t>
        </is>
      </c>
      <c r="H28" t="inlineStr">
        <is>
          <t>T.A.Cream 0.1% เล็ก (5 g.)</t>
        </is>
      </c>
      <c r="I28" t="inlineStr">
        <is>
          <t>ทาครีมบางๆ บริเวณที่มีอาการ วันละ 2-3 ครั้ง</t>
        </is>
      </c>
      <c r="P28" t="inlineStr">
        <is>
          <t>Eczema/diaper rash / anti-itch topicals</t>
        </is>
      </c>
    </row>
    <row r="29">
      <c r="A29" t="n">
        <v>706</v>
      </c>
      <c r="B29" t="inlineStr">
        <is>
          <t>ยาทาแก้แพ้, แก้คัน (D)</t>
        </is>
      </c>
      <c r="C29" t="n">
        <v>3780</v>
      </c>
      <c r="D29" t="inlineStr">
        <is>
          <t>T.A.Cream 0.1% ใหญ่</t>
        </is>
      </c>
      <c r="E29" t="inlineStr">
        <is>
          <t>หลอด 15 g.</t>
        </is>
      </c>
      <c r="F29" t="inlineStr">
        <is>
          <t>Triamcinolone Acetonide 0.1 g/100 g (0.1%)</t>
        </is>
      </c>
      <c r="G29" t="inlineStr">
        <is>
          <t>BDS003780</t>
        </is>
      </c>
      <c r="H29" t="inlineStr">
        <is>
          <t>T.A.Cream 0.1% ใหญ่ (15 g.)</t>
        </is>
      </c>
      <c r="I29" t="inlineStr">
        <is>
          <t>ทาครีมบางๆ บริเวณที่มีอาการ วันละ 2-3 ครั้ง</t>
        </is>
      </c>
      <c r="P29" t="inlineStr">
        <is>
          <t>Eczema/diaper rash / anti-itch topicals</t>
        </is>
      </c>
    </row>
    <row r="30">
      <c r="A30" t="n">
        <v>707</v>
      </c>
      <c r="B30" t="inlineStr">
        <is>
          <t>ยาทาแก้แพ้, แก้คัน (D)</t>
        </is>
      </c>
      <c r="C30" t="n">
        <v>8756</v>
      </c>
      <c r="D30" t="inlineStr">
        <is>
          <t>Tacinol 0.02 เล็ก</t>
        </is>
      </c>
      <c r="E30" t="inlineStr">
        <is>
          <t>หลอด 5 g.</t>
        </is>
      </c>
      <c r="F30" t="inlineStr">
        <is>
          <t>Triamcinolone Acetonide 0.02% w/w</t>
        </is>
      </c>
      <c r="G30" t="inlineStr">
        <is>
          <t>BDS008756</t>
        </is>
      </c>
      <c r="H30" t="inlineStr">
        <is>
          <t>Tacinol 0.02 เล็ก (5 g.)</t>
        </is>
      </c>
      <c r="I30" t="inlineStr">
        <is>
          <t>ทาครีมบางๆ บริเวณที่มีอาการ วันละ 2-3 ครั้ง</t>
        </is>
      </c>
      <c r="P30" t="inlineStr">
        <is>
          <t>Eczema/diaper rash / anti-itch topicals</t>
        </is>
      </c>
    </row>
    <row r="31">
      <c r="A31" t="n">
        <v>708</v>
      </c>
      <c r="B31" t="inlineStr">
        <is>
          <t>ยาทาแก้แพ้, แก้คัน (D)</t>
        </is>
      </c>
      <c r="C31" t="n">
        <v>8757</v>
      </c>
      <c r="D31" t="inlineStr">
        <is>
          <t>Tacinol 0.02 ใหญ่</t>
        </is>
      </c>
      <c r="E31" t="inlineStr">
        <is>
          <t>หลอด 15 g.</t>
        </is>
      </c>
      <c r="F31" t="inlineStr">
        <is>
          <t>Triamcinolone Acetonide 0.02% w/w</t>
        </is>
      </c>
      <c r="G31" t="inlineStr">
        <is>
          <t>BDS008757</t>
        </is>
      </c>
      <c r="H31" t="inlineStr">
        <is>
          <t>Tacinol 0.02 ใหญ่ (15 g.)</t>
        </is>
      </c>
      <c r="I31" t="inlineStr">
        <is>
          <t>ทาครีมบางๆ บริเวณที่มีอาการ วันละ 2-3 ครั้ง</t>
        </is>
      </c>
      <c r="P31" t="inlineStr">
        <is>
          <t>Eczema/diaper rash / anti-itch topicals</t>
        </is>
      </c>
    </row>
    <row r="32">
      <c r="A32" t="n">
        <v>709</v>
      </c>
      <c r="B32" t="inlineStr">
        <is>
          <t>ยาทาแก้แพ้, แก้คัน (D)</t>
        </is>
      </c>
      <c r="C32" t="n">
        <v>8758</v>
      </c>
      <c r="D32" t="inlineStr">
        <is>
          <t>Tacinol 0.1 เล็ก</t>
        </is>
      </c>
      <c r="E32" t="inlineStr">
        <is>
          <t>หลอด 5 g.</t>
        </is>
      </c>
      <c r="F32" t="inlineStr">
        <is>
          <t>Triamcinolone Acetonide 0.1 % w/w</t>
        </is>
      </c>
      <c r="G32" t="inlineStr">
        <is>
          <t>BDS008758</t>
        </is>
      </c>
      <c r="H32" t="inlineStr">
        <is>
          <t>Tacinol 0.1 เล็ก (5 g.)</t>
        </is>
      </c>
      <c r="I32" t="inlineStr">
        <is>
          <t>ทาครีมบางๆ บริเวณที่มีอาการ วันละ 2-3 ครั้ง</t>
        </is>
      </c>
      <c r="P32" t="inlineStr">
        <is>
          <t>Eczema/diaper rash / anti-itch topicals</t>
        </is>
      </c>
    </row>
    <row r="33">
      <c r="A33" t="n">
        <v>710</v>
      </c>
      <c r="B33" t="inlineStr">
        <is>
          <t>ยาทาแก้แพ้, แก้คัน (D)</t>
        </is>
      </c>
      <c r="C33" t="n">
        <v>8759</v>
      </c>
      <c r="D33" t="inlineStr">
        <is>
          <t>Tacinol 0.1 ใหญ่</t>
        </is>
      </c>
      <c r="E33" t="inlineStr">
        <is>
          <t>หลอด 15 g.</t>
        </is>
      </c>
      <c r="F33" t="inlineStr">
        <is>
          <t>Triamcinolone Acetonide 0.1 % w/w</t>
        </is>
      </c>
      <c r="G33" t="inlineStr">
        <is>
          <t>BDS008759</t>
        </is>
      </c>
      <c r="H33" t="inlineStr">
        <is>
          <t>Tacinol 0.1 ใหญ่ (15 g.)</t>
        </is>
      </c>
      <c r="I33" t="inlineStr">
        <is>
          <t>ทาครีมบางๆ บริเวณที่มีอาการ วันละ 2-3 ครั้ง</t>
        </is>
      </c>
      <c r="P33" t="inlineStr">
        <is>
          <t>Eczema/diaper rash / anti-itch topicals</t>
        </is>
      </c>
    </row>
    <row r="34">
      <c r="A34" t="n">
        <v>711</v>
      </c>
      <c r="B34" t="inlineStr">
        <is>
          <t>ยาทาแก้แพ้, แก้คัน (D)</t>
        </is>
      </c>
      <c r="C34" t="n">
        <v>1831</v>
      </c>
      <c r="D34" t="inlineStr">
        <is>
          <t>Topicort Skin Cream</t>
        </is>
      </c>
      <c r="E34" t="inlineStr">
        <is>
          <t>ขวด 15 g.</t>
        </is>
      </c>
      <c r="F34" t="inlineStr">
        <is>
          <t>Desoximetasone 2.5 mg/1 g (0.25%)</t>
        </is>
      </c>
      <c r="G34" t="inlineStr">
        <is>
          <t>BDS001831</t>
        </is>
      </c>
      <c r="H34" t="inlineStr">
        <is>
          <t>Topicort Skin Cream (15 g.)</t>
        </is>
      </c>
      <c r="I34" t="inlineStr">
        <is>
          <t>ทาบริเวณที่มีอาการ วันละ 1-4 ครั้ง</t>
        </is>
      </c>
      <c r="P34" t="inlineStr">
        <is>
          <t>Eczema/diaper rash / anti-itch topicals</t>
        </is>
      </c>
    </row>
    <row r="35">
      <c r="A35" t="n">
        <v>712</v>
      </c>
      <c r="B35" t="inlineStr">
        <is>
          <t>ยาทาแก้แพ้, แก้คัน (D)</t>
        </is>
      </c>
      <c r="C35" t="n">
        <v>48634</v>
      </c>
      <c r="D35" t="inlineStr">
        <is>
          <t>Topoxy Skin Cream</t>
        </is>
      </c>
      <c r="E35" t="inlineStr">
        <is>
          <t>ขวด 10 g.</t>
        </is>
      </c>
      <c r="F35" t="inlineStr">
        <is>
          <t>Desoximetasone 0.25%</t>
        </is>
      </c>
      <c r="G35" t="inlineStr">
        <is>
          <t>BDS048634</t>
        </is>
      </c>
      <c r="H35" t="inlineStr">
        <is>
          <t>Topoxy Skin Cream (10 g.)</t>
        </is>
      </c>
      <c r="I35" t="inlineStr">
        <is>
          <t>ทาบางๆ และถูเบาๆ บริเวณที่เป็น วันละ 2 ครั้ง</t>
        </is>
      </c>
      <c r="P35" t="inlineStr">
        <is>
          <t>Eczema/diaper rash / anti-itch topicals</t>
        </is>
      </c>
    </row>
    <row r="36">
      <c r="A36" t="n">
        <v>713</v>
      </c>
      <c r="B36" t="inlineStr">
        <is>
          <t>ยาทาแก้แพ้, แก้คัน (D)</t>
        </is>
      </c>
      <c r="C36" t="n">
        <v>7775</v>
      </c>
      <c r="D36" t="inlineStr">
        <is>
          <t>Zyno 0.02%</t>
        </is>
      </c>
      <c r="E36" t="inlineStr">
        <is>
          <t>หลอด 5 g.</t>
        </is>
      </c>
      <c r="F36" t="inlineStr">
        <is>
          <t>Triamcinolone Acetonide 0.02 g/100 g (0.02%)</t>
        </is>
      </c>
      <c r="G36" t="inlineStr">
        <is>
          <t>BDS007775</t>
        </is>
      </c>
      <c r="H36" t="inlineStr">
        <is>
          <t>Zyno 0.02% (5 g.)</t>
        </is>
      </c>
      <c r="I36" t="inlineStr">
        <is>
          <t>ทาครีมบางๆ บริเวณที่มีอาการ วันละ 2-3 ครั้ง</t>
        </is>
      </c>
      <c r="P36" t="inlineStr">
        <is>
          <t>Eczema/diaper rash / anti-itch topicals</t>
        </is>
      </c>
    </row>
    <row r="37">
      <c r="A37" t="n">
        <v>714</v>
      </c>
      <c r="B37" t="inlineStr">
        <is>
          <t>ยาทาแก้แพ้, แก้คัน (D)</t>
        </is>
      </c>
      <c r="C37" t="n">
        <v>7776</v>
      </c>
      <c r="D37" t="inlineStr">
        <is>
          <t>Zyno 0.1%</t>
        </is>
      </c>
      <c r="E37" t="inlineStr">
        <is>
          <t>หลอด 5 g.</t>
        </is>
      </c>
      <c r="F37" t="inlineStr">
        <is>
          <t>Triamcinolone Acetonide 0.1 g/100 g (0.1%)</t>
        </is>
      </c>
      <c r="G37" t="inlineStr">
        <is>
          <t>BDS007776</t>
        </is>
      </c>
      <c r="H37" t="inlineStr">
        <is>
          <t>Zyno 0.1% (5 g.)</t>
        </is>
      </c>
      <c r="I37" t="inlineStr">
        <is>
          <t>ทาครีมบางๆ บริเวณที่มีอาการ วันละ 2-3 ครั้ง</t>
        </is>
      </c>
      <c r="P37" t="inlineStr">
        <is>
          <t>Eczema/diaper rash / anti-itch topicals</t>
        </is>
      </c>
    </row>
    <row r="38">
      <c r="A38" t="n">
        <v>823</v>
      </c>
      <c r="B38" t="inlineStr">
        <is>
          <t>ยาทาแก้แพ้, แก้คัน ชนิดน้ำ (D)</t>
        </is>
      </c>
      <c r="C38" t="n">
        <v>7547</v>
      </c>
      <c r="D38" t="inlineStr">
        <is>
          <t>Kanolone Lotion 30 ml</t>
        </is>
      </c>
      <c r="E38" t="inlineStr">
        <is>
          <t>ขวด 30 ml.</t>
        </is>
      </c>
      <c r="F38" t="inlineStr">
        <is>
          <t>Triamcinolone Acetonide 0.1 g/100 ml (0.1% w/v)</t>
        </is>
      </c>
      <c r="G38" t="inlineStr">
        <is>
          <t>BDS007547</t>
        </is>
      </c>
      <c r="H38" t="inlineStr">
        <is>
          <t>Kanolone Lotion 30 ml (30 ml.)</t>
        </is>
      </c>
      <c r="I38" t="inlineStr">
        <is>
          <t>ทาบางๆ บริเวณที่มีอาการ วันละ 2-3 ครั้ง</t>
        </is>
      </c>
      <c r="P38" t="inlineStr">
        <is>
          <t>Eczema/diaper rash / anti-itch topicals</t>
        </is>
      </c>
    </row>
    <row r="39">
      <c r="A39" t="n">
        <v>824</v>
      </c>
      <c r="B39" t="inlineStr">
        <is>
          <t>ยาทาแก้แพ้, แก้คัน ชนิดน้ำ (D)</t>
        </is>
      </c>
      <c r="C39" t="n">
        <v>7551</v>
      </c>
      <c r="D39" t="inlineStr">
        <is>
          <t>Kanolone Lotion 60 ml</t>
        </is>
      </c>
      <c r="E39" t="inlineStr">
        <is>
          <t>ขวด 60 ml.</t>
        </is>
      </c>
      <c r="F39" t="inlineStr">
        <is>
          <t>Triamcinolone Acetonide 0.1 g/100 ml (0.1% w/v)</t>
        </is>
      </c>
      <c r="G39" t="inlineStr">
        <is>
          <t>BDS007551</t>
        </is>
      </c>
      <c r="H39" t="inlineStr">
        <is>
          <t>Kanolone Lotion 60 ml (60 ml.)</t>
        </is>
      </c>
      <c r="I39" t="inlineStr">
        <is>
          <t>ทาบางๆ บริเวณที่มีอาการ วันละ 2-3 ครั้ง</t>
        </is>
      </c>
      <c r="P39" t="inlineStr">
        <is>
          <t>Eczema/diaper rash / anti-itch topicals</t>
        </is>
      </c>
    </row>
    <row r="40">
      <c r="A40" t="n">
        <v>825</v>
      </c>
      <c r="B40" t="inlineStr">
        <is>
          <t>ยาทาแก้แพ้, แก้คัน ชนิดน้ำ (D)</t>
        </is>
      </c>
      <c r="C40" t="n">
        <v>48630</v>
      </c>
      <c r="D40" t="inlineStr">
        <is>
          <t>TA 0.1% Lotion</t>
        </is>
      </c>
      <c r="E40" t="inlineStr">
        <is>
          <t>ขวด 30 g.</t>
        </is>
      </c>
      <c r="F40" t="inlineStr">
        <is>
          <t>Triamcinolone Acetonide 0.1 g/100 g (0.1 % w/w)</t>
        </is>
      </c>
      <c r="G40" t="inlineStr">
        <is>
          <t>BDS048630</t>
        </is>
      </c>
      <c r="H40" t="inlineStr">
        <is>
          <t>TA 0.1% Lotion (30 g.)</t>
        </is>
      </c>
      <c r="I40" t="inlineStr">
        <is>
          <t xml:space="preserve">ทาโลชั่นบางๆ บริเวณที่มีอาการ วันละ 2-4 ครั้ง </t>
        </is>
      </c>
      <c r="K40" t="n">
        <v>116</v>
      </c>
      <c r="L40" t="n">
        <v>3.87</v>
      </c>
      <c r="M40" t="inlineStr">
        <is>
          <t>USER</t>
        </is>
      </c>
      <c r="N40" t="inlineStr">
        <is>
          <t>2026-02-07</t>
        </is>
      </c>
      <c r="O40" t="inlineStr">
        <is>
          <t>User provided price (TA 0.1% Lotion 30 g).</t>
        </is>
      </c>
      <c r="P40" t="inlineStr">
        <is>
          <t>Eczema/diaper rash / anti-itch topicals</t>
        </is>
      </c>
    </row>
    <row r="41">
      <c r="A41" t="n">
        <v>826</v>
      </c>
      <c r="B41" t="inlineStr">
        <is>
          <t>ยาทาแก้แพ้, แก้คัน ชนิดน้ำ (D)</t>
        </is>
      </c>
      <c r="C41" t="n">
        <v>3799</v>
      </c>
      <c r="D41" t="inlineStr">
        <is>
          <t>Tram Lotion</t>
        </is>
      </c>
      <c r="E41" t="inlineStr">
        <is>
          <t>ขวด 30 ml.</t>
        </is>
      </c>
      <c r="F41" t="inlineStr">
        <is>
          <t>Triamcinolone Acetonide 0.1 % w/v</t>
        </is>
      </c>
      <c r="G41" t="inlineStr">
        <is>
          <t>BDS003799</t>
        </is>
      </c>
      <c r="H41" t="inlineStr">
        <is>
          <t>Tram Lotion (30 ml.)</t>
        </is>
      </c>
      <c r="I41" t="inlineStr">
        <is>
          <t>ทาบางๆ บริเวณที่มีอาการ วันละ 2-3 ครั้ง</t>
        </is>
      </c>
      <c r="P41" t="inlineStr">
        <is>
          <t>Eczema/diaper rash / anti-itch topicals</t>
        </is>
      </c>
    </row>
    <row r="42">
      <c r="A42" t="n">
        <v>859</v>
      </c>
      <c r="B42" t="inlineStr">
        <is>
          <t>ยาทาแก้แพ้, แก้คัน</t>
        </is>
      </c>
      <c r="C42" t="n">
        <v>8031</v>
      </c>
      <c r="D42" t="inlineStr">
        <is>
          <t>Cabana Lotion</t>
        </is>
      </c>
      <c r="E42" t="inlineStr">
        <is>
          <t>ขวด 60 ml.</t>
        </is>
      </c>
      <c r="F42" t="inlineStr">
        <is>
          <t>Diphenhydramine HCl 10 mg.+Calamine 100 mg.+Zinc Oxide 30 mg./1 ml.</t>
        </is>
      </c>
      <c r="G42" t="inlineStr">
        <is>
          <t>BDS008031</t>
        </is>
      </c>
      <c r="H42" t="inlineStr">
        <is>
          <t>Cabana Lotion (60 ml.)</t>
        </is>
      </c>
      <c r="I42" t="inlineStr">
        <is>
          <t>ทาบริเวณผิวหนังที่มีผื่นคัน หรือลมพิษ วันละ 2-3 ครั้ง หรือเมื่อมีอาการ</t>
        </is>
      </c>
      <c r="P42" t="inlineStr">
        <is>
          <t>Eczema/diaper rash / anti-itch topicals</t>
        </is>
      </c>
    </row>
    <row r="43">
      <c r="A43" t="n">
        <v>860</v>
      </c>
      <c r="B43" t="inlineStr">
        <is>
          <t>ยาทาแก้แพ้, แก้คัน</t>
        </is>
      </c>
      <c r="C43" t="n">
        <v>1402</v>
      </c>
      <c r="D43" t="inlineStr">
        <is>
          <t>Cadramine-V เล็ก</t>
        </is>
      </c>
      <c r="E43" t="inlineStr">
        <is>
          <t>ขวด 60 ml.</t>
        </is>
      </c>
      <c r="F43" t="inlineStr">
        <is>
          <t>Diphenhydramine HCl 10 mg.+Calamine 100 mg.+Zinc oxide 30 mg.+Camphor 15 mg./1 ml.</t>
        </is>
      </c>
      <c r="G43" t="inlineStr">
        <is>
          <t>BDS001402</t>
        </is>
      </c>
      <c r="H43" t="inlineStr">
        <is>
          <t>Cadramine-V เล็ก (60 ml.)</t>
        </is>
      </c>
      <c r="I43" t="inlineStr">
        <is>
          <t>ทาบริเวณที่มีอาการในขนาดพอเหมาะ วันละ 2-3 ครั้ง หรือตามต้องการ</t>
        </is>
      </c>
      <c r="P43" t="inlineStr">
        <is>
          <t>Eczema/diaper rash / anti-itch topicals</t>
        </is>
      </c>
    </row>
    <row r="44">
      <c r="A44" t="n">
        <v>861</v>
      </c>
      <c r="B44" t="inlineStr">
        <is>
          <t>ยาทาแก้แพ้, แก้คัน</t>
        </is>
      </c>
      <c r="C44" t="n">
        <v>1403</v>
      </c>
      <c r="D44" t="inlineStr">
        <is>
          <t>Cadramine-V ใหญ่</t>
        </is>
      </c>
      <c r="E44" t="inlineStr">
        <is>
          <t>ขวด 120 ml.</t>
        </is>
      </c>
      <c r="F44" t="inlineStr">
        <is>
          <t>Diphenhydramine HCl 10 mg.+Calamine 100 mg.+Zinc oxide 30 mg.+Camphor 15 mg./1 ml.</t>
        </is>
      </c>
      <c r="G44" t="inlineStr">
        <is>
          <t>BDS001403</t>
        </is>
      </c>
      <c r="H44" t="inlineStr">
        <is>
          <t>Cadramine-V ใหญ่ (120 ml.)</t>
        </is>
      </c>
      <c r="I44" t="inlineStr">
        <is>
          <t>ทาบริเวณที่มีอาการในขนาดพอเหมาะ วันละ 2-3 ครั้ง หรือตามต้องการ</t>
        </is>
      </c>
      <c r="P44" t="inlineStr">
        <is>
          <t>Eczema/diaper rash / anti-itch topicals</t>
        </is>
      </c>
    </row>
    <row r="45">
      <c r="A45" t="n">
        <v>862</v>
      </c>
      <c r="B45" t="inlineStr">
        <is>
          <t>ยาทาแก้แพ้, แก้คัน</t>
        </is>
      </c>
      <c r="C45" t="n">
        <v>1846</v>
      </c>
      <c r="D45" t="inlineStr">
        <is>
          <t>Fenistil Gel</t>
        </is>
      </c>
      <c r="E45" t="inlineStr">
        <is>
          <t>หลอด 20 g.</t>
        </is>
      </c>
      <c r="F45" t="inlineStr">
        <is>
          <t>Dimethindene maleate 1 mg.</t>
        </is>
      </c>
      <c r="G45" t="inlineStr">
        <is>
          <t>BDS001846</t>
        </is>
      </c>
      <c r="H45" t="inlineStr">
        <is>
          <t>Fenistil Gel (20 g.)</t>
        </is>
      </c>
      <c r="I45" t="inlineStr">
        <is>
          <t>ทาบางๆ บริเวณที่มีอาการ วันละ 2-4 ครั้ง</t>
        </is>
      </c>
      <c r="P45" t="inlineStr">
        <is>
          <t>Eczema/diaper rash / anti-itch topicals</t>
        </is>
      </c>
    </row>
    <row r="46">
      <c r="A46" t="n">
        <v>863</v>
      </c>
      <c r="B46" t="inlineStr">
        <is>
          <t>ยาทาแก้แพ้, แก้คัน</t>
        </is>
      </c>
      <c r="C46" t="n">
        <v>3669</v>
      </c>
      <c r="D46" t="inlineStr">
        <is>
          <t>Systral Cream เล็ก</t>
        </is>
      </c>
      <c r="E46" t="inlineStr">
        <is>
          <t>หลอด 10 g.</t>
        </is>
      </c>
      <c r="F46" t="inlineStr">
        <is>
          <t>Chlorphenoxamine HCl 1.5 %</t>
        </is>
      </c>
      <c r="G46" t="inlineStr">
        <is>
          <t>BDS003669</t>
        </is>
      </c>
      <c r="H46" t="inlineStr">
        <is>
          <t>Systral Cream เล็ก (10 g.)</t>
        </is>
      </c>
      <c r="I46" t="inlineStr">
        <is>
          <t>ทาบางๆ บริเวณที่มีอาการ วันละ 3-4 ครั้ง</t>
        </is>
      </c>
      <c r="P46" t="inlineStr">
        <is>
          <t>Eczema/diaper rash / anti-itch topicals</t>
        </is>
      </c>
    </row>
    <row r="47">
      <c r="A47" t="n">
        <v>864</v>
      </c>
      <c r="B47" t="inlineStr">
        <is>
          <t>ยาทาแก้แพ้, แก้คัน</t>
        </is>
      </c>
      <c r="C47" t="n">
        <v>3681</v>
      </c>
      <c r="D47" t="inlineStr">
        <is>
          <t>Systral Cream ใหญ่</t>
        </is>
      </c>
      <c r="E47" t="inlineStr">
        <is>
          <t>หลอด 25 g.</t>
        </is>
      </c>
      <c r="F47" t="inlineStr">
        <is>
          <t>Chlorphenoxamine HCl 1.5 %</t>
        </is>
      </c>
      <c r="G47" t="inlineStr">
        <is>
          <t>BDS003681</t>
        </is>
      </c>
      <c r="H47" t="inlineStr">
        <is>
          <t>Systral Cream ใหญ่ (25 g.)</t>
        </is>
      </c>
      <c r="I47" t="inlineStr">
        <is>
          <t>ทาบางๆ บริเวณที่มีอาการ วันละ 3-4 ครั้ง</t>
        </is>
      </c>
      <c r="P47" t="inlineStr">
        <is>
          <t>Eczema/diaper rash / anti-itch topicals</t>
        </is>
      </c>
    </row>
    <row r="48">
      <c r="A48" t="n">
        <v>881</v>
      </c>
      <c r="B48" t="inlineStr">
        <is>
          <t>ยาทาแก้แพ้, ผื่นผ้าอ้อม</t>
        </is>
      </c>
      <c r="C48" t="n">
        <v>1219</v>
      </c>
      <c r="D48" t="inlineStr">
        <is>
          <t>Bepanthen Ointment</t>
        </is>
      </c>
      <c r="E48" t="inlineStr">
        <is>
          <t>หลอด 30 g.</t>
        </is>
      </c>
      <c r="F48" t="inlineStr">
        <is>
          <t>Dexpanthenol 50 mg.</t>
        </is>
      </c>
      <c r="G48" t="inlineStr">
        <is>
          <t>BDS001219</t>
        </is>
      </c>
      <c r="H48" t="inlineStr">
        <is>
          <t>Bepanthen Ointment (30 g.)</t>
        </is>
      </c>
      <c r="I48" t="inlineStr">
        <is>
          <t xml:space="preserve">ทาทุกครั้งที่เปลี่ยนผ้าอ้อม ภายหลังจากได้ทำความสะอาดก้นเด็กด้วยการใช้น้ำ แล้วซับให้แห้ง </t>
        </is>
      </c>
      <c r="P48" t="inlineStr">
        <is>
          <t>Eczema/diaper rash / anti-itch topicals</t>
        </is>
      </c>
    </row>
    <row r="49">
      <c r="A49" t="n">
        <v>882</v>
      </c>
      <c r="B49" t="inlineStr">
        <is>
          <t>ยาทาแก้แพ้, ผื่นผ้าอ้อม</t>
        </is>
      </c>
      <c r="C49" t="n">
        <v>2806</v>
      </c>
      <c r="D49" t="inlineStr">
        <is>
          <t>Nappy-Hippo</t>
        </is>
      </c>
      <c r="E49" t="inlineStr">
        <is>
          <t>หลอด 25 g.</t>
        </is>
      </c>
      <c r="F49" t="inlineStr">
        <is>
          <t>Zinc Oxide 7.5 g./100 g.</t>
        </is>
      </c>
      <c r="G49" t="inlineStr">
        <is>
          <t>BDS002806</t>
        </is>
      </c>
      <c r="H49" t="inlineStr">
        <is>
          <t>Nappy-Hippo (25 g.)</t>
        </is>
      </c>
      <c r="I49" t="inlineStr">
        <is>
          <t>ทาครีมบางๆ บริเวณที่มีอาการ วันละ 3-4 ครั้ง</t>
        </is>
      </c>
      <c r="P49" t="inlineStr">
        <is>
          <t>Eczema/diaper rash / anti-itch topicals</t>
        </is>
      </c>
    </row>
  </sheetData>
  <autoFilter ref="A1:P4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755</v>
      </c>
      <c r="B2" t="inlineStr">
        <is>
          <t>น้ำตาเทียม</t>
        </is>
      </c>
      <c r="C2" t="n">
        <v>1552</v>
      </c>
      <c r="D2" t="inlineStr">
        <is>
          <t>Cellufresh</t>
        </is>
      </c>
      <c r="E2" t="inlineStr">
        <is>
          <t>กล่อง 30 หลอด</t>
        </is>
      </c>
      <c r="F2" t="inlineStr">
        <is>
          <t>Carboxymethylcellulose Sodium (CMC) 0.5%+Calcium Chloride+Magnesium Chloride+Potassium Chloride+Sodium Chloride+Sodium Lactate+Hydrochloric Acid+Sodium Hydroxide</t>
        </is>
      </c>
      <c r="G2" t="inlineStr">
        <is>
          <t>BDS001552</t>
        </is>
      </c>
      <c r="H2" t="inlineStr">
        <is>
          <t>Cellufresh (30 tubes)</t>
        </is>
      </c>
      <c r="I2" t="inlineStr">
        <is>
          <t>เปิดหลอดโดยการบิดฝา หยอดตาครั้งละ 1-2 หยด ในตาข้างที่เป็น ตามต้องการ</t>
        </is>
      </c>
      <c r="P2" t="inlineStr">
        <is>
          <t>Artificial tears / eye lubricants</t>
        </is>
      </c>
    </row>
    <row r="3">
      <c r="A3" t="n">
        <v>756</v>
      </c>
      <c r="B3" t="inlineStr">
        <is>
          <t>น้ำตาเทียม</t>
        </is>
      </c>
      <c r="C3" t="n">
        <v>41414</v>
      </c>
      <c r="D3" t="inlineStr">
        <is>
          <t xml:space="preserve">Cellufresh MD </t>
        </is>
      </c>
      <c r="E3" t="inlineStr">
        <is>
          <t>ขวด 3 ml.</t>
        </is>
      </c>
      <c r="F3" t="inlineStr">
        <is>
          <t xml:space="preserve">Carboxymethylcellulose Sodium (CMC) 0.5%+Boric acid+Calcium Chloride+Magnesium Chloride+Potassium Chloride+Sodium Borate+Sodium Chloride+Preservative (Stabilized Oxychloro Complex (Purite) </t>
        </is>
      </c>
      <c r="G3" t="inlineStr">
        <is>
          <t>BDS041414</t>
        </is>
      </c>
      <c r="H3" t="inlineStr">
        <is>
          <t>Cellufresh MD  (3 ml.)</t>
        </is>
      </c>
      <c r="I3" t="inlineStr">
        <is>
          <t>หยอดตาครั้งละ 1-2 หยด วันละ 2-3 ครั้ง ตามต้องการ</t>
        </is>
      </c>
      <c r="P3" t="inlineStr">
        <is>
          <t>Artificial tears / eye lubricants</t>
        </is>
      </c>
    </row>
    <row r="4">
      <c r="A4" t="n">
        <v>757</v>
      </c>
      <c r="B4" t="inlineStr">
        <is>
          <t>น้ำตาเทียม</t>
        </is>
      </c>
      <c r="C4" t="n">
        <v>1554</v>
      </c>
      <c r="D4" t="inlineStr">
        <is>
          <t>Cellufresh MD ใหญ่</t>
        </is>
      </c>
      <c r="E4" t="inlineStr">
        <is>
          <t>ขวด 15 ml.</t>
        </is>
      </c>
      <c r="F4" t="inlineStr">
        <is>
          <t xml:space="preserve">Carboxymethylcellulose Sodium (CMC) 0.5%+Boric acid+Calcium Chloride dihydrate+Magnesium Chloride+ Potassium Chloride+Sodium Borate+Sodium Chloride+Preservative (Stabilized Oxychloro complex (Purite) </t>
        </is>
      </c>
      <c r="G4" t="inlineStr">
        <is>
          <t>BDS001554</t>
        </is>
      </c>
      <c r="H4" t="inlineStr">
        <is>
          <t>Cellufresh MD ใหญ่ (15 ml.)</t>
        </is>
      </c>
      <c r="I4" t="inlineStr">
        <is>
          <t>หยอดตาครั้งละ 1-2 หยด วันละ 2-3 ครั้ง ตามต้องการ</t>
        </is>
      </c>
      <c r="P4" t="inlineStr">
        <is>
          <t>Artificial tears / eye lubricants</t>
        </is>
      </c>
    </row>
    <row r="5">
      <c r="A5" t="n">
        <v>758</v>
      </c>
      <c r="B5" t="inlineStr">
        <is>
          <t>น้ำตาเทียม</t>
        </is>
      </c>
      <c r="C5" t="n">
        <v>1551</v>
      </c>
      <c r="D5" t="inlineStr">
        <is>
          <t>Clens 100 Lens Drops</t>
        </is>
      </c>
      <c r="E5" t="inlineStr">
        <is>
          <t>ขวด 8 ml.</t>
        </is>
      </c>
      <c r="F5" t="inlineStr">
        <is>
          <t>Citrate/Borate Buffer+Sodium Chloride+Edetate Disodium 0.05%+PEG-11 Lauryl ether Carboxylic acid+Tetronic t1304+Preservative (Edetate Disodium 0.05%+Polidronium Chloride 0.001%)</t>
        </is>
      </c>
      <c r="G5" t="inlineStr">
        <is>
          <t>BDS001551</t>
        </is>
      </c>
      <c r="H5" t="inlineStr">
        <is>
          <t>Clens 100 Lens Drops (8 ml.)</t>
        </is>
      </c>
      <c r="I5" t="inlineStr">
        <is>
          <t xml:space="preserve">หยดน้ำยา 2 หยด เข้าในตาแต่ละข้าง กะพริบตา 2-3 ครั้ง  </t>
        </is>
      </c>
      <c r="P5" t="inlineStr">
        <is>
          <t>Artificial tears / eye lubricants</t>
        </is>
      </c>
    </row>
    <row r="6">
      <c r="A6" t="n">
        <v>759</v>
      </c>
      <c r="B6" t="inlineStr">
        <is>
          <t>น้ำตาเทียม</t>
        </is>
      </c>
      <c r="C6" t="n">
        <v>2107</v>
      </c>
      <c r="D6" t="inlineStr">
        <is>
          <t>Genteal Eye Drop</t>
        </is>
      </c>
      <c r="E6" t="inlineStr">
        <is>
          <t>ขวด 10 ml.</t>
        </is>
      </c>
      <c r="F6" t="inlineStr">
        <is>
          <t>Hypromellose 3 mg. (0.3%)+Sodium Chloride+Boric Acid+Potassium Chloride+Hydrochloric Acid+Preservative (Sodium Perborate+Phosphonic Acid)</t>
        </is>
      </c>
      <c r="G6" t="inlineStr">
        <is>
          <t>BDS002107</t>
        </is>
      </c>
      <c r="H6" t="inlineStr">
        <is>
          <t>Genteal Eye Drop (10 ml.)</t>
        </is>
      </c>
      <c r="I6" t="inlineStr">
        <is>
          <t>หยอดตาข้างที่เป็นครั้งละ 1-2 หยด ตามต้องการ</t>
        </is>
      </c>
      <c r="P6" t="inlineStr">
        <is>
          <t>Artificial tears / eye lubricants</t>
        </is>
      </c>
    </row>
    <row r="7">
      <c r="A7" t="n">
        <v>760</v>
      </c>
      <c r="B7" t="inlineStr">
        <is>
          <t>น้ำตาเทียม</t>
        </is>
      </c>
      <c r="C7" t="n">
        <v>2031</v>
      </c>
      <c r="D7" t="inlineStr">
        <is>
          <t>Genteal Gel</t>
        </is>
      </c>
      <c r="E7" t="inlineStr">
        <is>
          <t>หลอด 10 g.</t>
        </is>
      </c>
      <c r="F7" t="inlineStr">
        <is>
          <t>Hypromellose 3 mg. (0.3%)+Carbomer 980 2.2 mg.+Sorbitol 35 mg.+Sodium hydroxide 0.787 mg.+Dequest 2060 0.06 mg.+Preservative (Sodium Perborate Tetrahydrate 0.28 mg.)/1 g.</t>
        </is>
      </c>
      <c r="G7" t="inlineStr">
        <is>
          <t>BDS002031</t>
        </is>
      </c>
      <c r="H7" t="inlineStr">
        <is>
          <t>Genteal Gel (10 g.)</t>
        </is>
      </c>
      <c r="I7" t="inlineStr">
        <is>
          <t>หยอดยาลงในเปลือกตาล่างแต่ละข้างครั้งละ 1 หยด และกะพริบตาหลายๆ ครั้ง</t>
        </is>
      </c>
      <c r="P7" t="inlineStr">
        <is>
          <t>Artificial tears / eye lubricants</t>
        </is>
      </c>
    </row>
    <row r="8">
      <c r="A8" t="n">
        <v>761</v>
      </c>
      <c r="B8" t="inlineStr">
        <is>
          <t>น้ำตาเทียม</t>
        </is>
      </c>
      <c r="C8" t="n">
        <v>43800</v>
      </c>
      <c r="D8" t="inlineStr">
        <is>
          <t>Hialid 0.1 Opthalmic Solution</t>
        </is>
      </c>
      <c r="E8" t="inlineStr">
        <is>
          <t>ขวด 5 ml.</t>
        </is>
      </c>
      <c r="F8" t="inlineStr">
        <is>
          <t>Sodium Hyaluronate 0.1%+6-Aminocaproic Acid/1 ml.</t>
        </is>
      </c>
      <c r="G8" t="inlineStr">
        <is>
          <t>BDS043800</t>
        </is>
      </c>
      <c r="H8" t="inlineStr">
        <is>
          <t>Hialid 0.1 Opthalmic Solution (5 ml.)</t>
        </is>
      </c>
      <c r="I8" t="inlineStr">
        <is>
          <t xml:space="preserve">หยอดครั้งละ 1 หยด วันละ 5-6 ครั้ง หรือตามแพทย์สั่ง </t>
        </is>
      </c>
      <c r="P8" t="inlineStr">
        <is>
          <t>Artificial tears / eye lubricants</t>
        </is>
      </c>
    </row>
    <row r="9">
      <c r="A9" t="n">
        <v>762</v>
      </c>
      <c r="B9" t="inlineStr">
        <is>
          <t>น้ำตาเทียม</t>
        </is>
      </c>
      <c r="C9" t="n">
        <v>43847</v>
      </c>
      <c r="D9" t="inlineStr">
        <is>
          <t>Hyatear</t>
        </is>
      </c>
      <c r="E9" t="inlineStr">
        <is>
          <t>กล่อง 20 หลอด</t>
        </is>
      </c>
      <c r="F9" t="inlineStr">
        <is>
          <t>Sodium Hyaluronate 0.18% (Sodium Hyaluronate 1.8 mg.+Sodium Chloride +Potassium Chloride +Trisodium citrate +Disodium Hydrogenphosphate +Sodium dihydrogen phosphate +Magnesium chloride hexahydrate +Calcium Chloride dihydrate)</t>
        </is>
      </c>
      <c r="G9" t="inlineStr">
        <is>
          <t>BDS043847</t>
        </is>
      </c>
      <c r="H9" t="inlineStr">
        <is>
          <t>Hyatear (20 tubes)</t>
        </is>
      </c>
      <c r="I9" t="inlineStr">
        <is>
          <t>เปิดหลอดโดยการบิดฝา หยอดตาครั้งละ 1-2 หยด ในตาข้างที่เป็น วันละ 4 ครั้ง หรือตามต้องการ</t>
        </is>
      </c>
      <c r="P9" t="inlineStr">
        <is>
          <t>Artificial tears / eye lubricants</t>
        </is>
      </c>
    </row>
    <row r="10">
      <c r="A10" t="n">
        <v>763</v>
      </c>
      <c r="B10" t="inlineStr">
        <is>
          <t>น้ำตาเทียม</t>
        </is>
      </c>
      <c r="C10" t="n">
        <v>2886</v>
      </c>
      <c r="D10" t="inlineStr">
        <is>
          <t>Natear</t>
        </is>
      </c>
      <c r="E10" t="inlineStr">
        <is>
          <t>ขวด 10 ml.</t>
        </is>
      </c>
      <c r="F10" t="inlineStr">
        <is>
          <t xml:space="preserve">Hydroxypropyl Methylcellulose USP 0.3%+Preservative (Sodium Perborate) </t>
        </is>
      </c>
      <c r="G10" t="inlineStr">
        <is>
          <t>BDS002886</t>
        </is>
      </c>
      <c r="H10" t="inlineStr">
        <is>
          <t>Natear (10 ml.)</t>
        </is>
      </c>
      <c r="I10" t="inlineStr">
        <is>
          <t xml:space="preserve">หยอดครั้งละ 1-2 หยด วันละ 2-3 ครั้ง หรือเมื่อมีอาการระคายเคืองตา </t>
        </is>
      </c>
      <c r="P10" t="inlineStr">
        <is>
          <t>Artificial tears / eye lubricants</t>
        </is>
      </c>
    </row>
    <row r="11">
      <c r="A11" t="n">
        <v>764</v>
      </c>
      <c r="B11" t="inlineStr">
        <is>
          <t>น้ำตาเทียม</t>
        </is>
      </c>
      <c r="C11" t="n">
        <v>45617</v>
      </c>
      <c r="D11" t="inlineStr">
        <is>
          <t>Natear UD Lubricant Eye Drops</t>
        </is>
      </c>
      <c r="E11" t="inlineStr">
        <is>
          <t>กล่อง 7 หลอด</t>
        </is>
      </c>
      <c r="F11" t="inlineStr">
        <is>
          <t>Hypromellose (Hydroxypropyl Methylcellulose) 0.3% w/v /0.8 ml.</t>
        </is>
      </c>
      <c r="G11" t="inlineStr">
        <is>
          <t>BDS045617</t>
        </is>
      </c>
      <c r="H11" t="inlineStr">
        <is>
          <t>Natear UD Lubricant Eye Drops (7 tubes)</t>
        </is>
      </c>
      <c r="I11" t="inlineStr">
        <is>
          <t xml:space="preserve">หยอดตาครั้งละ 1-2 หยด วันละ 2-3 ครั้ง หรือเมื่อรู้สึกระคายเคืองตา </t>
        </is>
      </c>
      <c r="P11" t="inlineStr">
        <is>
          <t>Artificial tears / eye lubricants</t>
        </is>
      </c>
    </row>
    <row r="12">
      <c r="A12" t="n">
        <v>765</v>
      </c>
      <c r="B12" t="inlineStr">
        <is>
          <t>น้ำตาเทียม</t>
        </is>
      </c>
      <c r="C12" t="n">
        <v>46204</v>
      </c>
      <c r="D12" t="inlineStr">
        <is>
          <t>OcuFreshs Tear Eye Drops</t>
        </is>
      </c>
      <c r="E12" t="inlineStr">
        <is>
          <t>ขวด 10 ml.</t>
        </is>
      </c>
      <c r="F12" t="inlineStr">
        <is>
          <t>Hypromellose 3 mg. (0.3%)+Preservative (Benzalkonium Chloride 0.02%)/1 ml.</t>
        </is>
      </c>
      <c r="G12" t="inlineStr">
        <is>
          <t>BDS046204</t>
        </is>
      </c>
      <c r="H12" t="inlineStr">
        <is>
          <t>OcuFreshs Tear Eye Drops (10 ml.)</t>
        </is>
      </c>
      <c r="I12" t="inlineStr">
        <is>
          <t>หยอดตาครั้งละ 1-2 หยด วันละ 3-4 ครั้ง หรือตามต้องการ</t>
        </is>
      </c>
      <c r="P12" t="inlineStr">
        <is>
          <t>Artificial tears / eye lubricants</t>
        </is>
      </c>
    </row>
    <row r="13">
      <c r="A13" t="n">
        <v>766</v>
      </c>
      <c r="B13" t="inlineStr">
        <is>
          <t>น้ำตาเทียม</t>
        </is>
      </c>
      <c r="C13" t="n">
        <v>3014</v>
      </c>
      <c r="D13" t="inlineStr">
        <is>
          <t>Opsil Tears 0.3%</t>
        </is>
      </c>
      <c r="E13" t="inlineStr">
        <is>
          <t>ขวด 10 ml.</t>
        </is>
      </c>
      <c r="F13" t="inlineStr">
        <is>
          <t xml:space="preserve">Hydroxypropyl Methylcellulose USP 0.3%+Preservative (Benzalkonium Chloride) </t>
        </is>
      </c>
      <c r="G13" t="inlineStr">
        <is>
          <t>BDS003014</t>
        </is>
      </c>
      <c r="H13" t="inlineStr">
        <is>
          <t>Opsil Tears 0.3% (10 ml.)</t>
        </is>
      </c>
      <c r="I13" t="inlineStr">
        <is>
          <t>หยอดตาครั้งละ 1-2 หยด วันละ 2-3 ครั้ง หรือเมื่อรู้สึกเคืองตา</t>
        </is>
      </c>
      <c r="P13" t="inlineStr">
        <is>
          <t>Artificial tears / eye lubricants</t>
        </is>
      </c>
    </row>
    <row r="14">
      <c r="A14" t="n">
        <v>767</v>
      </c>
      <c r="B14" t="inlineStr">
        <is>
          <t>น้ำตาเทียม</t>
        </is>
      </c>
      <c r="C14" t="n">
        <v>3102</v>
      </c>
      <c r="D14" t="inlineStr">
        <is>
          <t>Opti-Free Rewetting Drops</t>
        </is>
      </c>
      <c r="E14" t="inlineStr">
        <is>
          <t>ขวด 10 ml.</t>
        </is>
      </c>
      <c r="F14" t="inlineStr">
        <is>
          <t>Citrate buffer+Sodium chloride+Preservative (Edetate Disodium 0.05%+Polyquaternium-1 0.001%)</t>
        </is>
      </c>
      <c r="G14" t="inlineStr">
        <is>
          <t>BDS003102</t>
        </is>
      </c>
      <c r="H14" t="inlineStr">
        <is>
          <t>Opti-Free Rewetting Drops (10 ml.)</t>
        </is>
      </c>
      <c r="I14" t="inlineStr">
        <is>
          <t xml:space="preserve">หยอดตาครั้งละ 1-2 หยด และกะพริบตา 2-3 ครั้ง เมื่อมีอาการ </t>
        </is>
      </c>
      <c r="P14" t="inlineStr">
        <is>
          <t>Artificial tears / eye lubricants</t>
        </is>
      </c>
    </row>
    <row r="15">
      <c r="A15" t="n">
        <v>768</v>
      </c>
      <c r="B15" t="inlineStr">
        <is>
          <t>น้ำตาเทียม</t>
        </is>
      </c>
      <c r="C15" t="n">
        <v>1204</v>
      </c>
      <c r="D15" t="inlineStr">
        <is>
          <t>Renu Multiplus Lubricating &amp; Rewetting Drops</t>
        </is>
      </c>
      <c r="E15" t="inlineStr">
        <is>
          <t>ขวด 8 ml.</t>
        </is>
      </c>
      <c r="F15" t="inlineStr">
        <is>
          <t>Povidone+Boric acid+Potassium chloride+Sodium chloride+ Sodium borate+Edetate disodium+Sorbic acid+Preservative (Edetate disodium 0.1%+Sorbic acid 0.1%)</t>
        </is>
      </c>
      <c r="G15" t="inlineStr">
        <is>
          <t>BDS001204</t>
        </is>
      </c>
      <c r="H15" t="inlineStr">
        <is>
          <t>Renu Multiplus Lubricating &amp; Rewetting Drops (8 ml.)</t>
        </is>
      </c>
      <c r="I15" t="inlineStr">
        <is>
          <t xml:space="preserve">หยอดตาครั้งละ 2-3 หยด เมื่อต้องการ และกะพริบตาหลายๆ ครั้ง </t>
        </is>
      </c>
      <c r="P15" t="inlineStr">
        <is>
          <t>Artificial tears / eye lubricants</t>
        </is>
      </c>
    </row>
    <row r="16">
      <c r="A16" t="n">
        <v>769</v>
      </c>
      <c r="B16" t="inlineStr">
        <is>
          <t>น้ำตาเทียม</t>
        </is>
      </c>
      <c r="C16" t="n">
        <v>47663</v>
      </c>
      <c r="D16" t="inlineStr">
        <is>
          <t>Seeview Sofs</t>
        </is>
      </c>
      <c r="E16" t="inlineStr">
        <is>
          <t>ขวด 10 ml.</t>
        </is>
      </c>
      <c r="F16" t="inlineStr">
        <is>
          <t>Hypromellose 3 mg/1 ml.</t>
        </is>
      </c>
      <c r="G16" t="inlineStr">
        <is>
          <t>BDS047663</t>
        </is>
      </c>
      <c r="H16" t="inlineStr">
        <is>
          <t>Seeview Sofs (10 ml.)</t>
        </is>
      </c>
      <c r="I16" t="inlineStr">
        <is>
          <t xml:space="preserve">หยอดตาครั้งละ 1 หยด เมื่อรู้สึกเคืองตา </t>
        </is>
      </c>
      <c r="P16" t="inlineStr">
        <is>
          <t>Artificial tears / eye lubricants</t>
        </is>
      </c>
    </row>
    <row r="17">
      <c r="A17" t="n">
        <v>770</v>
      </c>
      <c r="B17" t="inlineStr">
        <is>
          <t>น้ำตาเทียม</t>
        </is>
      </c>
      <c r="C17" t="n">
        <v>47647</v>
      </c>
      <c r="D17" t="inlineStr">
        <is>
          <t>Sof Tear Eye Drops</t>
        </is>
      </c>
      <c r="E17" t="inlineStr">
        <is>
          <t>ขวด 5 ml.</t>
        </is>
      </c>
      <c r="F17" t="inlineStr">
        <is>
          <t>Hypromellose USP 3 mg. (0.3% w/v USP)+Preservative (Sodium Perborate 0.28 mg.)/1 ml.</t>
        </is>
      </c>
      <c r="G17" t="inlineStr">
        <is>
          <t>BDS047647</t>
        </is>
      </c>
      <c r="H17" t="inlineStr">
        <is>
          <t>Sof Tear Eye Drops (5 ml.)</t>
        </is>
      </c>
      <c r="I17" t="inlineStr">
        <is>
          <t xml:space="preserve">หยอดตาครั้งละ 1-2 หยด เมื่อรู้สึกเคืองตา </t>
        </is>
      </c>
      <c r="P17" t="inlineStr">
        <is>
          <t>Artificial tears / eye lubricants</t>
        </is>
      </c>
    </row>
    <row r="18">
      <c r="A18" t="n">
        <v>771</v>
      </c>
      <c r="B18" t="inlineStr">
        <is>
          <t>น้ำตาเทียม</t>
        </is>
      </c>
      <c r="C18" t="n">
        <v>47637</v>
      </c>
      <c r="D18" t="inlineStr">
        <is>
          <t>Systane Ultra (UD) Lubricant Eye Drops</t>
        </is>
      </c>
      <c r="E18" t="inlineStr">
        <is>
          <t>กล่อง 28 หลอด</t>
        </is>
      </c>
      <c r="F18" t="inlineStr">
        <is>
          <t>Polyethylene Glycol 400 0.4%+Propylene Glycol 0.3%+Aminomethylpropanol+Boric Acid+Hydroxypropyl Guar+Potassium Chloride+Sodium Chloride+Sorbitol+Hydrochloric Acid+Sodium Hydroxide/1 ml.</t>
        </is>
      </c>
      <c r="G18" t="inlineStr">
        <is>
          <t>BDS047637</t>
        </is>
      </c>
      <c r="H18" t="inlineStr">
        <is>
          <t>Systane Ultra (UD) Lubricant Eye Drops (28 tubes)</t>
        </is>
      </c>
      <c r="I18" t="inlineStr">
        <is>
          <t xml:space="preserve">หยอดตาข้างที่เป็น ครั้งละ 1-2 หยด แล้วกะพริบตาต่อเนื่องกันประมาณ 1 นาที </t>
        </is>
      </c>
      <c r="P18" t="inlineStr">
        <is>
          <t>Artificial tears / eye lubricants</t>
        </is>
      </c>
    </row>
    <row r="19">
      <c r="A19" t="n">
        <v>772</v>
      </c>
      <c r="B19" t="inlineStr">
        <is>
          <t>น้ำตาเทียม</t>
        </is>
      </c>
      <c r="C19" t="n">
        <v>3679</v>
      </c>
      <c r="D19" t="inlineStr">
        <is>
          <t>Systane Ultra Lubricant Eye Drops</t>
        </is>
      </c>
      <c r="E19" t="inlineStr">
        <is>
          <t>ขวด 10 ml.</t>
        </is>
      </c>
      <c r="F19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G19" t="inlineStr">
        <is>
          <t>BDS003679</t>
        </is>
      </c>
      <c r="H19" t="inlineStr">
        <is>
          <t>Systane Ultra Lubricant Eye Drops (10 ml.)</t>
        </is>
      </c>
      <c r="I19" t="inlineStr">
        <is>
          <t xml:space="preserve">หยดน้ำยา 1-2 หยด เข้าในตาแต่ละข้าง กะพริบตาต่อเนื่องกันประมาณ 1 นาที </t>
        </is>
      </c>
      <c r="P19" t="inlineStr">
        <is>
          <t>Artificial tears / eye lubricants</t>
        </is>
      </c>
    </row>
    <row r="20">
      <c r="A20" t="n">
        <v>773</v>
      </c>
      <c r="B20" t="inlineStr">
        <is>
          <t>น้ำตาเทียม</t>
        </is>
      </c>
      <c r="C20" t="n">
        <v>3765</v>
      </c>
      <c r="D20" t="inlineStr">
        <is>
          <t>Tear Mac Eye Drops</t>
        </is>
      </c>
      <c r="E20" t="inlineStr">
        <is>
          <t>ขวด 10 ml.</t>
        </is>
      </c>
      <c r="F20" t="inlineStr">
        <is>
          <t xml:space="preserve">Carboxymethyl Cellulose Sodium (CMC) 0.5%w/v+Preservative (Stabilised Oxychloro Complex  0.005% w/v) </t>
        </is>
      </c>
      <c r="G20" t="inlineStr">
        <is>
          <t>BDS003765</t>
        </is>
      </c>
      <c r="H20" t="inlineStr">
        <is>
          <t>Tear Mac Eye Drops (10 ml.)</t>
        </is>
      </c>
      <c r="I20" t="inlineStr">
        <is>
          <t xml:space="preserve">หยอดครั้งละ 1-2 หยด วันละ 4 ครั้ง หรือตามต้องการ </t>
        </is>
      </c>
      <c r="P20" t="inlineStr">
        <is>
          <t>Artificial tears / eye lubricants</t>
        </is>
      </c>
    </row>
    <row r="21">
      <c r="A21" t="n">
        <v>774</v>
      </c>
      <c r="B21" t="inlineStr">
        <is>
          <t>น้ำตาเทียม</t>
        </is>
      </c>
      <c r="C21" t="n">
        <v>3709</v>
      </c>
      <c r="D21" t="inlineStr">
        <is>
          <t>Tear Natural</t>
        </is>
      </c>
      <c r="E21" t="inlineStr">
        <is>
          <t>ขวด 15 ml.</t>
        </is>
      </c>
      <c r="F21" t="inlineStr">
        <is>
          <t>Dextran 70 0.1%+Hydroxypropyl Methylcellulose 2910 0.3%+Borax+Potassium Chloride+Sodium Chloride+Hydrochloric acid+Preservative (Polyquaternium-1 0.0011%)/1 ml.</t>
        </is>
      </c>
      <c r="G21" t="inlineStr">
        <is>
          <t>BDS003709</t>
        </is>
      </c>
      <c r="H21" t="inlineStr">
        <is>
          <t>Tear Natural (15 ml.)</t>
        </is>
      </c>
      <c r="I21" t="inlineStr">
        <is>
          <t>หยอดตาข้างที่เป็นครั้งละ 1-2 หยด ตามต้องการ</t>
        </is>
      </c>
      <c r="P21" t="inlineStr">
        <is>
          <t>Artificial tears / eye lubricants</t>
        </is>
      </c>
    </row>
    <row r="22">
      <c r="A22" t="n">
        <v>775</v>
      </c>
      <c r="B22" t="inlineStr">
        <is>
          <t>น้ำตาเทียม</t>
        </is>
      </c>
      <c r="C22" t="n">
        <v>3714</v>
      </c>
      <c r="D22" t="inlineStr">
        <is>
          <t>Tears Naturale Free</t>
        </is>
      </c>
      <c r="E22" t="inlineStr">
        <is>
          <t>กล่อง 32 หลอด</t>
        </is>
      </c>
      <c r="F22" t="inlineStr">
        <is>
          <t>Dextran 70 0.1%+Hydroxypropyl Methylcellulose 2910 0.3%</t>
        </is>
      </c>
      <c r="G22" t="inlineStr">
        <is>
          <t>BDS003714</t>
        </is>
      </c>
      <c r="H22" t="inlineStr">
        <is>
          <t>Tears Naturale Free (32 tubes)</t>
        </is>
      </c>
      <c r="I22" t="inlineStr">
        <is>
          <t>เปิดหลอดโดยการบิดฝา หยอดตาครั้งละ 1-2 หยด ในตาข้างที่เป็น ตามต้องการ</t>
        </is>
      </c>
      <c r="P22" t="inlineStr">
        <is>
          <t>Artificial tears / eye lubricants</t>
        </is>
      </c>
    </row>
    <row r="23">
      <c r="A23" t="n">
        <v>776</v>
      </c>
      <c r="B23" t="inlineStr">
        <is>
          <t>น้ำตาเทียม</t>
        </is>
      </c>
      <c r="C23" t="n">
        <v>4035</v>
      </c>
      <c r="D23" t="inlineStr">
        <is>
          <t>Vislube</t>
        </is>
      </c>
      <c r="E23" t="inlineStr">
        <is>
          <t>กล่อง 20 หลอด</t>
        </is>
      </c>
      <c r="F23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G23" t="inlineStr">
        <is>
          <t>BDS004035</t>
        </is>
      </c>
      <c r="H23" t="inlineStr">
        <is>
          <t>Vislube (20 tubes)</t>
        </is>
      </c>
      <c r="I23" t="inlineStr">
        <is>
          <t>เปิดหลอดโดยการบิดฝา หยอดตาครั้งละ 1-2 หยด ในตาข้างที่เป็น ตามต้องการ</t>
        </is>
      </c>
      <c r="P23" t="inlineStr">
        <is>
          <t>Artificial tears / eye lubricants</t>
        </is>
      </c>
    </row>
    <row r="24">
      <c r="A24" t="n">
        <v>865</v>
      </c>
      <c r="B24" t="inlineStr">
        <is>
          <t>น้ำตาเทียม (D)</t>
        </is>
      </c>
      <c r="C24" t="n">
        <v>3904</v>
      </c>
      <c r="D24" t="inlineStr">
        <is>
          <t>Vidisic Gel</t>
        </is>
      </c>
      <c r="E24" t="inlineStr">
        <is>
          <t>หลอด 10 g.</t>
        </is>
      </c>
      <c r="F24" t="inlineStr">
        <is>
          <t>Carbomer 2 mg.+Cetrimide 0.1 mg.+Sorbitol+Sodium hydroxide +Water for injections/1 g.</t>
        </is>
      </c>
      <c r="G24" t="inlineStr">
        <is>
          <t>BDS003904</t>
        </is>
      </c>
      <c r="H24" t="inlineStr">
        <is>
          <t>Vidisic Gel (10 g.)</t>
        </is>
      </c>
      <c r="I24" t="inlineStr">
        <is>
          <t>ป้ายตา วันละ 3-5 ครั้ง</t>
        </is>
      </c>
      <c r="P24" t="inlineStr">
        <is>
          <t>Artificial tears / eye lubricants</t>
        </is>
      </c>
    </row>
  </sheetData>
  <autoFilter ref="A1:P2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777</v>
      </c>
      <c r="B2" t="inlineStr">
        <is>
          <t>ยาทาฆ่าเชื้อแบคทีเรีย (D)</t>
        </is>
      </c>
      <c r="C2" t="n">
        <v>2003</v>
      </c>
      <c r="D2" t="inlineStr">
        <is>
          <t>Garamycin Cream</t>
        </is>
      </c>
      <c r="E2" t="inlineStr">
        <is>
          <t>หลอด 5 g.</t>
        </is>
      </c>
      <c r="F2" t="inlineStr">
        <is>
          <t>Gentamicin 1 mg./1 g.</t>
        </is>
      </c>
      <c r="G2" t="inlineStr">
        <is>
          <t>BDS002003</t>
        </is>
      </c>
      <c r="H2" t="inlineStr">
        <is>
          <t>Garamycin Cream (5 g.)</t>
        </is>
      </c>
      <c r="I2" t="inlineStr">
        <is>
          <t>ทาบางๆ บริเวณผิวหนังที่ติดเชื้อ วันละ 3-4 ครั้ง</t>
        </is>
      </c>
      <c r="P2" t="inlineStr">
        <is>
          <t>Topical antibiotic / wound care / burn care</t>
        </is>
      </c>
    </row>
    <row r="3">
      <c r="A3" t="n">
        <v>778</v>
      </c>
      <c r="B3" t="inlineStr">
        <is>
          <t>ยาทาฆ่าเชื้อแบคทีเรีย (D)</t>
        </is>
      </c>
      <c r="C3" t="n">
        <v>47636</v>
      </c>
      <c r="D3" t="inlineStr">
        <is>
          <t>Silverzine Cream</t>
        </is>
      </c>
      <c r="E3" t="inlineStr">
        <is>
          <t>หลอด 25 g.</t>
        </is>
      </c>
      <c r="F3" t="inlineStr">
        <is>
          <t>Micronized Silver Sulfadiazine 1%</t>
        </is>
      </c>
      <c r="G3" t="inlineStr">
        <is>
          <t>BDS047636</t>
        </is>
      </c>
      <c r="H3" t="inlineStr">
        <is>
          <t>Silverzine Cream (25 g.)</t>
        </is>
      </c>
      <c r="I3" t="inlineStr">
        <is>
          <t xml:space="preserve">ทาบริเวณที่เป็น วันละ 2 ครั้ง </t>
        </is>
      </c>
      <c r="P3" t="inlineStr">
        <is>
          <t>Topical antibiotic / wound care / burn care</t>
        </is>
      </c>
    </row>
    <row r="4">
      <c r="A4" t="n">
        <v>827</v>
      </c>
      <c r="B4" t="inlineStr">
        <is>
          <t>ยาทาสมานแผล</t>
        </is>
      </c>
      <c r="C4" t="n">
        <v>1099</v>
      </c>
      <c r="D4" t="inlineStr">
        <is>
          <t>Intrasite Gel</t>
        </is>
      </c>
      <c r="E4" t="inlineStr">
        <is>
          <t>หลอด 25 g.</t>
        </is>
      </c>
      <c r="F4" t="inlineStr">
        <is>
          <t>Carboxymethyl Cellulose Polymer+Propylene Glycol+Water</t>
        </is>
      </c>
      <c r="G4" t="inlineStr">
        <is>
          <t>BDS001099</t>
        </is>
      </c>
      <c r="H4" t="inlineStr">
        <is>
          <t>Intrasite Gel (25 g.)</t>
        </is>
      </c>
      <c r="I4" t="inlineStr">
        <is>
          <t xml:space="preserve">เปิดจุกสีส้มออก ค่อยๆ บีบเจลเข้าไปในแผล ให้มีเจลหนาประมาณ 5 มิลลิเมตร </t>
        </is>
      </c>
      <c r="P4" t="inlineStr">
        <is>
          <t>Topical antibiotic / wound care / burn care</t>
        </is>
      </c>
    </row>
    <row r="5">
      <c r="A5" t="n">
        <v>829</v>
      </c>
      <c r="B5" t="inlineStr">
        <is>
          <t>ยาทาแผลไฟไหม้, น้ำร้อนลวก</t>
        </is>
      </c>
      <c r="C5" t="n">
        <v>1007</v>
      </c>
      <c r="D5" t="inlineStr">
        <is>
          <t>Aloe Gel</t>
        </is>
      </c>
      <c r="E5" t="inlineStr">
        <is>
          <t>หลอด 30 g.</t>
        </is>
      </c>
      <c r="F5" t="inlineStr">
        <is>
          <t>วุ้นจากว่านหางจระเข้ 87.399 %</t>
        </is>
      </c>
      <c r="G5" t="inlineStr">
        <is>
          <t>BDS001007</t>
        </is>
      </c>
      <c r="H5" t="inlineStr">
        <is>
          <t>Aloe Gel (30 g.)</t>
        </is>
      </c>
      <c r="I5" t="inlineStr">
        <is>
          <t>ทาเจลบริเวณที่มีอาการ วันละ 2-3 ครั้ง</t>
        </is>
      </c>
      <c r="P5" t="inlineStr">
        <is>
          <t>Topical antibiotic / wound care / burn care</t>
        </is>
      </c>
    </row>
    <row r="6">
      <c r="A6" t="n">
        <v>830</v>
      </c>
      <c r="B6" t="inlineStr">
        <is>
          <t>ยาทาแผลไฟไหม้, น้ำร้อนลวก</t>
        </is>
      </c>
      <c r="C6" t="n">
        <v>2801</v>
      </c>
      <c r="D6" t="inlineStr">
        <is>
          <t>Mebo</t>
        </is>
      </c>
      <c r="E6" t="inlineStr">
        <is>
          <t>หลอด 10 g.</t>
        </is>
      </c>
      <c r="F6" t="inlineStr">
        <is>
          <t>Beta-sitosterol 0.25%</t>
        </is>
      </c>
      <c r="G6" t="inlineStr">
        <is>
          <t>BDS002801</t>
        </is>
      </c>
      <c r="H6" t="inlineStr">
        <is>
          <t>Mebo (10 g.)</t>
        </is>
      </c>
      <c r="I6" t="inlineStr">
        <is>
          <t>ทาบริเวณที่มีอาการ วันละ 2-3 ครั้ง</t>
        </is>
      </c>
      <c r="P6" t="inlineStr">
        <is>
          <t>Topical antibiotic / wound care / burn care</t>
        </is>
      </c>
    </row>
  </sheetData>
  <autoFilter ref="A1:P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818</v>
      </c>
      <c r="B2" t="inlineStr">
        <is>
          <t>ยาทาแผลในปาก (D)</t>
        </is>
      </c>
      <c r="C2" t="n">
        <v>2430</v>
      </c>
      <c r="D2" t="inlineStr">
        <is>
          <t>Kamistad-Gel N</t>
        </is>
      </c>
      <c r="E2" t="inlineStr">
        <is>
          <t>หลอด 10 g.</t>
        </is>
      </c>
      <c r="F2" t="inlineStr">
        <is>
          <t>Lidocaine HCl 20 mg.+Chamomile Flower Extract 185 mg.+Ethanol 50% v/v+Tromethamole 1.37% w/w+Preservative (Benzalkonium Chloride 1 mg.)/1 g.</t>
        </is>
      </c>
      <c r="G2" t="inlineStr">
        <is>
          <t>BDS002430</t>
        </is>
      </c>
      <c r="H2" t="inlineStr">
        <is>
          <t>Kamistad-Gel N (10 g.)</t>
        </is>
      </c>
      <c r="I2" t="inlineStr">
        <is>
          <t>ป้ายยาบริเวณที่เป็นแผล วันละ 2-3 ครั้ง หลังอาหาร และก่อนนอน</t>
        </is>
      </c>
      <c r="P2" t="inlineStr">
        <is>
          <t>Mouthwash / throat/oral care</t>
        </is>
      </c>
    </row>
    <row r="3">
      <c r="A3" t="n">
        <v>819</v>
      </c>
      <c r="B3" t="inlineStr">
        <is>
          <t>ยาทาแผลในปาก (D)</t>
        </is>
      </c>
      <c r="C3" t="n">
        <v>7549</v>
      </c>
      <c r="D3" t="inlineStr">
        <is>
          <t>Kenalone Oral Paste 5 g</t>
        </is>
      </c>
      <c r="E3" t="inlineStr">
        <is>
          <t>หลอด 5 g.</t>
        </is>
      </c>
      <c r="F3" t="inlineStr">
        <is>
          <t>Triamcinolone Acetonide 0.1%</t>
        </is>
      </c>
      <c r="G3" t="inlineStr">
        <is>
          <t>BDS007549</t>
        </is>
      </c>
      <c r="H3" t="inlineStr">
        <is>
          <t>Kenalone Oral Paste 5 g (5 g.)</t>
        </is>
      </c>
      <c r="I3" t="inlineStr">
        <is>
          <t xml:space="preserve">ป้ายยาประมาณ 1/4 นิ้ว บริเวณที่มีอาการ วันละ 2-3 ครั้ง หลังอาหาร หรือตามแพทย์สั่ง </t>
        </is>
      </c>
      <c r="P3" t="inlineStr">
        <is>
          <t>Mouthwash / throat/oral care</t>
        </is>
      </c>
    </row>
    <row r="4">
      <c r="A4" t="n">
        <v>820</v>
      </c>
      <c r="B4" t="inlineStr">
        <is>
          <t>ยาทาแผลในปาก (D)</t>
        </is>
      </c>
      <c r="C4" t="n">
        <v>7548</v>
      </c>
      <c r="D4" t="inlineStr">
        <is>
          <t>Kenalone Oral Paste sachet 1 g</t>
        </is>
      </c>
      <c r="E4" t="inlineStr">
        <is>
          <t>ซอง 1 g.</t>
        </is>
      </c>
      <c r="F4" t="inlineStr">
        <is>
          <t>Triamcinolone Acetonide 0.1%</t>
        </is>
      </c>
      <c r="G4" t="inlineStr">
        <is>
          <t>BDS007548</t>
        </is>
      </c>
      <c r="H4" t="inlineStr">
        <is>
          <t>Kenalone Oral Paste sachet 1 g (1 g.)</t>
        </is>
      </c>
      <c r="I4" t="inlineStr">
        <is>
          <t xml:space="preserve">ป้ายยาประมาณ 1/4 นิ้ว บริเวณที่มีอาการ วันละ 2-3 ครั้ง หลังอาหาร หรือตามแพทย์สั่ง </t>
        </is>
      </c>
      <c r="P4" t="inlineStr">
        <is>
          <t>Mouthwash / throat/oral care</t>
        </is>
      </c>
    </row>
    <row r="5">
      <c r="A5" t="n">
        <v>821</v>
      </c>
      <c r="B5" t="inlineStr">
        <is>
          <t>ยาทาแผลในปาก (D)</t>
        </is>
      </c>
      <c r="C5" t="n">
        <v>3751</v>
      </c>
      <c r="D5" t="inlineStr">
        <is>
          <t>Trinolone Oral Paste 5 g</t>
        </is>
      </c>
      <c r="E5" t="inlineStr">
        <is>
          <t>หลอด 5 g.</t>
        </is>
      </c>
      <c r="F5" t="inlineStr">
        <is>
          <t>Triamcinolone Acetonide 0.1%</t>
        </is>
      </c>
      <c r="G5" t="inlineStr">
        <is>
          <t>BDS003751</t>
        </is>
      </c>
      <c r="H5" t="inlineStr">
        <is>
          <t>Trinolone Oral Paste 5 g (5 g.)</t>
        </is>
      </c>
      <c r="I5" t="inlineStr">
        <is>
          <t xml:space="preserve">ป้ายยาประมาณ 1/4 นิ้ว บริเวณที่เป็น วันละ 2-3 ครั้ง หลังอาหาร และก่อนนอน </t>
        </is>
      </c>
      <c r="P5" t="inlineStr">
        <is>
          <t>Mouthwash / throat/oral care</t>
        </is>
      </c>
    </row>
    <row r="6">
      <c r="A6" t="n">
        <v>822</v>
      </c>
      <c r="B6" t="inlineStr">
        <is>
          <t>ยาทาแผลในปาก (D)</t>
        </is>
      </c>
      <c r="C6" t="n">
        <v>3750</v>
      </c>
      <c r="D6" t="inlineStr">
        <is>
          <t>Trinolone Oral Paste sachet 1 g</t>
        </is>
      </c>
      <c r="E6" t="inlineStr">
        <is>
          <t>ซอง 1 g.</t>
        </is>
      </c>
      <c r="F6" t="inlineStr">
        <is>
          <t>Triamcinolone Acetonide 0.1%</t>
        </is>
      </c>
      <c r="G6" t="inlineStr">
        <is>
          <t>BDS003750</t>
        </is>
      </c>
      <c r="H6" t="inlineStr">
        <is>
          <t>Trinolone Oral Paste sachet 1 g (1 g.)</t>
        </is>
      </c>
      <c r="I6" t="inlineStr">
        <is>
          <t xml:space="preserve">ป้ายยาประมาณ 1/4 นิ้ว บริเวณที่เป็น วันละ 2-3 ครั้ง หลังอาหาร และก่อนนอน </t>
        </is>
      </c>
      <c r="P6" t="inlineStr">
        <is>
          <t>Mouthwash / throat/oral care</t>
        </is>
      </c>
    </row>
    <row r="7">
      <c r="A7" t="n">
        <v>848</v>
      </c>
      <c r="B7" t="inlineStr">
        <is>
          <t>น้ำยาบ้วนปาก</t>
        </is>
      </c>
      <c r="C7" t="n">
        <v>40609</v>
      </c>
      <c r="D7" t="inlineStr">
        <is>
          <t>Betadine Gargle</t>
        </is>
      </c>
      <c r="E7" t="inlineStr">
        <is>
          <t>ขวด 30 ml.</t>
        </is>
      </c>
      <c r="F7" t="inlineStr">
        <is>
          <t>Povidone-Iodine 70 mg./1 ml.</t>
        </is>
      </c>
      <c r="G7" t="inlineStr">
        <is>
          <t>BDS040609</t>
        </is>
      </c>
      <c r="H7" t="inlineStr">
        <is>
          <t>Betadine Gargle (30 ml.)</t>
        </is>
      </c>
      <c r="I7" t="inlineStr">
        <is>
          <t>หยดน้ำยา 1-2 ml. ในถ้วยผสม เติมน้ำสะอาดจบครบ 30 ml. ใช้อมกลั้วคอ 30 วินาทีแล้วบ้วนทิ้ง  วันละ 2-3 ครั้ง</t>
        </is>
      </c>
      <c r="P7" t="inlineStr">
        <is>
          <t>Mouthwash / throat/oral care</t>
        </is>
      </c>
    </row>
    <row r="8">
      <c r="A8" t="n">
        <v>849</v>
      </c>
      <c r="B8" t="inlineStr">
        <is>
          <t>น้ำยาบ้วนปาก</t>
        </is>
      </c>
      <c r="C8" t="n">
        <v>1407</v>
      </c>
      <c r="D8" t="inlineStr">
        <is>
          <t>C-20 Blue Sally</t>
        </is>
      </c>
      <c r="E8" t="inlineStr">
        <is>
          <t>ขวด 180 ml.</t>
        </is>
      </c>
      <c r="F8" t="inlineStr">
        <is>
          <t>Chlorhexidine Gluconate 0.12 g./100 ml.</t>
        </is>
      </c>
      <c r="G8" t="inlineStr">
        <is>
          <t>BDS001407</t>
        </is>
      </c>
      <c r="H8" t="inlineStr">
        <is>
          <t>C-20 Blue Sally (180 ml.)</t>
        </is>
      </c>
      <c r="I8" t="inlineStr">
        <is>
          <t>อมกลั้วปากครั้งละ 15-30 ml. โดยไม่ต้องผสมน้ำ นาน 1 นาที แล้วบ้วนทิ้ง วันละ 2 ครั้ง หลังอาหารเช้าและก่อนนอน</t>
        </is>
      </c>
      <c r="P8" t="inlineStr">
        <is>
          <t>Mouthwash / throat/oral care</t>
        </is>
      </c>
    </row>
    <row r="9">
      <c r="A9" t="n">
        <v>850</v>
      </c>
      <c r="B9" t="inlineStr">
        <is>
          <t>น้ำยาบ้วนปาก</t>
        </is>
      </c>
      <c r="C9" t="n">
        <v>1406</v>
      </c>
      <c r="D9" t="inlineStr">
        <is>
          <t>C-20 Original เล็ก</t>
        </is>
      </c>
      <c r="E9" t="inlineStr">
        <is>
          <t>ขวด 180 ml.</t>
        </is>
      </c>
      <c r="F9" t="inlineStr">
        <is>
          <t>Chlorhexidine Gluconate 0.12 g./100 ml.</t>
        </is>
      </c>
      <c r="G9" t="inlineStr">
        <is>
          <t>BDS001406</t>
        </is>
      </c>
      <c r="H9" t="inlineStr">
        <is>
          <t>C-20 Original เล็ก (180 ml.)</t>
        </is>
      </c>
      <c r="I9" t="inlineStr">
        <is>
          <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t>
        </is>
      </c>
      <c r="P9" t="inlineStr">
        <is>
          <t>Mouthwash / throat/oral care</t>
        </is>
      </c>
    </row>
    <row r="10">
      <c r="A10" t="n">
        <v>851</v>
      </c>
      <c r="B10" t="inlineStr">
        <is>
          <t>น้ำยาบ้วนปาก</t>
        </is>
      </c>
      <c r="C10" t="n">
        <v>1409</v>
      </c>
      <c r="D10" t="inlineStr">
        <is>
          <t>C-20 Original ใหญ่</t>
        </is>
      </c>
      <c r="E10" t="inlineStr">
        <is>
          <t>ขวด 360 ml.</t>
        </is>
      </c>
      <c r="F10" t="inlineStr">
        <is>
          <t>Chlorhexidine Gluconate 0.12 g./100 ml.</t>
        </is>
      </c>
      <c r="G10" t="inlineStr">
        <is>
          <t>BDS001409</t>
        </is>
      </c>
      <c r="H10" t="inlineStr">
        <is>
          <t>C-20 Original ใหญ่ (360 ml.)</t>
        </is>
      </c>
      <c r="I10" t="inlineStr">
        <is>
          <t xml:space="preserve">อมกลั้วปากครั้งละ 15-30 ml. โดยไม่ต้องผสมน้ำ นาน 1 นาที แล้วบ้วนทิ้ง วันละ 2 ครั้ง หลังอาหารเช้าและก่อนนอน </t>
        </is>
      </c>
      <c r="P10" t="inlineStr">
        <is>
          <t>Mouthwash / throat/oral care</t>
        </is>
      </c>
    </row>
    <row r="11">
      <c r="A11" t="n">
        <v>852</v>
      </c>
      <c r="B11" t="inlineStr">
        <is>
          <t>น้ำยาบ้วนปาก</t>
        </is>
      </c>
      <c r="C11" t="n">
        <v>46547</v>
      </c>
      <c r="D11" t="inlineStr">
        <is>
          <t>Puvadon Gargle</t>
        </is>
      </c>
      <c r="E11" t="inlineStr">
        <is>
          <t>ขวด 30 ml.</t>
        </is>
      </c>
      <c r="F11" t="inlineStr">
        <is>
          <t>Povidone-Iodine 70 mg eq. to Iodine 7 mg/1 ml.</t>
        </is>
      </c>
      <c r="G11" t="inlineStr">
        <is>
          <t>BDS046547</t>
        </is>
      </c>
      <c r="H11" t="inlineStr">
        <is>
          <t>Puvadon Gargle (30 ml.)</t>
        </is>
      </c>
      <c r="I11" t="inlineStr">
        <is>
          <t>หยดน้ำยา 1 ml. ในถ้วยผสม เติมน้ำสะอาดจนครบ 30 ml. ใช้อมกลั้วคอ 30 วินาทีแล้วบ้วนทิ้ง  วันละ 3-4 ครั้ง</t>
        </is>
      </c>
      <c r="P11" t="inlineStr">
        <is>
          <t>Mouthwash / throat/oral care</t>
        </is>
      </c>
    </row>
  </sheetData>
  <autoFilter ref="A1:P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842</v>
      </c>
      <c r="B2" t="inlineStr">
        <is>
          <t>ยาทารักษาหูด</t>
        </is>
      </c>
      <c r="C2" t="n">
        <v>1468</v>
      </c>
      <c r="D2" t="inlineStr">
        <is>
          <t>Con Con</t>
        </is>
      </c>
      <c r="E2" t="inlineStr">
        <is>
          <t>ขวด 15 ml.</t>
        </is>
      </c>
      <c r="F2" t="inlineStr">
        <is>
          <t>Salicylic Acid 25 g.+Liquified Phenol 1.5 ml./100 ml.</t>
        </is>
      </c>
      <c r="G2" t="inlineStr">
        <is>
          <t>BDS001468</t>
        </is>
      </c>
      <c r="H2" t="inlineStr">
        <is>
          <t>Con Con (15 ml.)</t>
        </is>
      </c>
      <c r="I2" t="inlineStr">
        <is>
          <t>ทายาบนตาปลาหรือหูด  วันละ  2-3 ครั้ง</t>
        </is>
      </c>
      <c r="P2" t="inlineStr">
        <is>
          <t>Wart treatment</t>
        </is>
      </c>
    </row>
    <row r="3">
      <c r="A3" t="n">
        <v>843</v>
      </c>
      <c r="B3" t="inlineStr">
        <is>
          <t>ยาทารักษาหูด</t>
        </is>
      </c>
      <c r="C3" t="n">
        <v>47738</v>
      </c>
      <c r="D3" t="inlineStr">
        <is>
          <t>SOS Plus Corn Plaster Removal</t>
        </is>
      </c>
      <c r="E3" t="inlineStr">
        <is>
          <t xml:space="preserve">กล่อง 4 ชิ้น </t>
        </is>
      </c>
      <c r="F3" t="inlineStr">
        <is>
          <t>Salicylic acid 40 g (40%w/w)+Titanium dioxide+Liquid paraffin+Polyvinyl alkyl ethers+อื่นๆ</t>
        </is>
      </c>
      <c r="G3" t="inlineStr">
        <is>
          <t>BDS047738</t>
        </is>
      </c>
      <c r="H3" t="inlineStr">
        <is>
          <t>SOS Plus Corn Plaster Removal (4 pieces)</t>
        </is>
      </c>
      <c r="I3" t="inlineStr">
        <is>
          <t>ดึงแถบพลาสติกออก แล้วปิดพลาสเตอร์โดยให้ผ้าก๊อซอยู่กึ่งกลางของแผล//เปลี่ยนแผ่นยาและพลาสเตอร์ทุกวันจนกว่าจะหาย</t>
        </is>
      </c>
      <c r="P3" t="inlineStr">
        <is>
          <t>Wart treatment</t>
        </is>
      </c>
    </row>
    <row r="4">
      <c r="A4" t="n">
        <v>867</v>
      </c>
      <c r="B4" t="inlineStr">
        <is>
          <t>ยาทารักษาหูด (D)</t>
        </is>
      </c>
      <c r="C4" t="n">
        <v>1102</v>
      </c>
      <c r="D4" t="inlineStr">
        <is>
          <t>Aldara</t>
        </is>
      </c>
      <c r="E4" t="inlineStr">
        <is>
          <t>ซอง 0.25 g.</t>
        </is>
      </c>
      <c r="F4" t="inlineStr">
        <is>
          <t>Imiquimod 5% w/w</t>
        </is>
      </c>
      <c r="G4" t="inlineStr">
        <is>
          <t>BDS001102</t>
        </is>
      </c>
      <c r="H4" t="inlineStr">
        <is>
          <t>Aldara (0.25 g.)</t>
        </is>
      </c>
      <c r="I4" t="inlineStr">
        <is>
          <t>ทาครีมที่หูด วันละ 1 ครั้ง ก่อนนอน สัปดาห์ละ 3 ครั้ง ต่อเนื่องจนกว่าหูดจะหลุด</t>
        </is>
      </c>
      <c r="P4" t="inlineStr">
        <is>
          <t>Wart treatment</t>
        </is>
      </c>
    </row>
  </sheetData>
  <autoFilter ref="A1:P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Subcategory</t>
        </is>
      </c>
      <c r="C1" s="1" t="inlineStr">
        <is>
          <t>Product code</t>
        </is>
      </c>
      <c r="D1" s="1" t="inlineStr">
        <is>
          <t>Product name</t>
        </is>
      </c>
      <c r="E1" s="1" t="inlineStr">
        <is>
          <t>Pack size</t>
        </is>
      </c>
      <c r="F1" s="1" t="inlineStr">
        <is>
          <t>Composition</t>
        </is>
      </c>
      <c r="G1" s="1" t="inlineStr">
        <is>
          <t>Medicine code</t>
        </is>
      </c>
      <c r="H1" s="1" t="inlineStr">
        <is>
          <t>Medicine name</t>
        </is>
      </c>
      <c r="I1" s="1" t="inlineStr">
        <is>
          <t>Instructions (TH)</t>
        </is>
      </c>
      <c r="J1" s="1" t="inlineStr">
        <is>
          <t>Instructions (EN)</t>
        </is>
      </c>
      <c r="K1" s="1" t="inlineStr">
        <is>
          <t>Online pack price (THB)</t>
        </is>
      </c>
      <c r="L1" s="1" t="inlineStr">
        <is>
          <t>Online unit price (THB)</t>
        </is>
      </c>
      <c r="M1" s="1" t="inlineStr">
        <is>
          <t>Price source URL</t>
        </is>
      </c>
      <c r="N1" s="1" t="inlineStr">
        <is>
          <t>Price checked date</t>
        </is>
      </c>
      <c r="O1" s="1" t="inlineStr">
        <is>
          <t>Price notes</t>
        </is>
      </c>
      <c r="P1" s="1" t="inlineStr">
        <is>
          <t>Category</t>
        </is>
      </c>
    </row>
    <row r="2">
      <c r="A2" t="n">
        <v>846</v>
      </c>
      <c r="B2" t="inlineStr">
        <is>
          <t>ครีมรักษาผิวแห้ง</t>
        </is>
      </c>
      <c r="C2" t="n">
        <v>1682</v>
      </c>
      <c r="D2" t="inlineStr">
        <is>
          <t>Diabederm Urea Cream 10%</t>
        </is>
      </c>
      <c r="E2" t="inlineStr">
        <is>
          <t>หลอด 35 g.</t>
        </is>
      </c>
      <c r="F2" t="inlineStr">
        <is>
          <t>10% Urea</t>
        </is>
      </c>
      <c r="G2" t="inlineStr">
        <is>
          <t>BDS001682</t>
        </is>
      </c>
      <c r="H2" t="inlineStr">
        <is>
          <t>Diabederm Urea Cream 10% (35 g.)</t>
        </is>
      </c>
      <c r="I2" t="inlineStr">
        <is>
          <t>ทาบริเวณที่เป็น วันละ 1-3 ครั้ง</t>
        </is>
      </c>
      <c r="P2" t="inlineStr">
        <is>
          <t>Dry skin creams</t>
        </is>
      </c>
    </row>
    <row r="3">
      <c r="A3" t="n">
        <v>847</v>
      </c>
      <c r="B3" t="inlineStr">
        <is>
          <t>ครีมรักษาผิวแห้ง</t>
        </is>
      </c>
      <c r="C3" t="n">
        <v>1683</v>
      </c>
      <c r="D3" t="inlineStr">
        <is>
          <t>Diabederm Urea Cream 20%</t>
        </is>
      </c>
      <c r="E3" t="inlineStr">
        <is>
          <t>หลอด 35 g.</t>
        </is>
      </c>
      <c r="F3" t="inlineStr">
        <is>
          <t>20% Urea</t>
        </is>
      </c>
      <c r="G3" t="inlineStr">
        <is>
          <t>BDS001683</t>
        </is>
      </c>
      <c r="H3" t="inlineStr">
        <is>
          <t>Diabederm Urea Cream 20% (35 g.)</t>
        </is>
      </c>
      <c r="I3" t="inlineStr">
        <is>
          <t>ทาบริเวณที่เป็น วันละ 1-3 ครั้ง</t>
        </is>
      </c>
      <c r="P3" t="inlineStr">
        <is>
          <t>Dry skin creams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2026-02-17T03:07:28Z</dcterms:created>
  <dcterms:modified xmlns:dcterms="http://purl.org/dc/terms/" xmlns:xsi="http://www.w3.org/2001/XMLSchema-instance" xsi:type="dcterms:W3CDTF">2026-02-17T03:07:37Z</dcterms:modified>
</cp:coreProperties>
</file>